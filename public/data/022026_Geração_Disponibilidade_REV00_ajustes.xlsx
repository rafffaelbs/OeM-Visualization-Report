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eração_Dezembro" sheetId="1" state="visible" r:id="rId3"/>
    <sheet name="Fevereiro 2026" sheetId="2" state="visible" r:id="rId4"/>
    <sheet name="Dezembro" sheetId="3" state="visible" r:id="rId5"/>
    <sheet name="Ocorrências_Novembro" sheetId="4" state="visible" r:id="rId6"/>
    <sheet name="Ocorrências _ Bruto" sheetId="5" state="visible" r:id="rId7"/>
    <sheet name="REF" sheetId="6" state="visible" r:id="rId8"/>
    <sheet name="De-Para" sheetId="7" state="visible" r:id="rId9"/>
  </sheets>
  <definedNames>
    <definedName function="false" hidden="true" localSheetId="6" name="_xlnm._FilterDatabase" vbProcedure="false">'De-Para'!$A$1:$B$80</definedName>
    <definedName function="false" hidden="true" localSheetId="2" name="_xlnm._FilterDatabase" vbProcedure="false">Dezembro!$A$1:$Q$439</definedName>
    <definedName function="false" hidden="true" localSheetId="1" name="_xlnm._FilterDatabase" vbProcedure="false">'Fevereiro 2026'!$A$1:$Q$1</definedName>
    <definedName function="false" hidden="true" localSheetId="3" name="_xlnm._FilterDatabase" vbProcedure="false">Ocorrências_Novembro!$A$1:$Q$1683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<sst xmlns="http://schemas.openxmlformats.org/spreadsheetml/2006/main" count="46691" uniqueCount="3266">
  <si>
    <t xml:space="preserve">Mês</t>
  </si>
  <si>
    <t xml:space="preserve">UC</t>
  </si>
  <si>
    <t xml:space="preserve">Usina BC</t>
  </si>
  <si>
    <t xml:space="preserve">SPE</t>
  </si>
  <si>
    <t xml:space="preserve">Projeto</t>
  </si>
  <si>
    <t xml:space="preserve">Geração Plataforma MWh</t>
  </si>
  <si>
    <t xml:space="preserve">Geração Local MWh</t>
  </si>
  <si>
    <t xml:space="preserve">Previsão</t>
  </si>
  <si>
    <t xml:space="preserve">Atingimento %</t>
  </si>
  <si>
    <t xml:space="preserve">UFV Araçu I</t>
  </si>
  <si>
    <t xml:space="preserve">BC Energia Araçu I.I</t>
  </si>
  <si>
    <t xml:space="preserve">BC Araçu I</t>
  </si>
  <si>
    <t xml:space="preserve">UFV Araçu II</t>
  </si>
  <si>
    <t xml:space="preserve">BC Energia Araçu II.II</t>
  </si>
  <si>
    <t xml:space="preserve">BC Araçu II</t>
  </si>
  <si>
    <t xml:space="preserve">UFV Araçu III</t>
  </si>
  <si>
    <t xml:space="preserve">BC Energia Araçu II.III</t>
  </si>
  <si>
    <t xml:space="preserve">UFV Araçu IV</t>
  </si>
  <si>
    <t xml:space="preserve">BC Energia Araçu II.IV</t>
  </si>
  <si>
    <t xml:space="preserve">UFV Araçu V</t>
  </si>
  <si>
    <t xml:space="preserve">BC Energia Araçu II.V</t>
  </si>
  <si>
    <t xml:space="preserve">UFV Araçu VI</t>
  </si>
  <si>
    <t xml:space="preserve">BC Energia Araçu III.VI</t>
  </si>
  <si>
    <t xml:space="preserve">BC Araçu III</t>
  </si>
  <si>
    <t xml:space="preserve">UFV Araçu VII</t>
  </si>
  <si>
    <t xml:space="preserve">BC Energia Araçu III.VII</t>
  </si>
  <si>
    <t xml:space="preserve">UFV Araçu VIII</t>
  </si>
  <si>
    <t xml:space="preserve">BC Energia Araçu IV.VIII</t>
  </si>
  <si>
    <t xml:space="preserve">BC Araçu IV</t>
  </si>
  <si>
    <t xml:space="preserve">6/4136603-0</t>
  </si>
  <si>
    <t xml:space="preserve">UFV Barra do Garças I</t>
  </si>
  <si>
    <t xml:space="preserve">BC Energia Barra das Garças I</t>
  </si>
  <si>
    <t xml:space="preserve">BC Barra do Garças</t>
  </si>
  <si>
    <t xml:space="preserve">6/4136542-0</t>
  </si>
  <si>
    <t xml:space="preserve">UFV Barra do Garças II</t>
  </si>
  <si>
    <t xml:space="preserve">BC Energia Barra das Garças II</t>
  </si>
  <si>
    <t xml:space="preserve">6/4136538-8</t>
  </si>
  <si>
    <t xml:space="preserve">UFV Barra do Garças III</t>
  </si>
  <si>
    <t xml:space="preserve">BC Energia Barra das Garças III</t>
  </si>
  <si>
    <t xml:space="preserve">UFV Bom Sucesso</t>
  </si>
  <si>
    <t xml:space="preserve">BC Energia Bom Sucesso I</t>
  </si>
  <si>
    <t xml:space="preserve">BC Bom Sucesso</t>
  </si>
  <si>
    <t xml:space="preserve">UFV Caiapônia I</t>
  </si>
  <si>
    <t xml:space="preserve">BC Energia Caiapônia I.I</t>
  </si>
  <si>
    <t xml:space="preserve">BC Caiapônia I</t>
  </si>
  <si>
    <t xml:space="preserve">UFV Caiapônia II</t>
  </si>
  <si>
    <t xml:space="preserve">BC Energia Caiapônia I.II</t>
  </si>
  <si>
    <t xml:space="preserve">UFV Caiapônia III</t>
  </si>
  <si>
    <t xml:space="preserve">BC Energia Caiapônia I.III</t>
  </si>
  <si>
    <t xml:space="preserve">UFV Caiapônia IV</t>
  </si>
  <si>
    <t xml:space="preserve">BC Energia Caiapônia I.IV</t>
  </si>
  <si>
    <t xml:space="preserve">UFV Caiapônia V</t>
  </si>
  <si>
    <t xml:space="preserve">BC Energia Caiapônia I.V</t>
  </si>
  <si>
    <t xml:space="preserve">UFV Caiaponia VI</t>
  </si>
  <si>
    <t xml:space="preserve">BC Energia Caiapônia II.VI</t>
  </si>
  <si>
    <t xml:space="preserve">BC Caiapônia II</t>
  </si>
  <si>
    <t xml:space="preserve">UFV Caiaponia VII</t>
  </si>
  <si>
    <t xml:space="preserve">BC Energia Caiapônia II.VII</t>
  </si>
  <si>
    <t xml:space="preserve">UFV Caiaponia VIII</t>
  </si>
  <si>
    <t xml:space="preserve">BC Energia Caiapônia II.VIII</t>
  </si>
  <si>
    <t xml:space="preserve">UFV Palmeiras de Goiás 1.1</t>
  </si>
  <si>
    <t xml:space="preserve">BC Energia Camarão - Palmeiras de Goiais I.I</t>
  </si>
  <si>
    <t xml:space="preserve">BC Camarão I - Palmeiras de Goiás I</t>
  </si>
  <si>
    <t xml:space="preserve">UFV Palmeiras de Goiás 1.2</t>
  </si>
  <si>
    <t xml:space="preserve">BC Energia Camarão - Palmeiras de Goiais I.II</t>
  </si>
  <si>
    <t xml:space="preserve">UFV Palmeiras de Goiás 1.3</t>
  </si>
  <si>
    <t xml:space="preserve">BC Energia Camarão - Palmeiras de Goiais I.III</t>
  </si>
  <si>
    <t xml:space="preserve">UFV Palmeiras de Goiás 1.4</t>
  </si>
  <si>
    <t xml:space="preserve">BC Energia Camarão - Palmeiras de Goiais I.IV</t>
  </si>
  <si>
    <t xml:space="preserve">UFV Palmeiras de Goiás 1.5</t>
  </si>
  <si>
    <t xml:space="preserve">BC Energia Camarão - Palmeiras de Goiais I.V</t>
  </si>
  <si>
    <t xml:space="preserve">UFV Clareira Araçu I</t>
  </si>
  <si>
    <t xml:space="preserve">BC Energia Clareira Araçu I</t>
  </si>
  <si>
    <t xml:space="preserve">BC Clareira Araçu</t>
  </si>
  <si>
    <t xml:space="preserve">UFV Clareira Araçu II</t>
  </si>
  <si>
    <t xml:space="preserve">BC Energia Clareira Araçu II</t>
  </si>
  <si>
    <t xml:space="preserve">UFV Corumbá 1.1</t>
  </si>
  <si>
    <t xml:space="preserve">BC Energia Corumbá I.I</t>
  </si>
  <si>
    <t xml:space="preserve">BC Corumbá I</t>
  </si>
  <si>
    <t xml:space="preserve">UFV Corumbá 1.2</t>
  </si>
  <si>
    <t xml:space="preserve">BC Energia Corumbá I.II</t>
  </si>
  <si>
    <t xml:space="preserve">UFV Corumbá 1.3</t>
  </si>
  <si>
    <t xml:space="preserve">BC Energia Corumbá I.III</t>
  </si>
  <si>
    <t xml:space="preserve">UFV Corumbá 2.1</t>
  </si>
  <si>
    <t xml:space="preserve">BC Energia Corumbá II.IV</t>
  </si>
  <si>
    <t xml:space="preserve">BC Corumbá II</t>
  </si>
  <si>
    <t xml:space="preserve">UFV Corumbá 2.2</t>
  </si>
  <si>
    <t xml:space="preserve">BC Energia Corumbá II.V</t>
  </si>
  <si>
    <t xml:space="preserve">UFV Corumbá 2.3</t>
  </si>
  <si>
    <t xml:space="preserve">BC Energia Corumbá II.VI</t>
  </si>
  <si>
    <t xml:space="preserve">UFV Panamá I</t>
  </si>
  <si>
    <t xml:space="preserve">BC Energia Panamá I.I</t>
  </si>
  <si>
    <t xml:space="preserve">BC Panamá I</t>
  </si>
  <si>
    <t xml:space="preserve">UFV Panamá II</t>
  </si>
  <si>
    <t xml:space="preserve">BC Energia Panamá I.II</t>
  </si>
  <si>
    <t xml:space="preserve">UFV Panamá III</t>
  </si>
  <si>
    <t xml:space="preserve">BC Energia Panamá I.III</t>
  </si>
  <si>
    <t xml:space="preserve">UFV Panamá IV</t>
  </si>
  <si>
    <t xml:space="preserve">BC Energia Panamá I.IV</t>
  </si>
  <si>
    <t xml:space="preserve">UFV Panamá V</t>
  </si>
  <si>
    <t xml:space="preserve">BC Energia Panamá I.V</t>
  </si>
  <si>
    <t xml:space="preserve">UFV Panamá VI</t>
  </si>
  <si>
    <t xml:space="preserve">BC Energia Panamá I.VI</t>
  </si>
  <si>
    <t xml:space="preserve">UFV Panamá VII</t>
  </si>
  <si>
    <t xml:space="preserve">BC Energia Panamá I.VII</t>
  </si>
  <si>
    <t xml:space="preserve">2353016-2</t>
  </si>
  <si>
    <t xml:space="preserve">UFV Paranoá I</t>
  </si>
  <si>
    <t xml:space="preserve">BC Energia Paranoá I.I</t>
  </si>
  <si>
    <t xml:space="preserve">BC Paranoá I</t>
  </si>
  <si>
    <t xml:space="preserve">2352648-3</t>
  </si>
  <si>
    <t xml:space="preserve">UFV Paranoá II</t>
  </si>
  <si>
    <t xml:space="preserve">BC Energia Paranoá I.II</t>
  </si>
  <si>
    <t xml:space="preserve">2353023-5</t>
  </si>
  <si>
    <t xml:space="preserve">UFV Paranoá III</t>
  </si>
  <si>
    <t xml:space="preserve">BC Energia Paranoá I.III</t>
  </si>
  <si>
    <t xml:space="preserve">2346023-7</t>
  </si>
  <si>
    <t xml:space="preserve">UFV Paranoá IV</t>
  </si>
  <si>
    <t xml:space="preserve">BC Energia Paranoá I.IV</t>
  </si>
  <si>
    <t xml:space="preserve">2346009-1</t>
  </si>
  <si>
    <t xml:space="preserve">UFV Paranoá V</t>
  </si>
  <si>
    <t xml:space="preserve">BC Energia Paranoá I.V</t>
  </si>
  <si>
    <t xml:space="preserve">2345997-2</t>
  </si>
  <si>
    <t xml:space="preserve">UFV Paranoá VI</t>
  </si>
  <si>
    <t xml:space="preserve">BC Energia Paranoá I.VI</t>
  </si>
  <si>
    <t xml:space="preserve">2345992-1</t>
  </si>
  <si>
    <t xml:space="preserve">UFV Paranoá VII</t>
  </si>
  <si>
    <t xml:space="preserve">BC Energia Paranoá I.VII</t>
  </si>
  <si>
    <t xml:space="preserve">2352661-0</t>
  </si>
  <si>
    <t xml:space="preserve">UFV Paranoá VIII</t>
  </si>
  <si>
    <t xml:space="preserve">BC Energia Paranoá I.VIII</t>
  </si>
  <si>
    <t xml:space="preserve">UFV Rio Bonito 1</t>
  </si>
  <si>
    <t xml:space="preserve">BC Energia Rio Bonito I.I</t>
  </si>
  <si>
    <t xml:space="preserve">BC Rio Bonito I</t>
  </si>
  <si>
    <t xml:space="preserve">UFV Rio Bonito 2</t>
  </si>
  <si>
    <t xml:space="preserve">BC Energia Rio Bonito II.II</t>
  </si>
  <si>
    <t xml:space="preserve">BC Rio Bonito II</t>
  </si>
  <si>
    <t xml:space="preserve">UFV Rio Monte I</t>
  </si>
  <si>
    <t xml:space="preserve">BC Energia Rio Monte I.I</t>
  </si>
  <si>
    <t xml:space="preserve">BC Rio Monte I</t>
  </si>
  <si>
    <t xml:space="preserve">UFV Rio Monte II</t>
  </si>
  <si>
    <t xml:space="preserve">BC Energia Rio Monte I.II</t>
  </si>
  <si>
    <t xml:space="preserve">UFV Rio Monte III</t>
  </si>
  <si>
    <t xml:space="preserve">BC Energia Rio Monte I.III</t>
  </si>
  <si>
    <t xml:space="preserve">UFV Varjão de Minas I</t>
  </si>
  <si>
    <t xml:space="preserve">BC Energia Varjão de Minas I.I</t>
  </si>
  <si>
    <t xml:space="preserve">BC Varjão de Minas I</t>
  </si>
  <si>
    <t xml:space="preserve">UFV Varjão de Minas II</t>
  </si>
  <si>
    <t xml:space="preserve">BC Energia Varjão de Minas I.II</t>
  </si>
  <si>
    <t xml:space="preserve">UFV Varjão de Minas III</t>
  </si>
  <si>
    <t xml:space="preserve">BC Energia Varjão de Minas I.III</t>
  </si>
  <si>
    <t xml:space="preserve">UFV Varjão de Minas IV</t>
  </si>
  <si>
    <t xml:space="preserve">BC Energia Varjão de Minas II.IV</t>
  </si>
  <si>
    <t xml:space="preserve">BC Varjão de Minas II</t>
  </si>
  <si>
    <t xml:space="preserve">UFV Varjão de Minas V</t>
  </si>
  <si>
    <t xml:space="preserve">BC Energia Varjão de Minas II.V</t>
  </si>
  <si>
    <t xml:space="preserve">UFV Varjão de Minas VI</t>
  </si>
  <si>
    <t xml:space="preserve">BC Energia Varjão de Minas II.VI</t>
  </si>
  <si>
    <t xml:space="preserve">UFV Vazante I</t>
  </si>
  <si>
    <t xml:space="preserve">BC Energia Vazante I.I</t>
  </si>
  <si>
    <t xml:space="preserve">BC Vazante I</t>
  </si>
  <si>
    <t xml:space="preserve">UFV Vazante II</t>
  </si>
  <si>
    <t xml:space="preserve">BC Energia Vazante I.II</t>
  </si>
  <si>
    <t xml:space="preserve">UFV Vazante III</t>
  </si>
  <si>
    <t xml:space="preserve">BC Energia Vazante I.III</t>
  </si>
  <si>
    <t xml:space="preserve">UFV Vazante IV</t>
  </si>
  <si>
    <t xml:space="preserve">BC Energia Vazante II.IV</t>
  </si>
  <si>
    <t xml:space="preserve">BC Vazante II</t>
  </si>
  <si>
    <t xml:space="preserve">UFV Vazante V</t>
  </si>
  <si>
    <t xml:space="preserve">BC Energia Vazante II.V</t>
  </si>
  <si>
    <t xml:space="preserve">UFV Vazante VI</t>
  </si>
  <si>
    <t xml:space="preserve">BC Energia Vazante II.VI</t>
  </si>
  <si>
    <t xml:space="preserve">UFV Lençóis Paulista I</t>
  </si>
  <si>
    <t xml:space="preserve">BC Energia Lençois Paulista I</t>
  </si>
  <si>
    <t xml:space="preserve">UFV Araçu IX</t>
  </si>
  <si>
    <t xml:space="preserve">BC Energia Araçu V.IX</t>
  </si>
  <si>
    <t xml:space="preserve">BC Energia Araçu V</t>
  </si>
  <si>
    <t xml:space="preserve">UFV Araçu X</t>
  </si>
  <si>
    <t xml:space="preserve">BC Energia Araçu V.X</t>
  </si>
  <si>
    <t xml:space="preserve">UFV Araçu XI</t>
  </si>
  <si>
    <t xml:space="preserve">BC Energia Araçu V.XI</t>
  </si>
  <si>
    <t xml:space="preserve">UFV Araçu XII</t>
  </si>
  <si>
    <t xml:space="preserve">BC Energia Araçu V.XII</t>
  </si>
  <si>
    <t xml:space="preserve">UFV Araçu XIII</t>
  </si>
  <si>
    <t xml:space="preserve">BC Energia Araçu V.XIII</t>
  </si>
  <si>
    <t xml:space="preserve">UFV Turvânia I</t>
  </si>
  <si>
    <t xml:space="preserve">BC Energia Turvânia I.I</t>
  </si>
  <si>
    <t xml:space="preserve">BC Energia Turvânia</t>
  </si>
  <si>
    <t xml:space="preserve">UFV Turvânia II</t>
  </si>
  <si>
    <t xml:space="preserve">BC Energia Turvânia I.II</t>
  </si>
  <si>
    <t xml:space="preserve">UFV Turvânia III</t>
  </si>
  <si>
    <t xml:space="preserve">BC Energia Turvânia I.III</t>
  </si>
  <si>
    <t xml:space="preserve">UFV Turvânia IV</t>
  </si>
  <si>
    <t xml:space="preserve">BC Energia Turvânia I.IV</t>
  </si>
  <si>
    <t xml:space="preserve">UFV Turvânia V</t>
  </si>
  <si>
    <t xml:space="preserve">BC Energia Turvânia I.V</t>
  </si>
  <si>
    <t xml:space="preserve">UFV Formoso I</t>
  </si>
  <si>
    <t xml:space="preserve">BC Energia Formoso I.I</t>
  </si>
  <si>
    <t xml:space="preserve">BC Energia Formoso I</t>
  </si>
  <si>
    <t xml:space="preserve">UFV Formoso II</t>
  </si>
  <si>
    <t xml:space="preserve">BC Energia Formoso I.II</t>
  </si>
  <si>
    <t xml:space="preserve">UFV Formoso III</t>
  </si>
  <si>
    <t xml:space="preserve">BC Energia Formoso I.III</t>
  </si>
  <si>
    <t xml:space="preserve">UFV Formoso IV</t>
  </si>
  <si>
    <t xml:space="preserve">BC Energia Formoso II.I</t>
  </si>
  <si>
    <t xml:space="preserve">BC Energia Formoso II</t>
  </si>
  <si>
    <t xml:space="preserve">UFV Formoso V</t>
  </si>
  <si>
    <t xml:space="preserve">BC Energia Formoso II.II</t>
  </si>
  <si>
    <t xml:space="preserve">UFV Formoso VI</t>
  </si>
  <si>
    <t xml:space="preserve">BC Energia Formoso II.III</t>
  </si>
  <si>
    <t xml:space="preserve">UFV Araguatins I</t>
  </si>
  <si>
    <t xml:space="preserve">BC Energia Araguatins I.I</t>
  </si>
  <si>
    <t xml:space="preserve">BC Energia Araguatins I</t>
  </si>
  <si>
    <t xml:space="preserve">UFV Araguatins II</t>
  </si>
  <si>
    <t xml:space="preserve">BC Energia Araguatins I.II</t>
  </si>
  <si>
    <t xml:space="preserve">UFV Araguatins III</t>
  </si>
  <si>
    <t xml:space="preserve">BC Energia Araguatins I.III</t>
  </si>
  <si>
    <t xml:space="preserve">UFV Araguatins IV</t>
  </si>
  <si>
    <t xml:space="preserve">BC Energia Araguatins II.I</t>
  </si>
  <si>
    <t xml:space="preserve">BC Energia Araguatins II</t>
  </si>
  <si>
    <t xml:space="preserve">UFV Araguatins V</t>
  </si>
  <si>
    <t xml:space="preserve">BC Energia Araguatins II.II</t>
  </si>
  <si>
    <t xml:space="preserve">UFV Araguatins VI</t>
  </si>
  <si>
    <t xml:space="preserve">BC Energia Araguatins II.III</t>
  </si>
  <si>
    <t xml:space="preserve">UFV Ibiuna I</t>
  </si>
  <si>
    <t xml:space="preserve">BC Energia Ibiuna I.I</t>
  </si>
  <si>
    <t xml:space="preserve">BC Energia Ibiuna 1.1</t>
  </si>
  <si>
    <t xml:space="preserve">UFV Ibiuna II</t>
  </si>
  <si>
    <t xml:space="preserve">BC Energia Ibiuna I.II</t>
  </si>
  <si>
    <t xml:space="preserve">BC Energia Ibiuna 1.2</t>
  </si>
  <si>
    <t xml:space="preserve">Total</t>
  </si>
  <si>
    <t xml:space="preserve">UFV</t>
  </si>
  <si>
    <t xml:space="preserve">Tag</t>
  </si>
  <si>
    <t xml:space="preserve">Início Real do Evento</t>
  </si>
  <si>
    <t xml:space="preserve">Início</t>
  </si>
  <si>
    <t xml:space="preserve">Fim</t>
  </si>
  <si>
    <t xml:space="preserve">Duração</t>
  </si>
  <si>
    <t xml:space="preserve">Estado Operativo</t>
  </si>
  <si>
    <t xml:space="preserve">Condição Operativa</t>
  </si>
  <si>
    <t xml:space="preserve">Origem</t>
  </si>
  <si>
    <t xml:space="preserve">Equipamento</t>
  </si>
  <si>
    <t xml:space="preserve">Causa</t>
  </si>
  <si>
    <t xml:space="preserve">Causas Padrão</t>
  </si>
  <si>
    <t xml:space="preserve">Resolução</t>
  </si>
  <si>
    <t xml:space="preserve">Observação</t>
  </si>
  <si>
    <t xml:space="preserve">Concat - duplicata</t>
  </si>
  <si>
    <t xml:space="preserve">Combinação</t>
  </si>
  <si>
    <t xml:space="preserve">BC Turvania1.3</t>
  </si>
  <si>
    <t xml:space="preserve">Inverter(MBUS-13)</t>
  </si>
  <si>
    <t xml:space="preserve">DAU</t>
  </si>
  <si>
    <t xml:space="preserve">INV</t>
  </si>
  <si>
    <t xml:space="preserve"> Inversor acusou falha de baixa impedância de isolamento, inicialmente, precedida das falhas de falha de energia de rede elétrica (indicando desligamento do inversor) e entrada DC é anormal (indicando anormalidade em algum componente CC). Durante inspeção em campo foi identificado que três strings do inversor estavam em curto.</t>
  </si>
  <si>
    <t xml:space="preserve">Falha Inversor</t>
  </si>
  <si>
    <t xml:space="preserve">Prestador de Serviço O&amp;M</t>
  </si>
  <si>
    <t xml:space="preserve">Após a retirada das strings que estavam em curto, foi realizado os testes e normalizado o inversor que segue operando sem anomalia. As strings serão reconectadas após realização de correção das strings.</t>
  </si>
  <si>
    <t xml:space="preserve">BC Aracu5.1</t>
  </si>
  <si>
    <t xml:space="preserve">Inverter(MBUS-1)</t>
  </si>
  <si>
    <t xml:space="preserve">RDE</t>
  </si>
  <si>
    <t xml:space="preserve">Função 81 e 86 atuada no relé.</t>
  </si>
  <si>
    <t xml:space="preserve">Falha Rede</t>
  </si>
  <si>
    <t xml:space="preserve">Distribuidora</t>
  </si>
  <si>
    <t xml:space="preserve">Foi feito inspeção em todo complexo, checado nível de tensão e resetado relé e rearmado os disjuntores.</t>
  </si>
  <si>
    <t xml:space="preserve">BC Corumba2.2</t>
  </si>
  <si>
    <t xml:space="preserve">U02.I01</t>
  </si>
  <si>
    <t xml:space="preserve">RFO</t>
  </si>
  <si>
    <t xml:space="preserve">COM</t>
  </si>
  <si>
    <t xml:space="preserve">Falha de comunicação no Smart Logger</t>
  </si>
  <si>
    <t xml:space="preserve">Falha Comunicação</t>
  </si>
  <si>
    <t xml:space="preserve">Auto-Restart</t>
  </si>
  <si>
    <t xml:space="preserve">Foi normalizado por si só.</t>
  </si>
  <si>
    <t xml:space="preserve">U02.I02</t>
  </si>
  <si>
    <t xml:space="preserve">U02.I03</t>
  </si>
  <si>
    <t xml:space="preserve">U02.I04</t>
  </si>
  <si>
    <t xml:space="preserve">U02.I05</t>
  </si>
  <si>
    <t xml:space="preserve">BC Vazante 1.1</t>
  </si>
  <si>
    <t xml:space="preserve">Inverter12</t>
  </si>
  <si>
    <t xml:space="preserve">Queda de rede da concessionária.</t>
  </si>
  <si>
    <t xml:space="preserve">ARAGUATINS 2.1</t>
  </si>
  <si>
    <t xml:space="preserve">Inverter(MBUS-12)</t>
  </si>
  <si>
    <t xml:space="preserve">Inspecionado todo complexo, não foi identificado nenhuma anomalia, foi rearmado o disjuntor </t>
  </si>
  <si>
    <t xml:space="preserve">Inverter(MBUS-15)</t>
  </si>
  <si>
    <t xml:space="preserve">Inverter(MBUS-14)</t>
  </si>
  <si>
    <t xml:space="preserve">BC Varjao1.3</t>
  </si>
  <si>
    <t xml:space="preserve">215KTL-H0(MBUS-14)</t>
  </si>
  <si>
    <t xml:space="preserve">Inversor com alarme acionado (2064), oscilando comunicação de geração</t>
  </si>
  <si>
    <t xml:space="preserve">Troca em Garantia</t>
  </si>
  <si>
    <t xml:space="preserve">Aguardando a garantia para efetuar a reposição do inversor</t>
  </si>
  <si>
    <t xml:space="preserve">DEM</t>
  </si>
  <si>
    <t xml:space="preserve">Curto circuito na regua do borne do circuito de iluminação</t>
  </si>
  <si>
    <t xml:space="preserve">Manutenção</t>
  </si>
  <si>
    <t xml:space="preserve">Manutenção Corretiva</t>
  </si>
  <si>
    <t xml:space="preserve">Feita a manutenção do curto circuito. Inspecionado todo o complexo, tirado a oscilografia do relé de proteção.</t>
  </si>
  <si>
    <t xml:space="preserve">SG60KTL</t>
  </si>
  <si>
    <t xml:space="preserve"> Foi identificado no supervisório que as câmeras estão funcionando parcialmente, câmeras ativas 2-6-10</t>
  </si>
  <si>
    <t xml:space="preserve">Feito uma avaliação em todo o complexo, e identificado que o problema estava relacionado a comunicação. Após reiniciar o sistema, os inversores voltaram a comunicar no supervisorio</t>
  </si>
  <si>
    <t xml:space="preserve">I</t>
  </si>
  <si>
    <t xml:space="preserve">G</t>
  </si>
  <si>
    <t xml:space="preserve">K</t>
  </si>
  <si>
    <t xml:space="preserve">H</t>
  </si>
  <si>
    <t xml:space="preserve">F</t>
  </si>
  <si>
    <t xml:space="preserve">D</t>
  </si>
  <si>
    <t xml:space="preserve">E</t>
  </si>
  <si>
    <t xml:space="preserve">C</t>
  </si>
  <si>
    <t xml:space="preserve">B</t>
  </si>
  <si>
    <t xml:space="preserve">A</t>
  </si>
  <si>
    <t xml:space="preserve">J</t>
  </si>
  <si>
    <t xml:space="preserve">Foi identificado no supervisório que todos as câmeras e inversores estão Off-line</t>
  </si>
  <si>
    <t xml:space="preserve"> Foi feito uma inspeçao no CFTV no roteador e no suite, foi constatado problema de comunicação - queda de internet </t>
  </si>
  <si>
    <t xml:space="preserve">BC Aracu5.2</t>
  </si>
  <si>
    <t xml:space="preserve">BC Aracu5.3</t>
  </si>
  <si>
    <t xml:space="preserve">BC Aracu5.4</t>
  </si>
  <si>
    <t xml:space="preserve">BC Aracu5.5</t>
  </si>
  <si>
    <t xml:space="preserve">BC Aracu4</t>
  </si>
  <si>
    <t xml:space="preserve">SG75CX(COM1-018)_001_018</t>
  </si>
  <si>
    <t xml:space="preserve">DPR</t>
  </si>
  <si>
    <t xml:space="preserve">Desligamento programado</t>
  </si>
  <si>
    <t xml:space="preserve">Manutenção Preventiva</t>
  </si>
  <si>
    <t xml:space="preserve">Foi realizado limpeza nos coolers e nos inversores</t>
  </si>
  <si>
    <t xml:space="preserve">SG75CX(COM1-019)_001_019</t>
  </si>
  <si>
    <t xml:space="preserve">SG75CX(COM1-020)_001_020</t>
  </si>
  <si>
    <t xml:space="preserve">SG75CX(COM1-021)_001_021</t>
  </si>
  <si>
    <t xml:space="preserve">BC Panama1.1</t>
  </si>
  <si>
    <t xml:space="preserve">ITAPOAN 001 (COM1-001)_001_001</t>
  </si>
  <si>
    <t xml:space="preserve">Normalizou sozinho com o retorno da energia </t>
  </si>
  <si>
    <t xml:space="preserve">CEREAL_002</t>
  </si>
  <si>
    <t xml:space="preserve">ITAPOAN_003</t>
  </si>
  <si>
    <t xml:space="preserve">BC Panama1.2</t>
  </si>
  <si>
    <t xml:space="preserve">ART_004</t>
  </si>
  <si>
    <t xml:space="preserve">COOGED_005</t>
  </si>
  <si>
    <t xml:space="preserve">ART_006</t>
  </si>
  <si>
    <t xml:space="preserve">RADIO_007</t>
  </si>
  <si>
    <t xml:space="preserve">BC Formoso2.1</t>
  </si>
  <si>
    <t xml:space="preserve">Relé atuado na função 59</t>
  </si>
  <si>
    <t xml:space="preserve">BC Formoso2.3</t>
  </si>
  <si>
    <t xml:space="preserve">BC Paranoa</t>
  </si>
  <si>
    <t xml:space="preserve">SG60KTL(COM1-014)_001_013</t>
  </si>
  <si>
    <t xml:space="preserve">Disjuntor geral do cubículo foi desarmado após uma queda de energia.</t>
  </si>
  <si>
    <t xml:space="preserve">SG60KTL(COM1-013)_001_010</t>
  </si>
  <si>
    <t xml:space="preserve">SG60KTL(COM1-012)_001_011</t>
  </si>
  <si>
    <t xml:space="preserve">SG60KTL(COM1-011)_001_005</t>
  </si>
  <si>
    <t xml:space="preserve">SG60KTL(COM1-010)_001_003</t>
  </si>
  <si>
    <t xml:space="preserve">SG60KTL(COM1-018)_001_012</t>
  </si>
  <si>
    <t xml:space="preserve">SG60KTL(COM1-017)_001_007</t>
  </si>
  <si>
    <t xml:space="preserve">SG60KTL(COM1-016)_001_006</t>
  </si>
  <si>
    <t xml:space="preserve">SG50CX(COM2-015)_001_017</t>
  </si>
  <si>
    <t xml:space="preserve">SG60KTL(COM1-009)_001_002</t>
  </si>
  <si>
    <t xml:space="preserve">SG60KTL(COM1-008)_001_009</t>
  </si>
  <si>
    <t xml:space="preserve">SG60KTL(COM1-007)_001_004</t>
  </si>
  <si>
    <t xml:space="preserve">SG60KTL(COM1-006)_001_014</t>
  </si>
  <si>
    <t xml:space="preserve">SG40CX(COM2-005)_001_015</t>
  </si>
  <si>
    <t xml:space="preserve">SG60KTL(COM1-019)_002_007</t>
  </si>
  <si>
    <t xml:space="preserve">SG60KTL(COM1-020)_002_011</t>
  </si>
  <si>
    <t xml:space="preserve">SG60KTL(COM1-021)_002_017</t>
  </si>
  <si>
    <t xml:space="preserve">SG60KTL(COM1-022)_002_020</t>
  </si>
  <si>
    <t xml:space="preserve">SG40CX(COM2-023)_002_024</t>
  </si>
  <si>
    <t xml:space="preserve">SG40CX(COM2-024)_002_022</t>
  </si>
  <si>
    <t xml:space="preserve">SG60KTL(COM1-007)_002_013</t>
  </si>
  <si>
    <t xml:space="preserve">SG60KTL(COM1-008)_002_002</t>
  </si>
  <si>
    <t xml:space="preserve">SG60KTL(COM1-009)_002_008</t>
  </si>
  <si>
    <t xml:space="preserve">SG60KTL(COM1-010)_002_003</t>
  </si>
  <si>
    <t xml:space="preserve">SG60KTL(COM1-011)_002_010</t>
  </si>
  <si>
    <t xml:space="preserve">SG60KTL(COM1-012)_002_005</t>
  </si>
  <si>
    <t xml:space="preserve">SG60KTL(COM1-001)_002_006</t>
  </si>
  <si>
    <t xml:space="preserve">SG60KTL(COM1-002)_002_016</t>
  </si>
  <si>
    <t xml:space="preserve">SG50CX(COM2-003)_002_021</t>
  </si>
  <si>
    <t xml:space="preserve">SG50CX(COM2-004)_002_023</t>
  </si>
  <si>
    <t xml:space="preserve">SG60KTL(COM1-005)_002_009</t>
  </si>
  <si>
    <t xml:space="preserve">SG60KTL(COM1-006)_002_001</t>
  </si>
  <si>
    <t xml:space="preserve">SG60KTL(COM1-013)_002_004</t>
  </si>
  <si>
    <t xml:space="preserve">SG60KTL(COM1-014)_002_019</t>
  </si>
  <si>
    <t xml:space="preserve">SG60KTL(COM1-015)_002_018</t>
  </si>
  <si>
    <t xml:space="preserve">SG60KTL(COM1-016)_002_014</t>
  </si>
  <si>
    <t xml:space="preserve">SG60KTL(COM1-017)_002_015</t>
  </si>
  <si>
    <t xml:space="preserve">SG60KTL(COM1-018)_002_012</t>
  </si>
  <si>
    <t xml:space="preserve">SG50CX(COM2-004)_001_018</t>
  </si>
  <si>
    <t xml:space="preserve">SG50CX(COM2-003)_001_016</t>
  </si>
  <si>
    <t xml:space="preserve">SG60KTL(COM1-002)_001_008</t>
  </si>
  <si>
    <t xml:space="preserve">Falta de energia na UFV.</t>
  </si>
  <si>
    <t xml:space="preserve">Foi aberto um chamado junto à concessionária. Após o restabelecimento da energia, foi realizada a inspeção de todo o complexo, com verificação dos níveis de tensão, reset do relé e rearme dos disjuntores.</t>
  </si>
  <si>
    <t xml:space="preserve">Relé atuado na função 47A, 81 e 86</t>
  </si>
  <si>
    <t xml:space="preserve">Distribuídora</t>
  </si>
  <si>
    <t xml:space="preserve">ARAGUATINS 1.1</t>
  </si>
  <si>
    <t xml:space="preserve">ARAGUATINS 1.2</t>
  </si>
  <si>
    <t xml:space="preserve">ARAGUATINS 1.3</t>
  </si>
  <si>
    <t xml:space="preserve">Inverter(MBUS-20)</t>
  </si>
  <si>
    <t xml:space="preserve">Relé atuado na função 47A</t>
  </si>
  <si>
    <t xml:space="preserve">Relé atuado na função 27AB, 47A, 86Q, 67C</t>
  </si>
  <si>
    <t xml:space="preserve">ARAGUATINS 2.2</t>
  </si>
  <si>
    <t xml:space="preserve">Relé atuado na função 81 e 86</t>
  </si>
  <si>
    <t xml:space="preserve">ARAGUATINS 2.3</t>
  </si>
  <si>
    <t xml:space="preserve">Os inversores foram desligados para a limpeza dos coolers e dos próprios inversores</t>
  </si>
  <si>
    <t xml:space="preserve">BC Camarao1.3</t>
  </si>
  <si>
    <t xml:space="preserve">215KTL-H3(MBUS-16)</t>
  </si>
  <si>
    <t xml:space="preserve">Inversores off-line na plataforma</t>
  </si>
  <si>
    <t xml:space="preserve">Foi feito inspeções nos componentes relacionados a geração, e foi constatado que houve somente falha de comunicação</t>
  </si>
  <si>
    <t xml:space="preserve">215KTL-H3(MBUS-14)</t>
  </si>
  <si>
    <t xml:space="preserve">215KTL-H3(MBUS-15)</t>
  </si>
  <si>
    <t xml:space="preserve">215KTL-H3(MBUS-12)</t>
  </si>
  <si>
    <t xml:space="preserve">215KTL-H3(MBUS-13)</t>
  </si>
  <si>
    <t xml:space="preserve">Foi realizado os seguintes serviços: Inspeção no componentes de conexão; Torquiamento em todos os parafusos de conexão; Limpeza da cabine de média tensão.
Após procedimentos a UFV foi ligada e segue operando normalmente.</t>
  </si>
  <si>
    <t xml:space="preserve">Foi feito inspeção em todo complexo, checado nível de tensão e realizado a manobra de normalização da geração.</t>
  </si>
  <si>
    <t xml:space="preserve">Função 67B atuada no relé.</t>
  </si>
  <si>
    <t xml:space="preserve">Algumas cameras da usina estavam desligadas</t>
  </si>
  <si>
    <t xml:space="preserve">Foi realizado a configuração das antenas e postes e realinhamento</t>
  </si>
  <si>
    <t xml:space="preserve">Falta de energia da concessionária, sem alarme no relé.</t>
  </si>
  <si>
    <t xml:space="preserve">Durante a verificação foi constatado que houve um desequilíbrio de tensão por parte da concessionária. Falha 47</t>
  </si>
  <si>
    <t xml:space="preserve">Inversor 83 apresentando falha de rede</t>
  </si>
  <si>
    <t xml:space="preserve">Identificado queda de rede - Falha 10. Foi feito a inspeção no inversor, e no QGBT, o mesmo foi religado e voltou a operar normalmente.</t>
  </si>
  <si>
    <t xml:space="preserve">Função 67A atuada no relé.</t>
  </si>
  <si>
    <t xml:space="preserve">Falha no fornecimento de energia da concessionaria. Aberto chamado</t>
  </si>
  <si>
    <t xml:space="preserve">Após várias visitas da equatorial, foi reestabelecido o fornecimento de energia</t>
  </si>
  <si>
    <t xml:space="preserve">Queda da rede da concessionária.</t>
  </si>
  <si>
    <t xml:space="preserve">PRT</t>
  </si>
  <si>
    <t xml:space="preserve">Relé de proteção da UFV 1.1 apresentou falha E59 (Somente a Pextron resolve). Com isso a UFV 1.1 Ficou fora de operação e o relé foi enviado para garantia.</t>
  </si>
  <si>
    <t xml:space="preserve">Realizado a substituição do relé de proteção. UFV religada e operando normalmente.</t>
  </si>
  <si>
    <t xml:space="preserve">Função 59N, 86Q atuada no relé.</t>
  </si>
  <si>
    <t xml:space="preserve">Inversor 1 apresentando Falha 10 - Queda de Rede</t>
  </si>
  <si>
    <t xml:space="preserve">Função 59N, 51N, e 86Q atuada no relé.</t>
  </si>
  <si>
    <t xml:space="preserve">INT</t>
  </si>
  <si>
    <t xml:space="preserve">Conexão c/ Internet</t>
  </si>
  <si>
    <t xml:space="preserve">Realizado reset no modem de internet local. Após a reinicialização, a comunicação foi restabelecida.</t>
  </si>
  <si>
    <t xml:space="preserve">Usina gerando normalmente, falha de sinal de internet.</t>
  </si>
  <si>
    <t xml:space="preserve">Queda de rede da concessionária, sem alarme no relé</t>
  </si>
  <si>
    <t xml:space="preserve">Desligamento programado para análise e ajustes nos relés de proteção.</t>
  </si>
  <si>
    <t xml:space="preserve">Foi realizada análise das falhas dos relés, reapertos e testes. Após isto, foi realizada a manobra para normalização da usina.</t>
  </si>
  <si>
    <t xml:space="preserve">Falha de conexão com o logger.</t>
  </si>
  <si>
    <t xml:space="preserve">Logger resetado</t>
  </si>
  <si>
    <t xml:space="preserve">Usina apresentou o desligamento dos inversores devido à atuação do relé que não apresentou nenhum código de segurança</t>
  </si>
  <si>
    <t xml:space="preserve">Identificado falha no inversor 6</t>
  </si>
  <si>
    <t xml:space="preserve">Após inversor e disjuntor terem sidos religados, inversor apresentou estouro internamente, o mesmor foi substituido e está em pleno funcionamento.</t>
  </si>
  <si>
    <t xml:space="preserve">Disjuntor desarmado, sem alarme no Relé</t>
  </si>
  <si>
    <t xml:space="preserve">Rede</t>
  </si>
  <si>
    <t xml:space="preserve">Função 27C, 50N, 67C, e 86Q atuada no relé.</t>
  </si>
  <si>
    <t xml:space="preserve">Falha de comunicação do Smartlogger</t>
  </si>
  <si>
    <t xml:space="preserve">Feito a configuração necessária para reestabelecimento da conexão no Logger</t>
  </si>
  <si>
    <t xml:space="preserve">Logger reconfigurado.</t>
  </si>
  <si>
    <t xml:space="preserve">Função 27ABC, 67ABC e 86 atuada no relé.</t>
  </si>
  <si>
    <t xml:space="preserve">Queda de rede da concessionária</t>
  </si>
  <si>
    <t xml:space="preserve">Abertos diversos chamados. O time técnico da Cemig foi ao local no mesmo dia, 13/01, às 16h, mas não conseguiu fechar o religador. Disse que retornaria, mas ainda estamos aguardando a visita. Novos chamados estão sendo abertos hoje, 14/01.  16/01 - A equipe de Patos de Minas encontra-se em deslocamento para a usina, a fim de realizar as verificações necessárias. De forma preliminar, foi identificado que a anomalia na rede está localizada antes do religador. Foi realizada a substituição da mufla na saída do religador. Após o procedimento realizado pela concessionária foi realizada a manobra de normalização da usina.</t>
  </si>
  <si>
    <t xml:space="preserve">Função 27 atuada no relé.</t>
  </si>
  <si>
    <t xml:space="preserve">Inversor</t>
  </si>
  <si>
    <t xml:space="preserve">Inversor 14 apresentando falha</t>
  </si>
  <si>
    <t xml:space="preserve">Após realização de testes foi identificado problema em uma das strings, a mesma foi desconectada e inversor esta em operação com uma string a menos</t>
  </si>
  <si>
    <t xml:space="preserve">Identificação de sinistro (furto de cabos cc)</t>
  </si>
  <si>
    <t xml:space="preserve">Furto</t>
  </si>
  <si>
    <t xml:space="preserve">Na data da ocorrência o mantenedor estava em atendimento em Ibiúna. Durante inspeção realizada em 16/01/2026, foi identificada invasão e furto de trechos de cabos CC, ocasionando impacto direto na operação dos inversores da usina. Um inversor encontrava-se operando normalmente, dois estavam operando parcialmente (um com 3 strings fora e outro com 9 strings fora) e um inversor estava 100% indisponível devido ao furto.
Ação: Em razão das condições encontradas e visando segurança operacional, a usina foi totalmente desenergizada. A equipe de manutenção deslocou-se hoje, 19/01, para o local. A recomposição dos cabos tem início previsto para 20/01 e os trabalhos de recuperação já estão em andamento. A normalização total da usina está prevista até 24/01. Foi normalizado em 27/01/2026.</t>
  </si>
  <si>
    <t xml:space="preserve">LIG</t>
  </si>
  <si>
    <t xml:space="preserve">Durante a verificação foi constatado que era uma falta de comunicação, foi feito inspeção e identificado que o conversor de mídia da usina 2.3 estava queimado.</t>
  </si>
  <si>
    <t xml:space="preserve">Foi realizada a substituição do conversor de mídia danificado.</t>
  </si>
  <si>
    <t xml:space="preserve">Falha atuada no relé: 67C e 86Q.</t>
  </si>
  <si>
    <t xml:space="preserve">Falha de sinal de internet.</t>
  </si>
  <si>
    <t xml:space="preserve">Provedora de Internet</t>
  </si>
  <si>
    <t xml:space="preserve">Foi dectado que o roteador estava queimado, o mesmo foi substituido e reestabelecido o sinal com a intenet</t>
  </si>
  <si>
    <t xml:space="preserve">Suite com 04 portas queimadas, foi feito a troca de cabos para portas em perfeito estado, sendo reestabelecido a comunicação</t>
  </si>
  <si>
    <t xml:space="preserve">Função 47B atuada no relé.</t>
  </si>
  <si>
    <t xml:space="preserve">Desligamento Programado para substituição do inversor que estava apresentando falha em campo.</t>
  </si>
  <si>
    <t xml:space="preserve">Substituição do inversor A1809100216 pelo A1809100067.</t>
  </si>
  <si>
    <t xml:space="preserve">Comunicação</t>
  </si>
  <si>
    <t xml:space="preserve">Falha de link no Smartlogger, UFV gerando normalmente, ficou off no supervisório</t>
  </si>
  <si>
    <t xml:space="preserve">Foi realizado a troca do cabo RJ45, após o procedimento a comunicação da UFV foi normalizada</t>
  </si>
  <si>
    <t xml:space="preserve">Relé de proteção atuado com a falha 47- fase B</t>
  </si>
  <si>
    <t xml:space="preserve">Resetado relé de proteção e ligado disjuntor geral, conferência demais relés (1 e 2) e partida na usina.</t>
  </si>
  <si>
    <t xml:space="preserve">Desligamento da UFV, para passagem de fibra do SCADA</t>
  </si>
  <si>
    <t xml:space="preserve">Prestador de Serviço SCADA</t>
  </si>
  <si>
    <t xml:space="preserve">UFV religada, porém ainda sem comunicação nos supervisórios</t>
  </si>
  <si>
    <t xml:space="preserve">Trackes travados, por problemas de comunicação dos gateways da NCU. Chamado com STI: 24377.</t>
  </si>
  <si>
    <t xml:space="preserve">Após tratativas com o fabricante, o tracker voltou a operar.</t>
  </si>
  <si>
    <t xml:space="preserve">Desligamento da UFV, para passagem de fibra do SCADA no logger</t>
  </si>
  <si>
    <t xml:space="preserve">Inversor entrou em modo de proteção por alteração de corrente</t>
  </si>
  <si>
    <t xml:space="preserve">Inversor foi reiniciado </t>
  </si>
  <si>
    <t xml:space="preserve">Relé de proteção atuado com a falha 67B</t>
  </si>
  <si>
    <t xml:space="preserve">Feita inspeção em toda Usina , resetado Relé e rearmado disjuntor.</t>
  </si>
  <si>
    <t xml:space="preserve">Inversor apresentando falha de queda na rede</t>
  </si>
  <si>
    <t xml:space="preserve">Após identificação de sinistro na usina, e identificado que não houve impacto nesse inversor, ele foi desenergizado para realização de verificações na usina.</t>
  </si>
  <si>
    <t xml:space="preserve">Após verificações, o equipamento foi normalizado.</t>
  </si>
  <si>
    <t xml:space="preserve">Após identificação de sinistro na usina, foi constatado que esse inversor estava operando com menos strings, devido ao furto de cabos. Foi desenergizado para manutenção e normalização da geração.</t>
  </si>
  <si>
    <t xml:space="preserve">Após identificação de sinistro na usina, além de strings a menos, apresentou falha interna e está em tratativa de garantia.</t>
  </si>
  <si>
    <t xml:space="preserve">Inverter(MBUS-15) SN ES2380070432: Em tratativa com fabricante, pois ele não aceita nenhum procedimento, nem acesso local. Aparentemente teremos uma substituição em garantia. Mas, conforme avisando antes pela huawei, por conta de pendências relacionadas à emissão de notas fiscais de retorno referentes a outros processos de garantia, as tratativas estão ocorrendo de forma mais demorada que o normal.</t>
  </si>
  <si>
    <t xml:space="preserve">Falha, inversor sem gerar.</t>
  </si>
  <si>
    <t xml:space="preserve">Foi feita a inspeção na string,foi corrigido a falha e adequada novamente no inversor.</t>
  </si>
  <si>
    <t xml:space="preserve">Foi feito uma inspeçao na subestaçao, resetado o relé e rearmado o disjuntor</t>
  </si>
  <si>
    <t xml:space="preserve">Apenas falha de comunicação</t>
  </si>
  <si>
    <t xml:space="preserve">Após reiniciar o roteador, a comunicação foi reestabelecida</t>
  </si>
  <si>
    <t xml:space="preserve">Função 86 atuada no relé.</t>
  </si>
  <si>
    <t xml:space="preserve">Inversor apresentando alarme de baixa impedância</t>
  </si>
  <si>
    <t xml:space="preserve">Foi realizado testes em todos componentes e detectado uma string com falha, após ser retirada a falha foi religado o inversor e o mesmo segue operando normalmente.</t>
  </si>
  <si>
    <t xml:space="preserve">Função 86Q e 67C atuada no relé.</t>
  </si>
  <si>
    <t xml:space="preserve">Foi realizada a inspeção de todo o complexo e, aproveitando a falta de energia na UFV, foi corrigida a posição do sensor PT100 da UFV 1.3, que não estava instalado no local correto. Em razão disso, os ventiladores estavam operando de forma ininterrupta, mesmo com a temperatura baixa. Após a realocação do PT100 para o local adequado, foi realizado o reset do relé, o rearme dos disjuntores e, assim, o sistema de refrigeração da UFV 1.3 foi normalizado.</t>
  </si>
  <si>
    <t xml:space="preserve">INVERSORES VINCULADOS AO DATA LOGGER B2142330373 COM ALARME DE QUEDA DE REDE / INVERSORES VINCULADOS AO DATA LOGGER B2142330370 PARCIALMENTE OFF-LINE COM ALARME DE QUEDA DE REDE</t>
  </si>
  <si>
    <t xml:space="preserve">Resetado sistema de comunicação, e a usina foi normalizada</t>
  </si>
  <si>
    <t xml:space="preserve">Inversor off-line na plataforma </t>
  </si>
  <si>
    <t xml:space="preserve">Foi realizado inspeção no inversor e QGBT, ao certificar que estava tudo normal, o inversor foi reiniciado.</t>
  </si>
  <si>
    <t xml:space="preserve">Falha de comunicação com os inversores</t>
  </si>
  <si>
    <t xml:space="preserve">Comunicação se normalizou sem nenhuma interferência humana</t>
  </si>
  <si>
    <t xml:space="preserve">Foi realizado uma inspeção no inversor e no logger, Inversor está funcionando normalmente. Internet está oscilando bastante.</t>
  </si>
  <si>
    <t xml:space="preserve">Desligamento programado para execução de MP e adequação do QGBT</t>
  </si>
  <si>
    <t xml:space="preserve">Foi realizado manutenções nos inversores e QGBT. Após a ação, a usina voltou à operação normal.</t>
  </si>
  <si>
    <t xml:space="preserve">Durante a verificação foi constatado que não está chegando nenhuma fase na UFV</t>
  </si>
  <si>
    <t xml:space="preserve">Foram abertos 03 chamados na concessionária de energia e mantenedor segue acompanhando. 468276028, 468276138, 468276223</t>
  </si>
  <si>
    <t xml:space="preserve">BC Corumba2.3</t>
  </si>
  <si>
    <t xml:space="preserve">U03.I03</t>
  </si>
  <si>
    <t xml:space="preserve">Foi feito inspeção nos inversores e religado o disjuntor geral</t>
  </si>
  <si>
    <t xml:space="preserve">Falha de comunicação </t>
  </si>
  <si>
    <t xml:space="preserve">Comunicação reestabeleceu sozinha</t>
  </si>
  <si>
    <t xml:space="preserve">Foi feito a inspeção na subestaçao, resetado o relé e rearmado o disjuntor </t>
  </si>
  <si>
    <t xml:space="preserve">BC Aracu1</t>
  </si>
  <si>
    <t xml:space="preserve">Inverter71</t>
  </si>
  <si>
    <t xml:space="preserve">Inverter72</t>
  </si>
  <si>
    <t xml:space="preserve">Inverter73</t>
  </si>
  <si>
    <t xml:space="preserve">Inverter74</t>
  </si>
  <si>
    <t xml:space="preserve">Inverter75</t>
  </si>
  <si>
    <t xml:space="preserve">Inverter76</t>
  </si>
  <si>
    <t xml:space="preserve">Inverter77</t>
  </si>
  <si>
    <t xml:space="preserve">BC Aracu2</t>
  </si>
  <si>
    <t xml:space="preserve">araçu 2.1 inversor 1</t>
  </si>
  <si>
    <t xml:space="preserve">araçu 2.1 inversor 2</t>
  </si>
  <si>
    <t xml:space="preserve">araçu 2.1 inversor 3</t>
  </si>
  <si>
    <t xml:space="preserve">araçu 2.2 inversor 1</t>
  </si>
  <si>
    <t xml:space="preserve">araçu 2.2 inversor 2</t>
  </si>
  <si>
    <t xml:space="preserve">araçu 2.2 inversor 3</t>
  </si>
  <si>
    <t xml:space="preserve">Inverter83</t>
  </si>
  <si>
    <t xml:space="preserve">araçu 2.3 inversor 5</t>
  </si>
  <si>
    <t xml:space="preserve">araçu 2.3 inversor 1</t>
  </si>
  <si>
    <t xml:space="preserve">araçu 2.3 inversor 2</t>
  </si>
  <si>
    <t xml:space="preserve">araçu 2.3 inversor 4</t>
  </si>
  <si>
    <t xml:space="preserve">araçu 2.3 inversor 3</t>
  </si>
  <si>
    <t xml:space="preserve">araçu 2.4 inversor 3</t>
  </si>
  <si>
    <t xml:space="preserve">araçu 2.4 inversor 1</t>
  </si>
  <si>
    <t xml:space="preserve">araçu 2.4 inversor 6</t>
  </si>
  <si>
    <t xml:space="preserve">araçu 2.4 inversor 4</t>
  </si>
  <si>
    <t xml:space="preserve">araçu 2.4 inversor 2</t>
  </si>
  <si>
    <t xml:space="preserve">araçu 2.4 inversor 5</t>
  </si>
  <si>
    <t xml:space="preserve">BC Aracu3</t>
  </si>
  <si>
    <t xml:space="preserve">Inverter4</t>
  </si>
  <si>
    <t xml:space="preserve">Inverter3</t>
  </si>
  <si>
    <t xml:space="preserve">Inverter1</t>
  </si>
  <si>
    <t xml:space="preserve">Inverter2</t>
  </si>
  <si>
    <t xml:space="preserve">BC Vazante2.3</t>
  </si>
  <si>
    <t xml:space="preserve">Inverter(MBUS-11)</t>
  </si>
  <si>
    <t xml:space="preserve">Falha de comunicação, conversor de mídia queimado.</t>
  </si>
  <si>
    <t xml:space="preserve">Usina gerando normalmente, porém ao realizar a inspeção foi identificado que o conversor de mídea estava danificado. Foi realizado o pedido, aguardando a aquisição para substituição</t>
  </si>
  <si>
    <t xml:space="preserve">Falta de energia na UFV Araguatins. Relé atuando na Função 67ABC e 86B.</t>
  </si>
  <si>
    <t xml:space="preserve">Inspecionado todo complexo, não havia nenhuma anomalia foi realizado reset em os relé e rearmado os disjuntores </t>
  </si>
  <si>
    <t xml:space="preserve">BC Caiaponia1</t>
  </si>
  <si>
    <t xml:space="preserve">SG60KTL(COM1-001)_001_007</t>
  </si>
  <si>
    <t xml:space="preserve">Foi feito reset nos relés e fechado disjuntores</t>
  </si>
  <si>
    <t xml:space="preserve">SG60KTL(COM1-002)_001_010</t>
  </si>
  <si>
    <t xml:space="preserve">SG60KTL(COM1-003)_001_011</t>
  </si>
  <si>
    <t xml:space="preserve">SG60KTL(COM1-004)_001_014</t>
  </si>
  <si>
    <t xml:space="preserve">SG60KTL(COM1-005)_001_017</t>
  </si>
  <si>
    <t xml:space="preserve">SG60KTL(COM1-006)_001_016</t>
  </si>
  <si>
    <t xml:space="preserve">SG60KTL(COM1-007)_001_013</t>
  </si>
  <si>
    <t xml:space="preserve">SG60KTL(COM1-008)_001_001</t>
  </si>
  <si>
    <t xml:space="preserve">SG60KTL(COM1-009)</t>
  </si>
  <si>
    <t xml:space="preserve">SG60KTL(COM1-010)</t>
  </si>
  <si>
    <t xml:space="preserve">SG60KTL(COM1-011)</t>
  </si>
  <si>
    <t xml:space="preserve">SG60KTL(COM1-012)</t>
  </si>
  <si>
    <t xml:space="preserve">SG60KTL(COM1-013)</t>
  </si>
  <si>
    <t xml:space="preserve">SG60KTL(COM1-014)</t>
  </si>
  <si>
    <t xml:space="preserve">SG60KTL(COM1-015)</t>
  </si>
  <si>
    <t xml:space="preserve">SG60KTL(COM3-016)_001_009</t>
  </si>
  <si>
    <t xml:space="preserve">SG60KTL(COM3-017)_001_012</t>
  </si>
  <si>
    <t xml:space="preserve">SG60KTL(COM3-018)_001_008</t>
  </si>
  <si>
    <t xml:space="preserve">SG60KTL(COM3-019)_001_019</t>
  </si>
  <si>
    <t xml:space="preserve">SG60KTL(COM3-020)_001_020</t>
  </si>
  <si>
    <t xml:space="preserve">SG60KTL(COM2-026)</t>
  </si>
  <si>
    <t xml:space="preserve">SG60KTL(COM2-027)</t>
  </si>
  <si>
    <t xml:space="preserve">SG60KTL(COM2-028)</t>
  </si>
  <si>
    <t xml:space="preserve">SG60KTL(COM2-029)</t>
  </si>
  <si>
    <t xml:space="preserve">SG50CX(COM1-021)</t>
  </si>
  <si>
    <t xml:space="preserve">SG50CX(COM1-022)</t>
  </si>
  <si>
    <t xml:space="preserve">SG50CX(COM1-023)</t>
  </si>
  <si>
    <t xml:space="preserve">SG50CX(COM1-024)</t>
  </si>
  <si>
    <t xml:space="preserve">SG50CX(COM1-025)</t>
  </si>
  <si>
    <t xml:space="preserve">Foi feito uma inspeçao na subestaçao, resetado o relé e rearmado o disjuntor </t>
  </si>
  <si>
    <t xml:space="preserve">Função 27ABC atuada no relé.</t>
  </si>
  <si>
    <t xml:space="preserve">BC Ibiuna 1.1</t>
  </si>
  <si>
    <t xml:space="preserve">Função 86B atuada no relé.</t>
  </si>
  <si>
    <t xml:space="preserve">BC Ibiuna 1.2</t>
  </si>
  <si>
    <t xml:space="preserve">BC Caiaponia2.1</t>
  </si>
  <si>
    <t xml:space="preserve">BC Caiaponia2.2</t>
  </si>
  <si>
    <t xml:space="preserve">BC Caiaponia2.3</t>
  </si>
  <si>
    <t xml:space="preserve">BC Rio Monte1</t>
  </si>
  <si>
    <t xml:space="preserve">Inverter35</t>
  </si>
  <si>
    <t xml:space="preserve">Foi feito inspeção em campo e fechado religador</t>
  </si>
  <si>
    <t xml:space="preserve">Inverter40</t>
  </si>
  <si>
    <t xml:space="preserve">Inverter42</t>
  </si>
  <si>
    <t xml:space="preserve">Inverter41</t>
  </si>
  <si>
    <t xml:space="preserve">Inverter44</t>
  </si>
  <si>
    <t xml:space="preserve">Inverter43</t>
  </si>
  <si>
    <t xml:space="preserve">Inverter45</t>
  </si>
  <si>
    <t xml:space="preserve">Inverter34</t>
  </si>
  <si>
    <t xml:space="preserve">Inverter37</t>
  </si>
  <si>
    <t xml:space="preserve">Inverter33</t>
  </si>
  <si>
    <t xml:space="preserve">Inverter29</t>
  </si>
  <si>
    <t xml:space="preserve">Inverter36</t>
  </si>
  <si>
    <t xml:space="preserve">Inverter39</t>
  </si>
  <si>
    <t xml:space="preserve">Inverter31</t>
  </si>
  <si>
    <t xml:space="preserve">Inverter30</t>
  </si>
  <si>
    <t xml:space="preserve">Inverter38</t>
  </si>
  <si>
    <t xml:space="preserve">Inverter32</t>
  </si>
  <si>
    <t xml:space="preserve">Falha de comunicação</t>
  </si>
  <si>
    <t xml:space="preserve">Reiniciado smart logger e a comunicação retornou</t>
  </si>
  <si>
    <t xml:space="preserve">Relé de proteção atuou na função 27 B</t>
  </si>
  <si>
    <t xml:space="preserve">Foi feita uma inspeção visual, logo após foi feito o reset do relé e reamado o disjuntor </t>
  </si>
  <si>
    <t xml:space="preserve">U03.I01</t>
  </si>
  <si>
    <t xml:space="preserve">Fonte do conversor de mídea queimada</t>
  </si>
  <si>
    <t xml:space="preserve">Durante a verificação foi constatado que a UFV estava gerando, apenas a fonte do conversor de mídea estava queimada, realizei a substituição</t>
  </si>
  <si>
    <t xml:space="preserve">U03.I02</t>
  </si>
  <si>
    <t xml:space="preserve">Inverter13</t>
  </si>
  <si>
    <t xml:space="preserve">Trip no disjuntor.</t>
  </si>
  <si>
    <t xml:space="preserve">Foi trocado o disjuntor do inversor 13 com o inversor 12, para avaliação se o problema do inversor 13 era disjuntor. Após isto, usina foi normalizada.</t>
  </si>
  <si>
    <t xml:space="preserve">Desligamento programado CPFL, para manutenção na Rede</t>
  </si>
  <si>
    <t xml:space="preserve">Manutenção geral na região. Troca do transformador. Apos a manutenção da concessionaria foi rearmado o complexo</t>
  </si>
  <si>
    <t xml:space="preserve">Resetado o sistema de comunicação</t>
  </si>
  <si>
    <t xml:space="preserve">BC Vazante2.2</t>
  </si>
  <si>
    <t xml:space="preserve">Inversor 6T2499045588 apresentou falha 2033 - subtensão da rede elétrica. Apesar dos inversores vizinhos estarem operando normalmente.</t>
  </si>
  <si>
    <t xml:space="preserve">Foi realizado verificação das strings e fusíveis. Não foram identificados problemas físicos. Foi realizado o acionamento do fabricante - e estão sendo realizados os de testes solicitados.</t>
  </si>
  <si>
    <t xml:space="preserve">Trip no disjuntor</t>
  </si>
  <si>
    <t xml:space="preserve">Foi realizada uma inspeção e não identificado anomalias. O disjuntor foi rearmado e a geração no inversor normalizada. Como o disjuntor havia sido trocado com o disjuntor BT do inversor 13, constatou-se a necessidade de substituição dele. O disjuntor será adquirido e será programada a substituição.</t>
  </si>
  <si>
    <t xml:space="preserve">Relé de proteção atuou na função 27 ABC</t>
  </si>
  <si>
    <t xml:space="preserve">Relé atuado por 47e 86 na fase AB </t>
  </si>
  <si>
    <t xml:space="preserve">Erro de conexão no Smartlogger</t>
  </si>
  <si>
    <t xml:space="preserve">BC Formoso2.2</t>
  </si>
  <si>
    <t xml:space="preserve">Falta de energia na UFV Araguatins 01 disjuntor desarmado, sem alarme no relé </t>
  </si>
  <si>
    <t xml:space="preserve">Queda de rede da concessionária, Falha 27ABC no relé</t>
  </si>
  <si>
    <t xml:space="preserve">Auto-restart.</t>
  </si>
  <si>
    <t xml:space="preserve">BC Varjao2.1</t>
  </si>
  <si>
    <t xml:space="preserve">215KTL-H0(MBUS-12)</t>
  </si>
  <si>
    <t xml:space="preserve">Realizada a abertura de chamados com a CEMIG. Foi feito inspeção em todo complexo, checado nível de tensão e realizado a manobra de normalização da geração.</t>
  </si>
  <si>
    <t xml:space="preserve">215KTL-H0(MBUS-13)</t>
  </si>
  <si>
    <t xml:space="preserve">215KTL-H0(MBUS-15)</t>
  </si>
  <si>
    <t xml:space="preserve">215KTL-H0(MBUS-16)</t>
  </si>
  <si>
    <t xml:space="preserve">BC Varjao2.2</t>
  </si>
  <si>
    <t xml:space="preserve">BC Varjao2.3</t>
  </si>
  <si>
    <t xml:space="preserve">100KTL-H1(MBUS-1)</t>
  </si>
  <si>
    <t xml:space="preserve">Inversor 12, trip do disjuntor.</t>
  </si>
  <si>
    <t xml:space="preserve">Função 47 atuada no relé.</t>
  </si>
  <si>
    <t xml:space="preserve">Falha atuada no relé: 50N e 86Q.</t>
  </si>
  <si>
    <t xml:space="preserve">Baixa impedância de isolamento.</t>
  </si>
  <si>
    <t xml:space="preserve">Foi feito inspeção, nos componentes relacionados ao inversor. Houve uma falha mas o inversor voltou à operação normal, por si só.</t>
  </si>
  <si>
    <t xml:space="preserve">Disjuntor geral desarmado, sem alarme no Relé</t>
  </si>
  <si>
    <t xml:space="preserve">Função 86 nas três fases atuada no relé.</t>
  </si>
  <si>
    <t xml:space="preserve">Função 86 fase B atuada no relé.</t>
  </si>
  <si>
    <t xml:space="preserve">BC Rio Bonito2</t>
  </si>
  <si>
    <t xml:space="preserve">INV-001</t>
  </si>
  <si>
    <t xml:space="preserve">Configuração do sistema de comunicação</t>
  </si>
  <si>
    <t xml:space="preserve">Configurado sistema de comunicação</t>
  </si>
  <si>
    <t xml:space="preserve">INV-002</t>
  </si>
  <si>
    <t xml:space="preserve">INV-003</t>
  </si>
  <si>
    <t xml:space="preserve">INV-004</t>
  </si>
  <si>
    <t xml:space="preserve">BC Rio Bonito1</t>
  </si>
  <si>
    <t xml:space="preserve">SG36KTL-M-17_001_017</t>
  </si>
  <si>
    <t xml:space="preserve">Queda da rede da concessionária, religador aberto.</t>
  </si>
  <si>
    <t xml:space="preserve">SG60KTL-10_001_010</t>
  </si>
  <si>
    <t xml:space="preserve">SG60KTL-11_001_011</t>
  </si>
  <si>
    <t xml:space="preserve">SG60KTL-12_001_012</t>
  </si>
  <si>
    <t xml:space="preserve">SG60KTL-13_001_013</t>
  </si>
  <si>
    <t xml:space="preserve">SG60KTL-14_001_014</t>
  </si>
  <si>
    <t xml:space="preserve">SG60KTL-15_001_015</t>
  </si>
  <si>
    <t xml:space="preserve">SG60KTL-16_001_016</t>
  </si>
  <si>
    <t xml:space="preserve">SG60KTL-1_001_001</t>
  </si>
  <si>
    <t xml:space="preserve">SG60KTL-2_001_002</t>
  </si>
  <si>
    <t xml:space="preserve">SG60KTL-3_001_003</t>
  </si>
  <si>
    <t xml:space="preserve">SG60KTL-4_001_004</t>
  </si>
  <si>
    <t xml:space="preserve">SG60KTL-5_001_005</t>
  </si>
  <si>
    <t xml:space="preserve">SG60KTL-6_001_006</t>
  </si>
  <si>
    <t xml:space="preserve">SG60KTL-7_001_007</t>
  </si>
  <si>
    <t xml:space="preserve">SG60KTL-8_001_008</t>
  </si>
  <si>
    <t xml:space="preserve">SG60KTL-9_001_009</t>
  </si>
  <si>
    <t xml:space="preserve">Queda da rede da concessionária, disjuntor geral aberto.</t>
  </si>
  <si>
    <t xml:space="preserve">Inversor 12 com falha, alarme (equipamento anormal).</t>
  </si>
  <si>
    <t xml:space="preserve">Foi aberto chamado com fabricante e o caso foi tratado como garantia. Após aceite de garantia por parte do fabricante, o inversor foi substituído por um sobressalente. A huawei irá enviar um inversor novo para reposição em garantia, que irá para o estoque.</t>
  </si>
  <si>
    <t xml:space="preserve">BC BomSucesso</t>
  </si>
  <si>
    <t xml:space="preserve">Foi identificada falha de comunicação que afetou simultaneamente os inversores e o sistema de CFTV da usina.</t>
  </si>
  <si>
    <t xml:space="preserve">ABB_01</t>
  </si>
  <si>
    <t xml:space="preserve">ABB_02</t>
  </si>
  <si>
    <t xml:space="preserve">ABB_03</t>
  </si>
  <si>
    <t xml:space="preserve">ABB_04</t>
  </si>
  <si>
    <t xml:space="preserve">ABB_05</t>
  </si>
  <si>
    <t xml:space="preserve">ABB_06</t>
  </si>
  <si>
    <t xml:space="preserve">ABB_07</t>
  </si>
  <si>
    <t xml:space="preserve">ABB_08</t>
  </si>
  <si>
    <t xml:space="preserve">ABB_09</t>
  </si>
  <si>
    <t xml:space="preserve">ABB_10</t>
  </si>
  <si>
    <t xml:space="preserve">ABB_11</t>
  </si>
  <si>
    <t xml:space="preserve">BC Camarao1.1</t>
  </si>
  <si>
    <t xml:space="preserve">Durante a verificação foi constatado que houve um desequilíbrio de tensão por parte da concessionária.</t>
  </si>
  <si>
    <t xml:space="preserve">Após retorno da rede, foi realizado programa de manobra para normalização da geração.</t>
  </si>
  <si>
    <t xml:space="preserve">BC Camarao1.2</t>
  </si>
  <si>
    <t xml:space="preserve">Inv. 4</t>
  </si>
  <si>
    <t xml:space="preserve">Inverter(MBUS-16)</t>
  </si>
  <si>
    <t xml:space="preserve">Inv. 3</t>
  </si>
  <si>
    <t xml:space="preserve">BC Camarao1.4</t>
  </si>
  <si>
    <t xml:space="preserve">inv. 1</t>
  </si>
  <si>
    <t xml:space="preserve">BC Camarao1.5</t>
  </si>
  <si>
    <t xml:space="preserve">Falha 47 atuada no relé de proteção.</t>
  </si>
  <si>
    <t xml:space="preserve">Realizado reset do relé e rearme do disjuntor.</t>
  </si>
  <si>
    <t xml:space="preserve">BC Formoso1.1</t>
  </si>
  <si>
    <t xml:space="preserve">BC Formoso1.2</t>
  </si>
  <si>
    <t xml:space="preserve">BC Formoso1.3</t>
  </si>
  <si>
    <t xml:space="preserve">Falta de tensão da rede da concessionária. Relá atuado em 27ABC.</t>
  </si>
  <si>
    <t xml:space="preserve">BC Vazante1.1</t>
  </si>
  <si>
    <t xml:space="preserve">Inverter01</t>
  </si>
  <si>
    <t xml:space="preserve">TRF</t>
  </si>
  <si>
    <t xml:space="preserve">Comissionamento e testes nos componentes de medição e geração do complexo.</t>
  </si>
  <si>
    <t xml:space="preserve">Realização de comissionamento dos transformadores de média tensão, Inspeção e testes dos barramentos.</t>
  </si>
  <si>
    <t xml:space="preserve">Inverter02</t>
  </si>
  <si>
    <t xml:space="preserve">Inverter03</t>
  </si>
  <si>
    <t xml:space="preserve">Inverter04</t>
  </si>
  <si>
    <t xml:space="preserve">Inverter05</t>
  </si>
  <si>
    <t xml:space="preserve">Inverter06</t>
  </si>
  <si>
    <t xml:space="preserve">Inverter07</t>
  </si>
  <si>
    <t xml:space="preserve">Inverter08</t>
  </si>
  <si>
    <t xml:space="preserve">Inverter09</t>
  </si>
  <si>
    <t xml:space="preserve">Inverter10</t>
  </si>
  <si>
    <t xml:space="preserve">Inverter11</t>
  </si>
  <si>
    <t xml:space="preserve">Inverter14</t>
  </si>
  <si>
    <t xml:space="preserve">Inverter15</t>
  </si>
  <si>
    <t xml:space="preserve">Inverter16</t>
  </si>
  <si>
    <t xml:space="preserve">Inverter17</t>
  </si>
  <si>
    <t xml:space="preserve">BC Vazante2.1</t>
  </si>
  <si>
    <t xml:space="preserve">Execução do comissionamento do sistema Tok-Pass e instalação de DPS no QGBT.</t>
  </si>
  <si>
    <t xml:space="preserve">Foi realizada a adequação do QGBT para a instalação dos dispositivos de proteção contra surtos (DPS).</t>
  </si>
  <si>
    <t xml:space="preserve">Inverter(MBUS-2)</t>
  </si>
  <si>
    <t xml:space="preserve">Inverter(MBUS-4)</t>
  </si>
  <si>
    <t xml:space="preserve">Inverter(MBUS-5)</t>
  </si>
  <si>
    <t xml:space="preserve">BC Clareira1.1</t>
  </si>
  <si>
    <t xml:space="preserve">Desligamento programado da usina para realização de inspeção nos cubículos de média tensão.</t>
  </si>
  <si>
    <t xml:space="preserve">Realizado a substituição do relé e rearme do disjuntor, UFV em operação.</t>
  </si>
  <si>
    <t xml:space="preserve">	Inverter(MBUS-14)</t>
  </si>
  <si>
    <t xml:space="preserve">	Inverter(MBUS-15)</t>
  </si>
  <si>
    <t xml:space="preserve">BC Clareira1.2</t>
  </si>
  <si>
    <t xml:space="preserve">	215KTL-H3(MBUS-12)</t>
  </si>
  <si>
    <t xml:space="preserve">	215KTL-H3(MBUS-13)</t>
  </si>
  <si>
    <t xml:space="preserve">100KTL-H1(MBUS-14)</t>
  </si>
  <si>
    <t xml:space="preserve">Queda de rede, da concessionária.</t>
  </si>
  <si>
    <t xml:space="preserve">Foi feito inspeção em todo complexo, checado nível de tensão e resetado relé e fechado o religador.</t>
  </si>
  <si>
    <t xml:space="preserve">Inverter47</t>
  </si>
  <si>
    <t xml:space="preserve">BC Lencois Paulista</t>
  </si>
  <si>
    <t xml:space="preserve">Relé de proteção  atuado com função 59N 27BC.</t>
  </si>
  <si>
    <t xml:space="preserve">BC Vazante1.3</t>
  </si>
  <si>
    <t xml:space="preserve">Inversor 1</t>
  </si>
  <si>
    <t xml:space="preserve">Inversor 2</t>
  </si>
  <si>
    <t xml:space="preserve">Inversor 3</t>
  </si>
  <si>
    <t xml:space="preserve">Inversor 4</t>
  </si>
  <si>
    <t xml:space="preserve">Inversor 5</t>
  </si>
  <si>
    <t xml:space="preserve">Inversor 6</t>
  </si>
  <si>
    <t xml:space="preserve">Inversor 7</t>
  </si>
  <si>
    <t xml:space="preserve">Inversor 8</t>
  </si>
  <si>
    <t xml:space="preserve">Inversor 9</t>
  </si>
  <si>
    <t xml:space="preserve">Desarme da usina, sem atuação no relé de proteção.</t>
  </si>
  <si>
    <t xml:space="preserve">A usina apresentou desligamento dos inversores após a atuação do relé, porém não houve registro de código de falha ou alarme associado.</t>
  </si>
  <si>
    <t xml:space="preserve">Inverter(MBUS-6)</t>
  </si>
  <si>
    <t xml:space="preserve">Inverter(MBUS-7)</t>
  </si>
  <si>
    <t xml:space="preserve">Inverter(MBUS-8)</t>
  </si>
  <si>
    <t xml:space="preserve">Inverter(MBUS-10)</t>
  </si>
  <si>
    <t xml:space="preserve">Inversor apresentando falha ao sincronizar</t>
  </si>
  <si>
    <t xml:space="preserve">Foi feito comando reset no inversor</t>
  </si>
  <si>
    <t xml:space="preserve">BC Corumba1.1</t>
  </si>
  <si>
    <t xml:space="preserve">U01.I02</t>
  </si>
  <si>
    <t xml:space="preserve">Foi feito inspeção em todo complexo,  incluindo conexões nos inversores, transformadores e cubículos, checado nível de tensão e resetado relé e rearmado disjuntor.</t>
  </si>
  <si>
    <t xml:space="preserve">U01.I03</t>
  </si>
  <si>
    <t xml:space="preserve">U01.I04</t>
  </si>
  <si>
    <t xml:space="preserve">U01.I05</t>
  </si>
  <si>
    <t xml:space="preserve">BC Corumba1.2</t>
  </si>
  <si>
    <t xml:space="preserve">BC Corumba1.3</t>
  </si>
  <si>
    <t xml:space="preserve">BC Corumba2.1</t>
  </si>
  <si>
    <t xml:space="preserve">U01. I01</t>
  </si>
  <si>
    <t xml:space="preserve">U01. I02</t>
  </si>
  <si>
    <t xml:space="preserve">BC Varjao1.1</t>
  </si>
  <si>
    <t xml:space="preserve">UFV 1 - INV 1</t>
  </si>
  <si>
    <t xml:space="preserve">Foi realizada a adequação do QGBT para a instalação dos dispositivos de proteção contra surtos (DPS) e instalação da chave NH.</t>
  </si>
  <si>
    <t xml:space="preserve">UFV 1 - INV 5</t>
  </si>
  <si>
    <t xml:space="preserve">UFV 1 - INV 4</t>
  </si>
  <si>
    <t xml:space="preserve">UFV 1 - INV 3</t>
  </si>
  <si>
    <t xml:space="preserve">UFV 1 - INV 2</t>
  </si>
  <si>
    <t xml:space="preserve">Ruído anormal identificado no cubículo geral, indicando possível fuga de corrente.</t>
  </si>
  <si>
    <t xml:space="preserve">UFV desenergizada para inspeção. Realizado procedimento completo de secagem e reforço das vedações.</t>
  </si>
  <si>
    <t xml:space="preserve">BC Varjao1.2</t>
  </si>
  <si>
    <t xml:space="preserve">100KTL-H1(MBUS-13)</t>
  </si>
  <si>
    <t xml:space="preserve">UF3Inv2</t>
  </si>
  <si>
    <t xml:space="preserve">Oscilação da rede da concessionária</t>
  </si>
  <si>
    <t xml:space="preserve">Realização de teste operacional para verificação dos procedimentos de desligamento e religamento</t>
  </si>
  <si>
    <t xml:space="preserve">Identif. O&amp;M</t>
  </si>
  <si>
    <t xml:space="preserve">Foi realizado treinamento do mantenedor e acompanhamento das etapas de procedimento de manobra </t>
  </si>
  <si>
    <t xml:space="preserve">Durante a verificação foi constatado que era uma falta de comunicação, foi feito inspeção e identificado que o conversor de mídia estava queimado.</t>
  </si>
  <si>
    <t xml:space="preserve">Abertura do religador após oscilação da rede.</t>
  </si>
  <si>
    <t xml:space="preserve">Falha rede</t>
  </si>
  <si>
    <t xml:space="preserve">Durante a verificação foi constatado que era uma falta de comunicação, foi feito inspeção e identificado que a fonte de alimentação do conversor de mídia estava queimada.</t>
  </si>
  <si>
    <t xml:space="preserve">Foi realizada a substituição da fonte do conversor de mídia danificado.</t>
  </si>
  <si>
    <t xml:space="preserve">Foi feito inspeção em todo complexo, checado nível de tensão e resetado relé e rearmado disjuntor.</t>
  </si>
  <si>
    <t xml:space="preserve">Foi reiniciado o roteador.</t>
  </si>
  <si>
    <t xml:space="preserve">Araçu IV</t>
  </si>
  <si>
    <t xml:space="preserve">Falta de tensão da rede da concessionária. Relé atuado em 27C e 86.</t>
  </si>
  <si>
    <t xml:space="preserve">Logger resetado.</t>
  </si>
  <si>
    <t xml:space="preserve">BC Rio Monte 3</t>
  </si>
  <si>
    <t xml:space="preserve">Falta de tensão da rede da concessionária. Relé atuado em 27ABC.</t>
  </si>
  <si>
    <t xml:space="preserve">BC Turvania1.1</t>
  </si>
  <si>
    <t xml:space="preserve">CORUMBÁ I - UFV 1</t>
  </si>
  <si>
    <t xml:space="preserve">U01.I01</t>
  </si>
  <si>
    <t xml:space="preserve">CORUMBÁ I - UFV 2</t>
  </si>
  <si>
    <t xml:space="preserve">CORUMBÁ I - UFV 3</t>
  </si>
  <si>
    <t xml:space="preserve">CORUMBÁ II - UFV 1</t>
  </si>
  <si>
    <t xml:space="preserve">CORUMBÁ II - UFV 2</t>
  </si>
  <si>
    <t xml:space="preserve">CORUMBÁ II - UFV 3</t>
  </si>
  <si>
    <t xml:space="preserve">Rio Monte I</t>
  </si>
  <si>
    <t xml:space="preserve">SG75CX(COM2-001)_001_018</t>
  </si>
  <si>
    <t xml:space="preserve">Rio Monte II</t>
  </si>
  <si>
    <t xml:space="preserve">SG40CX(COM2-007)_001_017</t>
  </si>
  <si>
    <t xml:space="preserve">SG60KTL(COM1-002)_001_005</t>
  </si>
  <si>
    <t xml:space="preserve">SG60KTL(COM1-003)_001__011</t>
  </si>
  <si>
    <t xml:space="preserve">SG60KTL(COM1-004)_001_007</t>
  </si>
  <si>
    <t xml:space="preserve">SG60KTL(COM1-005)_001_009</t>
  </si>
  <si>
    <t xml:space="preserve">SG60KTL(COM1-006)_001_006</t>
  </si>
  <si>
    <t xml:space="preserve">Caiaponia I</t>
  </si>
  <si>
    <t xml:space="preserve">Caiaponia II</t>
  </si>
  <si>
    <t xml:space="preserve">Rio Monte III</t>
  </si>
  <si>
    <t xml:space="preserve">SG60KTL(COM1-008)_001_016</t>
  </si>
  <si>
    <t xml:space="preserve">SG60KTL(COM1-009)_001_010</t>
  </si>
  <si>
    <t xml:space="preserve">SG60KTL(COM1-010)_001_012</t>
  </si>
  <si>
    <t xml:space="preserve">SG60KTL(COM1-011)_001_002</t>
  </si>
  <si>
    <t xml:space="preserve">SG60KTL(COM1-012)_001_015</t>
  </si>
  <si>
    <t xml:space="preserve">SG60KTL(COM1-013)_001_003</t>
  </si>
  <si>
    <t xml:space="preserve">SG60KTL(COM1-014)_001_004</t>
  </si>
  <si>
    <t xml:space="preserve">SG60KTL(COM1-015)_001_013</t>
  </si>
  <si>
    <t xml:space="preserve">SG60KTL(COM1-016)_001_014</t>
  </si>
  <si>
    <t xml:space="preserve">SG60KTL(COM1-017)_001_008</t>
  </si>
  <si>
    <t xml:space="preserve">Falta de tensão da rede da concessionária. Relé atuado em 27ABC e 59ABC.</t>
  </si>
  <si>
    <t xml:space="preserve">Caiaponia III</t>
  </si>
  <si>
    <t xml:space="preserve">Caiaponia IV</t>
  </si>
  <si>
    <t xml:space="preserve">Caiaponia V</t>
  </si>
  <si>
    <t xml:space="preserve">UFV CAIAPONIA II - UC 1</t>
  </si>
  <si>
    <t xml:space="preserve">UFV CAIAPONIA II - UC 2</t>
  </si>
  <si>
    <t xml:space="preserve">UFV CAIAPONIA II - UC 3</t>
  </si>
  <si>
    <t xml:space="preserve">Função 27 e 47 atuada no relé.</t>
  </si>
  <si>
    <t xml:space="preserve">Função 50N e 86Q atuada no relé.</t>
  </si>
  <si>
    <t xml:space="preserve">Função 50N, 86Q e 51ABC atuada no relé.</t>
  </si>
  <si>
    <t xml:space="preserve">Função 57A, 86Q e 47A atuada no relé.</t>
  </si>
  <si>
    <t xml:space="preserve">Araçu II</t>
  </si>
  <si>
    <t xml:space="preserve">Araçu 2.1 inv 1</t>
  </si>
  <si>
    <t xml:space="preserve">Araçu 2.1 inv 2</t>
  </si>
  <si>
    <t xml:space="preserve">Araçu 2.1 inv 3</t>
  </si>
  <si>
    <t xml:space="preserve">Araçu 2.2 inv.1</t>
  </si>
  <si>
    <t xml:space="preserve">Araçu 2.2 inv .2</t>
  </si>
  <si>
    <t xml:space="preserve">Araçu 2.2 inv 3</t>
  </si>
  <si>
    <t xml:space="preserve">Araçu 2.3inv 1</t>
  </si>
  <si>
    <t xml:space="preserve">Araçu 2.3 inv 2</t>
  </si>
  <si>
    <t xml:space="preserve">Araçu 2.3 inv 4</t>
  </si>
  <si>
    <t xml:space="preserve">Araçu.2.3 inv 5</t>
  </si>
  <si>
    <t xml:space="preserve">Araçu 2.3 inv</t>
  </si>
  <si>
    <t xml:space="preserve">Araçu 2.3 inv 6</t>
  </si>
  <si>
    <t xml:space="preserve">ARAÇU.2.4.INV.2</t>
  </si>
  <si>
    <t xml:space="preserve">Araçu.2.4 inv 3</t>
  </si>
  <si>
    <t xml:space="preserve">Araçu 2.4 inv 6</t>
  </si>
  <si>
    <t xml:space="preserve">Araçu 2.4 inv 1</t>
  </si>
  <si>
    <t xml:space="preserve">Araçu 2.4 inv 4</t>
  </si>
  <si>
    <t xml:space="preserve">Araçu 2.4 inv 5</t>
  </si>
  <si>
    <t xml:space="preserve">Panamá I</t>
  </si>
  <si>
    <t xml:space="preserve">Prestador de Serviço de TI/CFTV</t>
  </si>
  <si>
    <t xml:space="preserve">Foi acionado o provedor de internet, cabo rompido devido a chuva, comunicação reestabelecida</t>
  </si>
  <si>
    <t xml:space="preserve">Realizado reset no sistema de CFTV. Após a reinicialização, a comunicação foi restabelecida.</t>
  </si>
  <si>
    <t xml:space="preserve">VARJÃO 1 - UFV 1</t>
  </si>
  <si>
    <t xml:space="preserve">Desligamento programado da usina para realização de comissionamento dos transformadores de média tensão</t>
  </si>
  <si>
    <t xml:space="preserve">Coleta de óleo no transformador. Testes e Megagem do transformador.</t>
  </si>
  <si>
    <t xml:space="preserve">VARJÃO 1 - UFV 2</t>
  </si>
  <si>
    <t xml:space="preserve">VARJÃO 1 - UFV 3</t>
  </si>
  <si>
    <t xml:space="preserve">VARJÃO 2 - UFV 2.1</t>
  </si>
  <si>
    <t xml:space="preserve">VARJÃO 2 - UFV 2.2</t>
  </si>
  <si>
    <t xml:space="preserve">VARJÃO 2 - UFV 2.3</t>
  </si>
  <si>
    <t xml:space="preserve">UFV LENÇOIS PAULISTA</t>
  </si>
  <si>
    <t xml:space="preserve">Desligamento programado da usina para limpeza e inspeção do transformador</t>
  </si>
  <si>
    <t xml:space="preserve">Realizado limpeza, verificado o reaperto dos terminais, condições das mulfas e fixação dos cabos</t>
  </si>
  <si>
    <t xml:space="preserve">Clareira de Araçu - UFV 1</t>
  </si>
  <si>
    <t xml:space="preserve">Função 32 atuada no relé.</t>
  </si>
  <si>
    <t xml:space="preserve">Clareira de Araçu - UFV 2</t>
  </si>
  <si>
    <t xml:space="preserve">Acompanhar e registrar as atividades</t>
  </si>
  <si>
    <t xml:space="preserve">Manutenção no QGBT - Resolução de pendências pós entrega de obras</t>
  </si>
  <si>
    <t xml:space="preserve">Foi realizada manutenção nas canaletas do QGTB</t>
  </si>
  <si>
    <t xml:space="preserve">Araçu I</t>
  </si>
  <si>
    <t xml:space="preserve">Araçu III</t>
  </si>
  <si>
    <t xml:space="preserve">Somente duas cameras ativas </t>
  </si>
  <si>
    <t xml:space="preserve"> Relé atuado por 81 e 86.</t>
  </si>
  <si>
    <t xml:space="preserve">Foi feito inspeção em todo complexo, rearmado disjuntor.</t>
  </si>
  <si>
    <t xml:space="preserve">BC Turvania1.2</t>
  </si>
  <si>
    <t xml:space="preserve">BC Turvania1.4</t>
  </si>
  <si>
    <t xml:space="preserve">BC Turvania1.5</t>
  </si>
  <si>
    <t xml:space="preserve">Desligamento programado da usina para realização de comissionamento dos cabos de media tensão e testes nos barramentos</t>
  </si>
  <si>
    <t xml:space="preserve">Realizado testes e megagem dos cabos de média tensão, muflas e componentes.</t>
  </si>
  <si>
    <t xml:space="preserve">Falha de geração nos inversores (Queda de rede identificada no sistema de monitoramento).</t>
  </si>
  <si>
    <t xml:space="preserve">Identificado trip no disjuntor geral da usina. Foi realizado o desarme dele e verificação dos reapertos. Posteriormente foi realizado o rearme e a manobra para normalização da geração.</t>
  </si>
  <si>
    <t xml:space="preserve">Falha no relé de segurança do painel de entrada PMT, falhas atuadas: 67 fase A, B e C e 86.</t>
  </si>
  <si>
    <t xml:space="preserve">Verificado painel dos transformadores e inversores, após verificação e não constatado nenhuma anomalia, foi realizado o reset do relé de proteção e normalizada a geração da UFV.</t>
  </si>
  <si>
    <t xml:space="preserve">Contatar provedor de internet</t>
  </si>
  <si>
    <t xml:space="preserve">Queda de energia da concessionária</t>
  </si>
  <si>
    <t xml:space="preserve">Falha de comunicação. Conversor de mídia queimado.</t>
  </si>
  <si>
    <t xml:space="preserve">Foi realizado a substituição do conversor de mídia.</t>
  </si>
  <si>
    <t xml:space="preserve">Rio Bonito I</t>
  </si>
  <si>
    <t xml:space="preserve">Barra do Garças I</t>
  </si>
  <si>
    <t xml:space="preserve">Inverter__5</t>
  </si>
  <si>
    <t xml:space="preserve">Inverter__1</t>
  </si>
  <si>
    <t xml:space="preserve">Barra do Garças II</t>
  </si>
  <si>
    <t xml:space="preserve">Inverter__4</t>
  </si>
  <si>
    <t xml:space="preserve">Inverter__3</t>
  </si>
  <si>
    <t xml:space="preserve">Inverter__2</t>
  </si>
  <si>
    <t xml:space="preserve">Inverter__7</t>
  </si>
  <si>
    <t xml:space="preserve">Barra do Garças III</t>
  </si>
  <si>
    <t xml:space="preserve">Inverter__9</t>
  </si>
  <si>
    <t xml:space="preserve">Inverter__8</t>
  </si>
  <si>
    <t xml:space="preserve">Inverter__10</t>
  </si>
  <si>
    <t xml:space="preserve">Inverter__6</t>
  </si>
  <si>
    <t xml:space="preserve">Trip no disjuntor do inversor.</t>
  </si>
  <si>
    <t xml:space="preserve">Realizado rearme do disjuntor.</t>
  </si>
  <si>
    <t xml:space="preserve">Falta de tensão da rede da concessionária. Relé atuado em 59ABC.</t>
  </si>
  <si>
    <t xml:space="preserve">Durante a verificação foi constatado que houve uma atuação do relé de proteção, sem registros de código ansi.</t>
  </si>
  <si>
    <t xml:space="preserve">Foi realizado inspeção nos componentes do sistema de geração e não sendo identificadas anomalias persistentes procedeu-se com o religamento do disjuntor.</t>
  </si>
  <si>
    <t xml:space="preserve">Falha de comunicação. </t>
  </si>
  <si>
    <t xml:space="preserve">Realizado reset do roteador e switchs da usina.</t>
  </si>
  <si>
    <t xml:space="preserve">Araçu VIII</t>
  </si>
  <si>
    <t xml:space="preserve">Falha na rede da concessionária, código 47.</t>
  </si>
  <si>
    <t xml:space="preserve">Falta de tensão da rede da concessionária. Relé atuado em 27AC, 50N, 51N e 86Q.</t>
  </si>
  <si>
    <t xml:space="preserve">Realizado o reset da smartlogger.</t>
  </si>
  <si>
    <t xml:space="preserve">Queda causada por oscilação da rede.</t>
  </si>
  <si>
    <t xml:space="preserve">Após verificação local, foi realizada a manobra de normalização do inversor.</t>
  </si>
  <si>
    <t xml:space="preserve">VAZANTE II - UFV 2</t>
  </si>
  <si>
    <t xml:space="preserve">Inverter-ES2180058349</t>
  </si>
  <si>
    <t xml:space="preserve">08/12/20205 10:41</t>
  </si>
  <si>
    <t xml:space="preserve">Identificado falha no inversor (ES2170028664).</t>
  </si>
  <si>
    <t xml:space="preserve">Inversor apresentou falha e foi substituído. Inversor não possui mais cobertura de garantia, e foi substituído por um inversor reparado pelo time de O&amp;M.</t>
  </si>
  <si>
    <t xml:space="preserve">Inverter-ES2170027326</t>
  </si>
  <si>
    <t xml:space="preserve">Inversor apresentou falha e foi substituído por um sobressalente, após garantia ser aceita pela huawei.</t>
  </si>
  <si>
    <t xml:space="preserve">Inverter-ES2180058977</t>
  </si>
  <si>
    <t xml:space="preserve">Inverter-ES2170028141</t>
  </si>
  <si>
    <t xml:space="preserve">Desligamento programado da usina para manutenção corretiva nos cubículos de proteção (Execução: Power Sys, empresa contratada) </t>
  </si>
  <si>
    <t xml:space="preserve">Após manutenção, usina foi reenergizada de acordo com programa de manobras.</t>
  </si>
  <si>
    <t xml:space="preserve">Logger substituído, após tratativa em garantia.</t>
  </si>
  <si>
    <t xml:space="preserve">Foi realizada a substituição do smartlogger, após identificação de mau funcionamento dele. Após a substituição e configuração, o equipamento não subiu na plataforma fusion, apesar de estar devidamente configurado e funcionando.</t>
  </si>
  <si>
    <t xml:space="preserve">Cabo da concessionária rompido.</t>
  </si>
  <si>
    <t xml:space="preserve">Foi realizado emenda do cabo rompido, e após a inspeção nos componentes do sistema de geração e não sendo identificadas anomalias persistentes procedeu-se com o religamento do disjuntor.</t>
  </si>
  <si>
    <t xml:space="preserve">Vazante I</t>
  </si>
  <si>
    <t xml:space="preserve">Após inspeção realizada pela equipe técnica da CEMIG, foi constatado que dois cabos da rede elétrica foram totalmente danificados devido a uma intensa descarga atmosférica.  A equipe de projetos da concessionária propôs, inicialmente, a construção de uma rede aérea provisória. No entanto, essa alternativa foi descartada devido à proximidade da rede com a linha de transmissão, o que representa risco operacional. Como a linha afetada passa pela mesma caixa de passagem utilizada pela UFV Vazante 2, será necessário o desligamento temporário dessa usina para a execução do serviço.  </t>
  </si>
  <si>
    <t xml:space="preserve">A equipe da CEMIG enviou as equipes para recomposição da rede. Após normalização, foi realizada a manobra para energização da usina.</t>
  </si>
  <si>
    <t xml:space="preserve">Vazante II</t>
  </si>
  <si>
    <t xml:space="preserve">Inverter 1</t>
  </si>
  <si>
    <t xml:space="preserve">Inverter 2</t>
  </si>
  <si>
    <t xml:space="preserve">Inverter 3</t>
  </si>
  <si>
    <t xml:space="preserve">Inverter 4</t>
  </si>
  <si>
    <t xml:space="preserve">Inverter 5</t>
  </si>
  <si>
    <t xml:space="preserve">Inverter 6</t>
  </si>
  <si>
    <t xml:space="preserve">Inverter 7</t>
  </si>
  <si>
    <t xml:space="preserve">Inverter 8</t>
  </si>
  <si>
    <t xml:space="preserve">Inverter 9</t>
  </si>
  <si>
    <t xml:space="preserve">Inverter 10</t>
  </si>
  <si>
    <t xml:space="preserve">Inverter 11</t>
  </si>
  <si>
    <t xml:space="preserve">Inverter 12</t>
  </si>
  <si>
    <t xml:space="preserve">Inverter 13</t>
  </si>
  <si>
    <t xml:space="preserve">Inverter 14</t>
  </si>
  <si>
    <t xml:space="preserve">Inverter 15</t>
  </si>
  <si>
    <t xml:space="preserve">Inverter 16</t>
  </si>
  <si>
    <t xml:space="preserve">Inverter 17</t>
  </si>
  <si>
    <t xml:space="preserve">Vazante III</t>
  </si>
  <si>
    <t xml:space="preserve">VAZANTE II - UFV 1</t>
  </si>
  <si>
    <t xml:space="preserve">Inverter-ES2170028610</t>
  </si>
  <si>
    <t xml:space="preserve">Inverter-ES2180059185</t>
  </si>
  <si>
    <t xml:space="preserve">Inverter-ES2180058348</t>
  </si>
  <si>
    <t xml:space="preserve">Inverter-ES2170080328</t>
  </si>
  <si>
    <t xml:space="preserve">Inverter-ES2190011079</t>
  </si>
  <si>
    <t xml:space="preserve">Inverter-ES2170028664</t>
  </si>
  <si>
    <t xml:space="preserve">VAZANTE II - UFV 3</t>
  </si>
  <si>
    <t xml:space="preserve">Inverter-ES2190011070</t>
  </si>
  <si>
    <t xml:space="preserve">Inverter-ES2180058350</t>
  </si>
  <si>
    <t xml:space="preserve">Inverter-ES2240060614</t>
  </si>
  <si>
    <t xml:space="preserve"> </t>
  </si>
  <si>
    <t xml:space="preserve">Um surto elétrico danificou componentes e desconfigurou a lógica de proteção, impedindo a operação da usina devido à queima de equipamentos.</t>
  </si>
  <si>
    <t xml:space="preserve">Um surto elétrico danificou componentes e desconfigurou a lógica de proteção, impedindo a operação da usina devido à queima de equipamentos e erros de instalação. A equipe técnica restabeleceu a energia após substituir o relé, corrigir a fiação e ajustar a parametrização, mantendo como pendência a troca urgente da fonte capacitiva e dos DPS.</t>
  </si>
  <si>
    <t xml:space="preserve">Queda da rede da concessionária. Protocolo: 462071852.</t>
  </si>
  <si>
    <t xml:space="preserve">Desligamento programado para realização de manutenção em TP auxiliar.</t>
  </si>
  <si>
    <t xml:space="preserve">Após realização da manutenção, usina foi normalizada.</t>
  </si>
  <si>
    <t xml:space="preserve">Durante inspeção técnica, foi identificado que dois elos fusíveis da concessionária estavam queimados.</t>
  </si>
  <si>
    <t xml:space="preserve">Realizada a aquisição dos elos fusíveis pela equipe técnica e realizada a substituição e manobra de normalização da usina.</t>
  </si>
  <si>
    <t xml:space="preserve">Manutenção no provedor de internet</t>
  </si>
  <si>
    <t xml:space="preserve">Manutenção na internet, realizada pelo provedor. Não afetou a geração da usina.</t>
  </si>
  <si>
    <t xml:space="preserve">Tracker em posição de segurança devido à alarme de rajadas de vento na RSU.</t>
  </si>
  <si>
    <t xml:space="preserve">Trackers colocados em modo automatico, posição de segurança, após alarme de vento. Normalizado automaticamente após alarme ser encerrado.</t>
  </si>
  <si>
    <t xml:space="preserve">Desequilíbrio de rede da concessinária causou abertura do religador.</t>
  </si>
  <si>
    <t xml:space="preserve">Foram realizadas manobras para energizar a usina e o religador foi fechado.</t>
  </si>
  <si>
    <t xml:space="preserve">Falha 2064, Equipamento anormal.</t>
  </si>
  <si>
    <t xml:space="preserve">Inversor parou de funcionar, após apresentar falha 2064. Foram realizados todos os testes solicitados pela huawei e o equipamento foi aceito na troca em garantia. Estamos aguardando o envio do novo equipamento para substituição em campo.</t>
  </si>
  <si>
    <t xml:space="preserve">Desligamento de emergência devido a ação criminosa. Durante a madrugada, houve desenergização da usina ocasionada por intervenção indevida no religador da concessionária. A quadrilha atuou diretamente no equipamento, interrompendo o fornecimento de energia com o intuito de viabilizar furto nas instalações da usina.</t>
  </si>
  <si>
    <t xml:space="preserve">Ações Executadas: 
- Abertura imediata de chamado junto à concessionária Neoenergia. 
- Equipe técnica da concessionária realizou o restabelecimento da rede no dia seguinte. 
- Inspeção em campo foi realizada para verificação dos sistemas. 
- A operação foi parcialmente restabelecida para as UFVs IV, V, VI e VIII ( nomenclatura conforme projeto ). 
- Os demais unidades consumidoras permanecem desernergizadas para perícia e manutenção.</t>
  </si>
  <si>
    <t xml:space="preserve">Logger queimado.</t>
  </si>
  <si>
    <t xml:space="preserve">Após retorno da internet na usina, foi identificado que o logger estava queimado. Foi realizada a compra de sobressalente, porém, a sungrow apenas irá retornar com as vendas em janeiro. Está sendo realizada coleta local da geração.</t>
  </si>
  <si>
    <t xml:space="preserve">Falha foi causada pela atuação do relé de segurança do painel de entrada (PMT), apresentando o alarme 67 na fase A e a falha 86 (bloqueio)</t>
  </si>
  <si>
    <t xml:space="preserve">A usina desligou automaticamente devido à atuação da proteção do relé, registrada sob o código ANSI 78, indicando uma possível instabilidade de fase na rede.</t>
  </si>
  <si>
    <t xml:space="preserve">Ações Executadas:  
- Realizada inspeção geral nos principais componentes de geração (inversores e transformador);  
- Nenhuma anormalidade física aparente foi identificada;  
- Efetuado o reset do relé de proteção;  
- Comando de religamento acionado com sucesso, restabelecendo a operação da usina.</t>
  </si>
  <si>
    <t xml:space="preserve">BC Camarao1.2Inv. 445961,72569444444596245962,2902777778</t>
  </si>
  <si>
    <t xml:space="preserve">DAURDE</t>
  </si>
  <si>
    <t xml:space="preserve">BC Camarao1.2Inverter(MBUS-16)45961,72569444444596245962,2902777778</t>
  </si>
  <si>
    <t xml:space="preserve">BC Camarao1.2Inverter(MBUS-12)45961,72569444444596245962,2902777778</t>
  </si>
  <si>
    <t xml:space="preserve">BC Camarao1.2Inv. 345961,72569444444596245962,2902777778</t>
  </si>
  <si>
    <t xml:space="preserve">BC Camarao1.2Inverter(MBUS-1)45961,72569444444596245962,2902777778</t>
  </si>
  <si>
    <t xml:space="preserve">Falta de tensão da rede da concessionária.</t>
  </si>
  <si>
    <t xml:space="preserve">BC Rio Monte1Inverter3845962,2545962,2545962,2638888889</t>
  </si>
  <si>
    <t xml:space="preserve">BC Rio Monte1Inverter3745962,2545962,2545962,2638888889</t>
  </si>
  <si>
    <t xml:space="preserve">BC Rio Monte1Inverter4345962,2545962,2545962,2638888889</t>
  </si>
  <si>
    <t xml:space="preserve">BC Rio Monte1Inverter4245962,2545962,2545962,2638888889</t>
  </si>
  <si>
    <t xml:space="preserve">BC Rio Monte1Inverter4545962,2545962,2545962,2638888889</t>
  </si>
  <si>
    <t xml:space="preserve">BC Rio Monte1Inverter4445962,2545962,2545962,2638888889</t>
  </si>
  <si>
    <t xml:space="preserve">Inverter46</t>
  </si>
  <si>
    <t xml:space="preserve">BC Rio Monte1Inverter4645962,2545962,2545962,2638888889</t>
  </si>
  <si>
    <t xml:space="preserve">BC Rio Monte1Inverter4145962,2545962,2545962,2638888889</t>
  </si>
  <si>
    <t xml:space="preserve">BC Rio Monte1Inverter4745962,2545962,2545962,2638888889</t>
  </si>
  <si>
    <t xml:space="preserve">BC Rio Monte1Inverter3545962,2545962,2545962,2638888889</t>
  </si>
  <si>
    <t xml:space="preserve">BC Rio Monte1Inverter3645962,2545962,2545962,2638888889</t>
  </si>
  <si>
    <t xml:space="preserve">BC Rio Monte1Inverter3145962,2545962,2545962,2638888889</t>
  </si>
  <si>
    <t xml:space="preserve">BC Rio Monte1Inverter3345962,2545962,2545962,2638888889</t>
  </si>
  <si>
    <t xml:space="preserve">BC Rio Monte1Inverter3945962,2545962,2545962,2638888889</t>
  </si>
  <si>
    <t xml:space="preserve">BC Rio Monte1Inverter3245962,2545962,2545962,2638888889</t>
  </si>
  <si>
    <t xml:space="preserve">BC Rio Monte1Inverter4045962,2545962,2545962,2638888889</t>
  </si>
  <si>
    <t xml:space="preserve">BC Rio Monte1Inverter3445962,2545962,2545962,2638888889</t>
  </si>
  <si>
    <t xml:space="preserve">Função 32C atuada no relé de proteção.</t>
  </si>
  <si>
    <t xml:space="preserve">ARAGUATINS 2.1Inverter(MBUS-13)45962,410416666745962,410416666745962,4618055556</t>
  </si>
  <si>
    <t xml:space="preserve">ARAGUATINS 2.1Inverter(MBUS-12)45962,410416666745962,410416666745962,4618055556</t>
  </si>
  <si>
    <t xml:space="preserve">ARAGUATINS 2.1Inverter(MBUS-15)45962,410416666745962,410416666745962,4618055556</t>
  </si>
  <si>
    <t xml:space="preserve">ARAGUATINS 2.1Inverter(MBUS-14)45962,410416666745962,410416666745962,4618055556</t>
  </si>
  <si>
    <t xml:space="preserve">ARAGUATINS 2.2Inverter(MBUS-15)45962,410416666745962,410416666745962,4618055556</t>
  </si>
  <si>
    <t xml:space="preserve">ARAGUATINS 2.2Inverter(MBUS-13)45962,410416666745962,410416666745962,4618055556</t>
  </si>
  <si>
    <t xml:space="preserve">ARAGUATINS 2.2Inverter(MBUS-14)45962,410416666745962,410416666745962,4618055556</t>
  </si>
  <si>
    <t xml:space="preserve">ARAGUATINS 2.2Inverter(MBUS-12)45962,410416666745962,410416666745962,4618055556</t>
  </si>
  <si>
    <t xml:space="preserve">BC Caiaponia1SG60KTL(COM1-001)_001_00745963,341666666745963,341666666745963,4201388889</t>
  </si>
  <si>
    <t xml:space="preserve">BC Caiaponia1SG60KTL(COM1-002)_001_01045963,341666666745963,341666666745963,4201388889</t>
  </si>
  <si>
    <t xml:space="preserve">BC Caiaponia1SG60KTL(COM1-003)_001_01145963,341666666745963,341666666745963,4201388889</t>
  </si>
  <si>
    <t xml:space="preserve">BC Caiaponia1SG60KTL(COM1-004)_001_01445963,341666666745963,341666666745963,4201388889</t>
  </si>
  <si>
    <t xml:space="preserve">BC Caiaponia1SG60KTL(COM1-005)_001_01745963,341666666745963,341666666745963,4201388889</t>
  </si>
  <si>
    <t xml:space="preserve">BC Caiaponia1SG60KTL(COM1-006)_001_01645963,341666666745963,341666666745963,4201388889</t>
  </si>
  <si>
    <t xml:space="preserve">BC Caiaponia1SG60KTL(COM1-007)_001_01345963,341666666745963,341666666745963,4201388889</t>
  </si>
  <si>
    <t xml:space="preserve">BC Caiaponia1SG60KTL(COM1-008)_001_00145963,341666666745963,341666666745963,4201388889</t>
  </si>
  <si>
    <t xml:space="preserve">BC Caiaponia1SG60KTL(COM1-009)45963,341666666745963,341666666745963,4201388889</t>
  </si>
  <si>
    <t xml:space="preserve">BC Caiaponia1SG60KTL(COM1-010)45963,341666666745963,341666666745963,4201388889</t>
  </si>
  <si>
    <t xml:space="preserve">BC Caiaponia1SG60KTL(COM1-011)45963,341666666745963,341666666745963,4201388889</t>
  </si>
  <si>
    <t xml:space="preserve">BC Caiaponia1SG60KTL(COM1-012)45963,341666666745963,341666666745963,4201388889</t>
  </si>
  <si>
    <t xml:space="preserve">BC Caiaponia1SG60KTL(COM1-013)45963,341666666745963,341666666745963,4201388889</t>
  </si>
  <si>
    <t xml:space="preserve">BC Caiaponia1SG60KTL(COM1-014)45963,341666666745963,341666666745963,4201388889</t>
  </si>
  <si>
    <t xml:space="preserve">BC Caiaponia1SG60KTL(COM1-015)45963,341666666745963,341666666745963,4201388889</t>
  </si>
  <si>
    <t xml:space="preserve">BC Caiaponia1SG60KTL(COM3-016)_001_00945963,341666666745963,341666666745963,4201388889</t>
  </si>
  <si>
    <t xml:space="preserve">BC Caiaponia1SG60KTL(COM3-017)_001_01245963,341666666745963,341666666745963,4201388889</t>
  </si>
  <si>
    <t xml:space="preserve">BC Caiaponia1SG60KTL(COM3-018)_001_00845963,341666666745963,341666666745963,4201388889</t>
  </si>
  <si>
    <t xml:space="preserve">BC Caiaponia1SG60KTL(COM3-019)_001_01945963,341666666745963,341666666745963,4201388889</t>
  </si>
  <si>
    <t xml:space="preserve">BC Caiaponia1SG60KTL(COM3-020)_001_02045963,341666666745963,341666666745963,4201388889</t>
  </si>
  <si>
    <t xml:space="preserve">BC Caiaponia1SG60KTL(COM2-026)45963,341666666745963,341666666745963,4201388889</t>
  </si>
  <si>
    <t xml:space="preserve">BC Caiaponia1SG60KTL(COM2-027)45963,341666666745963,341666666745963,4201388889</t>
  </si>
  <si>
    <t xml:space="preserve">BC Caiaponia1SG60KTL(COM2-028)45963,341666666745963,341666666745963,4201388889</t>
  </si>
  <si>
    <t xml:space="preserve">BC Caiaponia1SG60KTL(COM2-029)45963,341666666745963,341666666745963,4201388889</t>
  </si>
  <si>
    <t xml:space="preserve">BC Caiaponia1SG50CX(COM1-021)45963,341666666745963,341666666745963,4201388889</t>
  </si>
  <si>
    <t xml:space="preserve">BC Caiaponia1SG50CX(COM1-022)45963,341666666745963,341666666745963,4201388889</t>
  </si>
  <si>
    <t xml:space="preserve">BC Caiaponia1SG50CX(COM1-023)45963,341666666745963,341666666745963,4201388889</t>
  </si>
  <si>
    <t xml:space="preserve">BC Caiaponia1SG50CX(COM1-024)45963,341666666745963,341666666745963,4201388889</t>
  </si>
  <si>
    <t xml:space="preserve">BC Caiaponia1SG50CX(COM1-025)45963,341666666745963,341666666745963,4201388889</t>
  </si>
  <si>
    <t xml:space="preserve">BC Caiaponia2.1215KTL-H3(MBUS-12)45963,341666666745963,341666666745963,4201388889</t>
  </si>
  <si>
    <t xml:space="preserve">BC Caiaponia2.1215KTL-H3(MBUS-13)45963,341666666745963,341666666745963,4201388889</t>
  </si>
  <si>
    <t xml:space="preserve">BC Caiaponia2.1215KTL-H3(MBUS-14)45963,341666666745963,341666666745963,4201388889</t>
  </si>
  <si>
    <t xml:space="preserve">BC Caiaponia2.1215KTL-H3(MBUS-15)45963,341666666745963,341666666745963,4201388889</t>
  </si>
  <si>
    <t xml:space="preserve">BC Caiaponia2.1215KTL-H3(MBUS-16)45963,341666666745963,341666666745963,4201388889</t>
  </si>
  <si>
    <t xml:space="preserve">BC Caiaponia2.2215KTL-H3(MBUS-12)45963,341666666745963,341666666745963,4201388889</t>
  </si>
  <si>
    <t xml:space="preserve">BC Caiaponia2.2215KTL-H3(MBUS-13)45963,341666666745963,341666666745963,4201388889</t>
  </si>
  <si>
    <t xml:space="preserve">BC Caiaponia2.2215KTL-H3(MBUS-14)45963,341666666745963,341666666745963,4201388889</t>
  </si>
  <si>
    <t xml:space="preserve">BC Caiaponia2.2215KTL-H3(MBUS-15)45963,341666666745963,341666666745963,4201388889</t>
  </si>
  <si>
    <t xml:space="preserve">BC Caiaponia2.2215KTL-H3(MBUS-16)45963,341666666745963,341666666745963,4201388889</t>
  </si>
  <si>
    <t xml:space="preserve">BC Caiaponia2.3215KTL-H3(MBUS-12)45963,341666666745963,341666666745963,4201388889</t>
  </si>
  <si>
    <t xml:space="preserve">BC Caiaponia2.3215KTL-H3(MBUS-13)45963,341666666745963,341666666745963,4201388889</t>
  </si>
  <si>
    <t xml:space="preserve">BC Caiaponia2.3215KTL-H3(MBUS-14)45963,341666666745963,341666666745963,4201388889</t>
  </si>
  <si>
    <t xml:space="preserve">BC Caiaponia2.3215KTL-H3(MBUS-15)45963,341666666745963,341666666745963,4201388889</t>
  </si>
  <si>
    <t xml:space="preserve">BC Caiaponia2.3215KTL-H3(MBUS-16)45963,341666666745963,341666666745963,4201388889</t>
  </si>
  <si>
    <t xml:space="preserve">Função 67c e 86b atuada no relé de proteção.</t>
  </si>
  <si>
    <t xml:space="preserve">ARAGUATINS 2.1Inverter(MBUS-13)45963,356944444445963,356944444445963,7361111111</t>
  </si>
  <si>
    <t xml:space="preserve">ARAGUATINS 2.1Inverter(MBUS-12)45963,356944444445963,356944444445963,7361111111</t>
  </si>
  <si>
    <t xml:space="preserve">ARAGUATINS 2.1Inverter(MBUS-15)45963,356944444445963,356944444445963,7361111111</t>
  </si>
  <si>
    <t xml:space="preserve">ARAGUATINS 2.1Inverter(MBUS-14)45963,356944444445963,356944444445963,7361111111</t>
  </si>
  <si>
    <t xml:space="preserve">ARAGUATINS 2.2Inverter(MBUS-15)45963,356944444445963,356944444445963,7361111111</t>
  </si>
  <si>
    <t xml:space="preserve">ARAGUATINS 2.2Inverter(MBUS-13)45963,356944444445963,356944444445963,7361111111</t>
  </si>
  <si>
    <t xml:space="preserve">ARAGUATINS 2.2Inverter(MBUS-14)45963,356944444445963,356944444445963,7361111111</t>
  </si>
  <si>
    <t xml:space="preserve">ARAGUATINS 2.2Inverter(MBUS-12)45963,356944444445963,356944444445963,7361111111</t>
  </si>
  <si>
    <t xml:space="preserve">BC Caiaponia1SG60KTL(COM1-001)_001_00745963,461805555645963,461805555645963,5416666667</t>
  </si>
  <si>
    <t xml:space="preserve">BC Caiaponia1SG60KTL(COM1-002)_001_01045963,461805555645963,461805555645963,5416666667</t>
  </si>
  <si>
    <t xml:space="preserve">BC Caiaponia1SG60KTL(COM1-003)_001_01145963,461805555645963,461805555645963,5416666667</t>
  </si>
  <si>
    <t xml:space="preserve">BC Caiaponia1SG60KTL(COM1-004)_001_01445963,461805555645963,461805555645963,5416666667</t>
  </si>
  <si>
    <t xml:space="preserve">BC Caiaponia1SG60KTL(COM1-005)_001_01745963,461805555645963,461805555645963,5416666667</t>
  </si>
  <si>
    <t xml:space="preserve">BC Caiaponia1SG60KTL(COM1-006)_001_01645963,461805555645963,461805555645963,5416666667</t>
  </si>
  <si>
    <t xml:space="preserve">BC Caiaponia1SG60KTL(COM1-007)_001_01345963,461805555645963,461805555645963,5416666667</t>
  </si>
  <si>
    <t xml:space="preserve">BC Caiaponia1SG60KTL(COM1-008)_001_00145963,461805555645963,461805555645963,5416666667</t>
  </si>
  <si>
    <t xml:space="preserve">BC Caiaponia1SG60KTL(COM1-009)45963,461805555645963,461805555645963,5416666667</t>
  </si>
  <si>
    <t xml:space="preserve">BC Caiaponia1SG60KTL(COM1-010)45963,461805555645963,461805555645963,5416666667</t>
  </si>
  <si>
    <t xml:space="preserve">BC Caiaponia1SG60KTL(COM1-011)45963,461805555645963,461805555645963,5416666667</t>
  </si>
  <si>
    <t xml:space="preserve">BC Caiaponia1SG60KTL(COM1-012)45963,461805555645963,461805555645963,5416666667</t>
  </si>
  <si>
    <t xml:space="preserve">BC Caiaponia1SG60KTL(COM1-013)45963,461805555645963,461805555645963,5416666667</t>
  </si>
  <si>
    <t xml:space="preserve">BC Caiaponia1SG60KTL(COM1-014)45963,461805555645963,461805555645963,5416666667</t>
  </si>
  <si>
    <t xml:space="preserve">BC Caiaponia1SG60KTL(COM1-015)45963,461805555645963,461805555645963,5416666667</t>
  </si>
  <si>
    <t xml:space="preserve">BC Caiaponia1SG60KTL(COM3-016)_001_00945963,461805555645963,461805555645963,5416666667</t>
  </si>
  <si>
    <t xml:space="preserve">BC Caiaponia1SG60KTL(COM3-017)_001_01245963,461805555645963,461805555645963,5416666667</t>
  </si>
  <si>
    <t xml:space="preserve">BC Caiaponia1SG60KTL(COM3-018)_001_00845963,461805555645963,461805555645963,5416666667</t>
  </si>
  <si>
    <t xml:space="preserve">BC Caiaponia1SG60KTL(COM3-019)_001_01945963,461805555645963,461805555645963,5416666667</t>
  </si>
  <si>
    <t xml:space="preserve">BC Caiaponia1SG60KTL(COM3-020)_001_02045963,461805555645963,461805555645963,5416666667</t>
  </si>
  <si>
    <t xml:space="preserve">BC Caiaponia1SG60KTL(COM2-026)45963,461805555645963,461805555645963,5416666667</t>
  </si>
  <si>
    <t xml:space="preserve">BC Caiaponia1SG60KTL(COM2-027)45963,461805555645963,461805555645963,5416666667</t>
  </si>
  <si>
    <t xml:space="preserve">BC Caiaponia1SG60KTL(COM2-028)45963,461805555645963,461805555645963,5416666667</t>
  </si>
  <si>
    <t xml:space="preserve">BC Caiaponia1SG60KTL(COM2-029)45963,461805555645963,461805555645963,5416666667</t>
  </si>
  <si>
    <t xml:space="preserve">BC Caiaponia1SG50CX(COM1-021)45963,461805555645963,461805555645963,5416666667</t>
  </si>
  <si>
    <t xml:space="preserve">BC Caiaponia1SG50CX(COM1-022)45963,461805555645963,461805555645963,5416666667</t>
  </si>
  <si>
    <t xml:space="preserve">BC Caiaponia1SG50CX(COM1-023)45963,461805555645963,461805555645963,5416666667</t>
  </si>
  <si>
    <t xml:space="preserve">BC Caiaponia1SG50CX(COM1-024)45963,461805555645963,461805555645963,5416666667</t>
  </si>
  <si>
    <t xml:space="preserve">BC Caiaponia1SG50CX(COM1-025)45963,461805555645963,461805555645963,5416666667</t>
  </si>
  <si>
    <t xml:space="preserve">BC Caiaponia2.1215KTL-H3(MBUS-12)45963,461805555645963,461805555645963,5416666667</t>
  </si>
  <si>
    <t xml:space="preserve">BC Caiaponia2.1215KTL-H3(MBUS-13)45963,461805555645963,461805555645963,5416666667</t>
  </si>
  <si>
    <t xml:space="preserve">BC Caiaponia2.1215KTL-H3(MBUS-14)45963,461805555645963,461805555645963,5416666667</t>
  </si>
  <si>
    <t xml:space="preserve">BC Caiaponia2.1215KTL-H3(MBUS-15)45963,461805555645963,461805555645963,5416666667</t>
  </si>
  <si>
    <t xml:space="preserve">BC Caiaponia2.1215KTL-H3(MBUS-16)45963,461805555645963,461805555645963,5416666667</t>
  </si>
  <si>
    <t xml:space="preserve">BC Caiaponia2.2215KTL-H3(MBUS-12)45963,461805555645963,461805555645963,5416666667</t>
  </si>
  <si>
    <t xml:space="preserve">BC Caiaponia2.2215KTL-H3(MBUS-13)45963,461805555645963,461805555645963,5416666667</t>
  </si>
  <si>
    <t xml:space="preserve">BC Caiaponia2.2215KTL-H3(MBUS-14)45963,461805555645963,461805555645963,5416666667</t>
  </si>
  <si>
    <t xml:space="preserve">BC Caiaponia2.2215KTL-H3(MBUS-15)45963,461805555645963,461805555645963,5416666667</t>
  </si>
  <si>
    <t xml:space="preserve">BC Caiaponia2.2215KTL-H3(MBUS-16)45963,461805555645963,461805555645963,5416666667</t>
  </si>
  <si>
    <t xml:space="preserve">BC Caiaponia2.3215KTL-H3(MBUS-12)45963,461805555645963,461805555645963,5416666667</t>
  </si>
  <si>
    <t xml:space="preserve">BC Caiaponia2.3215KTL-H3(MBUS-13)45963,461805555645963,461805555645963,5416666667</t>
  </si>
  <si>
    <t xml:space="preserve">BC Caiaponia2.3215KTL-H3(MBUS-14)45963,461805555645963,461805555645963,5416666667</t>
  </si>
  <si>
    <t xml:space="preserve">BC Caiaponia2.3215KTL-H3(MBUS-15)45963,461805555645963,461805555645963,5416666667</t>
  </si>
  <si>
    <t xml:space="preserve">BC Caiaponia2.3215KTL-H3(MBUS-16)45963,461805555645963,461805555645963,5416666667</t>
  </si>
  <si>
    <t xml:space="preserve">BC Rio Monte1Inverter3845963,465277777845963,465277777845963,5034722222</t>
  </si>
  <si>
    <t xml:space="preserve">BC Rio Monte1Inverter3745963,465277777845963,465277777845963,5034722222</t>
  </si>
  <si>
    <t xml:space="preserve">BC Rio Monte1Inverter4345963,465277777845963,465277777845963,5034722222</t>
  </si>
  <si>
    <t xml:space="preserve">BC Rio Monte1Inverter4245963,465277777845963,465277777845963,5034722222</t>
  </si>
  <si>
    <t xml:space="preserve">BC Rio Monte1Inverter4545963,465277777845963,465277777845963,5034722222</t>
  </si>
  <si>
    <t xml:space="preserve">BC Rio Monte1Inverter4445963,465277777845963,465277777845963,5034722222</t>
  </si>
  <si>
    <t xml:space="preserve">BC Rio Monte1Inverter4645963,465277777845963,465277777845963,5034722222</t>
  </si>
  <si>
    <t xml:space="preserve">BC Rio Monte1Inverter4145963,465277777845963,465277777845963,5034722222</t>
  </si>
  <si>
    <t xml:space="preserve">BC Rio Monte1Inverter4745963,465277777845963,465277777845963,5034722222</t>
  </si>
  <si>
    <t xml:space="preserve">BC Rio Monte1Inverter3545963,465277777845963,465277777845963,5034722222</t>
  </si>
  <si>
    <t xml:space="preserve">BC Rio Monte1Inverter3645963,465277777845963,465277777845963,5034722222</t>
  </si>
  <si>
    <t xml:space="preserve">BC Rio Monte1Inverter3145963,465277777845963,465277777845963,5034722222</t>
  </si>
  <si>
    <t xml:space="preserve">BC Rio Monte1Inverter3345963,465277777845963,465277777845963,5034722222</t>
  </si>
  <si>
    <t xml:space="preserve">BC Rio Monte1Inverter3945963,465277777845963,465277777845963,5034722222</t>
  </si>
  <si>
    <t xml:space="preserve">BC Rio Monte1Inverter3245963,465277777845963,465277777845963,5034722222</t>
  </si>
  <si>
    <t xml:space="preserve">BC Rio Monte1Inverter4045963,465277777845963,465277777845963,5034722222</t>
  </si>
  <si>
    <t xml:space="preserve">BC Rio Monte1Inverter3445963,465277777845963,465277777845963,5034722222</t>
  </si>
  <si>
    <t xml:space="preserve">Panamá II</t>
  </si>
  <si>
    <t xml:space="preserve">BC Panama1.1CEREAL_00245963,5062545963,5062545964,25</t>
  </si>
  <si>
    <t xml:space="preserve">BC Panama1.1ITAPOAN 001 (COM1-001)_001_00145963,5062545963,5062545964,25</t>
  </si>
  <si>
    <t xml:space="preserve">Panamá III</t>
  </si>
  <si>
    <t xml:space="preserve">BC Panama1.1ITAPOAN_00345963,5062545963,5062545964,25</t>
  </si>
  <si>
    <t xml:space="preserve">Panamá V</t>
  </si>
  <si>
    <t xml:space="preserve">BC Panama1.2COOGED_00545963,5062545963,5062545964,25</t>
  </si>
  <si>
    <t xml:space="preserve">Panamá VI</t>
  </si>
  <si>
    <t xml:space="preserve">BC Panama1.2ART_00645963,5062545963,5062545964,25</t>
  </si>
  <si>
    <t xml:space="preserve">Panamá IV</t>
  </si>
  <si>
    <t xml:space="preserve">BC Panama1.2ART_00445963,5062545963,5062545964,25</t>
  </si>
  <si>
    <t xml:space="preserve">Panamá VII</t>
  </si>
  <si>
    <t xml:space="preserve">BC Panama1.2RADIO_00745963,5062545963,5062545964,25</t>
  </si>
  <si>
    <t xml:space="preserve">Rio Bonito II</t>
  </si>
  <si>
    <t xml:space="preserve">BC Rio Bonito2INV-00145963,531944444445963,531944444445963,6458333333</t>
  </si>
  <si>
    <t xml:space="preserve">BC Rio Bonito2INV-00245963,531944444445963,531944444445963,6458333333</t>
  </si>
  <si>
    <t xml:space="preserve">BC Rio Bonito2INV-00345963,531944444445963,531944444445963,6458333333</t>
  </si>
  <si>
    <t xml:space="preserve">BC Rio Bonito2INV-00445963,531944444445963,531944444445963,6458333333</t>
  </si>
  <si>
    <t xml:space="preserve">BC Rio Bonito1SG36KTL-M-17_001_01745963,531944444445963,531944444445963,6458333333</t>
  </si>
  <si>
    <t xml:space="preserve">BC Rio Bonito1SG60KTL-10_001_01045963,531944444445963,531944444445963,6458333333</t>
  </si>
  <si>
    <t xml:space="preserve">BC Rio Bonito1SG60KTL-11_001_01145963,531944444445963,531944444445963,6458333333</t>
  </si>
  <si>
    <t xml:space="preserve">BC Rio Bonito1SG60KTL-12_001_01245963,531944444445963,531944444445963,6458333333</t>
  </si>
  <si>
    <t xml:space="preserve">BC Rio Bonito1SG60KTL-13_001_01345963,531944444445963,531944444445963,6458333333</t>
  </si>
  <si>
    <t xml:space="preserve">BC Rio Bonito1SG60KTL-14_001_01445963,531944444445963,531944444445963,6458333333</t>
  </si>
  <si>
    <t xml:space="preserve">BC Rio Bonito1SG60KTL-15_001_01545963,531944444445963,531944444445963,6458333333</t>
  </si>
  <si>
    <t xml:space="preserve">BC Rio Bonito1SG60KTL-16_001_01645963,531944444445963,531944444445963,6458333333</t>
  </si>
  <si>
    <t xml:space="preserve">BC Rio Bonito1SG60KTL-1_001_00145963,531944444445963,531944444445963,6458333333</t>
  </si>
  <si>
    <t xml:space="preserve">BC Rio Bonito1SG60KTL-2_001_00245963,531944444445963,531944444445963,6458333333</t>
  </si>
  <si>
    <t xml:space="preserve">BC Rio Bonito1SG60KTL-3_001_00345963,531944444445963,531944444445963,6458333333</t>
  </si>
  <si>
    <t xml:space="preserve">BC Rio Bonito1SG60KTL-4_001_00445963,531944444445963,531944444445963,6458333333</t>
  </si>
  <si>
    <t xml:space="preserve">BC Rio Bonito1SG60KTL-5_001_00545963,531944444445963,531944444445963,6458333333</t>
  </si>
  <si>
    <t xml:space="preserve">BC Rio Bonito1SG60KTL-6_001_00645963,531944444445963,531944444445963,6458333333</t>
  </si>
  <si>
    <t xml:space="preserve">BC Rio Bonito1SG60KTL-7_001_00745963,531944444445963,531944444445963,6458333333</t>
  </si>
  <si>
    <t xml:space="preserve">BC Rio Bonito1SG60KTL-8_001_00845963,531944444445963,531944444445963,6458333333</t>
  </si>
  <si>
    <t xml:space="preserve">BC Rio Bonito1SG60KTL-9_001_00945963,531944444445963,531944444445963,6458333333</t>
  </si>
  <si>
    <t xml:space="preserve">Cabo do religador da concessionária rompido.</t>
  </si>
  <si>
    <t xml:space="preserve">Foi aberto chamado para substituição do cabo do religador. Após execução da OS pela cemig, foi realizada a manobra de normalização da geração pelo time de manutenção da usina.</t>
  </si>
  <si>
    <t xml:space="preserve">BC Vazante1.1Inverter0145964,229166666745964,229166666745965,625</t>
  </si>
  <si>
    <t xml:space="preserve">BC Vazante1.1Inverter0245964,229166666745964,229166666745965,625</t>
  </si>
  <si>
    <t xml:space="preserve">BC Vazante1.1Inverter0345964,229166666745964,229166666745965,625</t>
  </si>
  <si>
    <t xml:space="preserve">BC Vazante1.1Inverter0445964,229166666745964,229166666745965,625</t>
  </si>
  <si>
    <t xml:space="preserve">BC Vazante1.1Inverter0545964,229166666745964,229166666745965,625</t>
  </si>
  <si>
    <t xml:space="preserve">BC Vazante1.1Inverter0645964,229166666745964,229166666745965,625</t>
  </si>
  <si>
    <t xml:space="preserve">BC Vazante1.1Inverter0745964,229166666745964,229166666745965,625</t>
  </si>
  <si>
    <t xml:space="preserve">BC Vazante1.1Inverter0845964,229166666745964,229166666745965,625</t>
  </si>
  <si>
    <t xml:space="preserve">BC Vazante1.1Inverter0945964,229166666745964,229166666745965,625</t>
  </si>
  <si>
    <t xml:space="preserve">BC Vazante1.1Inverter1045964,229166666745964,229166666745965,625</t>
  </si>
  <si>
    <t xml:space="preserve">BC Vazante1.1Inverter1145964,229166666745964,229166666745965,625</t>
  </si>
  <si>
    <t xml:space="preserve">BC Vazante1.1Inverter1245964,229166666745964,229166666745965,625</t>
  </si>
  <si>
    <t xml:space="preserve">BC Vazante1.1Inverter1345964,229166666745964,229166666745965,625</t>
  </si>
  <si>
    <t xml:space="preserve">BC Vazante1.1Inverter1445964,229166666745964,229166666745965,625</t>
  </si>
  <si>
    <t xml:space="preserve">BC Vazante1.1Inverter1545964,229166666745964,229166666745965,625</t>
  </si>
  <si>
    <t xml:space="preserve">BC Vazante1.1Inverter1645964,229166666745964,229166666745965,625</t>
  </si>
  <si>
    <t xml:space="preserve">BC Vazante1.1Inverter1745964,229166666745964,229166666745965,625</t>
  </si>
  <si>
    <t xml:space="preserve">BC Vazante1.2</t>
  </si>
  <si>
    <t xml:space="preserve">BC Vazante1.2Inverter 145964,229166666745964,229166666745965,625</t>
  </si>
  <si>
    <t xml:space="preserve">BC Vazante1.2Inverter 245964,229166666745964,229166666745965,625</t>
  </si>
  <si>
    <t xml:space="preserve">BC Vazante1.2Inverter 345964,229166666745964,229166666745965,625</t>
  </si>
  <si>
    <t xml:space="preserve">BC Vazante1.2Inverter 445964,229166666745964,229166666745965,625</t>
  </si>
  <si>
    <t xml:space="preserve">BC Vazante1.2Inverter 545964,229166666745964,229166666745965,625</t>
  </si>
  <si>
    <t xml:space="preserve">BC Vazante1.2Inverter 645964,229166666745964,229166666745965,625</t>
  </si>
  <si>
    <t xml:space="preserve">BC Vazante1.2Inverter 745964,229166666745964,229166666745965,625</t>
  </si>
  <si>
    <t xml:space="preserve">BC Vazante1.2Inverter 845964,229166666745964,229166666745965,625</t>
  </si>
  <si>
    <t xml:space="preserve">BC Vazante1.2Inverter 945964,229166666745964,229166666745965,625</t>
  </si>
  <si>
    <t xml:space="preserve">BC Vazante1.2Inverter 1045964,229166666745964,229166666745965,625</t>
  </si>
  <si>
    <t xml:space="preserve">BC Vazante1.2Inverter 1145964,229166666745964,229166666745965,625</t>
  </si>
  <si>
    <t xml:space="preserve">BC Vazante1.2Inverter 1245964,229166666745964,229166666745965,625</t>
  </si>
  <si>
    <t xml:space="preserve">BC Vazante1.2Inverter 1345964,229166666745964,229166666745965,625</t>
  </si>
  <si>
    <t xml:space="preserve">BC Vazante1.2Inverter 1445964,229166666745964,229166666745965,625</t>
  </si>
  <si>
    <t xml:space="preserve">BC Vazante1.2Inverter 1545964,229166666745964,229166666745965,625</t>
  </si>
  <si>
    <t xml:space="preserve">BC Vazante1.2Inverter 1645964,229166666745964,229166666745965,625</t>
  </si>
  <si>
    <t xml:space="preserve">BC Vazante1.2Inverter 1745964,229166666745964,229166666745965,625</t>
  </si>
  <si>
    <t xml:space="preserve">BC Vazante1.3Inversor 145964,229166666745964,229166666745965,625</t>
  </si>
  <si>
    <t xml:space="preserve">BC Vazante1.3Inversor 245964,229166666745964,229166666745965,625</t>
  </si>
  <si>
    <t xml:space="preserve">BC Vazante1.3Inversor 345964,229166666745964,229166666745965,625</t>
  </si>
  <si>
    <t xml:space="preserve">BC Vazante1.3Inversor 445964,229166666745964,229166666745965,625</t>
  </si>
  <si>
    <t xml:space="preserve">BC Vazante1.3Inversor 545964,229166666745964,229166666745965,625</t>
  </si>
  <si>
    <t xml:space="preserve">BC Vazante1.3Inversor 645964,229166666745964,229166666745965,625</t>
  </si>
  <si>
    <t xml:space="preserve">BC Vazante1.3Inversor 745964,229166666745964,229166666745965,625</t>
  </si>
  <si>
    <t xml:space="preserve">BC Vazante1.3Inversor 845964,229166666745964,229166666745965,625</t>
  </si>
  <si>
    <t xml:space="preserve">BC Vazante1.3Inversor 945964,229166666745964,229166666745965,625</t>
  </si>
  <si>
    <t xml:space="preserve">BC Vazante2.1Inverter(MBUS-1)45964,229166666745964,229166666745965,625</t>
  </si>
  <si>
    <t xml:space="preserve">BC Vazante2.1Inverter(MBUS-2)45964,229166666745964,229166666745965,625</t>
  </si>
  <si>
    <t xml:space="preserve">BC Vazante2.1Inverter(MBUS-4)45964,229166666745964,229166666745965,625</t>
  </si>
  <si>
    <t xml:space="preserve">BC Vazante2.1Inverter(MBUS-5)45964,229166666745964,229166666745965,625</t>
  </si>
  <si>
    <t xml:space="preserve">BC Vazante2.1Inverter(MBUS-12)45964,229166666745964,229166666745965,625</t>
  </si>
  <si>
    <t xml:space="preserve">BC Vazante2.2Inverter(MBUS-1)45964,229166666745964,229166666745965,625</t>
  </si>
  <si>
    <t xml:space="preserve">BC Vazante2.2Inverter(MBUS-6)45964,229166666745964,229166666745965,625</t>
  </si>
  <si>
    <t xml:space="preserve">BC Vazante2.2Inverter(MBUS-7)45964,229166666745964,229166666745965,625</t>
  </si>
  <si>
    <t xml:space="preserve">BC Vazante2.2Inverter(MBUS-8)45964,229166666745964,229166666745965,625</t>
  </si>
  <si>
    <t xml:space="preserve">BC Vazante2.2Inverter(MBUS-10)45964,229166666745964,229166666745965,625</t>
  </si>
  <si>
    <t xml:space="preserve">BC Vazante2.3Inverter(MBUS-11)45964,229166666745964,229166666745965,625</t>
  </si>
  <si>
    <t xml:space="preserve">BC Vazante2.3Inverter(MBUS-12)45964,229166666745964,229166666745965,625</t>
  </si>
  <si>
    <t xml:space="preserve">BC Vazante2.3Inverter(MBUS-13)45964,229166666745964,229166666745965,625</t>
  </si>
  <si>
    <t xml:space="preserve">BC Aracu5.1Inverter(MBUS-1)45964,2545964,2545964,3333333333</t>
  </si>
  <si>
    <t xml:space="preserve">BC Aracu5.2Inverter(MBUS-1)45964,2545964,2545964,3333333333</t>
  </si>
  <si>
    <t xml:space="preserve">BC Aracu5.3Inverter(MBUS-1)45964,2545964,2545964,3333333333</t>
  </si>
  <si>
    <t xml:space="preserve">BC Aracu5.4Inverter(MBUS-1)45964,2545964,2545964,3333333333</t>
  </si>
  <si>
    <t xml:space="preserve">BC Aracu5.5Inverter(MBUS-1)45964,2545964,2545964,3333333333</t>
  </si>
  <si>
    <t xml:space="preserve">Queda do disjuntor, após oscilação da rede, muita chuva.</t>
  </si>
  <si>
    <t xml:space="preserve">Foi feito inspeção em todo complexo, checado nível de tensão e rearmado disjuntor.</t>
  </si>
  <si>
    <t xml:space="preserve">BC Aracu4SG75CX(COM1-018)_001_01845964,2545964,2545964,3333333333</t>
  </si>
  <si>
    <t xml:space="preserve">SG75CX(COM1-018)_001_019</t>
  </si>
  <si>
    <t xml:space="preserve">BC Aracu4SG75CX(COM1-018)_001_01945964,2545964,2545964,3333333333</t>
  </si>
  <si>
    <t xml:space="preserve">SG75CX(COM1-018)_001_020</t>
  </si>
  <si>
    <t xml:space="preserve">BC Aracu4SG75CX(COM1-018)_001_02045964,2545964,2545964,3333333333</t>
  </si>
  <si>
    <t xml:space="preserve">SG75CX(COM1-018)_001_021</t>
  </si>
  <si>
    <t xml:space="preserve">BC Aracu4SG75CX(COM1-018)_001_02145964,2545964,2545964,3333333333</t>
  </si>
  <si>
    <t xml:space="preserve">Inverter79</t>
  </si>
  <si>
    <t xml:space="preserve">Baixa resistência de isolamento do sist.</t>
  </si>
  <si>
    <t xml:space="preserve">BC Aracu1Inverter7945964,298923611145964,298923611145964,305162037</t>
  </si>
  <si>
    <t xml:space="preserve">DAUINV</t>
  </si>
  <si>
    <t xml:space="preserve">Após descaga atmosférica e queda da rede, verificou-se que o TP de medição do quadro geral encontrava-se danificado, ocasionando a queda da UFV e a indisponibilidade do sistema de CFTV.</t>
  </si>
  <si>
    <t xml:space="preserve">A supervisão foi informada e, em seguida, foi iniciada a tratativa para substituição do equipamento danificado. Após a troca do TP, realizou-se nova inspeção nos demais componentes e, com tudo em conformidade, a usina foi religada com sucesso.</t>
  </si>
  <si>
    <t xml:space="preserve">BC Camarao1.1Inverter(MBUS-1)45964,319444444445964,319444444445964,625</t>
  </si>
  <si>
    <t xml:space="preserve">BC Camarao1.1215KTL-H3(MBUS-12)45964,319444444445964,319444444445964,625</t>
  </si>
  <si>
    <t xml:space="preserve">BC Camarao1.1215KTL-H3(MBUS-13)45964,319444444445964,319444444445964,625</t>
  </si>
  <si>
    <t xml:space="preserve">BC Camarao1.1215KTL-H3(MBUS-16)45964,319444444445964,319444444445964,625</t>
  </si>
  <si>
    <t xml:space="preserve">BC Camarao1.1215KTL-H3(MBUS-15)45964,319444444445964,319444444445964,625</t>
  </si>
  <si>
    <t xml:space="preserve">BC Camarao1.2Inv. 445964,319444444445964,319444444445964,625</t>
  </si>
  <si>
    <t xml:space="preserve">BC Camarao1.2Inverter(MBUS-16)45964,319444444445964,319444444445964,625</t>
  </si>
  <si>
    <t xml:space="preserve">BC Camarao1.2Inverter(MBUS-12)45964,319444444445964,319444444445964,625</t>
  </si>
  <si>
    <t xml:space="preserve">BC Camarao1.2Inv. 345964,319444444445964,319444444445964,625</t>
  </si>
  <si>
    <t xml:space="preserve">BC Camarao1.2Inverter(MBUS-1)45964,319444444445964,319444444445964,625</t>
  </si>
  <si>
    <t xml:space="preserve">BC Camarao1.3215KTL-H3(MBUS-16)45964,319444444445964,319444444445964,625</t>
  </si>
  <si>
    <t xml:space="preserve">BC Camarao1.3215KTL-H3(MBUS-14)45964,319444444445964,319444444445964,625</t>
  </si>
  <si>
    <t xml:space="preserve">BC Camarao1.3215KTL-H3(MBUS-15)45964,319444444445964,319444444445964,625</t>
  </si>
  <si>
    <t xml:space="preserve">BC Camarao1.3215KTL-H3(MBUS-12)45964,319444444445964,319444444445964,625</t>
  </si>
  <si>
    <t xml:space="preserve">BC Camarao1.3215KTL-H3(MBUS-13)45964,319444444445964,319444444445964,625</t>
  </si>
  <si>
    <t xml:space="preserve">BC Camarao1.4inv. 145964,319444444445964,319444444445964,625</t>
  </si>
  <si>
    <t xml:space="preserve">BC Camarao1.4215KTL-H3(MBUS-14)45964,319444444445964,319444444445964,625</t>
  </si>
  <si>
    <t xml:space="preserve">BC Camarao1.4215KTL-H3(MBUS-13)45964,319444444445964,319444444445964,625</t>
  </si>
  <si>
    <t xml:space="preserve">BC Camarao1.4215KTL-H3(MBUS-16)45964,319444444445964,319444444445964,625</t>
  </si>
  <si>
    <t xml:space="preserve">BC Camarao1.4215KTL-H3(MBUS-15)45964,319444444445964,319444444445964,625</t>
  </si>
  <si>
    <t xml:space="preserve">BC Camarao1.5215KTL-H3(MBUS-15)45964,319444444445964,319444444445964,625</t>
  </si>
  <si>
    <t xml:space="preserve">BC Camarao1.5Inverter(MBUS-1)45964,319444444445964,319444444445964,625</t>
  </si>
  <si>
    <t xml:space="preserve">BC Camarao1.5215KTL-H3(MBUS-13)45964,319444444445964,319444444445964,625</t>
  </si>
  <si>
    <t xml:space="preserve">BC Camarao1.5215KTL-H3(MBUS-12)45964,319444444445964,319444444445964,625</t>
  </si>
  <si>
    <t xml:space="preserve">BC Camarao1.5Inverter(MBUS-14)45964,319444444445964,319444444445964,625</t>
  </si>
  <si>
    <t xml:space="preserve">BC Aracu1Inverter7945964,326770833345964,326770833345964,3337152778</t>
  </si>
  <si>
    <t xml:space="preserve">ARAGUATINS 2.1Inverter(MBUS-13)45964,384722222245964,384722222245965,2395833333</t>
  </si>
  <si>
    <t xml:space="preserve">ARAGUATINS 2.1Inverter(MBUS-12)45964,384722222245964,384722222245965,2395833333</t>
  </si>
  <si>
    <t xml:space="preserve">ARAGUATINS 2.1Inverter(MBUS-15)45964,384722222245964,384722222245965,2395833333</t>
  </si>
  <si>
    <t xml:space="preserve">ARAGUATINS 2.1Inverter(MBUS-14)45964,384722222245964,384722222245965,2395833333</t>
  </si>
  <si>
    <t xml:space="preserve">ARAGUATINS 2.2Inverter(MBUS-15)45964,384722222245964,384722222245965,2395833333</t>
  </si>
  <si>
    <t xml:space="preserve">ARAGUATINS 2.2Inverter(MBUS-13)45964,384722222245964,384722222245965,2395833333</t>
  </si>
  <si>
    <t xml:space="preserve">ARAGUATINS 2.2Inverter(MBUS-14)45964,384722222245964,384722222245965,2395833333</t>
  </si>
  <si>
    <t xml:space="preserve">ARAGUATINS 2.2Inverter(MBUS-12)45964,384722222245964,384722222245965,2395833333</t>
  </si>
  <si>
    <t xml:space="preserve">BC Rio Monte1Inverter4145964,386111111145964,386111111145964,4368055556</t>
  </si>
  <si>
    <t xml:space="preserve">BC Rio Monte1Inverter4745964,386111111145964,386111111145964,4368055556</t>
  </si>
  <si>
    <t xml:space="preserve">BC Rio Monte1Inverter3545964,386111111145964,386111111145964,4368055556</t>
  </si>
  <si>
    <t xml:space="preserve">BC Rio Monte1Inverter3645964,386111111145964,386111111145964,4368055556</t>
  </si>
  <si>
    <t xml:space="preserve">BC Rio Monte1Inverter3145964,386111111145964,386111111145964,4368055556</t>
  </si>
  <si>
    <t xml:space="preserve">BC Rio Monte1Inverter3345964,386111111145964,386111111145964,4368055556</t>
  </si>
  <si>
    <t xml:space="preserve">BC Rio Monte1Inverter3945964,386111111145964,386111111145964,4368055556</t>
  </si>
  <si>
    <t xml:space="preserve">BC Rio Monte1Inverter3245964,386111111145964,386111111145964,4368055556</t>
  </si>
  <si>
    <t xml:space="preserve">BC Rio Monte1Inverter4045964,386111111145964,386111111145964,4368055556</t>
  </si>
  <si>
    <t xml:space="preserve">BC Rio Monte1Inverter3445964,386111111145964,386111111145964,4368055556</t>
  </si>
  <si>
    <t xml:space="preserve">BC Rio Monte1Inverter4145964,545138888945964,545138888945964,6125</t>
  </si>
  <si>
    <t xml:space="preserve">BC Rio Monte1Inverter4745964,545138888945964,545138888945964,6125</t>
  </si>
  <si>
    <t xml:space="preserve">BC Rio Monte1Inverter3545964,545138888945964,545138888945964,6125</t>
  </si>
  <si>
    <t xml:space="preserve">BC Rio Monte1Inverter3645964,545138888945964,545138888945964,6125</t>
  </si>
  <si>
    <t xml:space="preserve">BC Rio Monte1Inverter3145964,545138888945964,545138888945964,6125</t>
  </si>
  <si>
    <t xml:space="preserve">BC Rio Monte1Inverter3345964,545138888945964,545138888945964,6125</t>
  </si>
  <si>
    <t xml:space="preserve">BC Rio Monte1Inverter3945964,545138888945964,545138888945964,6125</t>
  </si>
  <si>
    <t xml:space="preserve">BC Rio Monte1Inverter3245964,545138888945964,545138888945964,6125</t>
  </si>
  <si>
    <t xml:space="preserve">BC Rio Monte1Inverter4045964,545138888945964,545138888945964,6125</t>
  </si>
  <si>
    <t xml:space="preserve">BC Rio Monte1Inverter3445964,545138888945964,545138888945964,6125</t>
  </si>
  <si>
    <t xml:space="preserve">BC Rio Bonito2INV-00145964,5812545964,5812545964,6041666667</t>
  </si>
  <si>
    <t xml:space="preserve">BC Rio Bonito2INV-00245964,5812545964,5812545964,6041666667</t>
  </si>
  <si>
    <t xml:space="preserve">BC Rio Bonito2INV-00345964,5812545964,5812545964,6041666667</t>
  </si>
  <si>
    <t xml:space="preserve">BC Rio Bonito2INV-00445964,5812545964,5812545964,6041666667</t>
  </si>
  <si>
    <t xml:space="preserve">BC Rio Bonito1SG36KTL-M-17_001_01745964,5812545964,5812545964,6041666667</t>
  </si>
  <si>
    <t xml:space="preserve">BC Rio Bonito1SG60KTL-10_001_01045964,5812545964,5812545964,6041666667</t>
  </si>
  <si>
    <t xml:space="preserve">BC Rio Bonito1SG60KTL-11_001_01145964,5812545964,5812545964,6041666667</t>
  </si>
  <si>
    <t xml:space="preserve">BC Rio Bonito1SG60KTL-12_001_01245964,5812545964,5812545964,6041666667</t>
  </si>
  <si>
    <t xml:space="preserve">BC Rio Bonito1SG60KTL-13_001_01345964,5812545964,5812545964,6041666667</t>
  </si>
  <si>
    <t xml:space="preserve">BC Rio Bonito1SG60KTL-14_001_01445964,5812545964,5812545964,6041666667</t>
  </si>
  <si>
    <t xml:space="preserve">BC Rio Bonito1SG60KTL-15_001_01545964,5812545964,5812545964,6041666667</t>
  </si>
  <si>
    <t xml:space="preserve">BC Rio Bonito1SG60KTL-16_001_01645964,5812545964,5812545964,6041666667</t>
  </si>
  <si>
    <t xml:space="preserve">BC Rio Bonito1SG60KTL-1_001_00145964,5812545964,5812545964,6041666667</t>
  </si>
  <si>
    <t xml:space="preserve">BC Rio Bonito1SG60KTL-2_001_00245964,5812545964,5812545964,6041666667</t>
  </si>
  <si>
    <t xml:space="preserve">BC Rio Bonito1SG60KTL-3_001_00345964,5812545964,5812545964,6041666667</t>
  </si>
  <si>
    <t xml:space="preserve">BC Rio Bonito1SG60KTL-4_001_00445964,5812545964,5812545964,6041666667</t>
  </si>
  <si>
    <t xml:space="preserve">BC Rio Bonito1SG60KTL-5_001_00545964,5812545964,5812545964,6041666667</t>
  </si>
  <si>
    <t xml:space="preserve">BC Rio Bonito1SG60KTL-6_001_00645964,5812545964,5812545964,6041666667</t>
  </si>
  <si>
    <t xml:space="preserve">BC Rio Bonito1SG60KTL-7_001_00745964,5812545964,5812545964,6041666667</t>
  </si>
  <si>
    <t xml:space="preserve">BC Rio Bonito1SG60KTL-8_001_00845964,5812545964,5812545964,6041666667</t>
  </si>
  <si>
    <t xml:space="preserve">BC Rio Bonito1SG60KTL-9_001_00945964,5812545964,5812545964,6041666667</t>
  </si>
  <si>
    <t xml:space="preserve">BC Aracu1Inverter7945965,269710648245965,269710648245965,2766435185</t>
  </si>
  <si>
    <t xml:space="preserve">Inverter84</t>
  </si>
  <si>
    <t xml:space="preserve">BC Aracu1Inverter8445965,269942129645965,269942129645965,2768865741</t>
  </si>
  <si>
    <t xml:space="preserve">Inverter81</t>
  </si>
  <si>
    <t xml:space="preserve">BC Aracu1Inverter8145965,270023148245965,270023148245965,2769907407</t>
  </si>
  <si>
    <t xml:space="preserve">BC Caiaponia1SG60KTL(COM1-001)_001_00745965,270833333345965,270833333345965,3402777778</t>
  </si>
  <si>
    <t xml:space="preserve">BC Caiaponia1SG60KTL(COM1-002)_001_01045965,270833333345965,270833333345965,3402777778</t>
  </si>
  <si>
    <t xml:space="preserve">BC Caiaponia1SG60KTL(COM1-003)_001_01145965,270833333345965,270833333345965,3402777778</t>
  </si>
  <si>
    <t xml:space="preserve">BC Caiaponia1SG60KTL(COM1-004)_001_01445965,270833333345965,270833333345965,3402777778</t>
  </si>
  <si>
    <t xml:space="preserve">BC Caiaponia1SG60KTL(COM1-005)_001_01745965,270833333345965,270833333345965,3402777778</t>
  </si>
  <si>
    <t xml:space="preserve">BC Caiaponia1SG60KTL(COM1-006)_001_01645965,270833333345965,270833333345965,3402777778</t>
  </si>
  <si>
    <t xml:space="preserve">BC Caiaponia1SG60KTL(COM1-007)_001_01345965,270833333345965,270833333345965,3402777778</t>
  </si>
  <si>
    <t xml:space="preserve">BC Caiaponia1SG60KTL(COM1-008)_001_00145965,270833333345965,270833333345965,3402777778</t>
  </si>
  <si>
    <t xml:space="preserve">BC Caiaponia1SG60KTL(COM1-009)45965,270833333345965,270833333345965,3402777778</t>
  </si>
  <si>
    <t xml:space="preserve">BC Caiaponia1SG60KTL(COM1-010)45965,270833333345965,270833333345965,3402777778</t>
  </si>
  <si>
    <t xml:space="preserve">BC Caiaponia1SG60KTL(COM1-011)45965,270833333345965,270833333345965,3402777778</t>
  </si>
  <si>
    <t xml:space="preserve">BC Caiaponia1SG60KTL(COM1-012)45965,270833333345965,270833333345965,3402777778</t>
  </si>
  <si>
    <t xml:space="preserve">BC Caiaponia1SG60KTL(COM1-013)45965,270833333345965,270833333345965,3402777778</t>
  </si>
  <si>
    <t xml:space="preserve">BC Caiaponia1SG60KTL(COM1-014)45965,270833333345965,270833333345965,3402777778</t>
  </si>
  <si>
    <t xml:space="preserve">BC Caiaponia1SG60KTL(COM1-015)45965,270833333345965,270833333345965,3402777778</t>
  </si>
  <si>
    <t xml:space="preserve">BC Caiaponia1SG60KTL(COM3-016)_001_00945965,270833333345965,270833333345965,3402777778</t>
  </si>
  <si>
    <t xml:space="preserve">BC Caiaponia1SG60KTL(COM3-017)_001_01245965,270833333345965,270833333345965,3402777778</t>
  </si>
  <si>
    <t xml:space="preserve">BC Caiaponia1SG60KTL(COM3-018)_001_00845965,270833333345965,270833333345965,3402777778</t>
  </si>
  <si>
    <t xml:space="preserve">BC Caiaponia1SG60KTL(COM3-019)_001_01945965,270833333345965,270833333345965,3402777778</t>
  </si>
  <si>
    <t xml:space="preserve">BC Caiaponia1SG60KTL(COM3-020)_001_02045965,270833333345965,270833333345965,3402777778</t>
  </si>
  <si>
    <t xml:space="preserve">BC Caiaponia1SG60KTL(COM2-026)45965,270833333345965,270833333345965,3402777778</t>
  </si>
  <si>
    <t xml:space="preserve">BC Caiaponia1SG60KTL(COM2-027)45965,270833333345965,270833333345965,3402777778</t>
  </si>
  <si>
    <t xml:space="preserve">BC Caiaponia1SG60KTL(COM2-028)45965,270833333345965,270833333345965,3402777778</t>
  </si>
  <si>
    <t xml:space="preserve">BC Caiaponia1SG60KTL(COM2-029)45965,270833333345965,270833333345965,3402777778</t>
  </si>
  <si>
    <t xml:space="preserve">BC Caiaponia1SG50CX(COM1-021)45965,270833333345965,270833333345965,3402777778</t>
  </si>
  <si>
    <t xml:space="preserve">BC Caiaponia1SG50CX(COM1-022)45965,270833333345965,270833333345965,3402777778</t>
  </si>
  <si>
    <t xml:space="preserve">BC Caiaponia1SG50CX(COM1-023)45965,270833333345965,270833333345965,3402777778</t>
  </si>
  <si>
    <t xml:space="preserve">BC Caiaponia1SG50CX(COM1-024)45965,270833333345965,270833333345965,3402777778</t>
  </si>
  <si>
    <t xml:space="preserve">BC Caiaponia1SG50CX(COM1-025)45965,270833333345965,270833333345965,3402777778</t>
  </si>
  <si>
    <t xml:space="preserve">BC Caiaponia2.1215KTL-H3(MBUS-12)45965,270833333345965,270833333345965,3402777778</t>
  </si>
  <si>
    <t xml:space="preserve">BC Caiaponia2.1215KTL-H3(MBUS-13)45965,270833333345965,270833333345965,3402777778</t>
  </si>
  <si>
    <t xml:space="preserve">BC Caiaponia2.1215KTL-H3(MBUS-14)45965,270833333345965,270833333345965,3402777778</t>
  </si>
  <si>
    <t xml:space="preserve">BC Caiaponia2.1215KTL-H3(MBUS-15)45965,270833333345965,270833333345965,3402777778</t>
  </si>
  <si>
    <t xml:space="preserve">BC Caiaponia2.1215KTL-H3(MBUS-16)45965,270833333345965,270833333345965,3402777778</t>
  </si>
  <si>
    <t xml:space="preserve">BC Caiaponia2.2215KTL-H3(MBUS-12)45965,270833333345965,270833333345965,3402777778</t>
  </si>
  <si>
    <t xml:space="preserve">BC Caiaponia2.2215KTL-H3(MBUS-13)45965,270833333345965,270833333345965,3402777778</t>
  </si>
  <si>
    <t xml:space="preserve">BC Caiaponia2.2215KTL-H3(MBUS-14)45965,270833333345965,270833333345965,3402777778</t>
  </si>
  <si>
    <t xml:space="preserve">BC Caiaponia2.2215KTL-H3(MBUS-15)45965,270833333345965,270833333345965,3402777778</t>
  </si>
  <si>
    <t xml:space="preserve">BC Caiaponia2.2215KTL-H3(MBUS-16)45965,270833333345965,270833333345965,3402777778</t>
  </si>
  <si>
    <t xml:space="preserve">BC Caiaponia2.3215KTL-H3(MBUS-12)45965,270833333345965,270833333345965,3402777778</t>
  </si>
  <si>
    <t xml:space="preserve">BC Caiaponia2.3215KTL-H3(MBUS-13)45965,270833333345965,270833333345965,3402777778</t>
  </si>
  <si>
    <t xml:space="preserve">BC Caiaponia2.3215KTL-H3(MBUS-14)45965,270833333345965,270833333345965,3402777778</t>
  </si>
  <si>
    <t xml:space="preserve">BC Caiaponia2.3215KTL-H3(MBUS-15)45965,270833333345965,270833333345965,3402777778</t>
  </si>
  <si>
    <t xml:space="preserve">BC Caiaponia2.3215KTL-H3(MBUS-16)45965,270833333345965,270833333345965,3402777778</t>
  </si>
  <si>
    <t xml:space="preserve">BC Rio Monte1Inverter4145965,270833333345965,270833333345965,3555555556</t>
  </si>
  <si>
    <t xml:space="preserve">BC Rio Monte1Inverter4745965,270833333345965,270833333345965,3555555556</t>
  </si>
  <si>
    <t xml:space="preserve">BC Rio Monte1Inverter3545965,270833333345965,270833333345965,3555555556</t>
  </si>
  <si>
    <t xml:space="preserve">BC Rio Monte1Inverter3645965,270833333345965,270833333345965,3555555556</t>
  </si>
  <si>
    <t xml:space="preserve">BC Rio Monte1Inverter3145965,270833333345965,270833333345965,3555555556</t>
  </si>
  <si>
    <t xml:space="preserve">BC Rio Monte1Inverter3345965,270833333345965,270833333345965,3555555556</t>
  </si>
  <si>
    <t xml:space="preserve">BC Rio Monte1Inverter3945965,270833333345965,270833333345965,3555555556</t>
  </si>
  <si>
    <t xml:space="preserve">BC Rio Monte1Inverter3245965,270833333345965,270833333345965,3555555556</t>
  </si>
  <si>
    <t xml:space="preserve">BC Rio Monte1Inverter4045965,270833333345965,270833333345965,3555555556</t>
  </si>
  <si>
    <t xml:space="preserve">BC Rio Monte1Inverter3445965,270833333345965,270833333345965,3555555556</t>
  </si>
  <si>
    <t xml:space="preserve">Desligamento programado da usina para a execução da substituição do QG (Quadro Geral ), adequação solicitada nas adequações ao pós closing. O serviço será realizado pela empresa terceirizada Power Sys, conforme planejamento de manutenção corretiva.</t>
  </si>
  <si>
    <t xml:space="preserve">Considerado manutenção corretiva, mas é uma melhoria solicitada no pós closing. Após manutenção, foi realizada a amanobra para normalização da geração do ativo.</t>
  </si>
  <si>
    <t xml:space="preserve">BC BomSucessoSG60KTL45965,4687545965,4687545972,6597222222</t>
  </si>
  <si>
    <t xml:space="preserve">DPRUFV</t>
  </si>
  <si>
    <t xml:space="preserve">BC BomSucessoABB_0145965,4687545965,4687545972,6597222222</t>
  </si>
  <si>
    <t xml:space="preserve">BC BomSucessoABB_0245965,4687545965,4687545972,6597222222</t>
  </si>
  <si>
    <t xml:space="preserve">BC BomSucessoABB_0345965,4687545965,4687545972,6597222222</t>
  </si>
  <si>
    <t xml:space="preserve">BC BomSucessoABB_0445965,4687545965,4687545972,6597222222</t>
  </si>
  <si>
    <t xml:space="preserve">BC BomSucessoABB_0545965,4687545965,4687545972,6597222222</t>
  </si>
  <si>
    <t xml:space="preserve">BC BomSucessoABB_0645965,4687545965,4687545972,6597222222</t>
  </si>
  <si>
    <t xml:space="preserve">BC BomSucessoABB_0745965,4687545965,4687545972,6597222222</t>
  </si>
  <si>
    <t xml:space="preserve">BC BomSucessoABB_0845965,4687545965,4687545972,6597222222</t>
  </si>
  <si>
    <t xml:space="preserve">BC BomSucessoABB_0945965,4687545965,4687545972,6597222222</t>
  </si>
  <si>
    <t xml:space="preserve">BC BomSucessoABB_1045965,4687545965,4687545972,6597222222</t>
  </si>
  <si>
    <t xml:space="preserve">BC BomSucessoABB_1145965,4687545965,4687545972,6597222222</t>
  </si>
  <si>
    <t xml:space="preserve">Internet</t>
  </si>
  <si>
    <t xml:space="preserve">BC Clareira1.1Inverter(MBUS-12)45965,576388888945965,576388888945965,6006944444</t>
  </si>
  <si>
    <t xml:space="preserve">LIGRFOINT</t>
  </si>
  <si>
    <t xml:space="preserve">BC Clareira1.1Inverter(MBUS-13)45965,576388888945965,576388888945965,6006944444</t>
  </si>
  <si>
    <t xml:space="preserve">BC Clareira1.1	Inverter(MBUS-14)45965,576388888945965,576388888945965,6006944444</t>
  </si>
  <si>
    <t xml:space="preserve">BC Clareira1.1	Inverter(MBUS-15)45965,576388888945965,576388888945965,6006944444</t>
  </si>
  <si>
    <t xml:space="preserve">BC Clareira1.1Inverter(MBUS-16)45965,576388888945965,576388888945965,6006944444</t>
  </si>
  <si>
    <t xml:space="preserve">BC Clareira1.2	215KTL-H3(MBUS-12)45965,576388888945965,576388888945965,6006944444</t>
  </si>
  <si>
    <t xml:space="preserve">BC Clareira1.2	215KTL-H3(MBUS-13)45965,576388888945965,576388888945965,6006944444</t>
  </si>
  <si>
    <t xml:space="preserve">BC Clareira1.2100KTL-H1(MBUS-14)45965,576388888945965,576388888945965,6006944444</t>
  </si>
  <si>
    <t xml:space="preserve">Falta de tensão da rede da concessionária. Relá atuado em 81.</t>
  </si>
  <si>
    <t xml:space="preserve">BC Formoso2.2Inverter(MBUS-14)45966,253472222245966,253472222245966,3083333333</t>
  </si>
  <si>
    <t xml:space="preserve">Relé atuado em 81.</t>
  </si>
  <si>
    <t xml:space="preserve">BC Formoso2.2Inverter(MBUS-13)45966,253472222245966,253472222245966,3083333333</t>
  </si>
  <si>
    <t xml:space="preserve">BC Formoso2.2Inverter(MBUS-12)45966,253472222245966,253472222245966,3083333333</t>
  </si>
  <si>
    <t xml:space="preserve">BC Formoso2.2Inverter(MBUS-1)45966,253472222245966,253472222245966,3083333333</t>
  </si>
  <si>
    <t xml:space="preserve">BC Formoso1.2Inverter(MBUS-13)45966,253472222245966,253472222245966,3083333333</t>
  </si>
  <si>
    <t xml:space="preserve">BC Formoso1.2Inverter(MBUS-12)45966,253472222245966,253472222245966,3083333333</t>
  </si>
  <si>
    <t xml:space="preserve">BC Formoso1.2Inverter(MBUS-15)45966,253472222245966,253472222245966,3083333333</t>
  </si>
  <si>
    <t xml:space="preserve">BC Formoso1.2Inverter(MBUS-14)45966,253472222245966,253472222245966,3083333333</t>
  </si>
  <si>
    <t xml:space="preserve">BC Formoso1.3Inverter(MBUS-13)45966,253472222245966,253472222245966,3083333333</t>
  </si>
  <si>
    <t xml:space="preserve">BC Formoso1.3Inverter(MBUS-12)45966,253472222245966,253472222245966,3083333333</t>
  </si>
  <si>
    <t xml:space="preserve">UFV online porém sem dados de potência no sistema de monitoramento Isolarcloud.</t>
  </si>
  <si>
    <t xml:space="preserve">Usina voltou a subir os dados sozinha, auto-restart.</t>
  </si>
  <si>
    <t xml:space="preserve">BC Panama1.1CEREAL_00245966,256944444445966,256944444445966,3506944444</t>
  </si>
  <si>
    <t xml:space="preserve">LIGRFOCOM</t>
  </si>
  <si>
    <t xml:space="preserve">BC Panama1.1ITAPOAN 001 (COM1-001)_001_00145966,256944444445966,256944444445966,3506944444</t>
  </si>
  <si>
    <t xml:space="preserve">BC Panama1.1ITAPOAN_00345966,256944444445966,256944444445966,3506944444</t>
  </si>
  <si>
    <t xml:space="preserve">BC Aracu1Inverter7945966,261388888945966,261388888945966,2683564815</t>
  </si>
  <si>
    <t xml:space="preserve">BC Aracu1Inverter8445966,261840277845966,261840277845966,2852314815</t>
  </si>
  <si>
    <t xml:space="preserve">BC Aracu1Inverter8145966,261863425945966,261863425945966,2852314815</t>
  </si>
  <si>
    <t xml:space="preserve">Inverter82</t>
  </si>
  <si>
    <t xml:space="preserve">BC Aracu1Inverter8245966,261932870445966,261932870445966,2852314815</t>
  </si>
  <si>
    <t xml:space="preserve">Desligamento programado da usina para realização dos ensaios elétricos nos cubículos de proteção e no  trafo de média tensão (Execução: Power Sys, empresa contratada) e aterramento do cercamento, conforme alinhado nas adequações ao pós closing.</t>
  </si>
  <si>
    <t xml:space="preserve">BC Rio Monte1Inverter4145966,306944444445966,306944444445966,7222222222</t>
  </si>
  <si>
    <t xml:space="preserve">BC Rio Monte1Inverter4745966,306944444445966,306944444445966,7222222222</t>
  </si>
  <si>
    <t xml:space="preserve">BC Rio Monte1Inverter3545966,306944444445966,306944444445966,7222222222</t>
  </si>
  <si>
    <t xml:space="preserve">BC Rio Monte1Inverter3645966,306944444445966,306944444445966,7222222222</t>
  </si>
  <si>
    <t xml:space="preserve">BC Rio Monte1Inverter3145966,306944444445966,306944444445966,7222222222</t>
  </si>
  <si>
    <t xml:space="preserve">BC Rio Monte1Inverter3345966,306944444445966,306944444445966,7222222222</t>
  </si>
  <si>
    <t xml:space="preserve">BC Rio Monte1Inverter3945966,306944444445966,306944444445966,7222222222</t>
  </si>
  <si>
    <t xml:space="preserve">BC Rio Monte1Inverter3245966,306944444445966,306944444445966,7222222222</t>
  </si>
  <si>
    <t xml:space="preserve">BC Rio Monte1Inverter4045966,306944444445966,306944444445966,7222222222</t>
  </si>
  <si>
    <t xml:space="preserve">BC Rio Monte1Inverter3445966,306944444445966,306944444445966,7222222222</t>
  </si>
  <si>
    <t xml:space="preserve">A usina foi desligada devido à atuação do relé de proteção, que indicou uma condição de subtensão temporária na rede. Esse evento ocasionou o desligamento dos inversores do complexo.</t>
  </si>
  <si>
    <t xml:space="preserve">BC Corumba1.1U01.I0245966,434722222245966,434722222245966,4479166667</t>
  </si>
  <si>
    <t xml:space="preserve">BC Corumba1.1U01.I0345966,434722222245966,434722222245966,4479166667</t>
  </si>
  <si>
    <t xml:space="preserve">BC Corumba1.1U01.I0445966,434722222245966,434722222245966,4479166667</t>
  </si>
  <si>
    <t xml:space="preserve">BC Corumba1.1U01.I0545966,434722222245966,434722222245966,4479166667</t>
  </si>
  <si>
    <t xml:space="preserve">BC Corumba1.2U02.I0245966,434722222245966,434722222245966,4479166667</t>
  </si>
  <si>
    <t xml:space="preserve">BC Corumba1.2U02.I0145966,434722222245966,434722222245966,4479166667</t>
  </si>
  <si>
    <t xml:space="preserve">BC Corumba1.2U02.I0345966,434722222245966,434722222245966,4479166667</t>
  </si>
  <si>
    <t xml:space="preserve">BC Corumba1.2U02.I0545966,434722222245966,434722222245966,4479166667</t>
  </si>
  <si>
    <t xml:space="preserve">BC Corumba1.2U02.I0445966,434722222245966,434722222245966,4479166667</t>
  </si>
  <si>
    <t xml:space="preserve">BC Corumba1.3U03.I0145966,434722222245966,434722222245966,4479166667</t>
  </si>
  <si>
    <t xml:space="preserve">BC Corumba1.3U03.I0345966,434722222245966,434722222245966,4479166667</t>
  </si>
  <si>
    <t xml:space="preserve">BC Corumba1.3U03.I0245966,434722222245966,434722222245966,4479166667</t>
  </si>
  <si>
    <t xml:space="preserve">BC Corumba2.1Inverter(MBUS-14)45966,434722222245966,434722222245966,4479166667</t>
  </si>
  <si>
    <t xml:space="preserve">BC Corumba2.1Inverter(MBUS-15)45966,434722222245966,434722222245966,4479166667</t>
  </si>
  <si>
    <t xml:space="preserve">BC Corumba2.1Inverter(MBUS-16)45966,434722222245966,434722222245966,4479166667</t>
  </si>
  <si>
    <t xml:space="preserve">BC Corumba2.1U01. I0145966,434722222245966,434722222245966,4479166667</t>
  </si>
  <si>
    <t xml:space="preserve">BC Corumba2.1U01. I0245966,434722222245966,434722222245966,4479166667</t>
  </si>
  <si>
    <t xml:space="preserve">BC Corumba2.2U02.I0145966,434722222245966,434722222245966,4479166667</t>
  </si>
  <si>
    <t xml:space="preserve">BC Corumba2.2U02.I0245966,434722222245966,434722222245966,4479166667</t>
  </si>
  <si>
    <t xml:space="preserve">BC Corumba2.2U02.I0345966,434722222245966,434722222245966,4479166667</t>
  </si>
  <si>
    <t xml:space="preserve">BC Corumba2.2U02.I0445966,434722222245966,434722222245966,4479166667</t>
  </si>
  <si>
    <t xml:space="preserve">BC Corumba2.2U02.I0545966,434722222245966,434722222245966,4479166667</t>
  </si>
  <si>
    <t xml:space="preserve">BC Corumba2.3U03.I0145966,434722222245966,434722222245966,4479166667</t>
  </si>
  <si>
    <t xml:space="preserve">BC Corumba2.3U03.I0245966,434722222245966,434722222245966,4479166667</t>
  </si>
  <si>
    <t xml:space="preserve">BC Corumba2.3U03.I0345966,434722222245966,434722222245966,4479166667</t>
  </si>
  <si>
    <t xml:space="preserve">Paranoá I</t>
  </si>
  <si>
    <t xml:space="preserve">Queda de rede da concessionária. Aberto protocolo na neoenergia brasília - 90502286.</t>
  </si>
  <si>
    <t xml:space="preserve">BC ParanoaSG60KTL(COM1-014)_001_01345966,62545966,62545966,7083333333</t>
  </si>
  <si>
    <t xml:space="preserve">BC ParanoaSG60KTL(COM1-013)_001_01045966,62545966,62545966,7083333333</t>
  </si>
  <si>
    <t xml:space="preserve">BC ParanoaSG60KTL(COM1-012)_001_01145966,62545966,62545966,7083333333</t>
  </si>
  <si>
    <t xml:space="preserve">BC ParanoaSG60KTL(COM1-011)_001_00545966,62545966,62545966,7083333333</t>
  </si>
  <si>
    <t xml:space="preserve">BC ParanoaSG60KTL(COM1-010)_001_00345966,62545966,62545966,7083333333</t>
  </si>
  <si>
    <t xml:space="preserve">BC ParanoaSG60KTL(COM1-018)_001_01245966,62545966,62545966,7083333333</t>
  </si>
  <si>
    <t xml:space="preserve">BC ParanoaSG60KTL(COM1-017)_001_00745966,62545966,62545966,7083333333</t>
  </si>
  <si>
    <t xml:space="preserve">BC ParanoaSG60KTL(COM1-016)_001_00645966,62545966,62545966,7083333333</t>
  </si>
  <si>
    <t xml:space="preserve">BC ParanoaSG50CX(COM2-015)_001_01745966,62545966,62545966,7083333333</t>
  </si>
  <si>
    <t xml:space="preserve">Paranoá II</t>
  </si>
  <si>
    <t xml:space="preserve">BC ParanoaSG60KTL(COM1-009)_001_00245966,62545966,62545966,7083333333</t>
  </si>
  <si>
    <t xml:space="preserve">BC ParanoaSG60KTL(COM1-008)_001_00945966,62545966,62545966,7083333333</t>
  </si>
  <si>
    <t xml:space="preserve">BC ParanoaSG60KTL(COM1-007)_001_00445966,62545966,62545966,7083333333</t>
  </si>
  <si>
    <t xml:space="preserve">BC ParanoaSG60KTL(COM1-006)_001_01445966,62545966,62545966,7083333333</t>
  </si>
  <si>
    <t xml:space="preserve">BC ParanoaSG40CX(COM2-005)_001_01545966,62545966,62545966,7083333333</t>
  </si>
  <si>
    <t xml:space="preserve">Paranoá III</t>
  </si>
  <si>
    <t xml:space="preserve">BC ParanoaSG60KTL(COM1-019)_002_00745966,62545966,62545966,7083333333</t>
  </si>
  <si>
    <t xml:space="preserve">BC ParanoaSG60KTL(COM1-020)_002_01145966,62545966,62545966,7083333333</t>
  </si>
  <si>
    <t xml:space="preserve">BC ParanoaSG60KTL(COM1-021)_002_01745966,62545966,62545966,7083333333</t>
  </si>
  <si>
    <t xml:space="preserve">BC ParanoaSG60KTL(COM1-022)_002_02045966,62545966,62545966,7083333333</t>
  </si>
  <si>
    <t xml:space="preserve">BC ParanoaSG40CX(COM2-023)_002_02445966,62545966,62545966,7083333333</t>
  </si>
  <si>
    <t xml:space="preserve">BC ParanoaSG40CX(COM2-024)_002_02245966,62545966,62545966,7083333333</t>
  </si>
  <si>
    <t xml:space="preserve">Paranoá IV</t>
  </si>
  <si>
    <t xml:space="preserve">BC ParanoaSG60KTL(COM1-007)_002_01345966,62545966,62545966,7083333333</t>
  </si>
  <si>
    <t xml:space="preserve">BC ParanoaSG60KTL(COM1-008)_002_00245966,62545966,62545966,7083333333</t>
  </si>
  <si>
    <t xml:space="preserve">BC ParanoaSG60KTL(COM1-009)_002_00845966,62545966,62545966,7083333333</t>
  </si>
  <si>
    <t xml:space="preserve">BC ParanoaSG60KTL(COM1-010)_002_00345966,62545966,62545966,7083333333</t>
  </si>
  <si>
    <t xml:space="preserve">BC ParanoaSG60KTL(COM1-011)_002_01045966,62545966,62545966,7083333333</t>
  </si>
  <si>
    <t xml:space="preserve">BC ParanoaSG60KTL(COM1-012)_002_00545966,62545966,62545966,7083333333</t>
  </si>
  <si>
    <t xml:space="preserve">Paranoá V</t>
  </si>
  <si>
    <t xml:space="preserve">BC ParanoaSG60KTL(COM1-001)_002_00645966,62545966,62545966,7083333333</t>
  </si>
  <si>
    <t xml:space="preserve">BC ParanoaSG60KTL(COM1-002)_002_01645966,62545966,62545966,7083333333</t>
  </si>
  <si>
    <t xml:space="preserve">BC ParanoaSG50CX(COM2-003)_002_02145966,62545966,62545966,7083333333</t>
  </si>
  <si>
    <t xml:space="preserve">Paranoá VI</t>
  </si>
  <si>
    <t xml:space="preserve">BC ParanoaSG50CX(COM2-004)_002_02345966,62545966,62545966,7083333333</t>
  </si>
  <si>
    <t xml:space="preserve">BC ParanoaSG60KTL(COM1-005)_002_00945966,62545966,62545966,7083333333</t>
  </si>
  <si>
    <t xml:space="preserve">BC ParanoaSG60KTL(COM1-006)_002_00145966,62545966,62545966,7083333333</t>
  </si>
  <si>
    <t xml:space="preserve">Paranoá VII</t>
  </si>
  <si>
    <t xml:space="preserve">BC ParanoaSG60KTL(COM1-013)_002_00445966,62545966,62545966,7083333333</t>
  </si>
  <si>
    <t xml:space="preserve">BC ParanoaSG60KTL(COM1-014)_002_01945966,62545966,62545966,7083333333</t>
  </si>
  <si>
    <t xml:space="preserve">BC ParanoaSG60KTL(COM1-015)_002_01845966,62545966,62545966,7083333333</t>
  </si>
  <si>
    <t xml:space="preserve">BC ParanoaSG60KTL(COM1-016)_002_01445966,62545966,62545966,7083333333</t>
  </si>
  <si>
    <t xml:space="preserve">BC ParanoaSG60KTL(COM1-017)_002_01545966,62545966,62545966,7083333333</t>
  </si>
  <si>
    <t xml:space="preserve">BC ParanoaSG60KTL(COM1-018)_002_01245966,62545966,62545966,7083333333</t>
  </si>
  <si>
    <t xml:space="preserve">Paranoá VIII</t>
  </si>
  <si>
    <t xml:space="preserve">BC ParanoaSG50CX(COM2-004)_001_01845966,62545966,62545966,7083333333</t>
  </si>
  <si>
    <t xml:space="preserve">BC ParanoaSG50CX(COM2-003)_001_01645966,62545966,62545966,7083333333</t>
  </si>
  <si>
    <t xml:space="preserve">BC ParanoaSG60KTL(COM1-002)_001_00845966,62545966,62545966,7083333333</t>
  </si>
  <si>
    <t xml:space="preserve">BC Aracu1Inverter7945967,263182870445967,263182870445967,2701273148</t>
  </si>
  <si>
    <t xml:space="preserve">BC Aracu1Inverter8445967,263483796345967,263483796345967,2990740741</t>
  </si>
  <si>
    <t xml:space="preserve">Falta de tensão da rede da concessionária, chaves seccionadoras abertas devido a queda de poste na quadra da usina.</t>
  </si>
  <si>
    <t xml:space="preserve">Após manutenção da concessionária, usina pôde ser normalizada.</t>
  </si>
  <si>
    <t xml:space="preserve">BC Panama1.1CEREAL_00245967,268055555645967,268055555645972,2326388889</t>
  </si>
  <si>
    <t xml:space="preserve">DEMRDE</t>
  </si>
  <si>
    <t xml:space="preserve">BC Panama1.1ITAPOAN 001 (COM1-001)_001_00145967,268055555645967,268055555645972,2326388889</t>
  </si>
  <si>
    <t xml:space="preserve">BC Panama1.1ITAPOAN_00345967,268055555645967,268055555645972,2326388889</t>
  </si>
  <si>
    <t xml:space="preserve">Falta de tensão da rede da concessionária. Relá atuado em 27AB.</t>
  </si>
  <si>
    <t xml:space="preserve">BC Caiaponia1SG60KTL(COM1-001)_001_00745967,272222222245967,272222222245967,3020833333</t>
  </si>
  <si>
    <t xml:space="preserve">BC Caiaponia1SG60KTL(COM1-002)_001_01045967,272222222245967,272222222245967,3020833333</t>
  </si>
  <si>
    <t xml:space="preserve">BC Caiaponia1SG60KTL(COM1-003)_001_01145967,272222222245967,272222222245967,3020833333</t>
  </si>
  <si>
    <t xml:space="preserve">BC Caiaponia1SG60KTL(COM1-004)_001_01445967,272222222245967,272222222245967,3020833333</t>
  </si>
  <si>
    <t xml:space="preserve">BC Caiaponia1SG60KTL(COM1-005)_001_01745967,272222222245967,272222222245967,3020833333</t>
  </si>
  <si>
    <t xml:space="preserve">BC Caiaponia1SG60KTL(COM1-006)_001_01645967,272222222245967,272222222245967,3020833333</t>
  </si>
  <si>
    <t xml:space="preserve">BC Caiaponia1SG60KTL(COM1-007)_001_01345967,272222222245967,272222222245967,3020833333</t>
  </si>
  <si>
    <t xml:space="preserve">BC Caiaponia1SG60KTL(COM1-008)_001_00145967,272222222245967,272222222245967,3020833333</t>
  </si>
  <si>
    <t xml:space="preserve">BC Caiaponia1SG60KTL(COM1-009)45967,272222222245967,272222222245967,3020833333</t>
  </si>
  <si>
    <t xml:space="preserve">BC Caiaponia1SG60KTL(COM1-010)45967,272222222245967,272222222245967,3020833333</t>
  </si>
  <si>
    <t xml:space="preserve">BC Caiaponia1SG60KTL(COM1-011)45967,272222222245967,272222222245967,3020833333</t>
  </si>
  <si>
    <t xml:space="preserve">BC Caiaponia1SG60KTL(COM1-012)45967,272222222245967,272222222245967,3020833333</t>
  </si>
  <si>
    <t xml:space="preserve">BC Caiaponia1SG60KTL(COM1-013)45967,272222222245967,272222222245967,3020833333</t>
  </si>
  <si>
    <t xml:space="preserve">BC Caiaponia1SG60KTL(COM1-014)45967,272222222245967,272222222245967,3020833333</t>
  </si>
  <si>
    <t xml:space="preserve">BC Caiaponia1SG60KTL(COM1-015)45967,272222222245967,272222222245967,3020833333</t>
  </si>
  <si>
    <t xml:space="preserve">BC Caiaponia1SG60KTL(COM3-016)_001_00945967,272222222245967,272222222245967,3020833333</t>
  </si>
  <si>
    <t xml:space="preserve">BC Caiaponia1SG60KTL(COM3-017)_001_01245967,272222222245967,272222222245967,3020833333</t>
  </si>
  <si>
    <t xml:space="preserve">BC Caiaponia1SG60KTL(COM3-018)_001_00845967,272222222245967,272222222245967,3020833333</t>
  </si>
  <si>
    <t xml:space="preserve">BC Caiaponia1SG60KTL(COM3-019)_001_01945967,272222222245967,272222222245967,3020833333</t>
  </si>
  <si>
    <t xml:space="preserve">BC Caiaponia1SG60KTL(COM3-020)_001_02045967,272222222245967,272222222245967,3020833333</t>
  </si>
  <si>
    <t xml:space="preserve">BC Caiaponia1SG60KTL(COM2-026)45967,272222222245967,272222222245967,3020833333</t>
  </si>
  <si>
    <t xml:space="preserve">BC Caiaponia1SG60KTL(COM2-027)45967,272222222245967,272222222245967,3020833333</t>
  </si>
  <si>
    <t xml:space="preserve">BC Caiaponia1SG60KTL(COM2-028)45967,272222222245967,272222222245967,3020833333</t>
  </si>
  <si>
    <t xml:space="preserve">BC Caiaponia1SG60KTL(COM2-029)45967,272222222245967,272222222245967,3020833333</t>
  </si>
  <si>
    <t xml:space="preserve">BC Caiaponia1SG50CX(COM1-021)45967,272222222245967,272222222245967,3020833333</t>
  </si>
  <si>
    <t xml:space="preserve">BC Caiaponia1SG50CX(COM1-022)45967,272222222245967,272222222245967,3020833333</t>
  </si>
  <si>
    <t xml:space="preserve">BC Caiaponia1SG50CX(COM1-023)45967,272222222245967,272222222245967,3020833333</t>
  </si>
  <si>
    <t xml:space="preserve">BC Caiaponia1SG50CX(COM1-024)45967,272222222245967,272222222245967,3020833333</t>
  </si>
  <si>
    <t xml:space="preserve">BC Caiaponia1SG50CX(COM1-025)45967,272222222245967,272222222245967,3020833333</t>
  </si>
  <si>
    <t xml:space="preserve">Inverter78</t>
  </si>
  <si>
    <t xml:space="preserve">BC Aracu1Inverter7845967,298541666745967,298541666745967,3229166667</t>
  </si>
  <si>
    <t xml:space="preserve">Inversor 06</t>
  </si>
  <si>
    <t xml:space="preserve">BC Aracu1Inversor 0645967,298541666745967,298541666745967,3229166667</t>
  </si>
  <si>
    <t xml:space="preserve">BC Aracu1Inverter7945967,298541666745967,298541666745967,2986689815</t>
  </si>
  <si>
    <t xml:space="preserve">BC Aracu1Inverter8345967,298541666745967,298541666745967,3229166667</t>
  </si>
  <si>
    <t xml:space="preserve">Desligamento programado da usina para realização da manutenção anual preventiva na SE, (conduzida pela Power Sys; empresa contratada).</t>
  </si>
  <si>
    <t xml:space="preserve">Desligamento da UFV para execução de testes nos transformadores de média tensão e inspeção dos componentes do cubículo de medição. Após execução, foi realizada a manobra de energização da usina.</t>
  </si>
  <si>
    <t xml:space="preserve">BC Caiaponia2.1215KTL-H3(MBUS-12)45967,336805555645967,336805555645967,4520833333</t>
  </si>
  <si>
    <t xml:space="preserve">BC Caiaponia2.1215KTL-H3(MBUS-13)45967,336805555645967,336805555645967,4520833333</t>
  </si>
  <si>
    <t xml:space="preserve">BC Caiaponia2.1215KTL-H3(MBUS-14)45967,336805555645967,336805555645967,4520833333</t>
  </si>
  <si>
    <t xml:space="preserve">BC Caiaponia2.1215KTL-H3(MBUS-15)45967,336805555645967,336805555645967,4520833333</t>
  </si>
  <si>
    <t xml:space="preserve">BC Caiaponia2.1215KTL-H3(MBUS-16)45967,336805555645967,336805555645967,4520833333</t>
  </si>
  <si>
    <t xml:space="preserve">BC Caiaponia1SG60KTL(COM1-001)_001_00745967,618055555645967,618055555645967,65625</t>
  </si>
  <si>
    <t xml:space="preserve">BC Caiaponia1SG60KTL(COM1-002)_001_01045967,618055555645967,618055555645967,65625</t>
  </si>
  <si>
    <t xml:space="preserve">BC Caiaponia1SG60KTL(COM1-003)_001_01145967,618055555645967,618055555645967,65625</t>
  </si>
  <si>
    <t xml:space="preserve">BC Caiaponia1SG60KTL(COM1-004)_001_01445967,618055555645967,618055555645967,65625</t>
  </si>
  <si>
    <t xml:space="preserve">BC Caiaponia1SG60KTL(COM1-005)_001_01745967,618055555645967,618055555645967,65625</t>
  </si>
  <si>
    <t xml:space="preserve">BC Caiaponia1SG60KTL(COM1-006)_001_01645967,618055555645967,618055555645967,65625</t>
  </si>
  <si>
    <t xml:space="preserve">BC Caiaponia1SG60KTL(COM1-007)_001_01345967,618055555645967,618055555645967,65625</t>
  </si>
  <si>
    <t xml:space="preserve">BC Caiaponia1SG60KTL(COM1-008)_001_00145967,618055555645967,618055555645967,65625</t>
  </si>
  <si>
    <t xml:space="preserve">BC Caiaponia1SG60KTL(COM1-009)45967,618055555645967,618055555645967,65625</t>
  </si>
  <si>
    <t xml:space="preserve">BC Caiaponia1SG60KTL(COM1-010)45967,618055555645967,618055555645967,65625</t>
  </si>
  <si>
    <t xml:space="preserve">BC Caiaponia1SG60KTL(COM1-011)45967,618055555645967,618055555645967,65625</t>
  </si>
  <si>
    <t xml:space="preserve">BC Caiaponia1SG60KTL(COM1-012)45967,618055555645967,618055555645967,65625</t>
  </si>
  <si>
    <t xml:space="preserve">BC Caiaponia1SG60KTL(COM1-013)45967,618055555645967,618055555645967,65625</t>
  </si>
  <si>
    <t xml:space="preserve">BC Caiaponia1SG60KTL(COM1-014)45967,618055555645967,618055555645967,65625</t>
  </si>
  <si>
    <t xml:space="preserve">BC Caiaponia1SG60KTL(COM1-015)45967,618055555645967,618055555645967,65625</t>
  </si>
  <si>
    <t xml:space="preserve">BC Caiaponia1SG60KTL(COM3-016)_001_00945967,618055555645967,618055555645967,65625</t>
  </si>
  <si>
    <t xml:space="preserve">BC Caiaponia1SG60KTL(COM3-017)_001_01245967,618055555645967,618055555645967,65625</t>
  </si>
  <si>
    <t xml:space="preserve">BC Caiaponia1SG60KTL(COM3-018)_001_00845967,618055555645967,618055555645967,65625</t>
  </si>
  <si>
    <t xml:space="preserve">BC Caiaponia1SG60KTL(COM3-019)_001_01945967,618055555645967,618055555645967,65625</t>
  </si>
  <si>
    <t xml:space="preserve">BC Caiaponia1SG60KTL(COM3-020)_001_02045967,618055555645967,618055555645967,65625</t>
  </si>
  <si>
    <t xml:space="preserve">BC Caiaponia1SG60KTL(COM2-026)45967,618055555645967,618055555645967,65625</t>
  </si>
  <si>
    <t xml:space="preserve">BC Caiaponia1SG60KTL(COM2-027)45967,618055555645967,618055555645967,65625</t>
  </si>
  <si>
    <t xml:space="preserve">BC Caiaponia1SG60KTL(COM2-028)45967,618055555645967,618055555645967,65625</t>
  </si>
  <si>
    <t xml:space="preserve">BC Caiaponia1SG60KTL(COM2-029)45967,618055555645967,618055555645967,65625</t>
  </si>
  <si>
    <t xml:space="preserve">BC Caiaponia1SG50CX(COM1-021)45967,618055555645967,618055555645967,65625</t>
  </si>
  <si>
    <t xml:space="preserve">BC Caiaponia1SG50CX(COM1-022)45967,618055555645967,618055555645967,65625</t>
  </si>
  <si>
    <t xml:space="preserve">BC Caiaponia1SG50CX(COM1-023)45967,618055555645967,618055555645967,65625</t>
  </si>
  <si>
    <t xml:space="preserve">BC Caiaponia1SG50CX(COM1-024)45967,618055555645967,618055555645967,65625</t>
  </si>
  <si>
    <t xml:space="preserve">BC Caiaponia1SG50CX(COM1-025)45967,618055555645967,618055555645967,65625</t>
  </si>
  <si>
    <t xml:space="preserve">BC Caiaponia2.1215KTL-H3(MBUS-12)45967,618055555645967,618055555645967,65625</t>
  </si>
  <si>
    <t xml:space="preserve">BC Caiaponia2.1215KTL-H3(MBUS-13)45967,618055555645967,618055555645967,65625</t>
  </si>
  <si>
    <t xml:space="preserve">BC Caiaponia2.1215KTL-H3(MBUS-14)45967,618055555645967,618055555645967,65625</t>
  </si>
  <si>
    <t xml:space="preserve">BC Caiaponia2.1215KTL-H3(MBUS-15)45967,618055555645967,618055555645967,65625</t>
  </si>
  <si>
    <t xml:space="preserve">BC Caiaponia2.1215KTL-H3(MBUS-16)45967,618055555645967,618055555645967,65625</t>
  </si>
  <si>
    <t xml:space="preserve">BC Caiaponia2.2215KTL-H3(MBUS-12)45967,618055555645967,618055555645967,65625</t>
  </si>
  <si>
    <t xml:space="preserve">BC Caiaponia2.2215KTL-H3(MBUS-13)45967,618055555645967,618055555645967,65625</t>
  </si>
  <si>
    <t xml:space="preserve">BC Caiaponia2.2215KTL-H3(MBUS-14)45967,618055555645967,618055555645967,65625</t>
  </si>
  <si>
    <t xml:space="preserve">BC Caiaponia2.2215KTL-H3(MBUS-15)45967,618055555645967,618055555645967,65625</t>
  </si>
  <si>
    <t xml:space="preserve">BC Caiaponia2.2215KTL-H3(MBUS-16)45967,618055555645967,618055555645967,65625</t>
  </si>
  <si>
    <t xml:space="preserve">BC Caiaponia2.3215KTL-H3(MBUS-12)45967,618055555645967,618055555645967,65625</t>
  </si>
  <si>
    <t xml:space="preserve">BC Caiaponia2.3215KTL-H3(MBUS-13)45967,618055555645967,618055555645967,65625</t>
  </si>
  <si>
    <t xml:space="preserve">BC Caiaponia2.3215KTL-H3(MBUS-14)45967,618055555645967,618055555645967,65625</t>
  </si>
  <si>
    <t xml:space="preserve">BC Caiaponia2.3215KTL-H3(MBUS-15)45967,618055555645967,618055555645967,65625</t>
  </si>
  <si>
    <t xml:space="preserve">BC Caiaponia2.3215KTL-H3(MBUS-16)45967,618055555645967,618055555645967,65625</t>
  </si>
  <si>
    <t xml:space="preserve">BC Rio Monte1Inverter3845967,618055555645967,618055555645967,7027777778</t>
  </si>
  <si>
    <t xml:space="preserve">BC Rio Monte1Inverter3745967,618055555645967,618055555645967,7027777778</t>
  </si>
  <si>
    <t xml:space="preserve">BC Rio Monte1Inverter4345967,618055555645967,618055555645967,7027777778</t>
  </si>
  <si>
    <t xml:space="preserve">BC Rio Monte1Inverter4245967,618055555645967,618055555645967,7027777778</t>
  </si>
  <si>
    <t xml:space="preserve">BC Rio Monte1Inverter4545967,618055555645967,618055555645967,7027777778</t>
  </si>
  <si>
    <t xml:space="preserve">BC Rio Monte1Inverter4445967,618055555645967,618055555645967,7027777778</t>
  </si>
  <si>
    <t xml:space="preserve">BC Rio Monte1Inverter4645967,618055555645967,618055555645967,7027777778</t>
  </si>
  <si>
    <t xml:space="preserve">BC Rio Monte1Inverter4145967,618055555645967,618055555645967,7027777778</t>
  </si>
  <si>
    <t xml:space="preserve">BC Rio Monte1Inverter4745967,618055555645967,618055555645967,7027777778</t>
  </si>
  <si>
    <t xml:space="preserve">BC Rio Monte1Inverter3545967,618055555645967,618055555645967,7027777778</t>
  </si>
  <si>
    <t xml:space="preserve">BC Rio Monte1Inverter3645967,618055555645967,618055555645967,7027777778</t>
  </si>
  <si>
    <t xml:space="preserve">BC Rio Monte1Inverter3145967,618055555645967,618055555645967,7027777778</t>
  </si>
  <si>
    <t xml:space="preserve">BC Rio Monte1Inverter3345967,618055555645967,618055555645967,7027777778</t>
  </si>
  <si>
    <t xml:space="preserve">BC Rio Monte1Inverter3945967,618055555645967,618055555645967,7027777778</t>
  </si>
  <si>
    <t xml:space="preserve">BC Rio Monte1Inverter3245967,618055555645967,618055555645967,7027777778</t>
  </si>
  <si>
    <t xml:space="preserve">BC Rio Monte1Inverter4045967,618055555645967,618055555645967,7027777778</t>
  </si>
  <si>
    <t xml:space="preserve">BC Rio Monte1Inverter3445967,618055555645967,618055555645967,7027777778</t>
  </si>
  <si>
    <t xml:space="preserve">BC Aracu5.1Inverter(MBUS-1)45968,2545968,2545968,2854166667</t>
  </si>
  <si>
    <t xml:space="preserve">BC Aracu5.2Inverter(MBUS-1)45968,2545968,2545968,2854166667</t>
  </si>
  <si>
    <t xml:space="preserve">BC Aracu5.3Inverter(MBUS-1)45968,2545968,2545968,2854166667</t>
  </si>
  <si>
    <t xml:space="preserve">BC Aracu5.4Inverter(MBUS-1)45968,2545968,2545968,2854166667</t>
  </si>
  <si>
    <t xml:space="preserve">BC Aracu5.5Inverter(MBUS-1)45968,2545968,2545968,2854166667</t>
  </si>
  <si>
    <t xml:space="preserve">BC Aracu5.1Inverter(MBUS-1)45968,377777777845968,377777777845968,3847222222</t>
  </si>
  <si>
    <t xml:space="preserve">BC Aracu5.2Inverter(MBUS-1)45968,377777777845968,377777777845968,3847222222</t>
  </si>
  <si>
    <t xml:space="preserve">BC Aracu5.3Inverter(MBUS-1)45968,377777777845968,377777777845968,3847222222</t>
  </si>
  <si>
    <t xml:space="preserve">BC Aracu5.4Inverter(MBUS-1)45968,377777777845968,377777777845968,3847222222</t>
  </si>
  <si>
    <t xml:space="preserve">BC Aracu5.5Inverter(MBUS-1)45968,377777777845968,377777777845968,3847222222</t>
  </si>
  <si>
    <t xml:space="preserve">BC Clareira1.1Inverter(MBUS-12)45968,440972222245968,440972222245968,4479166667</t>
  </si>
  <si>
    <t xml:space="preserve">BC Clareira1.1Inverter(MBUS-13)45968,440972222245968,440972222245968,4479166667</t>
  </si>
  <si>
    <t xml:space="preserve">BC Clareira1.1	Inverter(MBUS-14)45968,440972222245968,440972222245968,4479166667</t>
  </si>
  <si>
    <t xml:space="preserve">BC Clareira1.1	Inverter(MBUS-15)45968,440972222245968,440972222245968,4479166667</t>
  </si>
  <si>
    <t xml:space="preserve">BC Clareira1.1Inverter(MBUS-16)45968,440972222245968,440972222245968,4479166667</t>
  </si>
  <si>
    <t xml:space="preserve">BC Clareira1.2	215KTL-H3(MBUS-12)45968,440972222245968,440972222245968,4479166667</t>
  </si>
  <si>
    <t xml:space="preserve">BC Clareira1.2	215KTL-H3(MBUS-13)45968,440972222245968,440972222245968,4479166667</t>
  </si>
  <si>
    <t xml:space="preserve">BC Clareira1.2100KTL-H1(MBUS-14)45968,440972222245968,440972222245968,4479166667</t>
  </si>
  <si>
    <t xml:space="preserve">BC Clareira1.1Inverter(MBUS-12)45968,511805555645968,511805555645968,5451388889</t>
  </si>
  <si>
    <t xml:space="preserve">BC Clareira1.1Inverter(MBUS-13)45968,511805555645968,511805555645968,5451388889</t>
  </si>
  <si>
    <t xml:space="preserve">BC Clareira1.1	Inverter(MBUS-14)45968,511805555645968,511805555645968,5451388889</t>
  </si>
  <si>
    <t xml:space="preserve">BC Clareira1.1	Inverter(MBUS-15)45968,511805555645968,511805555645968,5451388889</t>
  </si>
  <si>
    <t xml:space="preserve">BC Clareira1.1Inverter(MBUS-16)45968,511805555645968,511805555645968,5451388889</t>
  </si>
  <si>
    <t xml:space="preserve">BC Clareira1.2	215KTL-H3(MBUS-12)45968,511805555645968,511805555645968,5451388889</t>
  </si>
  <si>
    <t xml:space="preserve">BC Clareira1.2	215KTL-H3(MBUS-13)45968,511805555645968,511805555645968,5451388889</t>
  </si>
  <si>
    <t xml:space="preserve">BC Clareira1.2100KTL-H1(MBUS-14)45968,511805555645968,511805555645968,5451388889</t>
  </si>
  <si>
    <t xml:space="preserve">Foi realizado o desligamento programado da subestação devido à finalização da instalação do sistema de escada, executado pela empresa EcoSet. A intervenção foi necessária para a passagem dos cabos de comunicação entre o cubículo de proteção e os cubículos de medição. Para realizar essa atividade com segurança, foi indispensável o acesso interno aos cubículos, exigindo o desligamento total da subestação.
</t>
  </si>
  <si>
    <t xml:space="preserve">Ações Executadas:  
- Desligamento seguro da subestação.  
- Liberação de acesso aos cubículos.  
- Início da passagem dos cabos de comunicação.  
- Acompanhamento técnico da execução.
. conclusão do trabalho foi passado os cabo de comunicação nos cúbiculo das UFV 2.1 2.2 2.3</t>
  </si>
  <si>
    <t xml:space="preserve">BC Formoso2.1Inverter(MBUS-12)45969,506944444445969,506944444445969,6083333333</t>
  </si>
  <si>
    <t xml:space="preserve">BC Formoso2.1Inverter(MBUS-14)45969,506944444445969,506944444445969,6083333333</t>
  </si>
  <si>
    <t xml:space="preserve">BC Formoso2.1Inverter(MBUS-13)45969,506944444445969,506944444445969,6083333333</t>
  </si>
  <si>
    <t xml:space="preserve">BC Formoso2.1Inverter(MBUS-1)45969,506944444445969,506944444445969,6083333333</t>
  </si>
  <si>
    <t xml:space="preserve">BC Formoso2.2Inverter(MBUS-14)45969,506944444445969,506944444445969,6083333333</t>
  </si>
  <si>
    <t xml:space="preserve">BC Formoso2.2Inverter(MBUS-13)45969,506944444445969,506944444445969,6083333333</t>
  </si>
  <si>
    <t xml:space="preserve">BC Formoso2.2Inverter(MBUS-12)45969,506944444445969,506944444445969,6083333333</t>
  </si>
  <si>
    <t xml:space="preserve">BC Formoso2.2Inverter(MBUS-1)45969,506944444445969,506944444445969,6083333333</t>
  </si>
  <si>
    <t xml:space="preserve">BC Formoso2.3Inverter(MBUS-13)45969,506944444445969,506944444445969,6083333333</t>
  </si>
  <si>
    <t xml:space="preserve">BC Formoso2.3Inverter(MBUS-12)45969,506944444445969,506944444445969,6083333333</t>
  </si>
  <si>
    <t xml:space="preserve">Falha na rede da concessionária.</t>
  </si>
  <si>
    <t xml:space="preserve">BC Turvania1.1Inverter(MBUS-12)45969,676388888945969,676388888945970,28125</t>
  </si>
  <si>
    <t xml:space="preserve">BC Turvania1.1Inverter(MBUS-13)45969,676388888945969,676388888945970,28125</t>
  </si>
  <si>
    <t xml:space="preserve">BC Turvania1.1Inverter(MBUS-14)45969,676388888945969,676388888945970,28125</t>
  </si>
  <si>
    <t xml:space="preserve">BC Turvania1.1Inverter(MBUS-15)45969,676388888945969,676388888945970,28125</t>
  </si>
  <si>
    <t xml:space="preserve">BC Turvania1.2Inverter(MBUS-12)45969,676388888945969,676388888945970,28125</t>
  </si>
  <si>
    <t xml:space="preserve">BC Turvania1.2Inverter(MBUS-13)45969,676388888945969,676388888945970,28125</t>
  </si>
  <si>
    <t xml:space="preserve">BC Turvania1.2Inverter(MBUS-14)45969,676388888945969,676388888945970,28125</t>
  </si>
  <si>
    <t xml:space="preserve">BC Turvania1.2Inverter(MBUS-15)45969,676388888945969,676388888945970,28125</t>
  </si>
  <si>
    <t xml:space="preserve">BC Turvania1.3Inverter(MBUS-1)45969,676388888945969,676388888945970,28125</t>
  </si>
  <si>
    <t xml:space="preserve">BC Turvania1.3Inverter(MBUS-13)45969,676388888945969,676388888945970,28125</t>
  </si>
  <si>
    <t xml:space="preserve">BC Turvania1.3Inverter(MBUS-14)45969,676388888945969,676388888945970,28125</t>
  </si>
  <si>
    <t xml:space="preserve">BC Turvania1.3Inverter(MBUS-15)45969,676388888945969,676388888945970,28125</t>
  </si>
  <si>
    <t xml:space="preserve">BC Turvania1.4Inverter(MBUS-12)45969,676388888945969,676388888945970,28125</t>
  </si>
  <si>
    <t xml:space="preserve">BC Turvania1.4Inverter(MBUS-13)45969,676388888945969,676388888945970,28125</t>
  </si>
  <si>
    <t xml:space="preserve">BC Turvania1.4Inverter(MBUS-14)45969,676388888945969,676388888945970,28125</t>
  </si>
  <si>
    <t xml:space="preserve">BC Turvania1.4Inverter(MBUS-15)45969,676388888945969,676388888945970,28125</t>
  </si>
  <si>
    <t xml:space="preserve">BC Turvania1.5Inverter(MBUS-12)45969,676388888945969,676388888945970,28125</t>
  </si>
  <si>
    <t xml:space="preserve">BC Turvania1.5Inverter(MBUS-13)45969,676388888945969,676388888945970,28125</t>
  </si>
  <si>
    <t xml:space="preserve">BC Turvania1.5Inverter(MBUS-14)45969,676388888945969,676388888945970,28125</t>
  </si>
  <si>
    <t xml:space="preserve">BC Turvania1.5Inverter(MBUS-1)45969,676388888945969,676388888945970,28125</t>
  </si>
  <si>
    <t xml:space="preserve">BC Rio Monte1Inverter3845969,725694444445969,725694444445970,2604166667</t>
  </si>
  <si>
    <t xml:space="preserve">BC Rio Monte1Inverter3745969,725694444445969,725694444445970,2604166667</t>
  </si>
  <si>
    <t xml:space="preserve">BC Rio Monte1Inverter4345969,725694444445969,725694444445970,2604166667</t>
  </si>
  <si>
    <t xml:space="preserve">BC Rio Monte1Inverter4245969,725694444445969,725694444445970,2604166667</t>
  </si>
  <si>
    <t xml:space="preserve">BC Rio Monte1Inverter4545969,725694444445969,725694444445970,2604166667</t>
  </si>
  <si>
    <t xml:space="preserve">BC Rio Monte1Inverter4445969,725694444445969,725694444445970,2604166667</t>
  </si>
  <si>
    <t xml:space="preserve">BC Rio Monte1Inverter4645969,725694444445969,725694444445970,2604166667</t>
  </si>
  <si>
    <t xml:space="preserve">BC Rio Monte1Inverter4145969,725694444445969,725694444445970,2604166667</t>
  </si>
  <si>
    <t xml:space="preserve">BC Rio Monte1Inverter4745969,725694444445969,725694444445970,2604166667</t>
  </si>
  <si>
    <t xml:space="preserve">BC Rio Monte1Inverter3545969,725694444445969,725694444445970,2604166667</t>
  </si>
  <si>
    <t xml:space="preserve">BC Rio Monte1Inverter3645969,725694444445969,725694444445970,2604166667</t>
  </si>
  <si>
    <t xml:space="preserve">BC Rio Monte1Inverter3145969,725694444445969,725694444445970,2604166667</t>
  </si>
  <si>
    <t xml:space="preserve">BC Rio Monte1Inverter3345969,725694444445969,725694444445970,2604166667</t>
  </si>
  <si>
    <t xml:space="preserve">BC Rio Monte1Inverter3945969,725694444445969,725694444445970,2604166667</t>
  </si>
  <si>
    <t xml:space="preserve">BC Rio Monte1Inverter3245969,725694444445969,725694444445970,2604166667</t>
  </si>
  <si>
    <t xml:space="preserve">BC Rio Monte1Inverter4045969,725694444445969,725694444445970,2604166667</t>
  </si>
  <si>
    <t xml:space="preserve">BC Rio Monte1Inverter3445969,725694444445969,725694444445970,2604166667</t>
  </si>
  <si>
    <t xml:space="preserve">Foi realizada a substituição da fonte de alimentação do conversor de mídia.</t>
  </si>
  <si>
    <t xml:space="preserve">BC Corumba2.1Inverter(MBUS-14)45970,2545970,2545970,375</t>
  </si>
  <si>
    <t xml:space="preserve">BC Corumba2.1Inverter(MBUS-15)45970,2545970,2545970,375</t>
  </si>
  <si>
    <t xml:space="preserve">BC Corumba2.1Inverter(MBUS-16)45970,2545970,2545970,375</t>
  </si>
  <si>
    <t xml:space="preserve">BC Corumba2.1U01. I0145970,2545970,2545970,375</t>
  </si>
  <si>
    <t xml:space="preserve">BC Corumba2.1U01. I0245970,2545970,2545970,375</t>
  </si>
  <si>
    <t xml:space="preserve">Após inspeção geral no QGBT e no cubículo, foi identificado um cabo rompido, responsável pela leitura da temperatura do transformador através do relé de proteção.</t>
  </si>
  <si>
    <t xml:space="preserve">Devido a essa falha, não era possível rearmar a UFV. Após o reparo e ajuste do cabo, foi realizado o reset e o religamento do disjuntor.</t>
  </si>
  <si>
    <t xml:space="preserve">BC Formoso1.2Inverter(MBUS-13)45970,253472222245970,253472222245971,5590277778</t>
  </si>
  <si>
    <t xml:space="preserve">DAUUFV</t>
  </si>
  <si>
    <t xml:space="preserve">BC Formoso1.2Inverter(MBUS-12)45970,253472222245970,253472222245971,5590277778</t>
  </si>
  <si>
    <t xml:space="preserve">BC Formoso1.2Inverter(MBUS-15)45970,253472222245970,253472222245971,5590277778</t>
  </si>
  <si>
    <t xml:space="preserve">BC Formoso1.2Inverter(MBUS-14)45970,253472222245970,253472222245971,5590277778</t>
  </si>
  <si>
    <t xml:space="preserve">Foi realizada inspeção e identificado que a fonte de alimentação do conversor de mídia e filtro de linha estavam queimados.</t>
  </si>
  <si>
    <t xml:space="preserve">Foi realizada a substituição dos itens e usina teve a comunicação normalizada.</t>
  </si>
  <si>
    <t xml:space="preserve">BC Rio Bonito2INV-00145970,694444444445970,694444444445970,7215277778</t>
  </si>
  <si>
    <t xml:space="preserve">BC Rio Bonito2INV-00245970,694444444445970,694444444445970,7215277778</t>
  </si>
  <si>
    <t xml:space="preserve">BC Rio Bonito2INV-00345970,694444444445970,694444444445970,7215277778</t>
  </si>
  <si>
    <t xml:space="preserve">BC Rio Bonito2INV-00445970,694444444445970,694444444445970,7215277778</t>
  </si>
  <si>
    <t xml:space="preserve">Ações Executadas:  
- Abertura imediata de chamado junto à concessionária Neoenergia.  
- Equipe técnica da concessionária realizou o restabelecimento da rede no dia seguinte.  
- Inspeção em campo foi realizada para verificação dos sistemas.  
- A operação foi parcialmente restabelecida para as UFVs IV, V, VI e VIII ( nomenclatura conforme projeto ).  
- Os demais unidades consumidoras permanecem desernergizadas para perícia e manutenção.</t>
  </si>
  <si>
    <t xml:space="preserve">BC ParanoaSG60KTL(COM1-012)_001_01145970,982638888945970,982638888945988,7395833333</t>
  </si>
  <si>
    <t xml:space="preserve">DEMUFV</t>
  </si>
  <si>
    <t xml:space="preserve">BC ParanoaSG60KTL(COM1-011)_001_00545970,982638888945970,982638888945988,7395833333</t>
  </si>
  <si>
    <t xml:space="preserve">BC ParanoaSG60KTL(COM1-010)_001_00345970,982638888945970,982638888945988,7395833333</t>
  </si>
  <si>
    <t xml:space="preserve">BC ParanoaSG60KTL(COM1-018)_001_01245970,982638888945970,982638888945988,7395833333</t>
  </si>
  <si>
    <t xml:space="preserve">BC ParanoaSG60KTL(COM1-017)_001_00745970,982638888945970,982638888945988,7395833333</t>
  </si>
  <si>
    <t xml:space="preserve">BC ParanoaSG60KTL(COM1-016)_001_00645970,982638888945970,982638888945988,7395833333</t>
  </si>
  <si>
    <t xml:space="preserve">BC ParanoaSG50CX(COM2-015)_001_01745970,982638888945970,982638888945988,7395833333</t>
  </si>
  <si>
    <t xml:space="preserve">BC ParanoaSG60KTL(COM1-009)_001_00245970,982638888945970,982638888945989,6354166667</t>
  </si>
  <si>
    <t xml:space="preserve">BC ParanoaSG60KTL(COM1-008)_001_00945970,982638888945970,982638888945989,6354166667</t>
  </si>
  <si>
    <t xml:space="preserve">BC ParanoaSG60KTL(COM1-007)_001_00445970,982638888945970,982638888945989,6354166667</t>
  </si>
  <si>
    <t xml:space="preserve">BC ParanoaSG60KTL(COM1-006)_001_01445970,982638888945970,982638888945989,6354166667</t>
  </si>
  <si>
    <t xml:space="preserve">BC ParanoaSG40CX(COM2-005)_001_01545970,982638888945970,982638888945989,6354166667</t>
  </si>
  <si>
    <t xml:space="preserve">BC ParanoaSG60KTL(COM1-019)_002_00745970,982638888945970,982638888945991,9999884259</t>
  </si>
  <si>
    <t xml:space="preserve">BC ParanoaSG60KTL(COM1-020)_002_01145970,982638888945970,982638888945991,9999884259</t>
  </si>
  <si>
    <t xml:space="preserve">BC ParanoaSG60KTL(COM1-021)_002_01745970,982638888945970,982638888945991,9999884259</t>
  </si>
  <si>
    <t xml:space="preserve">BC ParanoaSG60KTL(COM1-022)_002_02045970,982638888945970,982638888945991,9999884259</t>
  </si>
  <si>
    <t xml:space="preserve">BC ParanoaSG40CX(COM2-023)_002_02445970,982638888945970,982638888945991,9999884259</t>
  </si>
  <si>
    <t xml:space="preserve">BC ParanoaSG40CX(COM2-024)_002_02245970,982638888945970,982638888945991,9999884259</t>
  </si>
  <si>
    <t xml:space="preserve">BC ParanoaSG60KTL(COM1-007)_002_01345970,982638888945970,982638888945973,3333333333</t>
  </si>
  <si>
    <t xml:space="preserve">BC ParanoaSG60KTL(COM1-008)_002_00245970,982638888945970,982638888945973,3333333333</t>
  </si>
  <si>
    <t xml:space="preserve">BC ParanoaSG60KTL(COM1-009)_002_00845970,982638888945970,982638888945973,3333333333</t>
  </si>
  <si>
    <t xml:space="preserve">BC ParanoaSG60KTL(COM1-010)_002_00345970,982638888945970,982638888945973,3333333333</t>
  </si>
  <si>
    <t xml:space="preserve">BC ParanoaSG60KTL(COM1-011)_002_01045970,982638888945970,982638888945973,3333333333</t>
  </si>
  <si>
    <t xml:space="preserve">BC ParanoaSG60KTL(COM1-012)_002_00545970,982638888945970,982638888945973,3333333333</t>
  </si>
  <si>
    <t xml:space="preserve">BC ParanoaSG60KTL(COM1-001)_002_00645970,982638888945970,982638888945973,3333333333</t>
  </si>
  <si>
    <t xml:space="preserve">BC ParanoaSG60KTL(COM1-002)_002_01645970,982638888945970,982638888945973,3333333333</t>
  </si>
  <si>
    <t xml:space="preserve">BC ParanoaSG50CX(COM2-003)_002_02145970,982638888945970,982638888945973,3333333333</t>
  </si>
  <si>
    <t xml:space="preserve">BC ParanoaSG50CX(COM2-004)_002_02345970,982638888945970,982638888945973,3333333333</t>
  </si>
  <si>
    <t xml:space="preserve">BC ParanoaSG60KTL(COM1-005)_002_00945970,982638888945970,982638888945973,3333333333</t>
  </si>
  <si>
    <t xml:space="preserve">BC ParanoaSG60KTL(COM1-006)_002_00145970,982638888945970,982638888945973,3333333333</t>
  </si>
  <si>
    <t xml:space="preserve">BC ParanoaSG60KTL(COM1-013)_002_00445970,982638888945970,982638888945991,9999884259</t>
  </si>
  <si>
    <t xml:space="preserve">BC ParanoaSG60KTL(COM1-014)_002_01945970,982638888945970,982638888945991,9999884259</t>
  </si>
  <si>
    <t xml:space="preserve">BC ParanoaSG60KTL(COM1-015)_002_01845970,982638888945970,982638888945991,9999884259</t>
  </si>
  <si>
    <t xml:space="preserve">BC ParanoaSG60KTL(COM1-016)_002_01445970,982638888945970,982638888945991,9999884259</t>
  </si>
  <si>
    <t xml:space="preserve">BC ParanoaSG60KTL(COM1-017)_002_01545970,982638888945970,982638888945991,9999884259</t>
  </si>
  <si>
    <t xml:space="preserve">BC ParanoaSG60KTL(COM1-018)_002_01245970,982638888945970,982638888945991,9999884259</t>
  </si>
  <si>
    <t xml:space="preserve">BC ParanoaSG50CX(COM2-004)_001_01845970,982638888945970,982638888945973,3333333333</t>
  </si>
  <si>
    <t xml:space="preserve">BC ParanoaSG50CX(COM2-003)_001_01645970,982638888945970,982638888945973,3333333333</t>
  </si>
  <si>
    <t xml:space="preserve">BC ParanoaSG60KTL(COM1-002)_001_00845970,982638888945970,982638888945973,3333333333</t>
  </si>
  <si>
    <t xml:space="preserve">BC ParanoaSG60KTL(COM1-014)_001_01345970,982638888945970,982638888945988,7395833333</t>
  </si>
  <si>
    <t xml:space="preserve">BC ParanoaSG60KTL(COM1-013)_001_01045970,982638888945970,982638888945988,7395833333</t>
  </si>
  <si>
    <t xml:space="preserve">BC Rio Monte1Inverter3845971,255555555645971,255555555645971,3854166667</t>
  </si>
  <si>
    <t xml:space="preserve">BC Rio Monte1Inverter3745971,255555555645971,255555555645971,3854166667</t>
  </si>
  <si>
    <t xml:space="preserve">BC Rio Monte1Inverter4345971,255555555645971,255555555645971,3854166667</t>
  </si>
  <si>
    <t xml:space="preserve">BC Rio Monte1Inverter4245971,255555555645971,255555555645971,3854166667</t>
  </si>
  <si>
    <t xml:space="preserve">BC Rio Monte1Inverter4545971,255555555645971,255555555645971,3854166667</t>
  </si>
  <si>
    <t xml:space="preserve">BC Rio Monte1Inverter4445971,255555555645971,255555555645971,3854166667</t>
  </si>
  <si>
    <t xml:space="preserve">BC Rio Monte1Inverter4645971,255555555645971,255555555645971,3854166667</t>
  </si>
  <si>
    <t xml:space="preserve">BC Rio Monte1Inverter4145971,255555555645971,255555555645971,3854166667</t>
  </si>
  <si>
    <t xml:space="preserve">BC Rio Monte1Inverter4745971,255555555645971,255555555645971,3854166667</t>
  </si>
  <si>
    <t xml:space="preserve">BC Rio Monte1Inverter3545971,255555555645971,255555555645971,3854166667</t>
  </si>
  <si>
    <t xml:space="preserve">BC Rio Monte1Inverter3645971,255555555645971,255555555645971,3854166667</t>
  </si>
  <si>
    <t xml:space="preserve">BC Rio Monte1Inverter3145971,255555555645971,255555555645971,3854166667</t>
  </si>
  <si>
    <t xml:space="preserve">BC Rio Monte1Inverter3345971,255555555645971,255555555645971,3854166667</t>
  </si>
  <si>
    <t xml:space="preserve">BC Rio Monte1Inverter3945971,255555555645971,255555555645971,3854166667</t>
  </si>
  <si>
    <t xml:space="preserve">BC Rio Monte1Inverter3245971,255555555645971,255555555645971,3854166667</t>
  </si>
  <si>
    <t xml:space="preserve">BC Rio Monte1Inverter4045971,255555555645971,255555555645971,3854166667</t>
  </si>
  <si>
    <t xml:space="preserve">BC Rio Monte1Inverter3445971,255555555645971,255555555645971,3854166667</t>
  </si>
  <si>
    <t xml:space="preserve">BC Caiaponia1SG60KTL(COM1-001)_001_00745971,259027777845971,259027777845971,3194444444</t>
  </si>
  <si>
    <t xml:space="preserve">BC Caiaponia1SG60KTL(COM1-002)_001_01045971,259027777845971,259027777845971,3194444444</t>
  </si>
  <si>
    <t xml:space="preserve">BC Caiaponia1SG60KTL(COM1-003)_001_01145971,259027777845971,259027777845971,3194444444</t>
  </si>
  <si>
    <t xml:space="preserve">BC Caiaponia1SG60KTL(COM1-004)_001_01445971,259027777845971,259027777845971,3194444444</t>
  </si>
  <si>
    <t xml:space="preserve">BC Caiaponia1SG60KTL(COM1-005)_001_01745971,259027777845971,259027777845971,3194444444</t>
  </si>
  <si>
    <t xml:space="preserve">BC Caiaponia1SG60KTL(COM1-006)_001_01645971,259027777845971,259027777845971,3194444444</t>
  </si>
  <si>
    <t xml:space="preserve">BC Caiaponia1SG60KTL(COM1-007)_001_01345971,259027777845971,259027777845971,3194444444</t>
  </si>
  <si>
    <t xml:space="preserve">BC Caiaponia1SG60KTL(COM1-008)_001_00145971,259027777845971,259027777845971,3194444444</t>
  </si>
  <si>
    <t xml:space="preserve">BC Caiaponia1SG60KTL(COM1-009)45971,259027777845971,259027777845971,3194444444</t>
  </si>
  <si>
    <t xml:space="preserve">BC Caiaponia1SG60KTL(COM1-010)45971,259027777845971,259027777845971,3194444444</t>
  </si>
  <si>
    <t xml:space="preserve">BC Caiaponia1SG60KTL(COM1-011)45971,259027777845971,259027777845971,3194444444</t>
  </si>
  <si>
    <t xml:space="preserve">BC Caiaponia1SG60KTL(COM1-012)45971,259027777845971,259027777845971,3194444444</t>
  </si>
  <si>
    <t xml:space="preserve">BC Caiaponia1SG60KTL(COM1-013)45971,259027777845971,259027777845971,3194444444</t>
  </si>
  <si>
    <t xml:space="preserve">BC Caiaponia1SG60KTL(COM1-014)45971,259027777845971,259027777845971,3194444444</t>
  </si>
  <si>
    <t xml:space="preserve">BC Caiaponia1SG60KTL(COM1-015)45971,259027777845971,259027777845971,3194444444</t>
  </si>
  <si>
    <t xml:space="preserve">BC Caiaponia1SG60KTL(COM3-016)_001_00945971,259027777845971,259027777845971,3194444444</t>
  </si>
  <si>
    <t xml:space="preserve">BC Caiaponia1SG60KTL(COM3-017)_001_01245971,259027777845971,259027777845971,3194444444</t>
  </si>
  <si>
    <t xml:space="preserve">BC Caiaponia1SG60KTL(COM3-018)_001_00845971,259027777845971,259027777845971,3194444444</t>
  </si>
  <si>
    <t xml:space="preserve">BC Caiaponia1SG60KTL(COM3-019)_001_01945971,259027777845971,259027777845971,3194444444</t>
  </si>
  <si>
    <t xml:space="preserve">BC Caiaponia1SG60KTL(COM3-020)_001_02045971,259027777845971,259027777845971,3194444444</t>
  </si>
  <si>
    <t xml:space="preserve">BC Caiaponia1SG60KTL(COM2-026)45971,259027777845971,259027777845971,3194444444</t>
  </si>
  <si>
    <t xml:space="preserve">BC Caiaponia1SG60KTL(COM2-027)45971,259027777845971,259027777845971,3194444444</t>
  </si>
  <si>
    <t xml:space="preserve">BC Caiaponia1SG60KTL(COM2-028)45971,259027777845971,259027777845971,3194444444</t>
  </si>
  <si>
    <t xml:space="preserve">BC Caiaponia1SG60KTL(COM2-029)45971,259027777845971,259027777845971,3194444444</t>
  </si>
  <si>
    <t xml:space="preserve">BC Caiaponia1SG50CX(COM1-021)45971,259027777845971,259027777845971,3194444444</t>
  </si>
  <si>
    <t xml:space="preserve">BC Caiaponia1SG50CX(COM1-022)45971,259027777845971,259027777845971,3194444444</t>
  </si>
  <si>
    <t xml:space="preserve">BC Caiaponia1SG50CX(COM1-023)45971,259027777845971,259027777845971,3194444444</t>
  </si>
  <si>
    <t xml:space="preserve">BC Caiaponia1SG50CX(COM1-024)45971,259027777845971,259027777845971,3194444444</t>
  </si>
  <si>
    <t xml:space="preserve">BC Caiaponia1SG50CX(COM1-025)45971,259027777845971,259027777845971,3194444444</t>
  </si>
  <si>
    <t xml:space="preserve">BC Aracu1Inverter8145971,262187545971,262187545971,266087963</t>
  </si>
  <si>
    <t xml:space="preserve">BC Aracu1Inverter7945971,262187545971,262187545971,2656944444</t>
  </si>
  <si>
    <t xml:space="preserve">BC Aracu1Inverter8245971,262187545971,262187545971,2660648148</t>
  </si>
  <si>
    <t xml:space="preserve">BC Aracu1Inverter8445971,262187545971,262187545971,2660648148</t>
  </si>
  <si>
    <t xml:space="preserve">BC Aracu1Inversor 0645971,262187545971,262187545971,2661342593</t>
  </si>
  <si>
    <t xml:space="preserve">BC Aracu1Inverter7845971,262187545971,262187545971,2660648148</t>
  </si>
  <si>
    <t xml:space="preserve">BC Aracu1Inverter8345971,262187545971,262187545971,2661111111</t>
  </si>
  <si>
    <t xml:space="preserve">BC Caiaponia2.1215KTL-H3(MBUS-12)45971,263888888945971,263888888945971,3229166667</t>
  </si>
  <si>
    <t xml:space="preserve">BC Caiaponia2.1215KTL-H3(MBUS-13)45971,263888888945971,263888888945971,3229166667</t>
  </si>
  <si>
    <t xml:space="preserve">BC Caiaponia2.1215KTL-H3(MBUS-14)45971,263888888945971,263888888945971,3229166667</t>
  </si>
  <si>
    <t xml:space="preserve">BC Caiaponia2.1215KTL-H3(MBUS-15)45971,263888888945971,263888888945971,3229166667</t>
  </si>
  <si>
    <t xml:space="preserve">BC Caiaponia2.1215KTL-H3(MBUS-16)45971,263888888945971,263888888945971,3229166667</t>
  </si>
  <si>
    <t xml:space="preserve">BC Caiaponia2.2215KTL-H3(MBUS-12)45971,263888888945971,263888888945971,3229166667</t>
  </si>
  <si>
    <t xml:space="preserve">BC Caiaponia2.2215KTL-H3(MBUS-13)45971,263888888945971,263888888945971,3229166667</t>
  </si>
  <si>
    <t xml:space="preserve">BC Caiaponia2.2215KTL-H3(MBUS-14)45971,263888888945971,263888888945971,3229166667</t>
  </si>
  <si>
    <t xml:space="preserve">BC Caiaponia2.2215KTL-H3(MBUS-15)45971,263888888945971,263888888945971,3229166667</t>
  </si>
  <si>
    <t xml:space="preserve">BC Caiaponia2.2215KTL-H3(MBUS-16)45971,263888888945971,263888888945971,3229166667</t>
  </si>
  <si>
    <t xml:space="preserve">BC Caiaponia2.3215KTL-H3(MBUS-12)45971,263888888945971,263888888945971,3229166667</t>
  </si>
  <si>
    <t xml:space="preserve">BC Caiaponia2.3215KTL-H3(MBUS-13)45971,263888888945971,263888888945971,3229166667</t>
  </si>
  <si>
    <t xml:space="preserve">BC Caiaponia2.3215KTL-H3(MBUS-14)45971,263888888945971,263888888945971,3229166667</t>
  </si>
  <si>
    <t xml:space="preserve">BC Caiaponia2.3215KTL-H3(MBUS-15)45971,263888888945971,263888888945971,3229166667</t>
  </si>
  <si>
    <t xml:space="preserve">BC Caiaponia2.3215KTL-H3(MBUS-16)45971,263888888945971,263888888945971,3229166667</t>
  </si>
  <si>
    <t xml:space="preserve">O looger estava desatualizado.</t>
  </si>
  <si>
    <t xml:space="preserve">Foi aberto um chamado na HUAWEI , e foi feito a configuração do looger.</t>
  </si>
  <si>
    <t xml:space="preserve">BC Caiaponia2.2215KTL-H3(MBUS-13)45972,2545972,2545974,6388888889</t>
  </si>
  <si>
    <t xml:space="preserve">BC Caiaponia2.2215KTL-H3(MBUS-14)45972,2545972,2545974,6388888889</t>
  </si>
  <si>
    <t xml:space="preserve">BC Caiaponia2.2215KTL-H3(MBUS-15)45972,2545972,2545974,6388888889</t>
  </si>
  <si>
    <t xml:space="preserve">BC Caiaponia2.2215KTL-H3(MBUS-12)45972,2545972,2545974,6388888889</t>
  </si>
  <si>
    <t xml:space="preserve">BC Caiaponia2.2215KTL-H3(MBUS-16)45972,2545972,2545974,6388888889</t>
  </si>
  <si>
    <t xml:space="preserve">Falha 47 atuada no relé.</t>
  </si>
  <si>
    <t xml:space="preserve">BC Formoso1.2Inverter(MBUS-13)45972,253472222245972,253472222245972,3298611111</t>
  </si>
  <si>
    <t xml:space="preserve">BC Formoso1.2Inverter(MBUS-12)45972,253472222245972,253472222245972,3298611111</t>
  </si>
  <si>
    <t xml:space="preserve">BC Formoso1.2Inverter(MBUS-15)45972,253472222245972,253472222245972,3298611111</t>
  </si>
  <si>
    <t xml:space="preserve">BC Formoso1.2Inverter(MBUS-14)45972,253472222245972,253472222245972,3298611111</t>
  </si>
  <si>
    <t xml:space="preserve">BC Aracu1Inverter7945972,25453703745972,25453703745972,2614930556</t>
  </si>
  <si>
    <t xml:space="preserve">BC Aracu1Inverter8145972,254652777845972,254652777845972,2616782407</t>
  </si>
  <si>
    <t xml:space="preserve">BC Aracu1Inverter8445972,254687545972,254687545972,2617013889</t>
  </si>
  <si>
    <t xml:space="preserve">BC Aracu1Inverter7845972,254768518545972,254768518545972,261712963</t>
  </si>
  <si>
    <t xml:space="preserve">BC Aracu1Inversor 0645972,25483796345972,25483796345972,261875</t>
  </si>
  <si>
    <t xml:space="preserve">Inversores desligados devido à manutenção programada do transformador e do religador da unidade.</t>
  </si>
  <si>
    <t xml:space="preserve">Após manutenção, usina foi normalizada.</t>
  </si>
  <si>
    <t xml:space="preserve">BC Rio Monte1Inverter3845972,305555555645972,305555555645972,70625</t>
  </si>
  <si>
    <t xml:space="preserve">BC Rio Monte1Inverter3745972,305555555645972,305555555645972,70625</t>
  </si>
  <si>
    <t xml:space="preserve">BC Rio Monte1Inverter4345972,305555555645972,305555555645972,70625</t>
  </si>
  <si>
    <t xml:space="preserve">BC Rio Monte1Inverter4245972,305555555645972,305555555645972,70625</t>
  </si>
  <si>
    <t xml:space="preserve">BC Rio Monte1Inverter4545972,305555555645972,305555555645972,70625</t>
  </si>
  <si>
    <t xml:space="preserve">BC Rio Monte1Inverter4445972,305555555645972,305555555645972,70625</t>
  </si>
  <si>
    <t xml:space="preserve">BC Rio Monte1Inverter4645972,305555555645972,305555555645972,70625</t>
  </si>
  <si>
    <t xml:space="preserve">Foi realizada inspeção e identificado que o filtro de linha estava queimado.</t>
  </si>
  <si>
    <t xml:space="preserve">Foi realizada a substituição e usina teve a comunicação normalizada.</t>
  </si>
  <si>
    <t xml:space="preserve">BC Rio Bonito2INV-00145972,470833333345972,470833333345972,6909722222</t>
  </si>
  <si>
    <t xml:space="preserve">BC Rio Bonito2INV-00245972,470833333345972,470833333345972,6909722222</t>
  </si>
  <si>
    <t xml:space="preserve">BC Rio Bonito2INV-00345972,470833333345972,470833333345972,6909722222</t>
  </si>
  <si>
    <t xml:space="preserve">BC Rio Bonito2INV-00445972,470833333345972,470833333345972,6909722222</t>
  </si>
  <si>
    <t xml:space="preserve">Perdemos o acesso a UFV Rio Monte no sistema Isolarcloud.</t>
  </si>
  <si>
    <t xml:space="preserve">Colaborador Brasol</t>
  </si>
  <si>
    <t xml:space="preserve">Foi reportado aos colaboradores Brasol, estamos aguardando resolução. Após report, o time da Brasol compartilhou novamente a planta.</t>
  </si>
  <si>
    <t xml:space="preserve">BC Rio Monte1Inverter3845972,611805555645972,611805555645973,2465277778</t>
  </si>
  <si>
    <t xml:space="preserve">BC Rio Monte1Inverter3745972,611805555645972,611805555645973,2465277778</t>
  </si>
  <si>
    <t xml:space="preserve">BC Rio Monte1Inverter4345972,611805555645972,611805555645973,2465277778</t>
  </si>
  <si>
    <t xml:space="preserve">BC Rio Monte1Inverter4245972,611805555645972,611805555645973,2465277778</t>
  </si>
  <si>
    <t xml:space="preserve">BC Rio Monte1Inverter4545972,611805555645972,611805555645973,2465277778</t>
  </si>
  <si>
    <t xml:space="preserve">BC Rio Monte1Inverter4445972,611805555645972,611805555645973,2465277778</t>
  </si>
  <si>
    <t xml:space="preserve">BC Rio Monte1Inverter4645972,611805555645972,611805555645973,2465277778</t>
  </si>
  <si>
    <t xml:space="preserve">BC Rio Monte1Inverter4145972,611805555645972,611805555645973,2465277778</t>
  </si>
  <si>
    <t xml:space="preserve">BC Rio Monte1Inverter4745972,611805555645972,611805555645973,2465277778</t>
  </si>
  <si>
    <t xml:space="preserve">BC Rio Monte1Inverter3545972,611805555645972,611805555645973,2465277778</t>
  </si>
  <si>
    <t xml:space="preserve">BC Rio Monte1Inverter3645972,611805555645972,611805555645973,2465277778</t>
  </si>
  <si>
    <t xml:space="preserve">BC Rio Monte1Inverter3145972,611805555645972,611805555645973,2465277778</t>
  </si>
  <si>
    <t xml:space="preserve">BC Rio Monte1Inverter3345972,611805555645972,611805555645973,2465277778</t>
  </si>
  <si>
    <t xml:space="preserve">BC Rio Monte1Inverter3945972,611805555645972,611805555645973,2465277778</t>
  </si>
  <si>
    <t xml:space="preserve">BC Rio Monte1Inverter3245972,611805555645972,611805555645973,2465277778</t>
  </si>
  <si>
    <t xml:space="preserve">BC Rio Monte1Inverter4045972,611805555645972,611805555645973,2465277778</t>
  </si>
  <si>
    <t xml:space="preserve">BC Rio Monte1Inverter3445972,611805555645972,611805555645973,2465277778</t>
  </si>
  <si>
    <t xml:space="preserve">Araçu VII</t>
  </si>
  <si>
    <t xml:space="preserve">SG60KTL-ARACU_VII</t>
  </si>
  <si>
    <t xml:space="preserve">Perdemos o acesso a UFV Araçu 3 no sistema Isolarcloud.</t>
  </si>
  <si>
    <t xml:space="preserve">BC Aracu3SG60KTL-ARACU_VII45972,611805555645972,611805555645973,2465277778</t>
  </si>
  <si>
    <t xml:space="preserve">Araçu VI</t>
  </si>
  <si>
    <t xml:space="preserve">SG60KTL-ARACU_VI</t>
  </si>
  <si>
    <t xml:space="preserve">BC Aracu3SG60KTL-ARACU_VI45972,611805555645972,611805555645973,2465277778</t>
  </si>
  <si>
    <t xml:space="preserve">SG50CX-ARACU_VI</t>
  </si>
  <si>
    <t xml:space="preserve">BC Aracu3SG50CX-ARACU_VI45972,611805555645972,611805555645973,2465277778</t>
  </si>
  <si>
    <t xml:space="preserve">SG50CX-ARACU-VII</t>
  </si>
  <si>
    <t xml:space="preserve">BC Aracu3SG50CX-ARACU-VII45972,611805555645972,611805555645973,2465277778</t>
  </si>
  <si>
    <t xml:space="preserve"> Relé atuado por 86.</t>
  </si>
  <si>
    <t xml:space="preserve">BC Aracu5.1Inverter(MBUS-1)45972,742361111145972,742361111145972,7638888889</t>
  </si>
  <si>
    <t xml:space="preserve">BC Aracu5.2Inverter(MBUS-1)45972,742361111145972,742361111145972,7638888889</t>
  </si>
  <si>
    <t xml:space="preserve">BC Aracu5.3Inverter(MBUS-1)45972,742361111145972,742361111145972,7638888889</t>
  </si>
  <si>
    <t xml:space="preserve">BC Aracu5.4Inverter(MBUS-1)45972,742361111145972,742361111145972,7638888889</t>
  </si>
  <si>
    <t xml:space="preserve">BC Aracu5.5Inverter(MBUS-1)45972,742361111145972,742361111145972,7638888889</t>
  </si>
  <si>
    <t xml:space="preserve">Desligamento programado para parametrização do relé de proteção.</t>
  </si>
  <si>
    <t xml:space="preserve">Realizada inspeção, parametrização e oscilografia no relé de proteção. Após isto, foi feito inspeção em todo complexo, checado nível de tensão e realizado a manobra de normalização da geração.</t>
  </si>
  <si>
    <t xml:space="preserve">BC Formoso2.2Inverter(MBUS-14)45972,744444444445972,744444444445972,7708333333</t>
  </si>
  <si>
    <t xml:space="preserve">BC Formoso2.2Inverter(MBUS-13)45972,744444444445972,744444444445972,7708333333</t>
  </si>
  <si>
    <t xml:space="preserve">BC Formoso2.2Inverter(MBUS-12)45972,744444444445972,744444444445972,7708333333</t>
  </si>
  <si>
    <t xml:space="preserve">BC Formoso2.2Inverter(MBUS-1)45972,744444444445972,744444444445972,7708333333</t>
  </si>
  <si>
    <t xml:space="preserve">BC Formoso2.3Inverter(MBUS-13)45972,744444444445972,744444444445972,7708333333</t>
  </si>
  <si>
    <t xml:space="preserve">BC Formoso2.3Inverter(MBUS-12)45972,744444444445972,744444444445972,7708333333</t>
  </si>
  <si>
    <t xml:space="preserve">Desenergizada para parametrização do relé de proteção e inspeção no Tp auxiliar.</t>
  </si>
  <si>
    <t xml:space="preserve">Foi realizada a inspeção,parametrizaçao e avaliada a oscilografia do relé de proteção . O TP auxiliar foi retirado pra realizar ensaio o mesmo apresentou falha no seu funcionamento e foi encaminhado para garantia junto ao fabricante, Tamura.</t>
  </si>
  <si>
    <t xml:space="preserve">BC Formoso2.1Inverter(MBUS-12)45972,744444444445972,744444444445973,4479166667</t>
  </si>
  <si>
    <t xml:space="preserve">BC Formoso2.1Inverter(MBUS-14)45972,744444444445972,744444444445973,4479166667</t>
  </si>
  <si>
    <t xml:space="preserve">BC Formoso2.1Inverter(MBUS-13)45972,744444444445972,744444444445973,4479166667</t>
  </si>
  <si>
    <t xml:space="preserve">BC Formoso2.1Inverter(MBUS-1)45972,744444444445972,744444444445973,4479166667</t>
  </si>
  <si>
    <t xml:space="preserve">BC Rio Monte1Inverter3845973,2545973,2545973,2902777778</t>
  </si>
  <si>
    <t xml:space="preserve">BC Rio Monte1Inverter3745973,2545973,2545973,2902777778</t>
  </si>
  <si>
    <t xml:space="preserve">BC Rio Monte1Inverter4345973,2545973,2545973,2902777778</t>
  </si>
  <si>
    <t xml:space="preserve">BC Rio Monte1Inverter4245973,2545973,2545973,2902777778</t>
  </si>
  <si>
    <t xml:space="preserve">BC Rio Monte1Inverter4545973,2545973,2545973,2902777778</t>
  </si>
  <si>
    <t xml:space="preserve">BC Rio Monte1Inverter4445973,2545973,2545973,2902777778</t>
  </si>
  <si>
    <t xml:space="preserve">BC Rio Monte1Inverter4645973,2545973,2545973,2902777778</t>
  </si>
  <si>
    <t xml:space="preserve">BC Aracu1Inverter8445973,250532407445973,250532407445973,2743055556</t>
  </si>
  <si>
    <t xml:space="preserve">BC Aracu1Inverter7945973,256886574145973,256886574145973,2638078704</t>
  </si>
  <si>
    <t xml:space="preserve">BC Aracu1Inverter8145973,257002314845973,257002314845973,2639236111</t>
  </si>
  <si>
    <t xml:space="preserve">BC Aracu1Inverter8245973,25702546345973,25702546345973,2639814815</t>
  </si>
  <si>
    <t xml:space="preserve">BC Aracu1Inverter7845973,257048611145973,257048611145973,2639814815</t>
  </si>
  <si>
    <t xml:space="preserve">BC Aracu1Inversor 0645973,257106481545973,257106481545973,2640393519</t>
  </si>
  <si>
    <t xml:space="preserve">BC Aracu1Inverter8345973,257164351945973,257164351945973,2641203704</t>
  </si>
  <si>
    <t xml:space="preserve">BC Aracu5.1Inverter(MBUS-1)45973,263888888945973,263888888945973,2833333333</t>
  </si>
  <si>
    <t xml:space="preserve">BC Aracu5.2Inverter(MBUS-1)45973,263888888945973,263888888945973,2833333333</t>
  </si>
  <si>
    <t xml:space="preserve">BC Aracu5.3Inverter(MBUS-1)45973,263888888945973,263888888945973,2833333333</t>
  </si>
  <si>
    <t xml:space="preserve">BC Aracu5.4Inverter(MBUS-1)45973,263888888945973,263888888945973,2833333333</t>
  </si>
  <si>
    <t xml:space="preserve">BC Aracu5.5Inverter(MBUS-1)45973,263888888945973,263888888945973,2833333333</t>
  </si>
  <si>
    <t xml:space="preserve">Desligamento da UFV para execução de testes nos transformadores de média tensão e no religador. Após execução, foi realizada a manobra de energização da usina.</t>
  </si>
  <si>
    <t xml:space="preserve">BC Rio Bonito1SG36KTL-M-17_001_01745973,451388888945973,451388888945973,64375</t>
  </si>
  <si>
    <t xml:space="preserve">BC Rio Bonito1SG60KTL-10_001_01045973,451388888945973,451388888945973,64375</t>
  </si>
  <si>
    <t xml:space="preserve">BC Rio Bonito1SG60KTL-11_001_01145973,451388888945973,451388888945973,64375</t>
  </si>
  <si>
    <t xml:space="preserve">BC Rio Bonito1SG60KTL-12_001_01245973,451388888945973,451388888945973,64375</t>
  </si>
  <si>
    <t xml:space="preserve">BC Rio Bonito1SG60KTL-13_001_01345973,451388888945973,451388888945973,64375</t>
  </si>
  <si>
    <t xml:space="preserve">BC Rio Bonito1SG60KTL-14_001_01445973,451388888945973,451388888945973,64375</t>
  </si>
  <si>
    <t xml:space="preserve">BC Rio Bonito1SG60KTL-15_001_01545973,451388888945973,451388888945973,64375</t>
  </si>
  <si>
    <t xml:space="preserve">BC Rio Bonito1SG60KTL-16_001_01645973,451388888945973,451388888945973,64375</t>
  </si>
  <si>
    <t xml:space="preserve">BC Rio Bonito1SG60KTL-1_001_00145973,451388888945973,451388888945973,64375</t>
  </si>
  <si>
    <t xml:space="preserve">BC Rio Bonito1SG60KTL-2_001_00245973,451388888945973,451388888945973,64375</t>
  </si>
  <si>
    <t xml:space="preserve">BC Rio Bonito1SG60KTL-3_001_00345973,451388888945973,451388888945973,64375</t>
  </si>
  <si>
    <t xml:space="preserve">BC Rio Bonito1SG60KTL-4_001_00445973,451388888945973,451388888945973,64375</t>
  </si>
  <si>
    <t xml:space="preserve">BC Rio Bonito1SG60KTL-5_001_00545973,451388888945973,451388888945973,64375</t>
  </si>
  <si>
    <t xml:space="preserve">BC Rio Bonito1SG60KTL-6_001_00645973,451388888945973,451388888945973,64375</t>
  </si>
  <si>
    <t xml:space="preserve">BC Rio Bonito1SG60KTL-7_001_00745973,451388888945973,451388888945973,64375</t>
  </si>
  <si>
    <t xml:space="preserve">BC Rio Bonito1SG60KTL-8_001_00845973,451388888945973,451388888945973,64375</t>
  </si>
  <si>
    <t xml:space="preserve">BC Rio Bonito1SG60KTL-9_001_00945973,451388888945973,451388888945973,64375</t>
  </si>
  <si>
    <t xml:space="preserve">BC Aracu5.1Inverter(MBUS-1)45973,556944444445973,556944444445973,5604166667</t>
  </si>
  <si>
    <t xml:space="preserve">BC Aracu5.2Inverter(MBUS-1)45973,556944444445973,556944444445973,5604166667</t>
  </si>
  <si>
    <t xml:space="preserve">BC Aracu5.3Inverter(MBUS-1)45973,556944444445973,556944444445973,5604166667</t>
  </si>
  <si>
    <t xml:space="preserve">BC Aracu5.4Inverter(MBUS-1)45973,556944444445973,556944444445973,5604166667</t>
  </si>
  <si>
    <t xml:space="preserve">BC Aracu5.5Inverter(MBUS-1)45973,556944444445973,556944444445973,5604166667</t>
  </si>
  <si>
    <t xml:space="preserve">BC Rio Bonito2INV-00145973,649305555645973,649305555645973,7229166667</t>
  </si>
  <si>
    <t xml:space="preserve">BC Rio Bonito2INV-00245973,649305555645973,649305555645973,7229166667</t>
  </si>
  <si>
    <t xml:space="preserve">BC Rio Bonito2INV-00345973,649305555645973,649305555645973,7229166667</t>
  </si>
  <si>
    <t xml:space="preserve">BC Rio Bonito2INV-00445973,649305555645973,649305555645973,7229166667</t>
  </si>
  <si>
    <t xml:space="preserve">BC ParanoaSG60KTL(COM1-007)_002_01345974,0937545974,0937545974,2291666667</t>
  </si>
  <si>
    <t xml:space="preserve">BC ParanoaSG60KTL(COM1-008)_002_00245974,0937545974,0937545974,2291666667</t>
  </si>
  <si>
    <t xml:space="preserve">BC ParanoaSG60KTL(COM1-009)_002_00845974,0937545974,0937545974,2291666667</t>
  </si>
  <si>
    <t xml:space="preserve">BC ParanoaSG60KTL(COM1-010)_002_00345974,0937545974,0937545974,2291666667</t>
  </si>
  <si>
    <t xml:space="preserve">BC ParanoaSG60KTL(COM1-011)_002_01045974,0937545974,0937545974,2291666667</t>
  </si>
  <si>
    <t xml:space="preserve">BC ParanoaSG60KTL(COM1-012)_002_00545974,0937545974,0937545974,2291666667</t>
  </si>
  <si>
    <t xml:space="preserve">BC ParanoaSG60KTL(COM1-001)_002_00645974,0937545974,0937545974,2291666667</t>
  </si>
  <si>
    <t xml:space="preserve">BC ParanoaSG60KTL(COM1-002)_002_01645974,0937545974,0937545974,2291666667</t>
  </si>
  <si>
    <t xml:space="preserve">BC ParanoaSG50CX(COM2-003)_002_02145974,0937545974,0937545974,2291666667</t>
  </si>
  <si>
    <t xml:space="preserve">BC ParanoaSG50CX(COM2-004)_002_02345974,0937545974,0937545974,2291666667</t>
  </si>
  <si>
    <t xml:space="preserve">BC ParanoaSG60KTL(COM1-005)_002_00945974,0937545974,0937545974,2291666667</t>
  </si>
  <si>
    <t xml:space="preserve">BC ParanoaSG60KTL(COM1-006)_002_00145974,0937545974,0937545974,2291666667</t>
  </si>
  <si>
    <t xml:space="preserve">BC ParanoaSG50CX(COM2-004)_001_01845974,0937545974,0937545974,2291666667</t>
  </si>
  <si>
    <t xml:space="preserve">BC ParanoaSG50CX(COM2-003)_001_01645974,0937545974,0937545974,2291666667</t>
  </si>
  <si>
    <t xml:space="preserve">BC ParanoaSG60KTL(COM1-002)_001_00845974,0937545974,0937545974,2291666667</t>
  </si>
  <si>
    <t xml:space="preserve">BC Aracu1Inverter7845974,2662545974,2662545974,2812847222</t>
  </si>
  <si>
    <t xml:space="preserve">BC Aracu1Inverter8345974,2662545974,2662545974,2812847222</t>
  </si>
  <si>
    <t xml:space="preserve">BC Aracu1Inverter8245974,2662545974,2662545974,2812847222</t>
  </si>
  <si>
    <t xml:space="preserve">BC Aracu1Inverter7945974,2662545974,2662545974,2672800926</t>
  </si>
  <si>
    <t xml:space="preserve">BC Aracu1Inverter8445974,2662545974,2662545974,2812847222</t>
  </si>
  <si>
    <t xml:space="preserve">BC Aracu1Inverter8145974,2662545974,2662545974,2812847222</t>
  </si>
  <si>
    <t xml:space="preserve">BC Aracu1Inversor 0645974,2662545974,2662545974,2812847222</t>
  </si>
  <si>
    <t xml:space="preserve">Desligamento programado da Cemig para melhorias da rede.</t>
  </si>
  <si>
    <t xml:space="preserve">Após manutenção programada, usina foi normalizada.</t>
  </si>
  <si>
    <t xml:space="preserve">BC Varjao2.1215KTL-H0(MBUS-12)45974,504166666745974,504166666745974,6597222222</t>
  </si>
  <si>
    <t xml:space="preserve">BC Varjao2.1215KTL-H0(MBUS-13)45974,504166666745974,504166666745974,6597222222</t>
  </si>
  <si>
    <t xml:space="preserve">BC Varjao2.1215KTL-H0(MBUS-14)45974,504166666745974,504166666745974,6597222222</t>
  </si>
  <si>
    <t xml:space="preserve">BC Varjao2.1215KTL-H0(MBUS-15)45974,504166666745974,504166666745974,6597222222</t>
  </si>
  <si>
    <t xml:space="preserve">BC Varjao2.1215KTL-H0(MBUS-16)45974,504166666745974,504166666745974,6597222222</t>
  </si>
  <si>
    <t xml:space="preserve">BC Varjao2.2215KTL-H0(MBUS-13)45974,504166666745974,504166666745974,6597222222</t>
  </si>
  <si>
    <t xml:space="preserve">BC Varjao2.2215KTL-H0(MBUS-14)45974,504166666745974,504166666745974,6597222222</t>
  </si>
  <si>
    <t xml:space="preserve">BC Varjao2.2215KTL-H0(MBUS-15)45974,504166666745974,504166666745974,6597222222</t>
  </si>
  <si>
    <t xml:space="preserve">BC Varjao2.2215KTL-H0(MBUS-16)45974,504166666745974,504166666745974,6597222222</t>
  </si>
  <si>
    <t xml:space="preserve">BC Varjao2.2215KTL-H0(MBUS-12)45974,504166666745974,504166666745974,6597222222</t>
  </si>
  <si>
    <t xml:space="preserve">BC Varjao2.3100KTL-H1(MBUS-1)45974,504166666745974,504166666745974,6597222222</t>
  </si>
  <si>
    <t xml:space="preserve">BC Varjao2.3215KTL-H0(MBUS-13)45974,504166666745974,504166666745974,6597222222</t>
  </si>
  <si>
    <t xml:space="preserve">BC Varjao2.3215KTL-H0(MBUS-12)45974,504166666745974,504166666745974,6597222222</t>
  </si>
  <si>
    <t xml:space="preserve">BC Aracu1Inverter7945975,255173611145975,255173611145975,2700694444</t>
  </si>
  <si>
    <t xml:space="preserve">BC Aracu1Inverter8145975,255300925945975,255300925945975,2700694444</t>
  </si>
  <si>
    <t xml:space="preserve">BC Aracu1Inverter8245975,255312545975,255312545975,2700694444</t>
  </si>
  <si>
    <t xml:space="preserve">BC Aracu1Inverter8445975,255312545975,255312545975,2700694444</t>
  </si>
  <si>
    <t xml:space="preserve">BC Aracu1Inverter7845975,255324074145975,255324074145975,2700694444</t>
  </si>
  <si>
    <t xml:space="preserve">BC Aracu1Inversor 0645975,255370370445975,255370370445975,2700694444</t>
  </si>
  <si>
    <t xml:space="preserve">BC Aracu1Inverter8345975,255439814845975,255439814845975,2700694444</t>
  </si>
  <si>
    <t xml:space="preserve">BC Aracu1Inverter7945975,283796296345975,283796296345975,2907407407</t>
  </si>
  <si>
    <t xml:space="preserve">BC Aracu1Inverter8445975,283923611145975,283923611145975,2941087963</t>
  </si>
  <si>
    <t xml:space="preserve">BC Aracu1Inverter7845975,283946759345975,283946759345975,2941087963</t>
  </si>
  <si>
    <t xml:space="preserve">BC Aracu1Inverter8245975,283946759345975,283946759345975,2941087963</t>
  </si>
  <si>
    <t xml:space="preserve">BC Aracu1Inverter8145975,283958333345975,283958333345975,2908449074</t>
  </si>
  <si>
    <t xml:space="preserve">BC Aracu1Inversor 0645975,284050925945975,284050925945975,2941087963</t>
  </si>
  <si>
    <t xml:space="preserve">BC Aracu1Inverter8345975,284085648145975,284085648145975,2941087963</t>
  </si>
  <si>
    <t xml:space="preserve">BC Panama1.1CEREAL_00245975,447222222245975,447222222245975,625</t>
  </si>
  <si>
    <t xml:space="preserve">BC Panama1.1ITAPOAN 001 (COM1-001)_001_00145975,447222222245975,447222222245975,625</t>
  </si>
  <si>
    <t xml:space="preserve">BC Panama1.1ITAPOAN_00345975,447222222245975,447222222245975,625</t>
  </si>
  <si>
    <t xml:space="preserve">BC Panama1.2COOGED_00545975,447222222245975,447222222245975,625</t>
  </si>
  <si>
    <t xml:space="preserve">BC Panama1.2ART_00645975,447222222245975,447222222245975,625</t>
  </si>
  <si>
    <t xml:space="preserve">BC Panama1.2ART_00445975,447222222245975,447222222245975,625</t>
  </si>
  <si>
    <t xml:space="preserve">BC Panama1.2RADIO_00745975,447222222245975,447222222245975,625</t>
  </si>
  <si>
    <t xml:space="preserve">BC Aracu5.1Inverter(MBUS-1)45976,194444444445976,194444444445976,2604166667</t>
  </si>
  <si>
    <t xml:space="preserve">BC Aracu5.2Inverter(MBUS-1)45976,194444444445976,194444444445976,2604166667</t>
  </si>
  <si>
    <t xml:space="preserve">BC Aracu5.3Inverter(MBUS-1)45976,194444444445976,194444444445976,2604166667</t>
  </si>
  <si>
    <t xml:space="preserve">BC Aracu5.4Inverter(MBUS-1)45976,194444444445976,194444444445976,2604166667</t>
  </si>
  <si>
    <t xml:space="preserve">BC Aracu5.5Inverter(MBUS-1)45976,194444444445976,194444444445976,2604166667</t>
  </si>
  <si>
    <t xml:space="preserve">O logger parou de comunicar com o fusion solar.</t>
  </si>
  <si>
    <t xml:space="preserve">Foi realizado um reset da smartlogger.</t>
  </si>
  <si>
    <t xml:space="preserve">BC Caiaponia2.2215KTL-H3(MBUS-13)45976,270833333345976,270833333345976,3805555556</t>
  </si>
  <si>
    <t xml:space="preserve">BC Caiaponia2.2215KTL-H3(MBUS-14)45976,270833333345976,270833333345976,3805555556</t>
  </si>
  <si>
    <t xml:space="preserve">BC Caiaponia2.2215KTL-H3(MBUS-15)45976,270833333345976,270833333345976,3805555556</t>
  </si>
  <si>
    <t xml:space="preserve">BC Caiaponia2.2215KTL-H3(MBUS-12)45976,270833333345976,270833333345976,3805555556</t>
  </si>
  <si>
    <t xml:space="preserve">BC Caiaponia2.2215KTL-H3(MBUS-16)45976,270833333345976,270833333345976,3805555556</t>
  </si>
  <si>
    <t xml:space="preserve">BC Clareira1.1Inverter(MBUS-12)45976,470833333345976,470833333345976,5090277778</t>
  </si>
  <si>
    <t xml:space="preserve">BC Clareira1.1Inverter(MBUS-13)45976,470833333345976,470833333345976,5090277778</t>
  </si>
  <si>
    <t xml:space="preserve">BC Clareira1.1	Inverter(MBUS-14)45976,470833333345976,470833333345976,5090277778</t>
  </si>
  <si>
    <t xml:space="preserve">BC Clareira1.1	Inverter(MBUS-15)45976,470833333345976,470833333345976,5090277778</t>
  </si>
  <si>
    <t xml:space="preserve">BC Clareira1.1Inverter(MBUS-16)45976,470833333345976,470833333345976,5090277778</t>
  </si>
  <si>
    <t xml:space="preserve">BC Clareira1.2	215KTL-H3(MBUS-12)45976,470833333345976,470833333345976,5090277778</t>
  </si>
  <si>
    <t xml:space="preserve">BC Clareira1.2	215KTL-H3(MBUS-13)45976,470833333345976,470833333345976,5090277778</t>
  </si>
  <si>
    <t xml:space="preserve">BC Clareira1.2100KTL-H1(MBUS-14)45976,470833333345976,470833333345976,5090277778</t>
  </si>
  <si>
    <t xml:space="preserve">Falha de comunicação com a internet.</t>
  </si>
  <si>
    <t xml:space="preserve">Foi feito o reset no TP-LINK e foi notado que o disjuntor que alimenta a internet da vazante 2 encontrava-se em trip no quadro geral da subestação. Foi normalizada após identificação.</t>
  </si>
  <si>
    <t xml:space="preserve">BC Vazante2.1Inverter(MBUS-1)45976,555555555645976,555555555645976,6944444444</t>
  </si>
  <si>
    <t xml:space="preserve">BC Vazante2.1Inverter(MBUS-2)45976,555555555645976,555555555645976,6944444444</t>
  </si>
  <si>
    <t xml:space="preserve">	Inverter(MBUS-4)</t>
  </si>
  <si>
    <t xml:space="preserve">BC Vazante2.1	Inverter(MBUS-4)45976,555555555645976,555555555645976,6944444444</t>
  </si>
  <si>
    <t xml:space="preserve">	Inverter(MBUS-5)</t>
  </si>
  <si>
    <t xml:space="preserve">BC Vazante2.1	Inverter(MBUS-5)45976,555555555645976,555555555645976,6944444444</t>
  </si>
  <si>
    <t xml:space="preserve">	Inverter(MBUS-12)</t>
  </si>
  <si>
    <t xml:space="preserve">BC Vazante2.1	Inverter(MBUS-12)45976,555555555645976,555555555645976,6944444444</t>
  </si>
  <si>
    <t xml:space="preserve">	Inverter(MBUS-1)</t>
  </si>
  <si>
    <t xml:space="preserve">BC Vazante2.2	Inverter(MBUS-1)45976,555555555645976,555555555645976,6944444444</t>
  </si>
  <si>
    <t xml:space="preserve">	Inverter(MBUS-10)</t>
  </si>
  <si>
    <t xml:space="preserve">BC Vazante2.2	Inverter(MBUS-10)45976,555555555645976,555555555645976,6944444444</t>
  </si>
  <si>
    <t xml:space="preserve">	Inverter(MBUS-6)</t>
  </si>
  <si>
    <t xml:space="preserve">BC Vazante2.2	Inverter(MBUS-6)45976,555555555645976,555555555645976,6944444444</t>
  </si>
  <si>
    <t xml:space="preserve">	Inverter(MBUS-7)</t>
  </si>
  <si>
    <t xml:space="preserve">BC Vazante2.2	Inverter(MBUS-7)45976,555555555645976,555555555645976,6944444444</t>
  </si>
  <si>
    <t xml:space="preserve">	Inverter(MBUS-8)</t>
  </si>
  <si>
    <t xml:space="preserve">BC Vazante2.2	Inverter(MBUS-8)45976,555555555645976,555555555645976,6944444444</t>
  </si>
  <si>
    <t xml:space="preserve">	Inverter(MBUS-11)</t>
  </si>
  <si>
    <t xml:space="preserve">BC Vazante2.3	Inverter(MBUS-11)45976,555555555645976,555555555645976,6944444444</t>
  </si>
  <si>
    <t xml:space="preserve">BC Vazante2.3	Inverter(MBUS-12)45976,555555555645976,555555555645976,6944444444</t>
  </si>
  <si>
    <t xml:space="preserve">	Inverter(MBUS-13)</t>
  </si>
  <si>
    <t xml:space="preserve">BC Vazante2.3	Inverter(MBUS-13)45976,555555555645976,555555555645976,6944444444</t>
  </si>
  <si>
    <t xml:space="preserve">BC Aracu5.1Inverter(MBUS-1)45976,726388888945976,726388888945977,2534722222</t>
  </si>
  <si>
    <t xml:space="preserve">BC Aracu5.2Inverter(MBUS-1)45976,726388888945976,726388888945977,2534722222</t>
  </si>
  <si>
    <t xml:space="preserve">BC Aracu5.3Inverter(MBUS-1)45976,726388888945976,726388888945977,2534722222</t>
  </si>
  <si>
    <t xml:space="preserve">BC Aracu5.4Inverter(MBUS-1)45976,726388888945976,726388888945977,2534722222</t>
  </si>
  <si>
    <t xml:space="preserve">BC Aracu5.5Inverter(MBUS-1)45976,726388888945976,726388888945977,2534722222</t>
  </si>
  <si>
    <t xml:space="preserve">Falha de comunicação com o fusionsolar.</t>
  </si>
  <si>
    <t xml:space="preserve">Foi feito o reset e mudados de posição o conversor de mídia, trocando com cada um das smarts logger para verificação se poderia ser o conversor. </t>
  </si>
  <si>
    <t xml:space="preserve">BC Vazante2.1Inverter(MBUS-1)45976,731944444445976,731944444445977,4861111111</t>
  </si>
  <si>
    <t xml:space="preserve">BC Vazante2.1Inverter(MBUS-2)45976,731944444445976,731944444445977,4861111111</t>
  </si>
  <si>
    <t xml:space="preserve">BC Vazante2.1	Inverter(MBUS-4)45976,731944444445976,731944444445977,4861111111</t>
  </si>
  <si>
    <t xml:space="preserve">BC Vazante2.1	Inverter(MBUS-5)45976,731944444445976,731944444445977,4861111111</t>
  </si>
  <si>
    <t xml:space="preserve">BC Vazante2.1	Inverter(MBUS-12)45976,731944444445976,731944444445977,4861111111</t>
  </si>
  <si>
    <t xml:space="preserve">BC Vazante2.2	Inverter(MBUS-1)45976,731944444445976,731944444445977,4861111111</t>
  </si>
  <si>
    <t xml:space="preserve">BC Vazante2.2	Inverter(MBUS-10)45976,731944444445976,731944444445977,4861111111</t>
  </si>
  <si>
    <t xml:space="preserve">BC Vazante2.2	Inverter(MBUS-6)45976,731944444445976,731944444445977,4861111111</t>
  </si>
  <si>
    <t xml:space="preserve">BC Vazante2.2	Inverter(MBUS-7)45976,731944444445976,731944444445977,4861111111</t>
  </si>
  <si>
    <t xml:space="preserve">BC Vazante2.2	Inverter(MBUS-8)45976,731944444445976,731944444445977,4861111111</t>
  </si>
  <si>
    <t xml:space="preserve">BC Vazante2.3	Inverter(MBUS-11)45976,731944444445976,731944444445977,4861111111</t>
  </si>
  <si>
    <t xml:space="preserve">BC Vazante2.3	Inverter(MBUS-12)45976,731944444445976,731944444445977,4861111111</t>
  </si>
  <si>
    <t xml:space="preserve">BC Vazante2.3	Inverter(MBUS-13)45976,731944444445976,731944444445977,4861111111</t>
  </si>
  <si>
    <t xml:space="preserve">BC Caiaponia1SG60KTL(COM1-003)_001_01145977,215972164445977,215972164445977,3597222222</t>
  </si>
  <si>
    <t xml:space="preserve">BC Caiaponia1SG60KTL(COM1-004)_001_01445977,215972164445977,215972164445977,3597222222</t>
  </si>
  <si>
    <t xml:space="preserve">BC Caiaponia1SG60KTL(COM1-005)_001_01745977,215972164445977,215972164445977,3597222222</t>
  </si>
  <si>
    <t xml:space="preserve">BC Caiaponia1SG60KTL(COM1-006)_001_01645977,215972164445977,215972164445977,3597222222</t>
  </si>
  <si>
    <t xml:space="preserve">BC Caiaponia1SG60KTL(COM1-007)_001_01345977,215972164445977,215972164445977,3597222222</t>
  </si>
  <si>
    <t xml:space="preserve">BC Caiaponia1SG60KTL(COM1-008)_001_00145977,215972164445977,215972164445977,3597222222</t>
  </si>
  <si>
    <t xml:space="preserve">BC Caiaponia1SG60KTL(COM1-009)45977,215972164445977,215972164445977,3597222222</t>
  </si>
  <si>
    <t xml:space="preserve">BC Caiaponia1SG60KTL(COM1-010)45977,215972164445977,215972164445977,3597222222</t>
  </si>
  <si>
    <t xml:space="preserve">BC Caiaponia1SG60KTL(COM1-011)45977,215972164445977,215972164445977,3597222222</t>
  </si>
  <si>
    <t xml:space="preserve">BC Caiaponia1SG60KTL(COM1-012)45977,215972164445977,215972164445977,3597222222</t>
  </si>
  <si>
    <t xml:space="preserve">BC Caiaponia1SG60KTL(COM1-013)45977,215972164445977,215972164445977,3597222222</t>
  </si>
  <si>
    <t xml:space="preserve">BC Caiaponia1SG60KTL(COM1-014)45977,215972164445977,215972164445977,3597222222</t>
  </si>
  <si>
    <t xml:space="preserve">BC Caiaponia1SG60KTL(COM1-015)45977,215972164445977,215972164445977,3597222222</t>
  </si>
  <si>
    <t xml:space="preserve">BC Caiaponia1SG60KTL(COM3-016)_001_00945977,215972164445977,215972164445977,3597222222</t>
  </si>
  <si>
    <t xml:space="preserve">BC Caiaponia1SG60KTL(COM3-017)_001_01245977,215972164445977,215972164445977,3597222222</t>
  </si>
  <si>
    <t xml:space="preserve">BC Caiaponia1SG60KTL(COM3-018)_001_00845977,215972164445977,215972164445977,3597222222</t>
  </si>
  <si>
    <t xml:space="preserve">BC Caiaponia1SG60KTL(COM3-019)_001_01945977,215972164445977,215972164445977,3597222222</t>
  </si>
  <si>
    <t xml:space="preserve">BC Caiaponia1SG60KTL(COM3-020)_001_02045977,215972164445977,215972164445977,3597222222</t>
  </si>
  <si>
    <t xml:space="preserve">BC Caiaponia1SG60KTL(COM2-026)45977,215972164445977,215972164445977,3597222222</t>
  </si>
  <si>
    <t xml:space="preserve">BC Caiaponia1SG60KTL(COM2-027)45977,215972164445977,215972164445977,3597222222</t>
  </si>
  <si>
    <t xml:space="preserve">BC Caiaponia1SG60KTL(COM2-028)45977,215972164445977,215972164445977,3597222222</t>
  </si>
  <si>
    <t xml:space="preserve">BC Caiaponia1SG60KTL(COM2-029)45977,215972164445977,215972164445977,3597222222</t>
  </si>
  <si>
    <t xml:space="preserve">BC Caiaponia1SG50CX(COM1-021)45977,215972164445977,215972164445977,3597222222</t>
  </si>
  <si>
    <t xml:space="preserve">BC Caiaponia1SG50CX(COM1-022)45977,215972164445977,215972164445977,3597222222</t>
  </si>
  <si>
    <t xml:space="preserve">BC Caiaponia1SG50CX(COM1-023)45977,215972164445977,215972164445977,3597222222</t>
  </si>
  <si>
    <t xml:space="preserve">BC Caiaponia1SG50CX(COM1-024)45977,215972164445977,215972164445977,3597222222</t>
  </si>
  <si>
    <t xml:space="preserve">BC Caiaponia1SG50CX(COM1-025)45977,215972164445977,215972164445977,3597222222</t>
  </si>
  <si>
    <t xml:space="preserve">BC Caiaponia2.1215KTL-H3(MBUS-12)45977,215972164445977,215972164445977,3597222222</t>
  </si>
  <si>
    <t xml:space="preserve">BC Caiaponia2.1215KTL-H3(MBUS-13)45977,215972164445977,215972164445977,3597222222</t>
  </si>
  <si>
    <t xml:space="preserve">BC Caiaponia2.1215KTL-H3(MBUS-14)45977,215972164445977,215972164445977,3597222222</t>
  </si>
  <si>
    <t xml:space="preserve">BC Caiaponia2.1215KTL-H3(MBUS-15)45977,215972164445977,215972164445977,3597222222</t>
  </si>
  <si>
    <t xml:space="preserve">BC Caiaponia2.1215KTL-H3(MBUS-16)45977,215972164445977,215972164445977,3597222222</t>
  </si>
  <si>
    <t xml:space="preserve">BC Caiaponia2.2215KTL-H3(MBUS-12)45977,215972164445977,215972164445977,3597222222</t>
  </si>
  <si>
    <t xml:space="preserve">BC Caiaponia2.2215KTL-H3(MBUS-13)45977,215972164445977,215972164445977,3597222222</t>
  </si>
  <si>
    <t xml:space="preserve">BC Caiaponia2.2215KTL-H3(MBUS-14)45977,215972164445977,215972164445977,3597222222</t>
  </si>
  <si>
    <t xml:space="preserve">BC Caiaponia2.2215KTL-H3(MBUS-15)45977,215972164445977,215972164445977,3597222222</t>
  </si>
  <si>
    <t xml:space="preserve">BC Caiaponia2.2215KTL-H3(MBUS-16)45977,215972164445977,215972164445977,3597222222</t>
  </si>
  <si>
    <t xml:space="preserve">BC Caiaponia2.3215KTL-H3(MBUS-12)45977,215972164445977,215972164445977,3597222222</t>
  </si>
  <si>
    <t xml:space="preserve">BC Caiaponia2.3215KTL-H3(MBUS-13)45977,215972164445977,215972164445977,3597222222</t>
  </si>
  <si>
    <t xml:space="preserve">BC Caiaponia2.3215KTL-H3(MBUS-14)45977,215972164445977,215972164445977,3597222222</t>
  </si>
  <si>
    <t xml:space="preserve">BC Caiaponia2.3215KTL-H3(MBUS-15)45977,215972164445977,215972164445977,3597222222</t>
  </si>
  <si>
    <t xml:space="preserve">BC Caiaponia2.3215KTL-H3(MBUS-16)45977,215972164445977,215972164445977,3597222222</t>
  </si>
  <si>
    <t xml:space="preserve">BC Caiaponia1SG60KTL(COM1-001)_001_00745977,215972222245977,215972222245977,3597222222</t>
  </si>
  <si>
    <t xml:space="preserve">BC Caiaponia1SG60KTL(COM1-002)_001_01045977,215972222245977,215972222245977,3597222222</t>
  </si>
  <si>
    <t xml:space="preserve">BC Rio Bonito2INV-00145977,545138888945977,545138888945977,7513888889</t>
  </si>
  <si>
    <t xml:space="preserve">BC Rio Bonito2INV-00245977,545138888945977,545138888945977,7513888889</t>
  </si>
  <si>
    <t xml:space="preserve">BC Rio Bonito2INV-00345977,545138888945977,545138888945977,7513888889</t>
  </si>
  <si>
    <t xml:space="preserve">BC Rio Bonito2INV-00445977,545138888945977,545138888945977,7513888889</t>
  </si>
  <si>
    <t xml:space="preserve">BC Rio Bonito1SG36KTL-M-17_001_01745977,545138888945977,545138888945977,7513888889</t>
  </si>
  <si>
    <t xml:space="preserve">BC Rio Bonito1SG60KTL-10_001_01045977,545138888945977,545138888945977,7513888889</t>
  </si>
  <si>
    <t xml:space="preserve">BC Rio Bonito1SG60KTL-11_001_01145977,545138888945977,545138888945977,7513888889</t>
  </si>
  <si>
    <t xml:space="preserve">BC Rio Bonito1SG60KTL-12_001_01245977,545138888945977,545138888945977,7513888889</t>
  </si>
  <si>
    <t xml:space="preserve">BC Rio Bonito1SG60KTL-13_001_01345977,545138888945977,545138888945977,7513888889</t>
  </si>
  <si>
    <t xml:space="preserve">BC Rio Bonito1SG60KTL-14_001_01445977,545138888945977,545138888945977,7513888889</t>
  </si>
  <si>
    <t xml:space="preserve">BC Rio Bonito1SG60KTL-15_001_01545977,545138888945977,545138888945977,7513888889</t>
  </si>
  <si>
    <t xml:space="preserve">BC Rio Bonito1SG60KTL-16_001_01645977,545138888945977,545138888945977,7513888889</t>
  </si>
  <si>
    <t xml:space="preserve">BC Rio Bonito1SG60KTL-1_001_00145977,545138888945977,545138888945977,7513888889</t>
  </si>
  <si>
    <t xml:space="preserve">BC Rio Bonito1SG60KTL-2_001_00245977,545138888945977,545138888945977,7513888889</t>
  </si>
  <si>
    <t xml:space="preserve">BC Rio Bonito1SG60KTL-3_001_00345977,545138888945977,545138888945977,7513888889</t>
  </si>
  <si>
    <t xml:space="preserve">BC Rio Bonito1SG60KTL-4_001_00445977,545138888945977,545138888945977,7513888889</t>
  </si>
  <si>
    <t xml:space="preserve">BC Rio Bonito1SG60KTL-5_001_00545977,545138888945977,545138888945977,7513888889</t>
  </si>
  <si>
    <t xml:space="preserve">BC Rio Bonito1SG60KTL-6_001_00645977,545138888945977,545138888945977,7513888889</t>
  </si>
  <si>
    <t xml:space="preserve">BC Rio Bonito1SG60KTL-7_001_00745977,545138888945977,545138888945977,7513888889</t>
  </si>
  <si>
    <t xml:space="preserve">BC Rio Bonito1SG60KTL-8_001_00845977,545138888945977,545138888945977,7513888889</t>
  </si>
  <si>
    <t xml:space="preserve">BC Rio Bonito1SG60KTL-9_001_00945977,545138888945977,545138888945977,7513888889</t>
  </si>
  <si>
    <t xml:space="preserve">BC Rio Monte1Inverter3845977,937545977,937545978,2604166667</t>
  </si>
  <si>
    <t xml:space="preserve">BC Rio Monte1Inverter3745977,937545977,937545978,2604166667</t>
  </si>
  <si>
    <t xml:space="preserve">BC Rio Monte1Inverter4345977,937545977,937545978,2604166667</t>
  </si>
  <si>
    <t xml:space="preserve">BC Rio Monte1Inverter4245977,937545977,937545978,2604166667</t>
  </si>
  <si>
    <t xml:space="preserve">BC Rio Monte1Inverter4545977,937545977,937545978,2604166667</t>
  </si>
  <si>
    <t xml:space="preserve">BC Rio Monte1Inverter4445977,937545977,937545978,2604166667</t>
  </si>
  <si>
    <t xml:space="preserve">BC Rio Monte1Inverter4645977,937545977,937545978,2604166667</t>
  </si>
  <si>
    <t xml:space="preserve">BC Rio Monte1Inverter4145977,937545977,937545978,2604166667</t>
  </si>
  <si>
    <t xml:space="preserve">BC Rio Monte1Inverter4745977,937545977,937545978,2604166667</t>
  </si>
  <si>
    <t xml:space="preserve">BC Rio Monte1Inverter3545977,937545977,937545978,2604166667</t>
  </si>
  <si>
    <t xml:space="preserve">BC Rio Monte1Inverter3645977,937545977,937545978,2604166667</t>
  </si>
  <si>
    <t xml:space="preserve">BC Rio Monte1Inverter3145977,937545977,937545978,2604166667</t>
  </si>
  <si>
    <t xml:space="preserve">BC Rio Monte1Inverter3345977,937545977,937545978,2604166667</t>
  </si>
  <si>
    <t xml:space="preserve">BC Rio Monte1Inverter3945977,937545977,937545978,2604166667</t>
  </si>
  <si>
    <t xml:space="preserve">BC Rio Monte1Inverter3245977,937545977,937545978,2604166667</t>
  </si>
  <si>
    <t xml:space="preserve">BC Rio Monte1Inverter4045977,937545977,937545978,2604166667</t>
  </si>
  <si>
    <t xml:space="preserve">BC Rio Monte1Inverter3445977,937545977,937545978,2604166667</t>
  </si>
  <si>
    <t xml:space="preserve">BC Caiaponia1SG60KTL(COM1-001)_001_00745977,937545977,937545978,3194444444</t>
  </si>
  <si>
    <t xml:space="preserve">BC Caiaponia1SG60KTL(COM1-002)_001_01045977,937545977,937545978,3194444444</t>
  </si>
  <si>
    <t xml:space="preserve">BC Caiaponia1SG60KTL(COM1-003)_001_01145977,937545977,937545978,3194444444</t>
  </si>
  <si>
    <t xml:space="preserve">BC Caiaponia1SG60KTL(COM1-004)_001_01445977,937545977,937545978,3194444444</t>
  </si>
  <si>
    <t xml:space="preserve">BC Caiaponia1SG60KTL(COM1-005)_001_01745977,937545977,937545978,3194444444</t>
  </si>
  <si>
    <t xml:space="preserve">BC Caiaponia1SG60KTL(COM1-006)_001_01645977,937545977,937545978,3194444444</t>
  </si>
  <si>
    <t xml:space="preserve">BC Caiaponia1SG60KTL(COM1-007)_001_01345977,937545977,937545978,3194444444</t>
  </si>
  <si>
    <t xml:space="preserve">BC Caiaponia1SG60KTL(COM1-008)_001_00145977,937545977,937545978,3194444444</t>
  </si>
  <si>
    <t xml:space="preserve">BC Caiaponia1SG60KTL(COM1-009)45977,937545977,937545978,3194444444</t>
  </si>
  <si>
    <t xml:space="preserve">BC Caiaponia1SG60KTL(COM1-010)45977,937545977,937545978,3194444444</t>
  </si>
  <si>
    <t xml:space="preserve">BC Caiaponia1SG60KTL(COM1-011)45977,937545977,937545978,3194444444</t>
  </si>
  <si>
    <t xml:space="preserve">BC Caiaponia1SG60KTL(COM1-012)45977,937545977,937545978,3194444444</t>
  </si>
  <si>
    <t xml:space="preserve">BC Caiaponia1SG60KTL(COM1-013)45977,937545977,937545978,3194444444</t>
  </si>
  <si>
    <t xml:space="preserve">BC Caiaponia1SG60KTL(COM1-014)45977,937545977,937545978,3194444444</t>
  </si>
  <si>
    <t xml:space="preserve">BC Caiaponia1SG60KTL(COM1-015)45977,937545977,937545978,3194444444</t>
  </si>
  <si>
    <t xml:space="preserve">BC Caiaponia1SG60KTL(COM3-016)_001_00945977,937545977,937545978,3194444444</t>
  </si>
  <si>
    <t xml:space="preserve">BC Caiaponia1SG60KTL(COM3-017)_001_01245977,937545977,937545978,3194444444</t>
  </si>
  <si>
    <t xml:space="preserve">BC Caiaponia1SG60KTL(COM3-018)_001_00845977,937545977,937545978,3194444444</t>
  </si>
  <si>
    <t xml:space="preserve">BC Caiaponia1SG60KTL(COM3-019)_001_01945977,937545977,937545978,3194444444</t>
  </si>
  <si>
    <t xml:space="preserve">BC Caiaponia1SG60KTL(COM3-020)_001_02045977,937545977,937545978,3194444444</t>
  </si>
  <si>
    <t xml:space="preserve">BC Caiaponia1SG60KTL(COM2-026)45977,937545977,937545978,3194444444</t>
  </si>
  <si>
    <t xml:space="preserve">BC Caiaponia1SG60KTL(COM2-027)45977,937545977,937545978,3194444444</t>
  </si>
  <si>
    <t xml:space="preserve">BC Caiaponia1SG60KTL(COM2-028)45977,937545977,937545978,3194444444</t>
  </si>
  <si>
    <t xml:space="preserve">BC Caiaponia1SG60KTL(COM2-029)45977,937545977,937545978,3194444444</t>
  </si>
  <si>
    <t xml:space="preserve">BC Caiaponia1SG50CX(COM1-021)45977,937545977,937545978,3194444444</t>
  </si>
  <si>
    <t xml:space="preserve">BC Caiaponia1SG50CX(COM1-022)45977,937545977,937545978,3194444444</t>
  </si>
  <si>
    <t xml:space="preserve">BC Caiaponia1SG50CX(COM1-023)45977,937545977,937545978,3194444444</t>
  </si>
  <si>
    <t xml:space="preserve">BC Caiaponia1SG50CX(COM1-024)45977,937545977,937545978,3194444444</t>
  </si>
  <si>
    <t xml:space="preserve">BC Caiaponia1SG50CX(COM1-025)45977,937545977,937545978,3194444444</t>
  </si>
  <si>
    <t xml:space="preserve">BC Caiaponia2.1215KTL-H3(MBUS-12)45977,937545977,937545978,3194444444</t>
  </si>
  <si>
    <t xml:space="preserve">BC Caiaponia2.1215KTL-H3(MBUS-13)45977,937545977,937545978,3194444444</t>
  </si>
  <si>
    <t xml:space="preserve">BC Caiaponia2.1215KTL-H3(MBUS-14)45977,937545977,937545978,3194444444</t>
  </si>
  <si>
    <t xml:space="preserve">BC Caiaponia2.1215KTL-H3(MBUS-15)45977,937545977,937545978,3194444444</t>
  </si>
  <si>
    <t xml:space="preserve">BC Caiaponia2.1215KTL-H3(MBUS-16)45977,937545977,937545978,3194444444</t>
  </si>
  <si>
    <t xml:space="preserve">BC Caiaponia2.2215KTL-H3(MBUS-12)45977,937545977,937545978,3194444444</t>
  </si>
  <si>
    <t xml:space="preserve">BC Caiaponia2.2215KTL-H3(MBUS-13)45977,937545977,937545978,3194444444</t>
  </si>
  <si>
    <t xml:space="preserve">BC Caiaponia2.2215KTL-H3(MBUS-14)45977,937545977,937545978,3194444444</t>
  </si>
  <si>
    <t xml:space="preserve">BC Caiaponia2.2215KTL-H3(MBUS-15)45977,937545977,937545978,3194444444</t>
  </si>
  <si>
    <t xml:space="preserve">BC Caiaponia2.2215KTL-H3(MBUS-16)45977,937545977,937545978,3194444444</t>
  </si>
  <si>
    <t xml:space="preserve">BC Caiaponia2.3215KTL-H3(MBUS-12)45977,937545977,937545978,3194444444</t>
  </si>
  <si>
    <t xml:space="preserve">BC Caiaponia2.3215KTL-H3(MBUS-13)45977,937545977,937545978,3194444444</t>
  </si>
  <si>
    <t xml:space="preserve">BC Caiaponia2.3215KTL-H3(MBUS-14)45977,937545977,937545978,3194444444</t>
  </si>
  <si>
    <t xml:space="preserve">BC Caiaponia2.3215KTL-H3(MBUS-15)45977,937545977,937545978,3194444444</t>
  </si>
  <si>
    <t xml:space="preserve">BC Caiaponia2.3215KTL-H3(MBUS-16)45977,937545977,937545978,3194444444</t>
  </si>
  <si>
    <t xml:space="preserve">BC Aracu1Inverter7945978,261354166745978,261354166745978,268275463</t>
  </si>
  <si>
    <t xml:space="preserve">BC Aracu1Inverter8445978,261550925945978,261550925945978,2684953704</t>
  </si>
  <si>
    <t xml:space="preserve">BC Aracu1Inverter8145978,261620370445978,261620370445978,2685185185</t>
  </si>
  <si>
    <t xml:space="preserve">BC Aracu1Inverter8245978,261643518545978,261643518545978,2685416667</t>
  </si>
  <si>
    <t xml:space="preserve">BC Aracu1Inverter7845978,261643518545978,261643518545978,2686111111</t>
  </si>
  <si>
    <t xml:space="preserve">BC Aracu1Inversor 0645978,26171296345978,26171296345978,2686574074</t>
  </si>
  <si>
    <t xml:space="preserve">BC Aracu1Inverter8345978,261805555645978,261805555645978,2687615741</t>
  </si>
  <si>
    <t xml:space="preserve">BC Aracu1Inverter7945978,289942129645978,289942129645978,2969328704</t>
  </si>
  <si>
    <t xml:space="preserve">BC Aracu1Inverter8145978,29016203745978,29016203745978,2971296296</t>
  </si>
  <si>
    <t xml:space="preserve">BC Aracu1Inverter8445978,290173611145978,290173611145978,2971412037</t>
  </si>
  <si>
    <t xml:space="preserve">BC Aracu1Inverter8245978,290185185245978,290185185245978,2971412037</t>
  </si>
  <si>
    <t xml:space="preserve">BC Aracu1Inverter7845978,290277777845978,290277777845978,2972222222</t>
  </si>
  <si>
    <t xml:space="preserve">BC Aracu1Inversor 0645978,290347222245978,290347222245978,2972916667</t>
  </si>
  <si>
    <t xml:space="preserve">BC Aracu1Inverter8345978,290405092645978,290405092645978,2973726852</t>
  </si>
  <si>
    <t xml:space="preserve">Foi feito o reset do conversor de mídia.</t>
  </si>
  <si>
    <t xml:space="preserve">BC Vazante2.2	Inverter(MBUS-1)45978,363194444445978,363194444445978,4305555556</t>
  </si>
  <si>
    <t xml:space="preserve">BC Vazante2.2	Inverter(MBUS-10)45978,363194444445978,363194444445978,4305555556</t>
  </si>
  <si>
    <t xml:space="preserve">BC Vazante2.2	Inverter(MBUS-6)45978,363194444445978,363194444445978,4305555556</t>
  </si>
  <si>
    <t xml:space="preserve">BC Vazante2.2	Inverter(MBUS-7)45978,363194444445978,363194444445978,4305555556</t>
  </si>
  <si>
    <t xml:space="preserve">BC Vazante2.2	Inverter(MBUS-8)45978,363194444445978,363194444445978,4305555556</t>
  </si>
  <si>
    <t xml:space="preserve">BC Caiaponia1SG60KTL(COM1-001)_001_00745978,520833333345978,520833333345978,6388888889</t>
  </si>
  <si>
    <t xml:space="preserve">BC Caiaponia1SG60KTL(COM1-002)_001_01045978,520833333345978,520833333345978,6388888889</t>
  </si>
  <si>
    <t xml:space="preserve">BC Caiaponia1SG60KTL(COM1-003)_001_01145978,520833333345978,520833333345978,6388888889</t>
  </si>
  <si>
    <t xml:space="preserve">BC Caiaponia1SG60KTL(COM1-004)_001_01445978,520833333345978,520833333345978,6388888889</t>
  </si>
  <si>
    <t xml:space="preserve">BC Caiaponia1SG60KTL(COM1-005)_001_01745978,520833333345978,520833333345978,6388888889</t>
  </si>
  <si>
    <t xml:space="preserve">BC Caiaponia1SG60KTL(COM1-006)_001_01645978,520833333345978,520833333345978,6388888889</t>
  </si>
  <si>
    <t xml:space="preserve">BC Caiaponia1SG60KTL(COM1-007)_001_01345978,520833333345978,520833333345978,6388888889</t>
  </si>
  <si>
    <t xml:space="preserve">BC Caiaponia1SG60KTL(COM1-008)_001_00145978,520833333345978,520833333345978,6388888889</t>
  </si>
  <si>
    <t xml:space="preserve">BC Caiaponia1SG60KTL(COM1-009)45978,520833333345978,520833333345978,6388888889</t>
  </si>
  <si>
    <t xml:space="preserve">BC Caiaponia1SG60KTL(COM1-010)45978,520833333345978,520833333345978,6388888889</t>
  </si>
  <si>
    <t xml:space="preserve">BC Caiaponia1SG60KTL(COM1-011)45978,520833333345978,520833333345978,6388888889</t>
  </si>
  <si>
    <t xml:space="preserve">BC Caiaponia1SG60KTL(COM1-012)45978,520833333345978,520833333345978,6388888889</t>
  </si>
  <si>
    <t xml:space="preserve">BC Caiaponia1SG60KTL(COM1-013)45978,520833333345978,520833333345978,6388888889</t>
  </si>
  <si>
    <t xml:space="preserve">BC Caiaponia1SG60KTL(COM1-014)45978,520833333345978,520833333345978,6388888889</t>
  </si>
  <si>
    <t xml:space="preserve">BC Caiaponia1SG60KTL(COM1-015)45978,520833333345978,520833333345978,6388888889</t>
  </si>
  <si>
    <t xml:space="preserve">BC Caiaponia1SG60KTL(COM3-016)_001_00945978,520833333345978,520833333345978,6388888889</t>
  </si>
  <si>
    <t xml:space="preserve">BC Caiaponia1SG60KTL(COM3-017)_001_01245978,520833333345978,520833333345978,6388888889</t>
  </si>
  <si>
    <t xml:space="preserve">BC Caiaponia1SG60KTL(COM3-018)_001_00845978,520833333345978,520833333345978,6388888889</t>
  </si>
  <si>
    <t xml:space="preserve">BC Caiaponia1SG60KTL(COM3-019)_001_01945978,520833333345978,520833333345978,6388888889</t>
  </si>
  <si>
    <t xml:space="preserve">BC Caiaponia1SG60KTL(COM3-020)_001_02045978,520833333345978,520833333345978,6388888889</t>
  </si>
  <si>
    <t xml:space="preserve">BC Caiaponia1SG60KTL(COM2-026)45978,520833333345978,520833333345978,6388888889</t>
  </si>
  <si>
    <t xml:space="preserve">BC Caiaponia1SG60KTL(COM2-027)45978,520833333345978,520833333345978,6388888889</t>
  </si>
  <si>
    <t xml:space="preserve">BC Caiaponia1SG60KTL(COM2-028)45978,520833333345978,520833333345978,6388888889</t>
  </si>
  <si>
    <t xml:space="preserve">BC Caiaponia1SG60KTL(COM2-029)45978,520833333345978,520833333345978,6388888889</t>
  </si>
  <si>
    <t xml:space="preserve">BC Caiaponia1SG50CX(COM1-021)45978,520833333345978,520833333345978,6388888889</t>
  </si>
  <si>
    <t xml:space="preserve">BC Caiaponia1SG50CX(COM1-022)45978,520833333345978,520833333345978,6388888889</t>
  </si>
  <si>
    <t xml:space="preserve">BC Caiaponia1SG50CX(COM1-023)45978,520833333345978,520833333345978,6388888889</t>
  </si>
  <si>
    <t xml:space="preserve">BC Caiaponia1SG50CX(COM1-024)45978,520833333345978,520833333345978,6388888889</t>
  </si>
  <si>
    <t xml:space="preserve">BC Caiaponia1SG50CX(COM1-025)45978,520833333345978,520833333345978,6388888889</t>
  </si>
  <si>
    <t xml:space="preserve">BC Caiaponia2.1215KTL-H3(MBUS-12)45978,520833333345978,520833333345978,6388888889</t>
  </si>
  <si>
    <t xml:space="preserve">BC Caiaponia2.1215KTL-H3(MBUS-13)45978,520833333345978,520833333345978,6388888889</t>
  </si>
  <si>
    <t xml:space="preserve">BC Caiaponia2.1215KTL-H3(MBUS-14)45978,520833333345978,520833333345978,6388888889</t>
  </si>
  <si>
    <t xml:space="preserve">BC Caiaponia2.1215KTL-H3(MBUS-15)45978,520833333345978,520833333345978,6388888889</t>
  </si>
  <si>
    <t xml:space="preserve">BC Caiaponia2.1215KTL-H3(MBUS-16)45978,520833333345978,520833333345978,6388888889</t>
  </si>
  <si>
    <t xml:space="preserve">BC Caiaponia2.2215KTL-H3(MBUS-12)45978,520833333345978,520833333345978,6388888889</t>
  </si>
  <si>
    <t xml:space="preserve">BC Caiaponia2.2215KTL-H3(MBUS-13)45978,520833333345978,520833333345978,6388888889</t>
  </si>
  <si>
    <t xml:space="preserve">BC Caiaponia2.2215KTL-H3(MBUS-14)45978,520833333345978,520833333345978,6388888889</t>
  </si>
  <si>
    <t xml:space="preserve">BC Caiaponia2.2215KTL-H3(MBUS-15)45978,520833333345978,520833333345978,6388888889</t>
  </si>
  <si>
    <t xml:space="preserve">BC Caiaponia2.2215KTL-H3(MBUS-16)45978,520833333345978,520833333345978,6388888889</t>
  </si>
  <si>
    <t xml:space="preserve">BC Caiaponia2.3215KTL-H3(MBUS-12)45978,520833333345978,520833333345978,6388888889</t>
  </si>
  <si>
    <t xml:space="preserve">BC Caiaponia2.3215KTL-H3(MBUS-13)45978,520833333345978,520833333345978,6388888889</t>
  </si>
  <si>
    <t xml:space="preserve">BC Caiaponia2.3215KTL-H3(MBUS-14)45978,520833333345978,520833333345978,6388888889</t>
  </si>
  <si>
    <t xml:space="preserve">BC Caiaponia2.3215KTL-H3(MBUS-15)45978,520833333345978,520833333345978,6388888889</t>
  </si>
  <si>
    <t xml:space="preserve">BC Caiaponia2.3215KTL-H3(MBUS-16)45978,520833333345978,520833333345978,6388888889</t>
  </si>
  <si>
    <t xml:space="preserve">Foi feito o reset no conversor de mídia.</t>
  </si>
  <si>
    <t xml:space="preserve">BC Vazante2.2	Inverter(MBUS-1)45978,554861111145978,554861111145979,2916666667</t>
  </si>
  <si>
    <t xml:space="preserve">BC Vazante2.2	Inverter(MBUS-10)45978,554861111145978,554861111145979,2916666667</t>
  </si>
  <si>
    <t xml:space="preserve">BC Vazante2.2	Inverter(MBUS-6)45978,554861111145978,554861111145979,2916666667</t>
  </si>
  <si>
    <t xml:space="preserve">BC Vazante2.2	Inverter(MBUS-7)45978,554861111145978,554861111145979,2916666667</t>
  </si>
  <si>
    <t xml:space="preserve">BC Vazante2.2	Inverter(MBUS-8)45978,554861111145978,554861111145979,2916666667</t>
  </si>
  <si>
    <t xml:space="preserve">BC Aracu5.1Inverter(MBUS-1)45978,616666666745978,616666666745978,6243055556</t>
  </si>
  <si>
    <t xml:space="preserve">BC Aracu5.2Inverter(MBUS-1)45978,616666666745978,616666666745978,6243055556</t>
  </si>
  <si>
    <t xml:space="preserve">BC Aracu5.3Inverter(MBUS-1)45978,616666666745978,616666666745978,6243055556</t>
  </si>
  <si>
    <t xml:space="preserve">BC Aracu5.4Inverter(MBUS-1)45978,616666666745978,616666666745978,6243055556</t>
  </si>
  <si>
    <t xml:space="preserve">BC Aracu5.5Inverter(MBUS-1)45978,616666666745978,616666666745978,6243055556</t>
  </si>
  <si>
    <t xml:space="preserve">Identificado curto no inversor.</t>
  </si>
  <si>
    <t xml:space="preserve">BC Aracu2araçu 2.2 inversor 145978,638194444445978,638194444445986,6354166667</t>
  </si>
  <si>
    <t xml:space="preserve">BC Corumba1.1U01.I0145978,916666666745978,916666666745978,9444444444</t>
  </si>
  <si>
    <t xml:space="preserve">BC Corumba1.1U01.I0245978,916666666745978,916666666745978,9444444444</t>
  </si>
  <si>
    <t xml:space="preserve">BC Corumba1.1U01.I0345978,916666666745978,916666666745978,9444444444</t>
  </si>
  <si>
    <t xml:space="preserve">BC Corumba1.1U01.I0445978,916666666745978,916666666745978,9444444444</t>
  </si>
  <si>
    <t xml:space="preserve">BC Corumba1.1U01.I0545978,916666666745978,916666666745978,9444444444</t>
  </si>
  <si>
    <t xml:space="preserve">BC Corumba1.2U02.I0245978,916666666745978,916666666745978,9444444444</t>
  </si>
  <si>
    <t xml:space="preserve">BC Corumba1.2U02.I0145978,916666666745978,916666666745978,9444444444</t>
  </si>
  <si>
    <t xml:space="preserve">BC Corumba1.2U02.I0345978,916666666745978,916666666745978,9444444444</t>
  </si>
  <si>
    <t xml:space="preserve">BC Corumba1.2U02.I0545978,916666666745978,916666666745978,9444444444</t>
  </si>
  <si>
    <t xml:space="preserve">BC Corumba1.2U02.I0445978,916666666745978,916666666745978,9444444444</t>
  </si>
  <si>
    <t xml:space="preserve">BC Corumba1.3U03.I0145978,916666666745978,916666666745978,9444444444</t>
  </si>
  <si>
    <t xml:space="preserve">BC Corumba1.3U03.I0345978,916666666745978,916666666745978,9444444444</t>
  </si>
  <si>
    <t xml:space="preserve">BC Corumba1.3U03.I0245978,916666666745978,916666666745978,9444444444</t>
  </si>
  <si>
    <t xml:space="preserve">BC Corumba2.1U01. I0145978,916666666745978,916666666745978,9444444444</t>
  </si>
  <si>
    <t xml:space="preserve">BC Corumba2.1Inverter(MBUS-14)45978,916666666745978,916666666745978,9444444444</t>
  </si>
  <si>
    <t xml:space="preserve">BC Corumba2.1Inverter(MBUS-16)45978,916666666745978,916666666745978,9444444444</t>
  </si>
  <si>
    <t xml:space="preserve">BC Corumba2.1U01. I0245978,916666666745978,916666666745978,9444444444</t>
  </si>
  <si>
    <t xml:space="preserve">BC Corumba2.1Inverter(MBUS-15)45978,916666666745978,916666666745978,9444444444</t>
  </si>
  <si>
    <t xml:space="preserve">BC Corumba2.2U02.I0445978,916666666745978,916666666745978,9444444444</t>
  </si>
  <si>
    <t xml:space="preserve">BC Corumba2.2U02.I0545978,916666666745978,916666666745978,9444444444</t>
  </si>
  <si>
    <t xml:space="preserve">BC Corumba2.2U02.I0345978,916666666745978,916666666745978,9444444444</t>
  </si>
  <si>
    <t xml:space="preserve">BC Corumba2.2U02.I0145978,916666666745978,916666666745978,9444444444</t>
  </si>
  <si>
    <t xml:space="preserve">BC Corumba2.2U02.I0245978,916666666745978,916666666745978,9444444444</t>
  </si>
  <si>
    <t xml:space="preserve">BC Corumba2.3U03.I0345978,916666666745978,916666666745978,9444444444</t>
  </si>
  <si>
    <t xml:space="preserve">BC Corumba2.3U03.I0245978,916666666745978,916666666745978,9444444444</t>
  </si>
  <si>
    <t xml:space="preserve">BC Corumba2.3U03.I0145978,916666666745978,916666666745978,9444444444</t>
  </si>
  <si>
    <t xml:space="preserve">BC Clareira1.1Inverter(MBUS-12)45979,2062545979,2062545979,2791666667</t>
  </si>
  <si>
    <t xml:space="preserve">BC Clareira1.1Inverter(MBUS-13)45979,2062545979,2062545979,2791666667</t>
  </si>
  <si>
    <t xml:space="preserve">BC Clareira1.1	Inverter(MBUS-14)45979,2062545979,2062545979,2791666667</t>
  </si>
  <si>
    <t xml:space="preserve">BC Clareira1.1	Inverter(MBUS-15)45979,2062545979,2062545979,2791666667</t>
  </si>
  <si>
    <t xml:space="preserve">BC Clareira1.1Inverter(MBUS-16)45979,2062545979,2062545979,2791666667</t>
  </si>
  <si>
    <t xml:space="preserve">BC Clareira1.2	215KTL-H3(MBUS-12)45979,2062545979,2062545979,2791666667</t>
  </si>
  <si>
    <t xml:space="preserve">BC Clareira1.2	215KTL-H3(MBUS-13)45979,2062545979,2062545979,2791666667</t>
  </si>
  <si>
    <t xml:space="preserve">BC Clareira1.2100KTL-H1(MBUS-14)45979,2062545979,2062545979,2791666667</t>
  </si>
  <si>
    <t xml:space="preserve">Durante a verificação foi constatado que houve um desequilíbrio de tensão por parte da concessionária. Chamado 459297035 aberto.</t>
  </si>
  <si>
    <t xml:space="preserve">BC Camarao1.1Inverter(MBUS-1)45979,312545979,312545979,4861111111</t>
  </si>
  <si>
    <t xml:space="preserve">BC Camarao1.1215KTL-H3(MBUS-12)45979,312545979,312545979,4861111111</t>
  </si>
  <si>
    <t xml:space="preserve">BC Camarao1.1215KTL-H3(MBUS-13)45979,312545979,312545979,4861111111</t>
  </si>
  <si>
    <t xml:space="preserve">BC Camarao1.1215KTL-H3(MBUS-16)45979,312545979,312545979,4861111111</t>
  </si>
  <si>
    <t xml:space="preserve">BC Camarao1.1215KTL-H3(MBUS-15)45979,312545979,312545979,4861111111</t>
  </si>
  <si>
    <t xml:space="preserve">BC Camarao1.2Inv. 445979,312545979,312545979,4861111111</t>
  </si>
  <si>
    <t xml:space="preserve">BC Camarao1.2Inverter(MBUS-16)45979,312545979,312545979,4861111111</t>
  </si>
  <si>
    <t xml:space="preserve">BC Camarao1.2Inverter(MBUS-12)45979,312545979,312545979,4861111111</t>
  </si>
  <si>
    <t xml:space="preserve">BC Camarao1.2Inv. 345979,312545979,312545979,4861111111</t>
  </si>
  <si>
    <t xml:space="preserve">BC Camarao1.2Inverter(MBUS-1)45979,312545979,312545979,4861111111</t>
  </si>
  <si>
    <t xml:space="preserve">BC Camarao1.3215KTL-H3(MBUS-16)45979,312545979,312545979,4861111111</t>
  </si>
  <si>
    <t xml:space="preserve">BC Camarao1.3215KTL-H3(MBUS-14)45979,312545979,312545979,4861111111</t>
  </si>
  <si>
    <t xml:space="preserve">BC Camarao1.3215KTL-H3(MBUS-15)45979,312545979,312545979,4861111111</t>
  </si>
  <si>
    <t xml:space="preserve">BC Camarao1.3215KTL-H3(MBUS-12)45979,312545979,312545979,4861111111</t>
  </si>
  <si>
    <t xml:space="preserve">BC Camarao1.3215KTL-H3(MBUS-13)45979,312545979,312545979,4861111111</t>
  </si>
  <si>
    <t xml:space="preserve">BC Camarao1.4inv. 145979,312545979,312545979,4861111111</t>
  </si>
  <si>
    <t xml:space="preserve">BC Camarao1.4215KTL-H3(MBUS-14)45979,312545979,312545979,4861111111</t>
  </si>
  <si>
    <t xml:space="preserve">BC Camarao1.4215KTL-H3(MBUS-13)45979,312545979,312545979,4861111111</t>
  </si>
  <si>
    <t xml:space="preserve">BC Camarao1.4215KTL-H3(MBUS-16)45979,312545979,312545979,4861111111</t>
  </si>
  <si>
    <t xml:space="preserve">BC Camarao1.4215KTL-H3(MBUS-15)45979,312545979,312545979,4861111111</t>
  </si>
  <si>
    <t xml:space="preserve">BC Camarao1.5215KTL-H3(MBUS-15)45979,312545979,312545979,4861111111</t>
  </si>
  <si>
    <t xml:space="preserve">BC Camarao1.5Inverter(MBUS-1)45979,312545979,312545979,4861111111</t>
  </si>
  <si>
    <t xml:space="preserve">BC Camarao1.5215KTL-H3(MBUS-13)45979,312545979,312545979,4861111111</t>
  </si>
  <si>
    <t xml:space="preserve">BC Camarao1.5215KTL-H3(MBUS-12)45979,312545979,312545979,4861111111</t>
  </si>
  <si>
    <t xml:space="preserve">BC Camarao1.5Inverter(MBUS-14)45979,312545979,312545979,4861111111</t>
  </si>
  <si>
    <t xml:space="preserve">BC Caiaponia2.1215KTL-H3(MBUS-12)45979,396527777845979,396527777845979,4986111111</t>
  </si>
  <si>
    <t xml:space="preserve">BC Caiaponia2.1215KTL-H3(MBUS-13)45979,396527777845979,396527777845979,4986111111</t>
  </si>
  <si>
    <t xml:space="preserve">BC Caiaponia2.1215KTL-H3(MBUS-14)45979,396527777845979,396527777845979,4986111111</t>
  </si>
  <si>
    <t xml:space="preserve">BC Caiaponia2.1215KTL-H3(MBUS-15)45979,396527777845979,396527777845979,4986111111</t>
  </si>
  <si>
    <t xml:space="preserve">BC Caiaponia2.1215KTL-H3(MBUS-16)45979,396527777845979,396527777845979,4986111111</t>
  </si>
  <si>
    <t xml:space="preserve">BC Aracu5.1Inverter(MBUS-1)45979,543055555645979,543055555645979,5555555556</t>
  </si>
  <si>
    <t xml:space="preserve">BC Aracu5.2Inverter(MBUS-1)45979,543055555645979,543055555645979,5555555556</t>
  </si>
  <si>
    <t xml:space="preserve">BC Aracu5.3Inverter(MBUS-1)45979,543055555645979,543055555645979,5555555556</t>
  </si>
  <si>
    <t xml:space="preserve">BC Aracu5.4Inverter(MBUS-1)45979,543055555645979,543055555645979,5555555556</t>
  </si>
  <si>
    <t xml:space="preserve">BC Aracu5.5Inverter(MBUS-1)45979,543055555645979,543055555645979,5555555556</t>
  </si>
  <si>
    <t xml:space="preserve">Falha de conexão com o logger 1000b.</t>
  </si>
  <si>
    <t xml:space="preserve">BC Vazante1.1Inverter0145979,554166666745979,554166666745979,5694444444</t>
  </si>
  <si>
    <t xml:space="preserve">BC Vazante1.1Inverter0245979,554166666745979,554166666745979,5694444444</t>
  </si>
  <si>
    <t xml:space="preserve">BC Vazante1.1Inverter0345979,554166666745979,554166666745979,5694444444</t>
  </si>
  <si>
    <t xml:space="preserve">BC Vazante1.1Inverter0445979,554166666745979,554166666745979,5694444444</t>
  </si>
  <si>
    <t xml:space="preserve">BC Vazante1.1Inverter0545979,554166666745979,554166666745979,5694444444</t>
  </si>
  <si>
    <t xml:space="preserve">BC Vazante1.1Inverter0645979,554166666745979,554166666745979,5694444444</t>
  </si>
  <si>
    <t xml:space="preserve">BC Vazante1.1Inverter0745979,554166666745979,554166666745979,5694444444</t>
  </si>
  <si>
    <t xml:space="preserve">BC Vazante1.1Inverter0845979,554166666745979,554166666745979,5694444444</t>
  </si>
  <si>
    <t xml:space="preserve">BC Vazante1.1Inverter0945979,554166666745979,554166666745979,5694444444</t>
  </si>
  <si>
    <t xml:space="preserve">BC Vazante1.1Inverter1045979,554166666745979,554166666745979,5694444444</t>
  </si>
  <si>
    <t xml:space="preserve">BC Vazante1.1Inverter1145979,554166666745979,554166666745979,5694444444</t>
  </si>
  <si>
    <t xml:space="preserve">BC Vazante1.1Inverter1245979,554166666745979,554166666745979,5694444444</t>
  </si>
  <si>
    <t xml:space="preserve">BC Vazante1.1Inverter1345979,554166666745979,554166666745979,5694444444</t>
  </si>
  <si>
    <t xml:space="preserve">BC Vazante1.1Inverter1445979,554166666745979,554166666745979,5694444444</t>
  </si>
  <si>
    <t xml:space="preserve">BC Vazante1.1Inverter1545979,554166666745979,554166666745979,5694444444</t>
  </si>
  <si>
    <t xml:space="preserve">BC Vazante1.1Inverter1645979,554166666745979,554166666745979,5694444444</t>
  </si>
  <si>
    <t xml:space="preserve">BC Vazante1.1Inverter1745979,554166666745979,554166666745979,5694444444</t>
  </si>
  <si>
    <t xml:space="preserve">BC Vazante1.2Inverter 145979,554166666745979,554166666745979,5694444444</t>
  </si>
  <si>
    <t xml:space="preserve">BC Vazante1.2Inverter 245979,554166666745979,554166666745979,5694444444</t>
  </si>
  <si>
    <t xml:space="preserve">BC Vazante1.2Inverter 345979,554166666745979,554166666745979,5694444444</t>
  </si>
  <si>
    <t xml:space="preserve">BC Vazante1.2Inverter 445979,554166666745979,554166666745979,5694444444</t>
  </si>
  <si>
    <t xml:space="preserve">BC Vazante1.2Inverter 545979,554166666745979,554166666745979,5694444444</t>
  </si>
  <si>
    <t xml:space="preserve">BC Vazante1.2Inverter 645979,554166666745979,554166666745979,5694444444</t>
  </si>
  <si>
    <t xml:space="preserve">BC Vazante1.2Inverter 745979,554166666745979,554166666745979,5694444444</t>
  </si>
  <si>
    <t xml:space="preserve">BC Vazante1.2Inverter 845979,554166666745979,554166666745979,5694444444</t>
  </si>
  <si>
    <t xml:space="preserve">BC Vazante1.2Inverter 945979,554166666745979,554166666745979,5694444444</t>
  </si>
  <si>
    <t xml:space="preserve">BC Vazante1.2Inverter 1045979,554166666745979,554166666745979,5694444444</t>
  </si>
  <si>
    <t xml:space="preserve">BC Vazante1.2Inverter 1145979,554166666745979,554166666745979,5694444444</t>
  </si>
  <si>
    <t xml:space="preserve">BC Vazante1.2Inverter 1245979,554166666745979,554166666745979,5694444444</t>
  </si>
  <si>
    <t xml:space="preserve">BC Vazante1.2Inverter 1345979,554166666745979,554166666745979,5694444444</t>
  </si>
  <si>
    <t xml:space="preserve">BC Vazante1.2Inverter 1445979,554166666745979,554166666745979,5694444444</t>
  </si>
  <si>
    <t xml:space="preserve">BC Vazante1.2Inverter 1545979,554166666745979,554166666745979,5694444444</t>
  </si>
  <si>
    <t xml:space="preserve">BC Vazante1.2Inverter 1645979,554166666745979,554166666745979,5694444444</t>
  </si>
  <si>
    <t xml:space="preserve">BC Vazante1.2Inverter 1745979,554166666745979,554166666745979,5694444444</t>
  </si>
  <si>
    <t xml:space="preserve">BC Camarao1.1Inverter(MBUS-1)45980,246527777845980,246527777845980,3125</t>
  </si>
  <si>
    <t xml:space="preserve">BC Camarao1.1215KTL-H3(MBUS-12)45980,246527777845980,246527777845980,3125</t>
  </si>
  <si>
    <t xml:space="preserve">BC Camarao1.1215KTL-H3(MBUS-13)45980,246527777845980,246527777845980,3125</t>
  </si>
  <si>
    <t xml:space="preserve">BC Camarao1.1215KTL-H3(MBUS-16)45980,246527777845980,246527777845980,3125</t>
  </si>
  <si>
    <t xml:space="preserve">BC Camarao1.1215KTL-H3(MBUS-15)45980,246527777845980,246527777845980,3125</t>
  </si>
  <si>
    <t xml:space="preserve">BC Camarao1.2Inv. 445980,246527777845980,246527777845980,3125</t>
  </si>
  <si>
    <t xml:space="preserve">BC Camarao1.2Inverter(MBUS-16)45980,246527777845980,246527777845980,3125</t>
  </si>
  <si>
    <t xml:space="preserve">BC Camarao1.2Inverter(MBUS-12)45980,246527777845980,246527777845980,3125</t>
  </si>
  <si>
    <t xml:space="preserve">BC Camarao1.2Inv. 345980,246527777845980,246527777845980,3125</t>
  </si>
  <si>
    <t xml:space="preserve">BC Camarao1.2Inverter(MBUS-1)45980,246527777845980,246527777845980,3125</t>
  </si>
  <si>
    <t xml:space="preserve">BC Camarao1.3215KTL-H3(MBUS-16)45980,246527777845980,246527777845980,3125</t>
  </si>
  <si>
    <t xml:space="preserve">BC Camarao1.3215KTL-H3(MBUS-14)45980,246527777845980,246527777845980,3125</t>
  </si>
  <si>
    <t xml:space="preserve">BC Camarao1.3215KTL-H3(MBUS-15)45980,246527777845980,246527777845980,3125</t>
  </si>
  <si>
    <t xml:space="preserve">BC Camarao1.3215KTL-H3(MBUS-12)45980,246527777845980,246527777845980,3125</t>
  </si>
  <si>
    <t xml:space="preserve">BC Camarao1.3215KTL-H3(MBUS-13)45980,246527777845980,246527777845980,3125</t>
  </si>
  <si>
    <t xml:space="preserve">BC Camarao1.4inv. 145980,246527777845980,246527777845980,3125</t>
  </si>
  <si>
    <t xml:space="preserve">BC Camarao1.4215KTL-H3(MBUS-14)45980,246527777845980,246527777845980,3125</t>
  </si>
  <si>
    <t xml:space="preserve">BC Camarao1.4215KTL-H3(MBUS-13)45980,246527777845980,246527777845980,3125</t>
  </si>
  <si>
    <t xml:space="preserve">BC Camarao1.4215KTL-H3(MBUS-16)45980,246527777845980,246527777845980,3125</t>
  </si>
  <si>
    <t xml:space="preserve">BC Camarao1.4215KTL-H3(MBUS-15)45980,246527777845980,246527777845980,3125</t>
  </si>
  <si>
    <t xml:space="preserve">BC Camarao1.5215KTL-H3(MBUS-15)45980,246527777845980,246527777845980,3125</t>
  </si>
  <si>
    <t xml:space="preserve">BC Camarao1.5Inverter(MBUS-1)45980,246527777845980,246527777845980,3125</t>
  </si>
  <si>
    <t xml:space="preserve">BC Camarao1.5215KTL-H3(MBUS-13)45980,246527777845980,246527777845980,3125</t>
  </si>
  <si>
    <t xml:space="preserve">BC Camarao1.5215KTL-H3(MBUS-12)45980,246527777845980,246527777845980,3125</t>
  </si>
  <si>
    <t xml:space="preserve">BC Camarao1.5Inverter(MBUS-14)45980,246527777845980,246527777845980,3125</t>
  </si>
  <si>
    <t xml:space="preserve">BC Aracu1Inverter7945980,255231481545980,255231481545980,2621759259</t>
  </si>
  <si>
    <t xml:space="preserve">BC Aracu1Inverter8445980,25546296345980,25546296345980,2819791667</t>
  </si>
  <si>
    <t xml:space="preserve">BC Aracu1Inverter8245980,255486111145980,255486111145980,2819791667</t>
  </si>
  <si>
    <t xml:space="preserve">BC Aracu1Inverter8145980,255520833345980,255520833345980,2819791667</t>
  </si>
  <si>
    <t xml:space="preserve">BC Aracu1Inverter7845980,255567129645980,255567129645980,2819791667</t>
  </si>
  <si>
    <t xml:space="preserve">Falha de rede elétrica, função 50N.</t>
  </si>
  <si>
    <t xml:space="preserve">Foi realizada a inspeção na rede da concessionária resetado o relé de proteção e rearmado o disjuntor.</t>
  </si>
  <si>
    <t xml:space="preserve">ARAGUATINS 1.1Inverter(MBUS-12)45980,277777777845980,277777777845980,3194444444</t>
  </si>
  <si>
    <t xml:space="preserve">ARAGUATINS 1.1Inverter(MBUS-13)45980,277777777845980,277777777845980,3194444444</t>
  </si>
  <si>
    <t xml:space="preserve">ARAGUATINS 1.1Inverter(MBUS-14)45980,277777777845980,277777777845980,3194444444</t>
  </si>
  <si>
    <t xml:space="preserve">ARAGUATINS 1.1Inverter(MBUS-15)45980,277777777845980,277777777845980,3194444444</t>
  </si>
  <si>
    <t xml:space="preserve">ARAGUATINS 1.2Inverter(MBUS-12)45980,277777777845980,277777777845980,3194444444</t>
  </si>
  <si>
    <t xml:space="preserve">ARAGUATINS 1.2Inverter(MBUS-13)45980,277777777845980,277777777845980,3194444444</t>
  </si>
  <si>
    <t xml:space="preserve">ARAGUATINS 1.2Inverter(MBUS-14)45980,277777777845980,277777777845980,3194444444</t>
  </si>
  <si>
    <t xml:space="preserve">ARAGUATINS 1.2Inverter(MBUS-15)45980,277777777845980,277777777845980,3194444444</t>
  </si>
  <si>
    <t xml:space="preserve">ARAGUATINS 1.3Inverter(MBUS-20)45980,277777777845980,277777777845980,3194444444</t>
  </si>
  <si>
    <t xml:space="preserve">ARAGUATINS 1.3Inverter(MBUS-1)45980,277777777845980,277777777845980,3194444444</t>
  </si>
  <si>
    <t xml:space="preserve">BC Aracu1Inverter7945980,283865740745980,283865740745980,290787037</t>
  </si>
  <si>
    <t xml:space="preserve">BC Aracu1Inverter8145980,284074074145980,284074074145980,2910069444</t>
  </si>
  <si>
    <t xml:space="preserve">BC Aracu1Inverter8445980,284085648145980,284085648145980,2910300926</t>
  </si>
  <si>
    <t xml:space="preserve">BC Aracu1Inverter7845980,284131944445980,284131944445980,291087963</t>
  </si>
  <si>
    <t xml:space="preserve">BC Aracu1Inverter8245980,284131944445980,284131944445980,2910648148</t>
  </si>
  <si>
    <t xml:space="preserve">BC Aracu1Inversor 0645980,284247685245980,284247685245980,2912152778</t>
  </si>
  <si>
    <t xml:space="preserve">BC Aracu1Inverter8345980,284259259345980,284259259345980,2912384259</t>
  </si>
  <si>
    <t xml:space="preserve">BC Aracu1Inverter7945981,259456018545981,259456018545981,266400463</t>
  </si>
  <si>
    <t xml:space="preserve">BC Aracu1Inverter8445981,259502314845981,259502314845981,2664814815</t>
  </si>
  <si>
    <t xml:space="preserve">BC Aracu1Inverter8145981,259965277845981,259965277845981,2820023148</t>
  </si>
  <si>
    <t xml:space="preserve">BC Aracu1Inversor 0645981,26015046345981,26015046345981,2820023148</t>
  </si>
  <si>
    <t xml:space="preserve">BC Aracu1Inverter8245981,260196759345981,260196759345981,2820023148</t>
  </si>
  <si>
    <t xml:space="preserve">BC Aracu1Inverter7845981,260254629645981,260254629645981,2820023148</t>
  </si>
  <si>
    <t xml:space="preserve">BC Aracu1Inversor 0645981,288819444445981,288819444445981,2958333333</t>
  </si>
  <si>
    <t xml:space="preserve">BC Aracu1Inverter7845981,28890046345981,28890046345981,2957986111</t>
  </si>
  <si>
    <t xml:space="preserve">Falha 86 (relé de bloqueio)</t>
  </si>
  <si>
    <t xml:space="preserve">BC Formoso2.2Inverter(MBUS-14)45982,239583333345982,239583333345982,3125</t>
  </si>
  <si>
    <t xml:space="preserve">BC Formoso2.2Inverter(MBUS-13)45982,239583333345982,239583333345982,3125</t>
  </si>
  <si>
    <t xml:space="preserve">BC Formoso2.2Inverter(MBUS-12)45982,239583333345982,239583333345982,3125</t>
  </si>
  <si>
    <t xml:space="preserve">BC Formoso2.2Inverter(MBUS-1)45982,239583333345982,239583333345982,3125</t>
  </si>
  <si>
    <t xml:space="preserve">Falha de conexão com a smartlogger.</t>
  </si>
  <si>
    <t xml:space="preserve">BC Corumba2.2U02.I0445982,358333333345982,358333333345982,3590277778</t>
  </si>
  <si>
    <t xml:space="preserve">BC Corumba2.2U02.I0545982,358333333345982,358333333345982,3590277778</t>
  </si>
  <si>
    <t xml:space="preserve">BC Corumba2.2U02.I0345982,358333333345982,358333333345982,3590277778</t>
  </si>
  <si>
    <t xml:space="preserve">BC Corumba2.2U02.I0145982,358333333345982,358333333345982,3590277778</t>
  </si>
  <si>
    <t xml:space="preserve">BC Corumba2.2U02.I0245982,358333333345982,358333333345982,3590277778</t>
  </si>
  <si>
    <t xml:space="preserve">Desligado UFV para passagem dos cabos do Painel do sistema Scada, até o painel de controle do PMT, necessário o desligamento pela abertura da tampa traseira do cubículo, e da passagem do cabo muito próximo dos barramentos de entrada de energia.</t>
  </si>
  <si>
    <t xml:space="preserve">Desligado o disjuntor de entrada, aberto as chaves seccionadoras do poste, feito a passagem do cabos, religado e normalizado a UFV.</t>
  </si>
  <si>
    <t xml:space="preserve">BC Lencois PaulistaInverter(MBUS-12)45982,437545982,437545982,5</t>
  </si>
  <si>
    <t xml:space="preserve">BC Lencois PaulistaInverter(MBUS-13)45982,437545982,437545982,5</t>
  </si>
  <si>
    <t xml:space="preserve">BC Lencois PaulistaInverter(MBUS-14)45982,437545982,437545982,5</t>
  </si>
  <si>
    <t xml:space="preserve">BC Lencois PaulistaInverter(MBUS-15)45982,437545982,437545982,5</t>
  </si>
  <si>
    <t xml:space="preserve">Desligado UFV para passagem dos cabos do Painel do sistema Scada, até o painel de controle do PMT, necessário o desligamento pela abertura da tampa traseira do cubículo, e da passagem do cabo muito próximo dos barramentos de entrada de energia, finalização para módulo de comando remoto.</t>
  </si>
  <si>
    <t xml:space="preserve">BC Lencois PaulistaInverter(MBUS-12)45983,270833333345983,270833333345983,4305555556</t>
  </si>
  <si>
    <t xml:space="preserve">BC Lencois PaulistaInverter(MBUS-13)45983,270833333345983,270833333345983,4305555556</t>
  </si>
  <si>
    <t xml:space="preserve">BC Lencois PaulistaInverter(MBUS-14)45983,270833333345983,270833333345983,4305555556</t>
  </si>
  <si>
    <t xml:space="preserve">BC Lencois PaulistaInverter(MBUS-15)45983,270833333345983,270833333345983,4305555556</t>
  </si>
  <si>
    <t xml:space="preserve">ARAGUATINS 2.3Inverter(MBUS-12)45983,413194444445983,413194444445983,4472222222</t>
  </si>
  <si>
    <t xml:space="preserve">ARAGUATINS 2.3Inverter(MBUS-13)45983,413194444445983,413194444445983,4472222222</t>
  </si>
  <si>
    <t xml:space="preserve">BC Aracu1Inverter7945984,273182870445984,273182870445984,2801157407</t>
  </si>
  <si>
    <t xml:space="preserve">BC Aracu1Inverter8445984,273703703745984,273703703745984,3315972222</t>
  </si>
  <si>
    <t xml:space="preserve">BC Aracu1Inverter8245984,273784722245984,273784722245984,3315972222</t>
  </si>
  <si>
    <t xml:space="preserve">BC Aracu1Inverter7845984,273819444445984,273819444445984,3315972222</t>
  </si>
  <si>
    <t xml:space="preserve">BC Aracu1Inverter8145984,273831018545984,273831018545984,3315972222</t>
  </si>
  <si>
    <t xml:space="preserve">BC Aracu1Inversor 0645984,27390046345984,27390046345984,3315972222</t>
  </si>
  <si>
    <t xml:space="preserve">BC Aracu1Inverter7945984,302245370445984,302245370445984,3087384259</t>
  </si>
  <si>
    <t xml:space="preserve">Falha de conexão com a smartlogger, fonte queimada.</t>
  </si>
  <si>
    <t xml:space="preserve">Feito a troca da fonte de alimentação do conversor de midia que fica na Smart logger.</t>
  </si>
  <si>
    <t xml:space="preserve">BC Formoso1.1Inverter(MBUS-13)45985,190277777845985,190277777845985,3229166667</t>
  </si>
  <si>
    <t xml:space="preserve">BC Formoso1.1Inverter(MBUS-12)45985,190277777845985,190277777845985,3229166667</t>
  </si>
  <si>
    <t xml:space="preserve">BC Formoso1.1Inverter(MBUS-15)45985,190277777845985,190277777845985,3229166667</t>
  </si>
  <si>
    <t xml:space="preserve">BC Formoso1.1Inverter(MBUS-14)45985,190277777845985,190277777845985,3229166667</t>
  </si>
  <si>
    <t xml:space="preserve">BC Rio Bonito1SG36KTL-M-17_001_01745985,209722222245985,209722222245985,2222222222</t>
  </si>
  <si>
    <t xml:space="preserve">BC Rio Bonito1SG60KTL-10_001_01045985,209722222245985,209722222245985,2222222222</t>
  </si>
  <si>
    <t xml:space="preserve">BC Rio Bonito1SG60KTL-11_001_01145985,209722222245985,209722222245985,2222222222</t>
  </si>
  <si>
    <t xml:space="preserve">BC Rio Bonito1SG60KTL-12_001_01245985,209722222245985,209722222245985,2222222222</t>
  </si>
  <si>
    <t xml:space="preserve">BC Rio Bonito1SG60KTL-13_001_01345985,209722222245985,209722222245985,2222222222</t>
  </si>
  <si>
    <t xml:space="preserve">BC Rio Bonito1SG60KTL-14_001_01445985,209722222245985,209722222245985,2222222222</t>
  </si>
  <si>
    <t xml:space="preserve">BC Rio Bonito1SG60KTL-15_001_01545985,209722222245985,209722222245985,2222222222</t>
  </si>
  <si>
    <t xml:space="preserve">BC Rio Bonito1SG60KTL-16_001_01645985,209722222245985,209722222245985,2222222222</t>
  </si>
  <si>
    <t xml:space="preserve">BC Rio Bonito1SG60KTL-1_001_00145985,209722222245985,209722222245985,2222222222</t>
  </si>
  <si>
    <t xml:space="preserve">BC Rio Bonito1SG60KTL-2_001_00245985,209722222245985,209722222245985,2222222222</t>
  </si>
  <si>
    <t xml:space="preserve">BC Rio Bonito1SG60KTL-3_001_00345985,209722222245985,209722222245985,2222222222</t>
  </si>
  <si>
    <t xml:space="preserve">BC Rio Bonito1SG60KTL-4_001_00445985,209722222245985,209722222245985,2222222222</t>
  </si>
  <si>
    <t xml:space="preserve">BC Rio Bonito1SG60KTL-5_001_00545985,209722222245985,209722222245985,2222222222</t>
  </si>
  <si>
    <t xml:space="preserve">BC Rio Bonito1SG60KTL-6_001_00645985,209722222245985,209722222245985,2222222222</t>
  </si>
  <si>
    <t xml:space="preserve">BC Rio Bonito1SG60KTL-7_001_00745985,209722222245985,209722222245985,2222222222</t>
  </si>
  <si>
    <t xml:space="preserve">BC Rio Bonito1SG60KTL-8_001_00845985,209722222245985,209722222245985,2222222222</t>
  </si>
  <si>
    <t xml:space="preserve">BC Rio Bonito1SG60KTL-9_001_00945985,209722222245985,209722222245985,2222222222</t>
  </si>
  <si>
    <t xml:space="preserve">BC Aracu1Inverter7945985,255648148245985,255648148245985,2628472222</t>
  </si>
  <si>
    <t xml:space="preserve">BC Aracu5.1Inverter(MBUS-1)45985,355555555645985,355555555645985,3583333333</t>
  </si>
  <si>
    <t xml:space="preserve">BC Aracu5.2Inverter(MBUS-1)45985,355555555645985,355555555645985,3583333333</t>
  </si>
  <si>
    <t xml:space="preserve">BC Aracu5.3Inverter(MBUS-1)45985,355555555645985,355555555645985,3583333333</t>
  </si>
  <si>
    <t xml:space="preserve">BC Aracu5.4Inverter(MBUS-1)45985,355555555645985,355555555645985,3583333333</t>
  </si>
  <si>
    <t xml:space="preserve">BC Aracu5.5Inverter(MBUS-1)45985,355555555645985,355555555645985,3583333333</t>
  </si>
  <si>
    <t xml:space="preserve">Desligamento temporário do logger programado para sua realocação. A medida foi adotada com o objetivo de melhorar a ventilação dos inversores, já que o posicionamento anterior limitava a circulação de ar adequada.</t>
  </si>
  <si>
    <t xml:space="preserve">O logger foi instalado em um novo ponto estratégico, proporcionando melhor ventilação ao inversor que anteriormente apresentava superaquecimento devido à limitação de fluxo de ar no local.</t>
  </si>
  <si>
    <t xml:space="preserve">BC Aracu3SG60KTL-ARACU_VII45985,590277777845985,590277777845985,7222222222</t>
  </si>
  <si>
    <t xml:space="preserve">BC Aracu3SG60KTL-ARACU_VI45985,590277777845985,590277777845985,7222222222</t>
  </si>
  <si>
    <t xml:space="preserve">BC Aracu3SG50CX-ARACU_VI45985,590277777845985,590277777845985,7222222222</t>
  </si>
  <si>
    <t xml:space="preserve">BC Aracu3SG50CX-ARACU-VII45985,590277777845985,590277777845985,7222222222</t>
  </si>
  <si>
    <t xml:space="preserve">Falha 81 atuada no relé de proteção.</t>
  </si>
  <si>
    <t xml:space="preserve">BC Formoso2.1Inverter(MBUS-12)45986,229166666745986,229166666745986,3298611111</t>
  </si>
  <si>
    <t xml:space="preserve">BC Formoso2.1Inverter(MBUS-14)45986,229166666745986,229166666745986,3298611111</t>
  </si>
  <si>
    <t xml:space="preserve">BC Formoso2.1Inverter(MBUS-13)45986,229166666745986,229166666745986,3298611111</t>
  </si>
  <si>
    <t xml:space="preserve">BC Formoso2.1Inverter(MBUS-1)45986,229166666745986,229166666745986,3298611111</t>
  </si>
  <si>
    <t xml:space="preserve">BC Formoso2.2Inverter(MBUS-14)45986,229166666745986,229166666745986,3298611111</t>
  </si>
  <si>
    <t xml:space="preserve">BC Formoso2.2Inverter(MBUS-13)45986,229166666745986,229166666745986,3298611111</t>
  </si>
  <si>
    <t xml:space="preserve">BC Formoso2.2Inverter(MBUS-12)45986,229166666745986,229166666745986,3298611111</t>
  </si>
  <si>
    <t xml:space="preserve">BC Formoso2.2Inverter(MBUS-1)45986,229166666745986,229166666745986,3298611111</t>
  </si>
  <si>
    <t xml:space="preserve">BC Formoso2.3Inverter(MBUS-13)45986,229166666745986,229166666745986,3298611111</t>
  </si>
  <si>
    <t xml:space="preserve">BC Formoso2.3Inverter(MBUS-12)45986,229166666745986,229166666745986,3298611111</t>
  </si>
  <si>
    <t xml:space="preserve">BC Formoso1.1Inverter(MBUS-13)45986,229166666745986,229166666745986,3298611111</t>
  </si>
  <si>
    <t xml:space="preserve">BC Formoso1.1Inverter(MBUS-12)45986,229166666745986,229166666745986,3298611111</t>
  </si>
  <si>
    <t xml:space="preserve">BC Formoso1.1Inverter(MBUS-15)45986,229166666745986,229166666745986,3298611111</t>
  </si>
  <si>
    <t xml:space="preserve">BC Formoso1.1Inverter(MBUS-14)45986,229166666745986,229166666745986,3298611111</t>
  </si>
  <si>
    <t xml:space="preserve">BC Formoso1.2Inverter(MBUS-13)45986,229166666745986,229166666745986,3298611111</t>
  </si>
  <si>
    <t xml:space="preserve">BC Formoso1.2Inverter(MBUS-12)45986,229166666745986,229166666745986,3298611111</t>
  </si>
  <si>
    <t xml:space="preserve">BC Formoso1.2Inverter(MBUS-15)45986,229166666745986,229166666745986,3298611111</t>
  </si>
  <si>
    <t xml:space="preserve">BC Formoso1.2Inverter(MBUS-14)45986,229166666745986,229166666745986,3298611111</t>
  </si>
  <si>
    <t xml:space="preserve">BC Formoso1.3Inverter(MBUS-13)45986,229166666745986,229166666745986,3298611111</t>
  </si>
  <si>
    <t xml:space="preserve">BC Formoso1.3Inverter(MBUS-12)45986,229166666745986,229166666745986,3298611111</t>
  </si>
  <si>
    <t xml:space="preserve">BC Rio Monte1Inverter3845986,239583333345986,239583333345970,3368054977</t>
  </si>
  <si>
    <t xml:space="preserve">BC Rio Monte1Inverter3745986,239583333345986,239583333345971,3368054977</t>
  </si>
  <si>
    <t xml:space="preserve">BC Rio Monte1Inverter4345986,239583333345986,239583333345972,3368054977</t>
  </si>
  <si>
    <t xml:space="preserve">BC Rio Monte1Inverter4245986,239583333345986,239583333345973,3368054977</t>
  </si>
  <si>
    <t xml:space="preserve">BC Rio Monte1Inverter4545986,239583333345986,239583333345974,3368054977</t>
  </si>
  <si>
    <t xml:space="preserve">BC Rio Monte1Inverter4445986,239583333345986,239583333345975,3368054977</t>
  </si>
  <si>
    <t xml:space="preserve">BC Rio Monte1Inverter4645986,239583333345986,239583333345976,3368054977</t>
  </si>
  <si>
    <t xml:space="preserve">BC Rio Monte1Inverter4145986,239583333345986,239583333345977,3368054977</t>
  </si>
  <si>
    <t xml:space="preserve">BC Rio Monte1Inverter4745986,239583333345986,239583333345978,3368054977</t>
  </si>
  <si>
    <t xml:space="preserve">BC Rio Monte1Inverter3545986,239583333345986,239583333345979,3368054977</t>
  </si>
  <si>
    <t xml:space="preserve">BC Rio Monte1Inverter3645986,239583333345986,239583333345980,3368054977</t>
  </si>
  <si>
    <t xml:space="preserve">BC Rio Monte1Inverter3145986,239583333345986,239583333345981,3368054977</t>
  </si>
  <si>
    <t xml:space="preserve">BC Rio Monte1Inverter3345986,239583333345986,239583333345982,3368054977</t>
  </si>
  <si>
    <t xml:space="preserve">BC Rio Monte1Inverter3945986,239583333345986,239583333345983,3368054977</t>
  </si>
  <si>
    <t xml:space="preserve">BC Rio Monte1Inverter3245986,239583333345986,239583333345984,3368054977</t>
  </si>
  <si>
    <t xml:space="preserve">BC Rio Monte1Inverter4045986,239583333345986,239583333345985,3368054977</t>
  </si>
  <si>
    <t xml:space="preserve">BC Rio Monte1Inverter3445986,239583333345986,239583333345986,3368055556</t>
  </si>
  <si>
    <t xml:space="preserve">BC Caiaponia1SG60KTL(COM1-001)_001_00745986,239583333345986,239583333345986,3159722222</t>
  </si>
  <si>
    <t xml:space="preserve">BC Caiaponia1SG60KTL(COM1-002)_001_01045986,239583333345986,239583333345986,3159722222</t>
  </si>
  <si>
    <t xml:space="preserve">BC Caiaponia1SG60KTL(COM1-003)_001_01145986,239583333345986,239583333345986,3159722222</t>
  </si>
  <si>
    <t xml:space="preserve">BC Caiaponia1SG60KTL(COM1-004)_001_01445986,239583333345986,239583333345986,3159722222</t>
  </si>
  <si>
    <t xml:space="preserve">BC Caiaponia1SG60KTL(COM1-005)_001_01745986,239583333345986,239583333345986,3159722222</t>
  </si>
  <si>
    <t xml:space="preserve">BC Caiaponia1SG60KTL(COM1-006)_001_01645986,239583333345986,239583333345986,3159722222</t>
  </si>
  <si>
    <t xml:space="preserve">BC Caiaponia1SG60KTL(COM1-007)_001_01345986,239583333345986,239583333345986,3159722222</t>
  </si>
  <si>
    <t xml:space="preserve">BC Caiaponia1SG60KTL(COM1-008)_001_00145986,239583333345986,239583333345986,3159722222</t>
  </si>
  <si>
    <t xml:space="preserve">BC Caiaponia1SG60KTL(COM1-009)45986,239583333345986,239583333345986,3159722222</t>
  </si>
  <si>
    <t xml:space="preserve">BC Caiaponia1SG60KTL(COM1-010)45986,239583333345986,239583333345986,3159722222</t>
  </si>
  <si>
    <t xml:space="preserve">BC Caiaponia1SG60KTL(COM1-011)45986,239583333345986,239583333345986,3159722222</t>
  </si>
  <si>
    <t xml:space="preserve">BC Caiaponia1SG60KTL(COM1-012)45986,239583333345986,239583333345986,3159722222</t>
  </si>
  <si>
    <t xml:space="preserve">BC Caiaponia1SG60KTL(COM1-013)45986,239583333345986,239583333345986,3159722222</t>
  </si>
  <si>
    <t xml:space="preserve">BC Caiaponia1SG60KTL(COM1-014)45986,239583333345986,239583333345986,3159722222</t>
  </si>
  <si>
    <t xml:space="preserve">BC Caiaponia1SG60KTL(COM1-015)45986,239583333345986,239583333345986,3159722222</t>
  </si>
  <si>
    <t xml:space="preserve">BC Caiaponia1SG60KTL(COM3-016)_001_00945986,239583333345986,239583333345986,3159722222</t>
  </si>
  <si>
    <t xml:space="preserve">BC Caiaponia1SG60KTL(COM3-017)_001_01245986,239583333345986,239583333345986,3159722222</t>
  </si>
  <si>
    <t xml:space="preserve">BC Caiaponia1SG60KTL(COM3-018)_001_00845986,239583333345986,239583333345986,3159722222</t>
  </si>
  <si>
    <t xml:space="preserve">BC Caiaponia1SG60KTL(COM3-019)_001_01945986,239583333345986,239583333345986,3159722222</t>
  </si>
  <si>
    <t xml:space="preserve">BC Caiaponia1SG60KTL(COM3-020)_001_02045986,239583333345986,239583333345986,3159722222</t>
  </si>
  <si>
    <t xml:space="preserve">BC Caiaponia1SG60KTL(COM2-026)45986,239583333345986,239583333345986,3159722222</t>
  </si>
  <si>
    <t xml:space="preserve">BC Caiaponia1SG60KTL(COM2-027)45986,239583333345986,239583333345986,3159722222</t>
  </si>
  <si>
    <t xml:space="preserve">BC Caiaponia1SG60KTL(COM2-028)45986,239583333345986,239583333345986,3159722222</t>
  </si>
  <si>
    <t xml:space="preserve">BC Caiaponia1SG60KTL(COM2-029)45986,239583333345986,239583333345986,3159722222</t>
  </si>
  <si>
    <t xml:space="preserve">BC Caiaponia1SG50CX(COM1-021)45986,239583333345986,239583333345986,3159722222</t>
  </si>
  <si>
    <t xml:space="preserve">BC Caiaponia1SG50CX(COM1-022)45986,239583333345986,239583333345986,3159722222</t>
  </si>
  <si>
    <t xml:space="preserve">BC Caiaponia1SG50CX(COM1-023)45986,239583333345986,239583333345986,3159722222</t>
  </si>
  <si>
    <t xml:space="preserve">BC Caiaponia1SG50CX(COM1-024)45986,239583333345986,239583333345986,3159722222</t>
  </si>
  <si>
    <t xml:space="preserve">BC Caiaponia1SG50CX(COM1-025)45986,239583333345986,239583333345986,3159722222</t>
  </si>
  <si>
    <t xml:space="preserve">BC Caiaponia2.1215KTL-H3(MBUS-12)45986,239583333345986,239583333345986,3159722222</t>
  </si>
  <si>
    <t xml:space="preserve">BC Caiaponia2.1215KTL-H3(MBUS-13)45986,239583333345986,239583333345986,3159722222</t>
  </si>
  <si>
    <t xml:space="preserve">BC Caiaponia2.1215KTL-H3(MBUS-14)45986,239583333345986,239583333345986,3159722222</t>
  </si>
  <si>
    <t xml:space="preserve">BC Caiaponia2.1215KTL-H3(MBUS-15)45986,239583333345986,239583333345986,3159722222</t>
  </si>
  <si>
    <t xml:space="preserve">BC Caiaponia2.1215KTL-H3(MBUS-16)45986,239583333345986,239583333345986,3159722222</t>
  </si>
  <si>
    <t xml:space="preserve">BC Caiaponia2.2215KTL-H3(MBUS-12)45986,239583333345986,239583333345986,3159722222</t>
  </si>
  <si>
    <t xml:space="preserve">BC Caiaponia2.2215KTL-H3(MBUS-13)45986,239583333345986,239583333345986,3159722222</t>
  </si>
  <si>
    <t xml:space="preserve">BC Caiaponia2.2215KTL-H3(MBUS-14)45986,239583333345986,239583333345986,3159722222</t>
  </si>
  <si>
    <t xml:space="preserve">BC Caiaponia2.2215KTL-H3(MBUS-15)45986,239583333345986,239583333345986,3159722222</t>
  </si>
  <si>
    <t xml:space="preserve">BC Caiaponia2.2215KTL-H3(MBUS-16)45986,239583333345986,239583333345986,3159722222</t>
  </si>
  <si>
    <t xml:space="preserve">BC Caiaponia2.3215KTL-H3(MBUS-12)45986,239583333345986,239583333345986,3159722222</t>
  </si>
  <si>
    <t xml:space="preserve">BC Caiaponia2.3215KTL-H3(MBUS-13)45986,239583333345986,239583333345986,3159722222</t>
  </si>
  <si>
    <t xml:space="preserve">BC Caiaponia2.3215KTL-H3(MBUS-14)45986,239583333345986,239583333345986,3159722222</t>
  </si>
  <si>
    <t xml:space="preserve">BC Caiaponia2.3215KTL-H3(MBUS-15)45986,239583333345986,239583333345986,3159722222</t>
  </si>
  <si>
    <t xml:space="preserve">BC Caiaponia2.3215KTL-H3(MBUS-16)45986,239583333345986,239583333345986,3159722222</t>
  </si>
  <si>
    <t xml:space="preserve">BC Aracu1Inverter7945986,272465277845986,272465277845986,2794097222</t>
  </si>
  <si>
    <t xml:space="preserve">Inversores desligados para substituir disjuntores de 630A.</t>
  </si>
  <si>
    <t xml:space="preserve">Após manutenção, foi feito inspeção em todo complexo, checado nível de tensão e realizado a manobra de normalização da geração.</t>
  </si>
  <si>
    <t xml:space="preserve">BC Rio Monte1Inverter3745986,350694444445986,350694444445986,3993055556</t>
  </si>
  <si>
    <t xml:space="preserve">DPRINV</t>
  </si>
  <si>
    <t xml:space="preserve">BC Rio Monte1Inverter4345986,350694444445986,350694444445986,3993055556</t>
  </si>
  <si>
    <t xml:space="preserve">BC Rio Monte1Inverter4245986,350694444445986,350694444445986,3993055556</t>
  </si>
  <si>
    <t xml:space="preserve">BC Rio Monte1Inverter4545986,350694444445986,350694444445986,3993055556</t>
  </si>
  <si>
    <t xml:space="preserve">BC Rio Monte1Inverter4445986,350694444445986,350694444445986,3993055556</t>
  </si>
  <si>
    <t xml:space="preserve">BC Rio Monte1Inverter4645986,350694444445986,350694444445986,3993055556</t>
  </si>
  <si>
    <t xml:space="preserve">BC Rio Monte1Inverter4145986,350694444445986,350694444445986,3993055556</t>
  </si>
  <si>
    <t xml:space="preserve">BC Rio Monte1Inverter4745986,350694444445986,350694444445986,3993055556</t>
  </si>
  <si>
    <t xml:space="preserve">BC Rio Monte1Inverter3545986,350694444445986,350694444445986,3993055556</t>
  </si>
  <si>
    <t xml:space="preserve">BC Rio Monte1Inverter3645986,350694444445986,350694444445986,3993055556</t>
  </si>
  <si>
    <t xml:space="preserve">BC Rio Monte1Inverter3145986,350694444445986,350694444445986,3993055556</t>
  </si>
  <si>
    <t xml:space="preserve">BC Rio Monte1Inverter3345986,350694444445986,350694444445986,3993055556</t>
  </si>
  <si>
    <t xml:space="preserve">BC Rio Monte1Inverter3945986,350694444445986,350694444445986,3993055556</t>
  </si>
  <si>
    <t xml:space="preserve">BC Rio Monte1Inverter3245986,350694444445986,350694444445986,3993055556</t>
  </si>
  <si>
    <t xml:space="preserve">BC Rio Monte1Inverter4045986,350694444445986,350694444445986,3993055556</t>
  </si>
  <si>
    <t xml:space="preserve">BC Rio Monte1Inverter3445986,350694444445986,350694444445986,3993055556</t>
  </si>
  <si>
    <t xml:space="preserve">BC Rio Bonito2INV-00145987,234722222245987,234722222245987,3958333333</t>
  </si>
  <si>
    <t xml:space="preserve">BC Rio Bonito2INV-00245987,234722222245987,234722222245987,3958333333</t>
  </si>
  <si>
    <t xml:space="preserve">BC Rio Bonito2INV-00345987,234722222245987,234722222245987,3958333333</t>
  </si>
  <si>
    <t xml:space="preserve">BC Rio Bonito2INV-00445987,234722222245987,234722222245987,3958333333</t>
  </si>
  <si>
    <t xml:space="preserve">BC Rio Bonito1SG36KTL-M-17_001_01745987,234722222245987,234722222245987,3958333333</t>
  </si>
  <si>
    <t xml:space="preserve">BC Rio Bonito1SG60KTL-10_001_01045987,234722222245987,234722222245987,3958333333</t>
  </si>
  <si>
    <t xml:space="preserve">BC Rio Bonito1SG60KTL-11_001_01145987,234722222245987,234722222245987,3958333333</t>
  </si>
  <si>
    <t xml:space="preserve">BC Rio Bonito1SG60KTL-12_001_01245987,234722222245987,234722222245987,3958333333</t>
  </si>
  <si>
    <t xml:space="preserve">BC Rio Bonito1SG60KTL-13_001_01345987,234722222245987,234722222245987,3958333333</t>
  </si>
  <si>
    <t xml:space="preserve">BC Rio Bonito1SG60KTL-14_001_01445987,234722222245987,234722222245987,3958333333</t>
  </si>
  <si>
    <t xml:space="preserve">BC Rio Bonito1SG60KTL-15_001_01545987,234722222245987,234722222245987,3958333333</t>
  </si>
  <si>
    <t xml:space="preserve">BC Rio Bonito1SG60KTL-16_001_01645987,234722222245987,234722222245987,3958333333</t>
  </si>
  <si>
    <t xml:space="preserve">BC Rio Bonito1SG60KTL-1_001_00145987,234722222245987,234722222245987,3958333333</t>
  </si>
  <si>
    <t xml:space="preserve">BC Rio Bonito1SG60KTL-2_001_00245987,234722222245987,234722222245987,3958333333</t>
  </si>
  <si>
    <t xml:space="preserve">BC Rio Bonito1SG60KTL-3_001_00345987,234722222245987,234722222245987,3958333333</t>
  </si>
  <si>
    <t xml:space="preserve">BC Rio Bonito1SG60KTL-4_001_00445987,234722222245987,234722222245987,3958333333</t>
  </si>
  <si>
    <t xml:space="preserve">BC Rio Bonito1SG60KTL-5_001_00545987,234722222245987,234722222245987,3958333333</t>
  </si>
  <si>
    <t xml:space="preserve">BC Rio Bonito1SG60KTL-6_001_00645987,234722222245987,234722222245987,3958333333</t>
  </si>
  <si>
    <t xml:space="preserve">BC Rio Bonito1SG60KTL-7_001_00745987,234722222245987,234722222245987,3958333333</t>
  </si>
  <si>
    <t xml:space="preserve">BC Rio Bonito1SG60KTL-8_001_00845987,234722222245987,234722222245987,3958333333</t>
  </si>
  <si>
    <t xml:space="preserve">BC Rio Bonito1SG60KTL-9_001_00945987,234722222245987,234722222245987,3958333333</t>
  </si>
  <si>
    <t xml:space="preserve">Desligamento da UFV para execução de testes nos transformadores de média tensão e nos cubículos. Após execução, foi realizada a manobra de energização da usina.</t>
  </si>
  <si>
    <t xml:space="preserve">BC Caiaponia2.1215KTL-H3(MBUS-13)45987,543055555645987,543055555645987,5590277778</t>
  </si>
  <si>
    <t xml:space="preserve">BC Caiaponia2.1215KTL-H3(MBUS-14)45987,543055555645987,543055555645987,5590277778</t>
  </si>
  <si>
    <t xml:space="preserve">BC Caiaponia2.1215KTL-H3(MBUS-15)45987,543055555645987,543055555645987,5590277778</t>
  </si>
  <si>
    <t xml:space="preserve">BC Caiaponia2.1215KTL-H3(MBUS-12)45987,543055555645987,543055555645987,5590277778</t>
  </si>
  <si>
    <t xml:space="preserve">BC Caiaponia2.1215KTL-H3(MBUS-16)45987,543055555645987,543055555645987,5590277778</t>
  </si>
  <si>
    <t xml:space="preserve">Transformador</t>
  </si>
  <si>
    <t xml:space="preserve">Foi identificado um curto-circuito no transformador 1, ocasionando a atuação do relé de proteção principal com o código 86 (bloqueio de sistema), o que resultou na queda de comunicação dos inversores e do sistema de CFTV. A usina 1 alimenta o sistema de comunicação, e por isso todo o complexo ficou fora.</t>
  </si>
  <si>
    <t xml:space="preserve">Foi realizada a substituição do transformador de média tensão da unidade UFV 1.1, que apresentava danos. Após a troca, o sistema foi restabelecido com sucesso, e tanto os inversores quanto o sistema de CFTV voltaram a operar normalmente.</t>
  </si>
  <si>
    <t xml:space="preserve">BC Turvania1.1Inverter(MBUS-12)45988,215277777845988,215277777845989,625</t>
  </si>
  <si>
    <t xml:space="preserve">DAUTRF</t>
  </si>
  <si>
    <t xml:space="preserve">BC Turvania1.1Inverter(MBUS-13)45988,215277777845988,215277777845989,625</t>
  </si>
  <si>
    <t xml:space="preserve">BC Turvania1.1Inverter(MBUS-14)45988,215277777845988,215277777845989,625</t>
  </si>
  <si>
    <t xml:space="preserve">BC Turvania1.1Inverter(MBUS-15)45988,215277777845988,215277777845989,625</t>
  </si>
  <si>
    <t xml:space="preserve">BC Turvania1.2Inverter(MBUS-12)45988,215277777845988,215277777845989,625</t>
  </si>
  <si>
    <t xml:space="preserve">BC Turvania1.2Inverter(MBUS-13)45988,215277777845988,215277777845989,625</t>
  </si>
  <si>
    <t xml:space="preserve">BC Turvania1.2Inverter(MBUS-14)45988,215277777845988,215277777845989,625</t>
  </si>
  <si>
    <t xml:space="preserve">BC Turvania1.2Inverter(MBUS-15)45988,215277777845988,215277777845989,625</t>
  </si>
  <si>
    <t xml:space="preserve">BC Turvania1.3Inverter(MBUS-1)45988,215277777845988,215277777845989,625</t>
  </si>
  <si>
    <t xml:space="preserve">BC Turvania1.3Inverter(MBUS-13)45988,215277777845988,215277777845989,625</t>
  </si>
  <si>
    <t xml:space="preserve">BC Turvania1.3Inverter(MBUS-14)45988,215277777845988,215277777845989,625</t>
  </si>
  <si>
    <t xml:space="preserve">BC Turvania1.3Inverter(MBUS-15)45988,215277777845988,215277777845989,625</t>
  </si>
  <si>
    <t xml:space="preserve">BC Turvania1.4Inverter(MBUS-12)45988,215277777845988,215277777845989,625</t>
  </si>
  <si>
    <t xml:space="preserve">BC Turvania1.4Inverter(MBUS-13)45988,215277777845988,215277777845989,625</t>
  </si>
  <si>
    <t xml:space="preserve">BC Turvania1.4Inverter(MBUS-14)45988,215277777845988,215277777845989,625</t>
  </si>
  <si>
    <t xml:space="preserve">BC Turvania1.4Inverter(MBUS-15)45988,215277777845988,215277777845989,625</t>
  </si>
  <si>
    <t xml:space="preserve">BC Turvania1.5Inverter(MBUS-12)45988,215277777845988,215277777845989,625</t>
  </si>
  <si>
    <t xml:space="preserve">BC Turvania1.5Inverter(MBUS-13)45988,215277777845988,215277777845989,625</t>
  </si>
  <si>
    <t xml:space="preserve">BC Turvania1.5Inverter(MBUS-14)45988,215277777845988,215277777845989,625</t>
  </si>
  <si>
    <t xml:space="preserve">BC Turvania1.5Inverter(MBUS-1)45988,215277777845988,215277777845989,625</t>
  </si>
  <si>
    <t xml:space="preserve">BC Clareira1.1Inverter(MBUS-12)45988,404166666745988,404166666745988,4083333333</t>
  </si>
  <si>
    <t xml:space="preserve">BC Clareira1.1Inverter(MBUS-13)45988,404166666745988,404166666745988,4083333333</t>
  </si>
  <si>
    <t xml:space="preserve">BC Clareira1.1	Inverter(MBUS-14)45988,404166666745988,404166666745988,4083333333</t>
  </si>
  <si>
    <t xml:space="preserve">BC Clareira1.1	Inverter(MBUS-15)45988,404166666745988,404166666745988,4083333333</t>
  </si>
  <si>
    <t xml:space="preserve">BC Clareira1.1Inverter(MBUS-16)45988,404166666745988,404166666745988,4083333333</t>
  </si>
  <si>
    <t xml:space="preserve">BC Clareira1.2	215KTL-H3(MBUS-12)45988,404166666745988,404166666745988,4083333333</t>
  </si>
  <si>
    <t xml:space="preserve">BC Clareira1.2	215KTL-H3(MBUS-13)45988,404166666745988,404166666745988,4083333333</t>
  </si>
  <si>
    <t xml:space="preserve">BC Clareira1.2100KTL-H1(MBUS-14)45988,404166666745988,404166666745988,4083333333</t>
  </si>
  <si>
    <t xml:space="preserve">Relé atuado por causa de oscilação na rede da concessionária. Falhas 86Q, 50N e 51N.</t>
  </si>
  <si>
    <t xml:space="preserve">BC Varjao2.1215KTL-H0(MBUS-12)45988,495138888945988,495138888945988,5173611111</t>
  </si>
  <si>
    <t xml:space="preserve">BC Varjao2.1215KTL-H0(MBUS-13)45988,495138888945988,495138888945988,5173611111</t>
  </si>
  <si>
    <t xml:space="preserve">BC Varjao2.1215KTL-H0(MBUS-14)45988,495138888945988,495138888945988,5173611111</t>
  </si>
  <si>
    <t xml:space="preserve">BC Varjao2.1215KTL-H0(MBUS-15)45988,495138888945988,495138888945988,5173611111</t>
  </si>
  <si>
    <t xml:space="preserve">BC Varjao2.1215KTL-H0(MBUS-16)45988,495138888945988,495138888945988,5173611111</t>
  </si>
  <si>
    <t xml:space="preserve">ARAGUATINS 1.1Inverter(MBUS-12)45988,652777777845988,652777777845988,6826388889</t>
  </si>
  <si>
    <t xml:space="preserve">ARAGUATINS 1.1Inverter(MBUS-13)45988,652777777845988,652777777845988,6826388889</t>
  </si>
  <si>
    <t xml:space="preserve">ARAGUATINS 1.1Inverter(MBUS-14)45988,652777777845988,652777777845988,6826388889</t>
  </si>
  <si>
    <t xml:space="preserve">ARAGUATINS 1.1Inverter(MBUS-15)45988,652777777845988,652777777845988,6826388889</t>
  </si>
  <si>
    <t xml:space="preserve">ARAGUATINS 1.2Inverter(MBUS-12)45988,652777777845988,652777777845988,6826388889</t>
  </si>
  <si>
    <t xml:space="preserve">ARAGUATINS 1.2Inverter(MBUS-13)45988,652777777845988,652777777845988,6826388889</t>
  </si>
  <si>
    <t xml:space="preserve">ARAGUATINS 1.2Inverter(MBUS-14)45988,652777777845988,652777777845988,6826388889</t>
  </si>
  <si>
    <t xml:space="preserve">ARAGUATINS 1.2Inverter(MBUS-15)45988,652777777845988,652777777845988,6826388889</t>
  </si>
  <si>
    <t xml:space="preserve">ARAGUATINS 1.3Inverter(MBUS-20)45988,652777777845988,652777777845988,6826388889</t>
  </si>
  <si>
    <t xml:space="preserve">ARAGUATINS 1.3Inverter(MBUS-1)45988,652777777845988,652777777845988,6826388889</t>
  </si>
  <si>
    <t xml:space="preserve">ARAGUATINS 2.1Inverter(MBUS-13)45988,652777777845988,652777777845988,6826388889</t>
  </si>
  <si>
    <t xml:space="preserve">ARAGUATINS 2.1Inverter(MBUS-12)45988,652777777845988,652777777845988,6826388889</t>
  </si>
  <si>
    <t xml:space="preserve">ARAGUATINS 2.1Inverter(MBUS-15)45988,652777777845988,652777777845988,6826388889</t>
  </si>
  <si>
    <t xml:space="preserve">ARAGUATINS 2.1Inverter(MBUS-14)45988,652777777845988,652777777845988,6826388889</t>
  </si>
  <si>
    <t xml:space="preserve">ARAGUATINS 2.2Inverter(MBUS-15)45988,652777777845988,652777777845988,6826388889</t>
  </si>
  <si>
    <t xml:space="preserve">ARAGUATINS 2.2Inverter(MBUS-13)45988,652777777845988,652777777845988,6826388889</t>
  </si>
  <si>
    <t xml:space="preserve">ARAGUATINS 2.2Inverter(MBUS-14)45988,652777777845988,652777777845988,6826388889</t>
  </si>
  <si>
    <t xml:space="preserve">ARAGUATINS 2.2Inverter(MBUS-12)45988,652777777845988,652777777845988,6826388889</t>
  </si>
  <si>
    <t xml:space="preserve">ARAGUATINS 2.3Inverter(MBUS-12)45988,652777777845988,652777777845988,6826388889</t>
  </si>
  <si>
    <t xml:space="preserve">ARAGUATINS 2.3Inverter(MBUS-13)45988,652777777845988,652777777845988,6826388889</t>
  </si>
  <si>
    <t xml:space="preserve">Relé atuado por causa de oscilação na rede da concessionária. Falhas 86Q e 67C.</t>
  </si>
  <si>
    <t xml:space="preserve">ARAGUATINS 1.1Inverter(MBUS-12)45989,649305555645989,649305555645989,6791666667</t>
  </si>
  <si>
    <t xml:space="preserve">ARAGUATINS 1.1Inverter(MBUS-13)45989,649305555645989,649305555645989,6791666667</t>
  </si>
  <si>
    <t xml:space="preserve">ARAGUATINS 1.1Inverter(MBUS-14)45989,649305555645989,649305555645989,6791666667</t>
  </si>
  <si>
    <t xml:space="preserve">ARAGUATINS 1.1Inverter(MBUS-15)45989,649305555645989,649305555645989,6791666667</t>
  </si>
  <si>
    <t xml:space="preserve">ARAGUATINS 1.2Inverter(MBUS-12)45989,649305555645989,649305555645989,6791666667</t>
  </si>
  <si>
    <t xml:space="preserve">ARAGUATINS 1.2Inverter(MBUS-13)45989,649305555645989,649305555645989,6791666667</t>
  </si>
  <si>
    <t xml:space="preserve">ARAGUATINS 1.2Inverter(MBUS-14)45989,649305555645989,649305555645989,6791666667</t>
  </si>
  <si>
    <t xml:space="preserve">ARAGUATINS 1.2Inverter(MBUS-15)45989,649305555645989,649305555645989,6791666667</t>
  </si>
  <si>
    <t xml:space="preserve">ARAGUATINS 1.3Inverter(MBUS-20)45989,649305555645989,649305555645989,6791666667</t>
  </si>
  <si>
    <t xml:space="preserve">ARAGUATINS 1.3Inverter(MBUS-1)45989,649305555645989,649305555645989,6791666667</t>
  </si>
  <si>
    <t xml:space="preserve">ARAGUATINS 2.1Inverter(MBUS-13)45989,649305555645989,649305555645989,6791666667</t>
  </si>
  <si>
    <t xml:space="preserve">ARAGUATINS 2.1Inverter(MBUS-12)45989,649305555645989,649305555645989,6791666667</t>
  </si>
  <si>
    <t xml:space="preserve">ARAGUATINS 2.1Inverter(MBUS-15)45989,649305555645989,649305555645989,6791666667</t>
  </si>
  <si>
    <t xml:space="preserve">ARAGUATINS 2.1Inverter(MBUS-14)45989,649305555645989,649305555645989,6791666667</t>
  </si>
  <si>
    <t xml:space="preserve">ARAGUATINS 2.2Inverter(MBUS-15)45989,649305555645989,649305555645989,6791666667</t>
  </si>
  <si>
    <t xml:space="preserve">ARAGUATINS 2.2Inverter(MBUS-13)45989,649305555645989,649305555645989,6791666667</t>
  </si>
  <si>
    <t xml:space="preserve">ARAGUATINS 2.2Inverter(MBUS-14)45989,649305555645989,649305555645989,6791666667</t>
  </si>
  <si>
    <t xml:space="preserve">ARAGUATINS 2.2Inverter(MBUS-12)45989,649305555645989,649305555645989,6791666667</t>
  </si>
  <si>
    <t xml:space="preserve">ARAGUATINS 2.3Inverter(MBUS-12)45989,649305555645989,649305555645989,6791666667</t>
  </si>
  <si>
    <t xml:space="preserve">ARAGUATINS 2.3Inverter(MBUS-13)45989,649305555645989,649305555645989,6791666667</t>
  </si>
  <si>
    <t xml:space="preserve">Foi constatada a interrupção do fornecimento de energia proveniente da rede da concessionária, devido à manutenção programada na subestação da mesma.</t>
  </si>
  <si>
    <t xml:space="preserve">Realizada inspeção nos transformadores e sistemas associados. Verificada a ausência de tensão na rede da concessionária. Foram realizados os resets nos relés de proteção e o rearme dos disjuntores para restabelecimento total da operação.</t>
  </si>
  <si>
    <t xml:space="preserve">BC Turvania1.1Inverter(MBUS-14)45989,695833275545989,695833275545989,7083333333</t>
  </si>
  <si>
    <t xml:space="preserve">BC Turvania1.1Inverter(MBUS-15)45989,695833275545989,695833275545989,7083333333</t>
  </si>
  <si>
    <t xml:space="preserve">BC Turvania1.2Inverter(MBUS-12)45989,695833275545989,695833275545989,7083333333</t>
  </si>
  <si>
    <t xml:space="preserve">BC Turvania1.2Inverter(MBUS-13)45989,695833275545989,695833275545989,7083333333</t>
  </si>
  <si>
    <t xml:space="preserve">BC Turvania1.2Inverter(MBUS-14)45989,695833275545989,695833275545989,7083333333</t>
  </si>
  <si>
    <t xml:space="preserve">BC Turvania1.2Inverter(MBUS-15)45989,695833275545989,695833275545989,7083333333</t>
  </si>
  <si>
    <t xml:space="preserve">BC Turvania1.3Inverter(MBUS-1)45989,695833275545989,695833275545989,7083333333</t>
  </si>
  <si>
    <t xml:space="preserve">BC Turvania1.3Inverter(MBUS-13)45989,695833275545989,695833275545989,7083333333</t>
  </si>
  <si>
    <t xml:space="preserve">BC Turvania1.3Inverter(MBUS-14)45989,695833275545989,695833275545989,7083333333</t>
  </si>
  <si>
    <t xml:space="preserve">BC Turvania1.3Inverter(MBUS-15)45989,695833275545989,695833275545989,7083333333</t>
  </si>
  <si>
    <t xml:space="preserve">BC Turvania1.4Inverter(MBUS-12)45989,695833275545989,695833275545989,7083333333</t>
  </si>
  <si>
    <t xml:space="preserve">BC Turvania1.4Inverter(MBUS-13)45989,695833275545989,695833275545989,7083333333</t>
  </si>
  <si>
    <t xml:space="preserve">BC Turvania1.4Inverter(MBUS-14)45989,695833275545989,695833275545989,7083333333</t>
  </si>
  <si>
    <t xml:space="preserve">BC Turvania1.4Inverter(MBUS-15)45989,695833275545989,695833275545989,7083333333</t>
  </si>
  <si>
    <t xml:space="preserve">BC Turvania1.5Inverter(MBUS-12)45989,695833275545989,695833275545989,7083333333</t>
  </si>
  <si>
    <t xml:space="preserve">BC Turvania1.5Inverter(MBUS-13)45989,695833275545989,695833275545989,7083333333</t>
  </si>
  <si>
    <t xml:space="preserve">BC Turvania1.5Inverter(MBUS-14)45989,695833275545989,695833275545989,7083333333</t>
  </si>
  <si>
    <t xml:space="preserve">BC Turvania1.5Inverter(MBUS-1)45989,695833275545989,695833275545989,7083333333</t>
  </si>
  <si>
    <t xml:space="preserve">BC Turvania1.1Inverter(MBUS-12)45989,695833333345989,695833333345989,7083333333</t>
  </si>
  <si>
    <t xml:space="preserve">BC Turvania1.1Inverter(MBUS-13)45989,695833333345989,695833333345989,7083333333</t>
  </si>
  <si>
    <t xml:space="preserve">ARAGUATINS 1.1Inverter(MBUS-12)45989,833333333345989,833333333345990,2854166667</t>
  </si>
  <si>
    <t xml:space="preserve">ARAGUATINS 1.1Inverter(MBUS-13)45989,833333333345989,833333333345990,2854166667</t>
  </si>
  <si>
    <t xml:space="preserve">ARAGUATINS 1.1Inverter(MBUS-14)45989,833333333345989,833333333345990,2854166667</t>
  </si>
  <si>
    <t xml:space="preserve">ARAGUATINS 1.1Inverter(MBUS-15)45989,833333333345989,833333333345990,2854166667</t>
  </si>
  <si>
    <t xml:space="preserve">ARAGUATINS 1.2Inverter(MBUS-12)45989,833333333345989,833333333345990,2854166667</t>
  </si>
  <si>
    <t xml:space="preserve">ARAGUATINS 1.2Inverter(MBUS-13)45989,833333333345989,833333333345990,2854166667</t>
  </si>
  <si>
    <t xml:space="preserve">ARAGUATINS 1.2Inverter(MBUS-14)45989,833333333345989,833333333345990,2854166667</t>
  </si>
  <si>
    <t xml:space="preserve">ARAGUATINS 1.2Inverter(MBUS-15)45989,833333333345989,833333333345990,2854166667</t>
  </si>
  <si>
    <t xml:space="preserve">ARAGUATINS 1.3Inverter(MBUS-20)45989,833333333345989,833333333345990,2854166667</t>
  </si>
  <si>
    <t xml:space="preserve">ARAGUATINS 1.3Inverter(MBUS-1)45989,833333333345989,833333333345990,2854166667</t>
  </si>
  <si>
    <t xml:space="preserve">Relé de proteção  atuado com função 47.</t>
  </si>
  <si>
    <t xml:space="preserve">BC Formoso1.2Inverter(MBUS-13)45990,477777777845990,477777777845990,5</t>
  </si>
  <si>
    <t xml:space="preserve">BC Formoso1.2Inverter(MBUS-12)45990,477777777845990,477777777845990,5</t>
  </si>
  <si>
    <t xml:space="preserve">BC Formoso1.2Inverter(MBUS-15)45990,477777777845990,477777777845990,5</t>
  </si>
  <si>
    <t xml:space="preserve">BC Formoso1.2Inverter(MBUS-14)45990,477777777845990,477777777845990,5</t>
  </si>
  <si>
    <t xml:space="preserve">Relé de proteção  atuado com função 59N.</t>
  </si>
  <si>
    <t xml:space="preserve">BC Formoso2.2Inverter(MBUS-14)45991,252777777845991,252777777845991,3888888889</t>
  </si>
  <si>
    <t xml:space="preserve">BC Formoso2.2Inverter(MBUS-13)45991,252777777845991,252777777845991,3888888889</t>
  </si>
  <si>
    <t xml:space="preserve">BC Formoso2.2Inverter(MBUS-12)45991,252777777845991,252777777845991,3888888889</t>
  </si>
  <si>
    <t xml:space="preserve">BC Formoso2.2Inverter(MBUS-1)45991,252777777845991,252777777845991,3888888889</t>
  </si>
  <si>
    <t xml:space="preserve">Falha de comunicação.</t>
  </si>
  <si>
    <t xml:space="preserve">Foi reiniciado o roteador e os loggers.</t>
  </si>
  <si>
    <t xml:space="preserve">ARAGUATINS 1.1Inverter(MBUS-12)45991,435416666745991,435416666745991,4652777778</t>
  </si>
  <si>
    <t xml:space="preserve">ARAGUATINS 1.1Inverter(MBUS-13)45991,435416666745991,435416666745991,4652777778</t>
  </si>
  <si>
    <t xml:space="preserve">ARAGUATINS 1.1Inverter(MBUS-14)45991,435416666745991,435416666745991,4652777778</t>
  </si>
  <si>
    <t xml:space="preserve">ARAGUATINS 1.1Inverter(MBUS-15)45991,435416666745991,435416666745991,4652777778</t>
  </si>
  <si>
    <t xml:space="preserve">ARAGUATINS 1.2Inverter(MBUS-12)45991,435416666745991,435416666745991,4652777778</t>
  </si>
  <si>
    <t xml:space="preserve">ARAGUATINS 1.2Inverter(MBUS-13)45991,435416666745991,435416666745991,4652777778</t>
  </si>
  <si>
    <t xml:space="preserve">ARAGUATINS 1.2Inverter(MBUS-14)45991,435416666745991,435416666745991,4652777778</t>
  </si>
  <si>
    <t xml:space="preserve">ARAGUATINS 1.2Inverter(MBUS-15)45991,435416666745991,435416666745991,4652777778</t>
  </si>
  <si>
    <t xml:space="preserve">ARAGUATINS 1.3Inverter(MBUS-20)45991,435416666745991,435416666745991,4652777778</t>
  </si>
  <si>
    <t xml:space="preserve">ARAGUATINS 1.3Inverter(MBUS-1)45991,435416666745991,435416666745991,4652777778</t>
  </si>
  <si>
    <t xml:space="preserve">ARAGUATINS 2.1Inverter(MBUS-13)45991,435416666745991,435416666745991,4652777778</t>
  </si>
  <si>
    <t xml:space="preserve">ARAGUATINS 2.1Inverter(MBUS-12)45991,435416666745991,435416666745991,4652777778</t>
  </si>
  <si>
    <t xml:space="preserve">ARAGUATINS 2.1Inverter(MBUS-15)45991,435416666745991,435416666745991,4652777778</t>
  </si>
  <si>
    <t xml:space="preserve">ARAGUATINS 2.1Inverter(MBUS-14)45991,435416666745991,435416666745991,4652777778</t>
  </si>
  <si>
    <t xml:space="preserve">ARAGUATINS 2.2Inverter(MBUS-15)45991,435416666745991,435416666745991,4652777778</t>
  </si>
  <si>
    <t xml:space="preserve">ARAGUATINS 2.2Inverter(MBUS-13)45991,435416666745991,435416666745991,4652777778</t>
  </si>
  <si>
    <t xml:space="preserve">ARAGUATINS 2.2Inverter(MBUS-14)45991,435416666745991,435416666745991,4652777778</t>
  </si>
  <si>
    <t xml:space="preserve">ARAGUATINS 2.2Inverter(MBUS-12)45991,435416666745991,435416666745991,4652777778</t>
  </si>
  <si>
    <t xml:space="preserve">ARAGUATINS 2.3Inverter(MBUS-12)45991,435416666745991,435416666745991,4652777778</t>
  </si>
  <si>
    <t xml:space="preserve">ARAGUATINS 2.3Inverter(MBUS-13)45991,435416666745991,435416666745991,4652777778</t>
  </si>
  <si>
    <t xml:space="preserve">BC Varjao2.1215KTL-H0(MBUS-12)45991,660416666745991,660416666745991,6631944444</t>
  </si>
  <si>
    <t xml:space="preserve">2025-11-01 10:49:56</t>
  </si>
  <si>
    <t xml:space="preserve">2025-11-01 10:52:55</t>
  </si>
  <si>
    <t xml:space="preserve">Conexão inversa do MPPT</t>
  </si>
  <si>
    <t xml:space="preserve">BC Aracu2araçu 2.3 inversor 42025-11-01 10:49:562025-11-01 10:49:562025-11-01 10:52:55</t>
  </si>
  <si>
    <t xml:space="preserve">2025-11-02 05:29:15</t>
  </si>
  <si>
    <t xml:space="preserve">2025-11-02 05:33:38</t>
  </si>
  <si>
    <t xml:space="preserve">BC Aracu2araçu 2.3 inversor 42025-11-02 05:29:152025-11-02 05:29:152025-11-02 05:33:38</t>
  </si>
  <si>
    <t xml:space="preserve">2025-11-04 05:50:34</t>
  </si>
  <si>
    <t xml:space="preserve">2025-11-04 05:53:30</t>
  </si>
  <si>
    <t xml:space="preserve">Corrente de fuga excessiva</t>
  </si>
  <si>
    <t xml:space="preserve">BC Aracu2araçu 2.2 inversor 22025-11-04 05:50:342025-11-04 05:50:342025-11-04 05:53:30</t>
  </si>
  <si>
    <t xml:space="preserve">2025-11-09 05:44:51</t>
  </si>
  <si>
    <t xml:space="preserve">2025-11-09 05:47:50</t>
  </si>
  <si>
    <t xml:space="preserve">BC Aracu2araçu 2.2 inversor 22025-11-09 05:44:512025-11-09 05:44:512025-11-09 05:47:50</t>
  </si>
  <si>
    <t xml:space="preserve">2025-11-11 05:24:27</t>
  </si>
  <si>
    <t xml:space="preserve">2025-11-11 05:27:28</t>
  </si>
  <si>
    <t xml:space="preserve">BC Aracu2araçu 2.2 inversor 22025-11-11 05:24:272025-11-11 05:24:272025-11-11 05:27:28</t>
  </si>
  <si>
    <t xml:space="preserve">2025-11-13 05:29:04</t>
  </si>
  <si>
    <t xml:space="preserve">2025-11-13 05:32:01</t>
  </si>
  <si>
    <t xml:space="preserve">BC Aracu2araçu 2.2 inversor 22025-11-13 05:29:042025-11-13 05:29:042025-11-13 05:32:01</t>
  </si>
  <si>
    <t xml:space="preserve">2025-11-15 15:59:09</t>
  </si>
  <si>
    <t xml:space="preserve">2025-11-15 16:07:20</t>
  </si>
  <si>
    <t xml:space="preserve">BC Aracu2araçu 2.3 inversor 42025-11-15 15:59:092025-11-15 15:59:092025-11-15 16:07:20</t>
  </si>
  <si>
    <t xml:space="preserve">2025-11-16 05:32:54</t>
  </si>
  <si>
    <t xml:space="preserve">2025-11-16 05:35:52</t>
  </si>
  <si>
    <t xml:space="preserve">BC Aracu2araçu 2.2 inversor 22025-11-16 05:32:542025-11-16 05:32:542025-11-16 05:35:52</t>
  </si>
  <si>
    <t xml:space="preserve">2025-11-17 13:12:49</t>
  </si>
  <si>
    <t xml:space="preserve">2025-11-17 15:30:22</t>
  </si>
  <si>
    <t xml:space="preserve">Queda da rede</t>
  </si>
  <si>
    <t xml:space="preserve">Mantenedor fez a verificação local e normalizou os inversores.</t>
  </si>
  <si>
    <t xml:space="preserve">BC Aracu2araçu 2.2 inversor 22025-11-17 13:12:492025-11-17 13:12:492025-11-17 15:30:22</t>
  </si>
  <si>
    <t xml:space="preserve">2025-11-17 13:12:52</t>
  </si>
  <si>
    <t xml:space="preserve">2025-11-17 15:30:33</t>
  </si>
  <si>
    <t xml:space="preserve">BC Aracu2araçu 2.2 inversor 32025-11-17 13:12:522025-11-17 13:12:522025-11-17 15:30:33</t>
  </si>
  <si>
    <t xml:space="preserve">2025-11-21 15:57:07</t>
  </si>
  <si>
    <t xml:space="preserve">2025-11-21 16:03:33</t>
  </si>
  <si>
    <t xml:space="preserve">BC Aracu2araçu 2.3 inversor 42025-11-21 15:57:072025-11-21 15:57:072025-11-21 16:03:33</t>
  </si>
  <si>
    <t xml:space="preserve">2025-11-21 18:31:48</t>
  </si>
  <si>
    <t xml:space="preserve">2025-11-21 18:45:21</t>
  </si>
  <si>
    <t xml:space="preserve">BC Aracu2araçu 2.3 inversor 42025-11-21 18:31:482025-11-21 18:31:482025-11-21 18:45:21</t>
  </si>
  <si>
    <t xml:space="preserve">2025-11-22 12:31:13</t>
  </si>
  <si>
    <t xml:space="preserve">2025-11-22 13:57:30</t>
  </si>
  <si>
    <t xml:space="preserve">BC Aracu2araçu 2.3 inversor 42025-11-22 12:31:132025-11-22 12:31:132025-11-22 13:57:30</t>
  </si>
  <si>
    <t xml:space="preserve">2025-11-23 16:15:36</t>
  </si>
  <si>
    <t xml:space="preserve">2025-11-23 17:38:11</t>
  </si>
  <si>
    <t xml:space="preserve">BC Aracu2araçu 2.3 inversor 42025-11-23 16:15:362025-11-23 16:15:362025-11-23 17:38:11</t>
  </si>
  <si>
    <t xml:space="preserve">2025-11-24 18:01:13</t>
  </si>
  <si>
    <t xml:space="preserve">2025-11-24 18:10:21</t>
  </si>
  <si>
    <t xml:space="preserve">BC Aracu2araçu 2.3 inversor 42025-11-24 18:01:132025-11-24 18:01:132025-11-24 18:10:21</t>
  </si>
  <si>
    <t xml:space="preserve">2025-11-27 05:37:41</t>
  </si>
  <si>
    <t xml:space="preserve">2025-11-27 05:40:43</t>
  </si>
  <si>
    <t xml:space="preserve">BC Aracu2araçu 2.2 inversor 22025-11-27 05:37:412025-11-27 05:37:412025-11-27 05:40:43</t>
  </si>
  <si>
    <t xml:space="preserve">2025-11-28 15:19:53</t>
  </si>
  <si>
    <t xml:space="preserve">2025-11-28 15:35:06</t>
  </si>
  <si>
    <t xml:space="preserve">BC Aracu2araçu 2.3 inversor 42025-11-28 15:19:532025-11-28 15:19:532025-11-28 15:35:06</t>
  </si>
  <si>
    <t xml:space="preserve">2025-11-29 18:42:04</t>
  </si>
  <si>
    <t xml:space="preserve">2025-11-29 18:42:50</t>
  </si>
  <si>
    <t xml:space="preserve">BC Aracu2araçu 2.3 inversor 42025-11-29 18:42:042025-11-29 18:42:042025-11-29 18:42:50</t>
  </si>
  <si>
    <t xml:space="preserve">2025-11-30 05:36:20</t>
  </si>
  <si>
    <t xml:space="preserve">2025-11-30 05:39:14</t>
  </si>
  <si>
    <t xml:space="preserve">BC Aracu2araçu 2.2 inversor 22025-11-30 05:36:202025-11-30 05:36:202025-11-30 05:39:14</t>
  </si>
  <si>
    <t xml:space="preserve">Usina ou UFV</t>
  </si>
  <si>
    <t xml:space="preserve">Data</t>
  </si>
  <si>
    <t xml:space="preserve">Horário de Brasília</t>
  </si>
  <si>
    <t xml:space="preserve">Horário local</t>
  </si>
  <si>
    <t xml:space="preserve">Classificação</t>
  </si>
  <si>
    <t xml:space="preserve">Tipo</t>
  </si>
  <si>
    <t xml:space="preserve">Status</t>
  </si>
  <si>
    <t xml:space="preserve">ID Registro</t>
  </si>
  <si>
    <t xml:space="preserve">Descrição</t>
  </si>
  <si>
    <t xml:space="preserve">Ação</t>
  </si>
  <si>
    <t xml:space="preserve">Hora final</t>
  </si>
  <si>
    <t xml:space="preserve">Data final</t>
  </si>
  <si>
    <t xml:space="preserve">Clareira de Araçu</t>
  </si>
  <si>
    <t xml:space="preserve">CFTV</t>
  </si>
  <si>
    <t xml:space="preserve">Off-line</t>
  </si>
  <si>
    <t xml:space="preserve">fechado</t>
  </si>
  <si>
    <t xml:space="preserve">relé atuado por 32</t>
  </si>
  <si>
    <t xml:space="preserve">foi feito a espeçao na subestaçao e resetado o relé e rearmado o disjuntor</t>
  </si>
  <si>
    <t xml:space="preserve">Varjão 2.1</t>
  </si>
  <si>
    <t xml:space="preserve">DAU INV - Falha 2064.</t>
  </si>
  <si>
    <t xml:space="preserve">Aberto</t>
  </si>
  <si>
    <t xml:space="preserve">Após avaliação junto com o integrador Weg e fabricante huawei, o inversor deu entrada em tratativa em garantia após apresentar a falha 2064 - equipamento anormal.</t>
  </si>
  <si>
    <t xml:space="preserve">Realização dos testes: - Reset eletrônico, medições e coleta de LOGs.</t>
  </si>
  <si>
    <t xml:space="preserve">UFV Clareira de Araçu</t>
  </si>
  <si>
    <t xml:space="preserve">UFV e CFTV</t>
  </si>
  <si>
    <t xml:space="preserve">Inversores e câmeras Off-line</t>
  </si>
  <si>
    <t xml:space="preserve">Aguardando avaliação.</t>
  </si>
  <si>
    <t xml:space="preserve">Foi encaminhado para o Grupo O&amp;M / Mantenedor</t>
  </si>
  <si>
    <t xml:space="preserve">Lençóis Paulista</t>
  </si>
  <si>
    <t xml:space="preserve">14h34</t>
  </si>
  <si>
    <t xml:space="preserve">Manutenção preventiva.</t>
  </si>
  <si>
    <t xml:space="preserve">Programada</t>
  </si>
  <si>
    <t xml:space="preserve">Desligamento da UFC para limpeza e inspeção do transformador rebaixados se tensão.</t>
  </si>
  <si>
    <t xml:space="preserve">Feito limpeza, verificado reaberto dos terminais de ligação, condições das muflas, fixação dos cabos neutro e terra.</t>
  </si>
  <si>
    <t xml:space="preserve">15h37</t>
  </si>
  <si>
    <t xml:space="preserve">UFV / CFTV</t>
  </si>
  <si>
    <t xml:space="preserve">Fechado</t>
  </si>
  <si>
    <t xml:space="preserve">UFV Camarão Complexo</t>
  </si>
  <si>
    <t xml:space="preserve">Inversores Off-line</t>
  </si>
  <si>
    <t xml:space="preserve">Sobretensão na rede.</t>
  </si>
  <si>
    <t xml:space="preserve">Foi feito a inspeção dos transformadores, reiniciado o relé e rearmado o disjuntor.</t>
  </si>
  <si>
    <t xml:space="preserve">UFV Formoso Complexo</t>
  </si>
  <si>
    <t xml:space="preserve">Falha na internet e comunicação</t>
  </si>
  <si>
    <t xml:space="preserve">Foi acionado o provedor, já normalizou a rede (houve uma interrupção por causa de um cabo rompido devido a chuva mas já normalizou</t>
  </si>
  <si>
    <t xml:space="preserve">UFV FORMOSO 1.2-1.3-2.1-2.2-2.3</t>
  </si>
  <si>
    <t xml:space="preserve">INVERSORES OFF-LINE</t>
  </si>
  <si>
    <t xml:space="preserve">Queda de rede,FAHLA no relé de proteção (código da falha ,47) desiqulibrio de tensão</t>
  </si>
  <si>
    <t xml:space="preserve">Foi inspeçionado cúbiculos e feito reset no relé de proteção e rearmado dijuntor</t>
  </si>
  <si>
    <t xml:space="preserve">UFV CAIAPONIA 2.1-2.2-2.3</t>
  </si>
  <si>
    <t xml:space="preserve">INVERSORES OFF-LINE / CFTV PARCIAL</t>
  </si>
  <si>
    <t xml:space="preserve">teve uma queda de rede, concessionária atuando relé 27 ABC</t>
  </si>
  <si>
    <t xml:space="preserve">foi feito inspeção em campo e nos transformar, e resetado os relés e fechado o disjuntores</t>
  </si>
  <si>
    <t xml:space="preserve">UFV Vazante I (Complexo)</t>
  </si>
  <si>
    <t xml:space="preserve">Inversores e câmeras off-line</t>
  </si>
  <si>
    <t xml:space="preserve">Execução do comissionamento e testes nos componentes de medição e geração do complexo.</t>
  </si>
  <si>
    <t xml:space="preserve">Foram realizados os seguintes serviços: Comissionamento dos transformadores de média tensão, Inspeção e testes dos barramentos.</t>
  </si>
  <si>
    <t xml:space="preserve">Corumbá 2.2</t>
  </si>
  <si>
    <t xml:space="preserve">falha na comunicação ( internet)</t>
  </si>
  <si>
    <t xml:space="preserve">normalizou sozinha</t>
  </si>
  <si>
    <t xml:space="preserve">UFV Vazante 2.1</t>
  </si>
  <si>
    <t xml:space="preserve">UFV / Desligamento programado</t>
  </si>
  <si>
    <t xml:space="preserve">Inversores Online</t>
  </si>
  <si>
    <t xml:space="preserve">Foi realizada a adequação no QGBT para instalação de DPS.</t>
  </si>
  <si>
    <t xml:space="preserve">Inversor off-line</t>
  </si>
  <si>
    <t xml:space="preserve">Foi feito a substituição do relé e rearmado o disjuntor usina normalizads</t>
  </si>
  <si>
    <t xml:space="preserve">UFV Turvania</t>
  </si>
  <si>
    <t xml:space="preserve">Algumas câmeras Off-line .</t>
  </si>
  <si>
    <t xml:space="preserve">falha de comunicação cftv</t>
  </si>
  <si>
    <t xml:space="preserve">reiniciado o CFTV</t>
  </si>
  <si>
    <t xml:space="preserve">Rio Monte 3</t>
  </si>
  <si>
    <t xml:space="preserve">Inversores Off-line .</t>
  </si>
  <si>
    <t xml:space="preserve">Queda de tensão.</t>
  </si>
  <si>
    <t xml:space="preserve">Foi feito inspeção e fechado o religador .</t>
  </si>
  <si>
    <t xml:space="preserve">07h10</t>
  </si>
  <si>
    <t xml:space="preserve">Relé de segurança cabine de entrada acionado as falhas 59 - N e 27 - Fase B e C</t>
  </si>
  <si>
    <t xml:space="preserve">Resetado rele e rearmado disjuntor, partido a usina e acompanhando funcionando.</t>
  </si>
  <si>
    <t xml:space="preserve">7h30</t>
  </si>
  <si>
    <t xml:space="preserve">UFV Vazante 1.3</t>
  </si>
  <si>
    <t xml:space="preserve">Inversores Offline</t>
  </si>
  <si>
    <t xml:space="preserve">Encaminhado ao grupo O&amp;M para registro de atividades.</t>
  </si>
  <si>
    <t xml:space="preserve">UFV Vazante 2.2</t>
  </si>
  <si>
    <t xml:space="preserve">Solicitação encaminhada ao grupo de Operação e Manutenção (O&amp;M).</t>
  </si>
  <si>
    <t xml:space="preserve">UFV Camarão</t>
  </si>
  <si>
    <t xml:space="preserve">Câmeras On-line .</t>
  </si>
  <si>
    <t xml:space="preserve">Falha comunicação</t>
  </si>
  <si>
    <t xml:space="preserve">Foi reiniciado o sistema de CFTV e da internet e logo em seguida normalizou.</t>
  </si>
  <si>
    <t xml:space="preserve">13h10</t>
  </si>
  <si>
    <t xml:space="preserve">Inversores off-line</t>
  </si>
  <si>
    <t xml:space="preserve">UFV Caiapônia 2.3</t>
  </si>
  <si>
    <t xml:space="preserve">Inversor Off-line 215KTL</t>
  </si>
  <si>
    <t xml:space="preserve">Inversor com falha ao sincronizar</t>
  </si>
  <si>
    <t xml:space="preserve">foi feito reset no inversor</t>
  </si>
  <si>
    <t xml:space="preserve">UFV CORUMBÁ - COMPLEXO</t>
  </si>
  <si>
    <t xml:space="preserve">INVERSORES OFF-LINE - COMPLEXO</t>
  </si>
  <si>
    <t xml:space="preserve">Foi feito inspeção em todo complexo, checado os níveis de tensão, resetado relés e rearmados disjuntores.</t>
  </si>
  <si>
    <t xml:space="preserve">Formoso 1.2 e 1.3</t>
  </si>
  <si>
    <t xml:space="preserve">Desequilíbrio de rede externa da concessionária</t>
  </si>
  <si>
    <t xml:space="preserve">foi feito inspeção na UFV, resetado relé e rearmado disjuntores.</t>
  </si>
  <si>
    <t xml:space="preserve">UFV Varjão 1.1</t>
  </si>
  <si>
    <t xml:space="preserve">UFV / Desligamento Programado</t>
  </si>
  <si>
    <t xml:space="preserve">Desligamento Programado - manutenção preventiva</t>
  </si>
  <si>
    <t xml:space="preserve">Adequação do QGBT da unidade consumidora, instalação de DPS e ensaio do Tok-Pass.</t>
  </si>
  <si>
    <t xml:space="preserve">Instalação dos Dps. Instalação da chave NH.</t>
  </si>
  <si>
    <t xml:space="preserve">BC Camarão 1 a 5</t>
  </si>
  <si>
    <t xml:space="preserve">FECHADO</t>
  </si>
  <si>
    <t xml:space="preserve">12h40</t>
  </si>
  <si>
    <t xml:space="preserve">Realização de comissionamento dos transformadores de média tensão.</t>
  </si>
  <si>
    <t xml:space="preserve">Foram realizados testes funcionais nos cubículos de média tensão. UFV Vazante 2.2 e 2.3 foram normalizadas.</t>
  </si>
  <si>
    <t xml:space="preserve">16h00</t>
  </si>
  <si>
    <t xml:space="preserve">UFV Varjão 1.2</t>
  </si>
  <si>
    <t xml:space="preserve">UFV Varjão 1.3</t>
  </si>
  <si>
    <t xml:space="preserve">UFV Formoso 1.3</t>
  </si>
  <si>
    <t xml:space="preserve">Desligamento Programado</t>
  </si>
  <si>
    <t xml:space="preserve">Realização de teste operacional para verificação dos procedimentos de desligamento e religamento.</t>
  </si>
  <si>
    <t xml:space="preserve">Treinamento do mantenedor e acompanhamento das etapas do procedimento de manobra</t>
  </si>
  <si>
    <t xml:space="preserve">Formoso ( 1.2 e 1.3 )</t>
  </si>
  <si>
    <t xml:space="preserve">Inversores off-line .</t>
  </si>
  <si>
    <t xml:space="preserve">foi feito a inspeção no rele , feito reset, e estabelecendo o funcionamento da usina</t>
  </si>
  <si>
    <t xml:space="preserve">Vazante 2.2</t>
  </si>
  <si>
    <t xml:space="preserve">Durante a inspeção, foi identificada falha de comunicação entre os inversores, causada por um conversor de mídia queimado.</t>
  </si>
  <si>
    <t xml:space="preserve">07h30</t>
  </si>
  <si>
    <t xml:space="preserve">religador aberto devido tempo chuvoso.</t>
  </si>
  <si>
    <t xml:space="preserve">foi feito inspeção em campo e no transformador, e fechado religador</t>
  </si>
  <si>
    <t xml:space="preserve">UFV Varjão 2.1</t>
  </si>
  <si>
    <t xml:space="preserve">UFV Varjão 2.3</t>
  </si>
  <si>
    <t xml:space="preserve">Formoso 1.3</t>
  </si>
  <si>
    <t xml:space="preserve">Encaminhado ocorrência no Grupo O&amp;M / Mantenedor .</t>
  </si>
  <si>
    <t xml:space="preserve">UFV Varjão 2.2</t>
  </si>
  <si>
    <t xml:space="preserve">religador aberto devido desequilíbrio de rede da concessionária.</t>
  </si>
  <si>
    <t xml:space="preserve">foi feito manobras de energização, e fechado o religador.</t>
  </si>
  <si>
    <t xml:space="preserve">Durante testes de verificação de conexão, foi identificado que a fonte de alimentação do conversor de mídia encontrava-se queimada.</t>
  </si>
  <si>
    <t xml:space="preserve">Formoso 1.2</t>
  </si>
  <si>
    <t xml:space="preserve">Fechada</t>
  </si>
  <si>
    <t xml:space="preserve">desequilíbrio de rede externa ( concessionária).</t>
  </si>
  <si>
    <t xml:space="preserve">foi feita inspeção em toda a UFV, resetado relé e rearmado disjuntor.</t>
  </si>
  <si>
    <t xml:space="preserve">Araçu 5 todo complexo</t>
  </si>
  <si>
    <t xml:space="preserve">UFV: Araçu 5 CFTV: Araçu 4</t>
  </si>
  <si>
    <t xml:space="preserve">off-line .</t>
  </si>
  <si>
    <t xml:space="preserve">relé atuado por 86 na fase B</t>
  </si>
  <si>
    <t xml:space="preserve">foi feito a espeçao na subestaçao rearmado o disjuntor</t>
  </si>
  <si>
    <t xml:space="preserve">Bom sucesso ( CFTV )</t>
  </si>
  <si>
    <t xml:space="preserve">off-line</t>
  </si>
  <si>
    <t xml:space="preserve">falha na comunicação ( internet).</t>
  </si>
  <si>
    <t xml:space="preserve">resetado sistema de comunicação.</t>
  </si>
  <si>
    <t xml:space="preserve">Araguatins todo complexo</t>
  </si>
  <si>
    <t xml:space="preserve">relé atuando na função 86Q e 57A na UFV Araguatins 01 e na UFV Araguatins 02 atuou na 47A</t>
  </si>
  <si>
    <t xml:space="preserve">inspeção visual em campo resetado os relé e rearmado os disjuntores</t>
  </si>
  <si>
    <t xml:space="preserve">Paranoá</t>
  </si>
  <si>
    <t xml:space="preserve">Câmeras Off-line .</t>
  </si>
  <si>
    <t xml:space="preserve">Acionado mantenedor para fazer ronda na UFV.</t>
  </si>
  <si>
    <t xml:space="preserve">Inversor com falha de geração .</t>
  </si>
  <si>
    <t xml:space="preserve">Encaminhado ocorrência no Grupo O&amp;M / Mantenedor</t>
  </si>
  <si>
    <t xml:space="preserve">Invesores Off-line .</t>
  </si>
  <si>
    <t xml:space="preserve">Religador aberto devido o tempo chuvoso.</t>
  </si>
  <si>
    <t xml:space="preserve">Foi feito inspeção em campo e fechado o religador.</t>
  </si>
  <si>
    <t xml:space="preserve">Bom sucesso</t>
  </si>
  <si>
    <t xml:space="preserve">Invesores on-line .</t>
  </si>
  <si>
    <t xml:space="preserve">falha na comunicação</t>
  </si>
  <si>
    <t xml:space="preserve">Foi feito as inspeções nos componentes e nos inversores reiniciando o sistema e voltando a comunicação normal.</t>
  </si>
  <si>
    <t xml:space="preserve">Araguatins 1.3</t>
  </si>
  <si>
    <t xml:space="preserve">falta de energia sem nenhum alarme no relé</t>
  </si>
  <si>
    <t xml:space="preserve">inspeção visual resetado o relé e rearmado disjutor</t>
  </si>
  <si>
    <t xml:space="preserve">UFV Araçu 4</t>
  </si>
  <si>
    <t xml:space="preserve">relé atuado por 86 . e 27 na fase C</t>
  </si>
  <si>
    <t xml:space="preserve">fechando</t>
  </si>
  <si>
    <t xml:space="preserve">falha na comunicação do CFTV.</t>
  </si>
  <si>
    <t xml:space="preserve">reiniciando o sistema do CfTV. Normalizado a comunicação</t>
  </si>
  <si>
    <t xml:space="preserve">Realizada a aquisição dos elos fusíveis pela equipe técnica e procedeu-se com a substituição.</t>
  </si>
  <si>
    <t xml:space="preserve">UFV Formoso 1.2 e 2.1</t>
  </si>
  <si>
    <t xml:space="preserve">Aguardando avaliação</t>
  </si>
  <si>
    <t xml:space="preserve">CFTV PARANOÁ</t>
  </si>
  <si>
    <t xml:space="preserve">NA PLATAFORMA MONUV CAMERAS 2-3-5 off</t>
  </si>
  <si>
    <t xml:space="preserve">ABERTO</t>
  </si>
  <si>
    <t xml:space="preserve">AGUARDANDO AVALIAÇÃO</t>
  </si>
  <si>
    <t xml:space="preserve">Encaminhado para GRUPO O&amp;M E MANTENEDOR</t>
  </si>
  <si>
    <t xml:space="preserve">CFTV BOM SUCESSO-PARCIAL</t>
  </si>
  <si>
    <t xml:space="preserve">CFTV PARCIALMENTE OFF-LINE</t>
  </si>
  <si>
    <t xml:space="preserve">UFV RIO BONITO 1</t>
  </si>
  <si>
    <t xml:space="preserve">Foi feito inspeção em campo e fechado o religador/rearmado disjuntores</t>
  </si>
  <si>
    <t xml:space="preserve">UFV RIO BONITO 2</t>
  </si>
  <si>
    <t xml:space="preserve">FALHA NA COMUNICAÇÃO</t>
  </si>
  <si>
    <t xml:space="preserve">REINICIADO DATA LOGGER</t>
  </si>
  <si>
    <t xml:space="preserve">UFV RIO Monte 03</t>
  </si>
  <si>
    <t xml:space="preserve">queda de rede concessionária</t>
  </si>
  <si>
    <t xml:space="preserve">foi feito manobras para Energisa usina e fechado o religador</t>
  </si>
  <si>
    <t xml:space="preserve">10h41</t>
  </si>
  <si>
    <t xml:space="preserve">Aberta</t>
  </si>
  <si>
    <t xml:space="preserve">Foi identificado que um dos inversores (ES2170028664) entrou em estado de falha.</t>
  </si>
  <si>
    <t xml:space="preserve">Iniciados os procedimentos técnicos de garantia junto à fabricante HDT Energy.</t>
  </si>
  <si>
    <t xml:space="preserve">Araçu 5</t>
  </si>
  <si>
    <t xml:space="preserve">OFF-LINE</t>
  </si>
  <si>
    <t xml:space="preserve">camarão CFTV</t>
  </si>
  <si>
    <t xml:space="preserve">falha na comunicação do CFTV</t>
  </si>
  <si>
    <t xml:space="preserve">foi resetado o sistema do CFTV</t>
  </si>
  <si>
    <t xml:space="preserve">Câmeras Off-line</t>
  </si>
  <si>
    <t xml:space="preserve">devido ao tempo chuvoso as baterias não receberam carga o suficiente</t>
  </si>
  <si>
    <t xml:space="preserve">AUTO-RESTAR</t>
  </si>
  <si>
    <t xml:space="preserve">Rio Monte 03</t>
  </si>
  <si>
    <t xml:space="preserve">desequilíbrio de rede.</t>
  </si>
  <si>
    <t xml:space="preserve">foi feito manobras para Energisa usina, foi fechado o religador</t>
  </si>
  <si>
    <t xml:space="preserve">UFV Varjao 2.1</t>
  </si>
  <si>
    <t xml:space="preserve">Realizar o comissionamento dos transformadores de média tensão.</t>
  </si>
  <si>
    <t xml:space="preserve">Acompanhar e registrar as atividades.</t>
  </si>
  <si>
    <t xml:space="preserve">UFV Varjao 1.1</t>
  </si>
  <si>
    <t xml:space="preserve">Araguatins 2.2</t>
  </si>
  <si>
    <t xml:space="preserve">Inversor off-line .</t>
  </si>
  <si>
    <t xml:space="preserve">Aguardando avaliação .</t>
  </si>
  <si>
    <t xml:space="preserve">Encaminhado para Grupo O&amp;M / Mantenedor .</t>
  </si>
  <si>
    <t xml:space="preserve">UFV Varjao 1.2</t>
  </si>
  <si>
    <t xml:space="preserve">UFV Barra do Garças Complexo</t>
  </si>
  <si>
    <t xml:space="preserve">Inversores e Câmeras off-line .</t>
  </si>
  <si>
    <t xml:space="preserve">foi feito manobras para Energisa usina, e foi fechado o religador.</t>
  </si>
  <si>
    <t xml:space="preserve">Falha na rede. Chamado já aberto na concessionária: 462071852</t>
  </si>
  <si>
    <t xml:space="preserve">Encaminhado para grupo O&amp;M / Mantenedor.</t>
  </si>
  <si>
    <t xml:space="preserve">UFV Varjao 1.3</t>
  </si>
  <si>
    <t xml:space="preserve">UFV CORUMBÁ DE GOIAS - CFTV</t>
  </si>
  <si>
    <t xml:space="preserve">INVERSORES OFF-LINE / CFTV OFF-LINE</t>
  </si>
  <si>
    <t xml:space="preserve">Foi feito inspeção em todo complexo, checado os níveis de tensão, resetado relé e rearmado disjuntores</t>
  </si>
  <si>
    <t xml:space="preserve">UFV Varjao 2.3</t>
  </si>
  <si>
    <t xml:space="preserve">aberto</t>
  </si>
  <si>
    <t xml:space="preserve">Aguardando Avaliação</t>
  </si>
  <si>
    <t xml:space="preserve">Encaminhado para grupo O&amp;M</t>
  </si>
  <si>
    <t xml:space="preserve">UFV Varjao 2.2</t>
  </si>
  <si>
    <t xml:space="preserve">Tracker em posição de segurança - Alarme de rajada de vento na RSU</t>
  </si>
  <si>
    <t xml:space="preserve">Usina gerando, porém trackers em posição de segurança, por conta de alarme de rajada de vento na RSU.</t>
  </si>
  <si>
    <t xml:space="preserve">Acompanhado movimentação dos Trackers depois do alarme de rajadas de vento.</t>
  </si>
  <si>
    <t xml:space="preserve">UFV Rio Monte 03</t>
  </si>
  <si>
    <t xml:space="preserve">Realizar o comissionamento dos cabos de média tensão e testes nos barramentos.</t>
  </si>
  <si>
    <t xml:space="preserve">Testes e Megagem dos cabos de média tensão,muflas e componentes.</t>
  </si>
  <si>
    <t xml:space="preserve">Varjão 2 - CFTV</t>
  </si>
  <si>
    <t xml:space="preserve">Varjão 2 todo complexo</t>
  </si>
  <si>
    <t xml:space="preserve">inversores e cftv offline por causa de uma queda do provedor de internet.</t>
  </si>
  <si>
    <t xml:space="preserve">Contatar provedor de internet.</t>
  </si>
  <si>
    <t xml:space="preserve">Caiapônia ( Complexo )</t>
  </si>
  <si>
    <t xml:space="preserve">Queda de rede da concessionária atuando relés 27ABC e 59ABC</t>
  </si>
  <si>
    <t xml:space="preserve">foi feito inspeção em campo e reset nos relés, e foi fechado o disjuntor</t>
  </si>
  <si>
    <t xml:space="preserve">Rio Monte ( Complexo )</t>
  </si>
  <si>
    <t xml:space="preserve">foi feito inspeção em campo e fechado religador</t>
  </si>
  <si>
    <t xml:space="preserve">Panamá 1.1</t>
  </si>
  <si>
    <t xml:space="preserve">instabilidade de comunicação da internet local.</t>
  </si>
  <si>
    <t xml:space="preserve">foi feito inspeção local, reset da internet e normalizado a comunicação.</t>
  </si>
  <si>
    <t xml:space="preserve">UFV Rio Monte 01 e 02</t>
  </si>
  <si>
    <t xml:space="preserve">Paranoá - CFTV</t>
  </si>
  <si>
    <t xml:space="preserve">UFV Barra do Garças</t>
  </si>
  <si>
    <t xml:space="preserve">Varjão 1 todo complexo</t>
  </si>
  <si>
    <t xml:space="preserve">Problema no inversor off grid que alimenta a sala de controle.</t>
  </si>
  <si>
    <t xml:space="preserve">mudar ligações das tomadas para a quadro da rede da concessionária.</t>
  </si>
  <si>
    <t xml:space="preserve">UFV ARAGUATINS 1.1...</t>
  </si>
  <si>
    <t xml:space="preserve">INVERSORES OFF-LINE-CFTV OFF-LINE</t>
  </si>
  <si>
    <t xml:space="preserve">Relé atuando na função 27 e 47</t>
  </si>
  <si>
    <t xml:space="preserve">inspecionado todo complexo e resetado os relé e rearmado os disjuntores</t>
  </si>
  <si>
    <t xml:space="preserve">UFV FORMOSO 2.2</t>
  </si>
  <si>
    <t xml:space="preserve">Relé de proteção atuando na função 86</t>
  </si>
  <si>
    <t xml:space="preserve">Foi feita a inspeção em toda a UFV , foi resetado o relé e rearmado o disjuntor</t>
  </si>
  <si>
    <t xml:space="preserve">UFV ARAGUATINS COMPLEXO</t>
  </si>
  <si>
    <t xml:space="preserve">INVERSORES OFF-LINE/CFTV OFF-LINE</t>
  </si>
  <si>
    <t xml:space="preserve">Falta de energia na UFV Araguatins 01 e 02 relé atuando na função 27 AC, 50N, 51N e 86Q</t>
  </si>
  <si>
    <t xml:space="preserve">Inspeção visual em todo complexo resetado relé e rearmado disjutor</t>
  </si>
  <si>
    <t xml:space="preserve">UFV Turvania COMPLEXO</t>
  </si>
  <si>
    <t xml:space="preserve">Realizado o reset da internet. Após procedimento voltou a comunicar CFTV e UFV.</t>
  </si>
  <si>
    <t xml:space="preserve">UFV Caiapônia 01 e 02</t>
  </si>
  <si>
    <t xml:space="preserve">queda de rede concessionária atuando relé 27 ABC</t>
  </si>
  <si>
    <t xml:space="preserve">foi feito inspeção em campo, transformador e cubículos, foi fechado o disjuntor</t>
  </si>
  <si>
    <t xml:space="preserve">foi feito inspeção em campo, foi fechado o religador</t>
  </si>
  <si>
    <t xml:space="preserve">UFV Araçu 5 COMPLEXO</t>
  </si>
  <si>
    <t xml:space="preserve">relé atuado por 81.86</t>
  </si>
  <si>
    <t xml:space="preserve">relé atuando na função 47</t>
  </si>
  <si>
    <t xml:space="preserve">UFV Paranoá</t>
  </si>
  <si>
    <t xml:space="preserve">Desligamento de todos os ativos para, posteriormente, normalizar a UFV VII.</t>
  </si>
  <si>
    <t xml:space="preserve">UFV Formoso 2 COMPLEXO</t>
  </si>
  <si>
    <t xml:space="preserve">Queda na rede da concessionária</t>
  </si>
  <si>
    <t xml:space="preserve">Feita a inspeção em campo e fechamento dos disjuntores</t>
  </si>
  <si>
    <t xml:space="preserve">UFV Formoso 2, COMPLEXO</t>
  </si>
  <si>
    <t xml:space="preserve">Queda na rede da concessionária.</t>
  </si>
  <si>
    <t xml:space="preserve">Foi feita a inspeção e o fechamento dos disjuntores</t>
  </si>
  <si>
    <t xml:space="preserve">UFV Araguatins ( Complexo )</t>
  </si>
  <si>
    <t xml:space="preserve">foi resetado roteador da internet</t>
  </si>
  <si>
    <t xml:space="preserve">inversor Off-line</t>
  </si>
  <si>
    <t xml:space="preserve">relé atuando na função 50N e 86Q</t>
  </si>
  <si>
    <t xml:space="preserve">reset no relé e rearmado disjutor</t>
  </si>
  <si>
    <t xml:space="preserve">Encaminhado para o Grupo O&amp;M / Mantenedor .</t>
  </si>
  <si>
    <t xml:space="preserve">UFV Caiapônia 1</t>
  </si>
  <si>
    <t xml:space="preserve">foi feito inspeção no transformador e resetado o relé, foi fechado o disjuntor</t>
  </si>
  <si>
    <t xml:space="preserve">UFV Vazante ( Complexo )</t>
  </si>
  <si>
    <t xml:space="preserve">Durante inspeção realizada em campo juntamente com a equipe técnica da CEMIG, foi identificado que uma descarga atmosférica atingiu o alimentador da rede elétrica.</t>
  </si>
  <si>
    <t xml:space="preserve">Para restabelecimento emergencial do fornecimento, foi executada a construção de uma rede aérea provisória.</t>
  </si>
  <si>
    <t xml:space="preserve">UFV Araguatins 1.3</t>
  </si>
  <si>
    <t xml:space="preserve">Inversores OFF-LINE</t>
  </si>
  <si>
    <t xml:space="preserve">falta de comunicação</t>
  </si>
  <si>
    <t xml:space="preserve">foi reiniciado sistema de comunicação</t>
  </si>
  <si>
    <t xml:space="preserve">foi feito reset no relé, e fechado o disjuntor</t>
  </si>
  <si>
    <t xml:space="preserve">UFV FORMOSO1.2-1.3-2.2</t>
  </si>
  <si>
    <t xml:space="preserve">Feita a inspeção em campo e fechamento do disjuntor</t>
  </si>
  <si>
    <t xml:space="preserve">Turvania 1.1</t>
  </si>
  <si>
    <t xml:space="preserve">resetado relé, e rearmado disjuntor</t>
  </si>
  <si>
    <t xml:space="preserve">UFV CORUMBÁ I e II</t>
  </si>
  <si>
    <t xml:space="preserve">durante a verificação foi constatado que estava faltando uma fase na rede da concessionária.</t>
  </si>
  <si>
    <t xml:space="preserve">após a concessionária normalizar o fornecimento de energia, foi feito inspeção em todo complexo.</t>
  </si>
  <si>
    <t xml:space="preserve">Encaminhado para GRUPO O&amp;M/ Júlio Cesar</t>
  </si>
  <si>
    <t xml:space="preserve">Camarão 1.1</t>
  </si>
  <si>
    <t xml:space="preserve">Falha de comunicação entre o sistema de geração com a plataforma de monitoramento.</t>
  </si>
  <si>
    <t xml:space="preserve">Realizado o reset no roteador local, restabelecendo a comunicação da usina com sucesso.</t>
  </si>
  <si>
    <t xml:space="preserve">Camarão 1.3</t>
  </si>
  <si>
    <t xml:space="preserve">Falha de comunicação entre o sistema e a plataforma de monitoramento.</t>
  </si>
  <si>
    <t xml:space="preserve">Realizado reset no roteador, o que restabeleceu a comunicação da usina.</t>
  </si>
  <si>
    <t xml:space="preserve">BOM SUCESSO - CFTV / UFV</t>
  </si>
  <si>
    <t xml:space="preserve">CFTV /UFV</t>
  </si>
  <si>
    <t xml:space="preserve">SOMENTE COM DUAS CAMERAS ATIVAS NO MOMENTO/ INVERSORES OFF-LINE</t>
  </si>
  <si>
    <t xml:space="preserve">falha de comunicação.</t>
  </si>
  <si>
    <t xml:space="preserve">ARAÇU 1</t>
  </si>
  <si>
    <t xml:space="preserve">UFV Araguatins 01</t>
  </si>
  <si>
    <t xml:space="preserve">Relé atuando na função 50N e 86Q</t>
  </si>
  <si>
    <t xml:space="preserve">inspeção reset no relé e rearmado disjutor</t>
  </si>
  <si>
    <t xml:space="preserve">Rio Bonito 1</t>
  </si>
  <si>
    <t xml:space="preserve">Foi feito inspeção na subestação e fechado o religador .</t>
  </si>
  <si>
    <t xml:space="preserve">UFV Araguatins 01 UFV 03</t>
  </si>
  <si>
    <t xml:space="preserve">sem nenhum alarme no relé AGUARDANDO AVALIAÇÃO</t>
  </si>
  <si>
    <t xml:space="preserve">inspeção visual fechado disjuntor</t>
  </si>
  <si>
    <t xml:space="preserve">UFV Aracu 4</t>
  </si>
  <si>
    <t xml:space="preserve">UFV Formoso 2.1</t>
  </si>
  <si>
    <t xml:space="preserve">Manutenção - TP</t>
  </si>
  <si>
    <t xml:space="preserve">#########</t>
  </si>
  <si>
    <t xml:space="preserve">adequação de TP</t>
  </si>
  <si>
    <t xml:space="preserve">Foi feita a adequação de um TP auxiliar</t>
  </si>
  <si>
    <t xml:space="preserve">queda de internet</t>
  </si>
  <si>
    <t xml:space="preserve">foi feito a espeçao no CFTV e Foi desligado e religado novamente o roteador de internet</t>
  </si>
  <si>
    <t xml:space="preserve">Foi feito a espeçao no CFTV e foi desligado e religado o roteador novamente</t>
  </si>
  <si>
    <t xml:space="preserve">UFV Estrela de Aracu</t>
  </si>
  <si>
    <t xml:space="preserve">foi feito a espeçao no CFTV e foi desligado e religado o roteador novamente</t>
  </si>
  <si>
    <t xml:space="preserve">UFV BC CAMARÃO 1.1</t>
  </si>
  <si>
    <t xml:space="preserve">A usina apresentou desligamento dos inversores devido à atuação do relé de proteção com o código 59ABC.</t>
  </si>
  <si>
    <t xml:space="preserve">Foi realizada inspeção nos componentes do sistema de geração e procedeu-se com o reset do relé de proteção.</t>
  </si>
  <si>
    <t xml:space="preserve">Formoso 2 complexo</t>
  </si>
  <si>
    <t xml:space="preserve">Foi feita a inspeção no local e rearmado os disjuntores</t>
  </si>
  <si>
    <t xml:space="preserve">UFV Camarão (Complexo)</t>
  </si>
  <si>
    <t xml:space="preserve">A usina apresentou falha de operação devido à interrupção no fornecimento de energia, causada por rompimento de cabo na rede.</t>
  </si>
  <si>
    <t xml:space="preserve">Foi realizada a emenda do cabo danificado e, em seguida, efetuado o reset do relé de proteção.</t>
  </si>
  <si>
    <t xml:space="preserve">Formoso 2 ( complexo )</t>
  </si>
  <si>
    <t xml:space="preserve">Relé atuando na função ABC</t>
  </si>
  <si>
    <t xml:space="preserve">Feita a inspeção no local e rearmado os disjuntores</t>
  </si>
  <si>
    <t xml:space="preserve">UFV Formoso 1.1</t>
  </si>
  <si>
    <t xml:space="preserve">Manutenção - QGBT</t>
  </si>
  <si>
    <t xml:space="preserve">Manutenção no QGBT , resolução de pendências pós entrega de obra</t>
  </si>
  <si>
    <t xml:space="preserve">Foi feita manutenção nas canaletas do QGBT</t>
  </si>
  <si>
    <t xml:space="preserve">sem alarme no relé AGUARDANDO AVALIAÇÃO</t>
  </si>
  <si>
    <t xml:space="preserve">inspeção visual e rearmado disjutor</t>
  </si>
  <si>
    <t xml:space="preserve">UFV Formoso 2.2</t>
  </si>
  <si>
    <t xml:space="preserve">Corumbá 1.1</t>
  </si>
  <si>
    <t xml:space="preserve">manutenção</t>
  </si>
  <si>
    <t xml:space="preserve">devido ter que abrir o disjuntor geral para equipe da Power sys fazer a manutenção corretiva nos cubículos.</t>
  </si>
  <si>
    <t xml:space="preserve">Após ser feito inspeção e manutenção nos cubículos, UFV foi energizada.</t>
  </si>
  <si>
    <t xml:space="preserve">UFV Araguatins 1.1 .1.2 1.3 2.1 2.2</t>
  </si>
  <si>
    <t xml:space="preserve">relé atuando na 50N 86Q 51abc</t>
  </si>
  <si>
    <t xml:space="preserve">inspeção reset nos relés e rearmado disjutor</t>
  </si>
  <si>
    <t xml:space="preserve">UFV BC PARANOÁ</t>
  </si>
  <si>
    <t xml:space="preserve">CAMERAS FUNCIONANDO PARCIALMENTE</t>
  </si>
  <si>
    <t xml:space="preserve">UFV ARAGUATINS 1.3</t>
  </si>
  <si>
    <t xml:space="preserve">sem alarme no relé</t>
  </si>
  <si>
    <t xml:space="preserve">inspecionado todo o cubículo reset no relé e rearmado disjutor</t>
  </si>
  <si>
    <t xml:space="preserve">UFV CAMARÃO 1.1</t>
  </si>
  <si>
    <t xml:space="preserve">A usina apresentou desligamento dos inversores devido à atuação do relé que não apresentou nem um cód de segurança.</t>
  </si>
  <si>
    <t xml:space="preserve">procedeu-se com o religamento do disjuntor . Após a ação, a usina retornou à operação normal.</t>
  </si>
  <si>
    <t xml:space="preserve">UFV BOM SUCESSO</t>
  </si>
  <si>
    <t xml:space="preserve">CAMERAS OFF-LINE (PARCIAL)</t>
  </si>
  <si>
    <t xml:space="preserve">falha na comunicação do sistema do CFTV.</t>
  </si>
  <si>
    <t xml:space="preserve">O sistema o CFTV voltou por si só</t>
  </si>
  <si>
    <t xml:space="preserve">Ibiúna 1.2</t>
  </si>
  <si>
    <t xml:space="preserve">Araguatins 2.1</t>
  </si>
  <si>
    <t xml:space="preserve">Ibiúna 1.1</t>
  </si>
  <si>
    <t xml:space="preserve">Caiapônia 1.1</t>
  </si>
  <si>
    <t xml:space="preserve">foi feito inspeção em campo, e feito reset nos relés e fechado o disjuntor</t>
  </si>
  <si>
    <t xml:space="preserve">falta de energia na UFV sem nenhum alarme no relé</t>
  </si>
  <si>
    <t xml:space="preserve">inspeção e rearmado disjutor</t>
  </si>
  <si>
    <t xml:space="preserve">ESTADO OPERATIVO</t>
  </si>
  <si>
    <t xml:space="preserve">CONDIÇÃO OPERATIVA</t>
  </si>
  <si>
    <t xml:space="preserve">ORIGEM</t>
  </si>
  <si>
    <t xml:space="preserve">Definição - Origem</t>
  </si>
  <si>
    <t xml:space="preserve">Causa Padrão</t>
  </si>
  <si>
    <t xml:space="preserve">NOR</t>
  </si>
  <si>
    <t xml:space="preserve">Anomalia no arranjo FV</t>
  </si>
  <si>
    <t xml:space="preserve">RPR</t>
  </si>
  <si>
    <t xml:space="preserve">Anomalia OP. Sistema</t>
  </si>
  <si>
    <t xml:space="preserve">DUR</t>
  </si>
  <si>
    <t xml:space="preserve">B. Res. Isolamento</t>
  </si>
  <si>
    <t xml:space="preserve">OEM</t>
  </si>
  <si>
    <t xml:space="preserve">DMT</t>
  </si>
  <si>
    <t xml:space="preserve">Disjuntor MT</t>
  </si>
  <si>
    <t xml:space="preserve">COD</t>
  </si>
  <si>
    <t xml:space="preserve">ESO</t>
  </si>
  <si>
    <t xml:space="preserve">Estação Solarimétrica</t>
  </si>
  <si>
    <t xml:space="preserve">Não Aplicável</t>
  </si>
  <si>
    <t xml:space="preserve">Relé de proteção</t>
  </si>
  <si>
    <t xml:space="preserve">EPC</t>
  </si>
  <si>
    <t xml:space="preserve">Falha SPDA</t>
  </si>
  <si>
    <t xml:space="preserve">CBP</t>
  </si>
  <si>
    <t xml:space="preserve">Cabine Primária</t>
  </si>
  <si>
    <t xml:space="preserve">Falha String</t>
  </si>
  <si>
    <t xml:space="preserve">STR</t>
  </si>
  <si>
    <t xml:space="preserve">String</t>
  </si>
  <si>
    <t xml:space="preserve">TRK</t>
  </si>
  <si>
    <t xml:space="preserve">Tracker</t>
  </si>
  <si>
    <t xml:space="preserve">Limitação</t>
  </si>
  <si>
    <t xml:space="preserve">Urgência</t>
  </si>
  <si>
    <t xml:space="preserve">UC BC</t>
  </si>
  <si>
    <t xml:space="preserve">UC Brasol</t>
  </si>
  <si>
    <t xml:space="preserve">Araçu V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</si>
</sst>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%"/>
    <numFmt numFmtId="166" formatCode="General"/>
    <numFmt numFmtId="167" formatCode="yyyy\-mm\-dd\ hh:mm:ss"/>
    <numFmt numFmtId="168" formatCode="[h]:mm:ss;@"/>
    <numFmt numFmtId="169" formatCode="m/d/yyyy\ h:mm"/>
    <numFmt numFmtId="170" formatCode="0.00"/>
    <numFmt numFmtId="171" formatCode="[$-F400]h:mm:ss\ AM/PM"/>
    <numFmt numFmtId="172" formatCode="m/d/yyyy"/>
    <numFmt numFmtId="173" formatCode="h:mm"/>
    <numFmt numFmtId="174" formatCode="d\-m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1"/>
      <color rgb="FFFFC00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C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8"/>
      <color theme="1"/>
      <name val="Verdana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203864"/>
      </patternFill>
    </fill>
    <fill>
      <patternFill patternType="solid">
        <fgColor rgb="FFE2EFDA"/>
        <bgColor rgb="FFE2F0D9"/>
      </patternFill>
    </fill>
    <fill>
      <patternFill patternType="solid">
        <fgColor theme="8" tint="-0.5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theme="2"/>
        <bgColor rgb="FFE2EFDA"/>
      </patternFill>
    </fill>
    <fill>
      <patternFill patternType="solid">
        <fgColor theme="6" tint="0.5999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C6E0B4"/>
        <bgColor rgb="FFCCCCCC"/>
      </patternFill>
    </fill>
    <fill>
      <patternFill patternType="solid">
        <fgColor theme="9" tint="0.7999"/>
        <bgColor rgb="FFE2EFDA"/>
      </patternFill>
    </fill>
    <fill>
      <patternFill patternType="solid">
        <fgColor rgb="FFB7B7B7"/>
        <bgColor rgb="FFCC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7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12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12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12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12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12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12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7">
    <dxf>
      <fill>
        <patternFill patternType="solid">
          <fgColor rgb="FF203864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2EFDA"/>
      <rgbColor rgb="FFDBDBDB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2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C2" activeCellId="0" sqref="C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18.42"/>
    <col collapsed="false" customWidth="true" hidden="false" outlineLevel="0" max="3" min="3" style="1" width="22.86"/>
    <col collapsed="false" customWidth="true" hidden="false" outlineLevel="0" max="4" min="4" style="1" width="41.57"/>
    <col collapsed="false" customWidth="true" hidden="false" outlineLevel="0" max="5" min="5" style="1" width="32.57"/>
    <col collapsed="false" customWidth="true" hidden="false" outlineLevel="0" max="6" min="6" style="1" width="24.14"/>
    <col collapsed="false" customWidth="true" hidden="false" outlineLevel="0" max="7" min="7" style="1" width="18.86"/>
    <col collapsed="false" customWidth="true" hidden="false" outlineLevel="0" max="8" min="8" style="1" width="9.14"/>
    <col collapsed="false" customWidth="true" hidden="false" outlineLevel="0" max="9" min="9" style="1" width="14.14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4" t="n">
        <v>12</v>
      </c>
      <c r="B2" s="4" t="n">
        <v>10031214850</v>
      </c>
      <c r="C2" s="4" t="s">
        <v>9</v>
      </c>
      <c r="D2" s="4" t="s">
        <v>10</v>
      </c>
      <c r="E2" s="5" t="s">
        <v>11</v>
      </c>
      <c r="F2" s="4"/>
      <c r="G2" s="4" t="n">
        <f aca="false">(18301.5+18559+18704.1+18474.3+17544.2+16254.4+18781.5)/1000</f>
        <v>126.619</v>
      </c>
      <c r="H2" s="6" t="n">
        <v>135.1</v>
      </c>
      <c r="I2" s="7" t="n">
        <f aca="false">IF(G2&lt;&gt;0,G2/H2,F2/H2)</f>
        <v>0.937224278312361</v>
      </c>
    </row>
    <row r="3" customFormat="false" ht="15" hidden="false" customHeight="false" outlineLevel="0" collapsed="false">
      <c r="A3" s="4" t="n">
        <v>12</v>
      </c>
      <c r="B3" s="4" t="n">
        <v>10031394475</v>
      </c>
      <c r="C3" s="4" t="s">
        <v>12</v>
      </c>
      <c r="D3" s="4" t="s">
        <v>13</v>
      </c>
      <c r="E3" s="5" t="s">
        <v>14</v>
      </c>
      <c r="F3" s="4" t="n">
        <v>42.58</v>
      </c>
      <c r="G3" s="4"/>
      <c r="H3" s="6" t="n">
        <v>36.62</v>
      </c>
      <c r="I3" s="7" t="n">
        <f aca="false">IF(G3&lt;&gt;0,G3/H3,F3/H3)</f>
        <v>1.16275259421081</v>
      </c>
    </row>
    <row r="4" customFormat="false" ht="15" hidden="false" customHeight="false" outlineLevel="0" collapsed="false">
      <c r="A4" s="4" t="n">
        <v>12</v>
      </c>
      <c r="B4" s="4" t="n">
        <v>10031394572</v>
      </c>
      <c r="C4" s="4" t="s">
        <v>15</v>
      </c>
      <c r="D4" s="4" t="s">
        <v>16</v>
      </c>
      <c r="E4" s="5" t="s">
        <v>14</v>
      </c>
      <c r="F4" s="4" t="n">
        <v>38.21</v>
      </c>
      <c r="G4" s="4"/>
      <c r="H4" s="6" t="n">
        <v>43.16</v>
      </c>
      <c r="I4" s="7" t="n">
        <f aca="false">IF(G4&lt;&gt;0,G4/H4,F4/H4)</f>
        <v>0.88531047265987</v>
      </c>
    </row>
    <row r="5" s="8" customFormat="true" ht="15" hidden="false" customHeight="false" outlineLevel="0" collapsed="false">
      <c r="A5" s="4" t="n">
        <v>12</v>
      </c>
      <c r="B5" s="4" t="n">
        <v>10031394211</v>
      </c>
      <c r="C5" s="4" t="s">
        <v>17</v>
      </c>
      <c r="D5" s="4" t="s">
        <v>18</v>
      </c>
      <c r="E5" s="5" t="s">
        <v>14</v>
      </c>
      <c r="F5" s="4" t="n">
        <v>52.18</v>
      </c>
      <c r="G5" s="4"/>
      <c r="H5" s="6" t="n">
        <v>78.33</v>
      </c>
      <c r="I5" s="7" t="n">
        <f aca="false">IF(G5&lt;&gt;0,G5/H5,F5/H5)</f>
        <v>0.66615600663858</v>
      </c>
    </row>
    <row r="6" customFormat="false" ht="15" hidden="false" customHeight="false" outlineLevel="0" collapsed="false">
      <c r="A6" s="4" t="n">
        <v>12</v>
      </c>
      <c r="B6" s="4" t="n">
        <v>10031394599</v>
      </c>
      <c r="C6" s="4" t="s">
        <v>19</v>
      </c>
      <c r="D6" s="4" t="s">
        <v>20</v>
      </c>
      <c r="E6" s="5" t="s">
        <v>14</v>
      </c>
      <c r="F6" s="4" t="n">
        <v>77.08</v>
      </c>
      <c r="G6" s="4"/>
      <c r="H6" s="6" t="n">
        <v>87.5</v>
      </c>
      <c r="I6" s="7" t="n">
        <f aca="false">IF(G6&lt;&gt;0,G6/H6,F6/H6)</f>
        <v>0.880914285714286</v>
      </c>
    </row>
    <row r="7" customFormat="false" ht="15" hidden="false" customHeight="false" outlineLevel="0" collapsed="false">
      <c r="A7" s="4" t="n">
        <v>12</v>
      </c>
      <c r="B7" s="4" t="n">
        <v>10035044444</v>
      </c>
      <c r="C7" s="4" t="s">
        <v>21</v>
      </c>
      <c r="D7" s="4" t="s">
        <v>22</v>
      </c>
      <c r="E7" s="5" t="s">
        <v>23</v>
      </c>
      <c r="F7" s="4" t="n">
        <v>19.14</v>
      </c>
      <c r="G7" s="4"/>
      <c r="H7" s="6" t="n">
        <v>20.47</v>
      </c>
      <c r="I7" s="7" t="n">
        <f aca="false">IF(G7&lt;&gt;0,G7/H7,F7/H7)</f>
        <v>0.935026868588178</v>
      </c>
    </row>
    <row r="8" customFormat="false" ht="15" hidden="false" customHeight="false" outlineLevel="0" collapsed="false">
      <c r="A8" s="4" t="n">
        <v>12</v>
      </c>
      <c r="B8" s="4" t="n">
        <v>10035044363</v>
      </c>
      <c r="C8" s="4" t="s">
        <v>24</v>
      </c>
      <c r="D8" s="4" t="s">
        <v>25</v>
      </c>
      <c r="E8" s="5" t="s">
        <v>23</v>
      </c>
      <c r="F8" s="4" t="n">
        <v>18.75</v>
      </c>
      <c r="G8" s="4"/>
      <c r="H8" s="6" t="n">
        <v>20.35</v>
      </c>
      <c r="I8" s="7" t="n">
        <f aca="false">IF(G8&lt;&gt;0,G8/H8,F8/H8)</f>
        <v>0.921375921375921</v>
      </c>
    </row>
    <row r="9" customFormat="false" ht="15" hidden="false" customHeight="false" outlineLevel="0" collapsed="false">
      <c r="A9" s="4" t="n">
        <v>12</v>
      </c>
      <c r="B9" s="4" t="n">
        <v>10035302079</v>
      </c>
      <c r="C9" s="4" t="s">
        <v>26</v>
      </c>
      <c r="D9" s="4" t="s">
        <v>27</v>
      </c>
      <c r="E9" s="5" t="s">
        <v>28</v>
      </c>
      <c r="F9" s="4" t="n">
        <v>45.71</v>
      </c>
      <c r="G9" s="4"/>
      <c r="H9" s="6" t="n">
        <v>53.49</v>
      </c>
      <c r="I9" s="7" t="n">
        <f aca="false">IF(G9&lt;&gt;0,G9/H9,F9/H9)</f>
        <v>0.854552252757525</v>
      </c>
    </row>
    <row r="10" customFormat="false" ht="15" hidden="false" customHeight="false" outlineLevel="0" collapsed="false">
      <c r="A10" s="4" t="n">
        <v>12</v>
      </c>
      <c r="B10" s="4" t="s">
        <v>29</v>
      </c>
      <c r="C10" s="4" t="s">
        <v>30</v>
      </c>
      <c r="D10" s="4" t="s">
        <v>31</v>
      </c>
      <c r="E10" s="5" t="s">
        <v>32</v>
      </c>
      <c r="F10" s="4" t="n">
        <v>12.03</v>
      </c>
      <c r="G10" s="4"/>
      <c r="H10" s="6" t="n">
        <v>11.94</v>
      </c>
      <c r="I10" s="7" t="n">
        <f aca="false">IF(G10&lt;&gt;0,G10/H10,F10/H10)</f>
        <v>1.00753768844221</v>
      </c>
    </row>
    <row r="11" customFormat="false" ht="15" hidden="false" customHeight="false" outlineLevel="0" collapsed="false">
      <c r="A11" s="4" t="n">
        <v>12</v>
      </c>
      <c r="B11" s="4" t="s">
        <v>33</v>
      </c>
      <c r="C11" s="4" t="s">
        <v>34</v>
      </c>
      <c r="D11" s="4" t="s">
        <v>35</v>
      </c>
      <c r="E11" s="5" t="s">
        <v>32</v>
      </c>
      <c r="F11" s="4" t="n">
        <v>45.57</v>
      </c>
      <c r="G11" s="4"/>
      <c r="H11" s="6" t="n">
        <v>45.27</v>
      </c>
      <c r="I11" s="7" t="n">
        <f aca="false">IF(G11&lt;&gt;0,G11/H11,F11/H11)</f>
        <v>1.00662690523526</v>
      </c>
    </row>
    <row r="12" customFormat="false" ht="15" hidden="false" customHeight="false" outlineLevel="0" collapsed="false">
      <c r="A12" s="4" t="n">
        <v>12</v>
      </c>
      <c r="B12" s="4" t="s">
        <v>36</v>
      </c>
      <c r="C12" s="4" t="s">
        <v>37</v>
      </c>
      <c r="D12" s="4" t="s">
        <v>38</v>
      </c>
      <c r="E12" s="5" t="s">
        <v>32</v>
      </c>
      <c r="F12" s="4" t="n">
        <v>45.36</v>
      </c>
      <c r="G12" s="4"/>
      <c r="H12" s="6" t="n">
        <v>46.02</v>
      </c>
      <c r="I12" s="7" t="n">
        <f aca="false">IF(G12&lt;&gt;0,G12/H12,F12/H12)</f>
        <v>0.985658409387223</v>
      </c>
    </row>
    <row r="13" customFormat="false" ht="15" hidden="false" customHeight="false" outlineLevel="0" collapsed="false">
      <c r="A13" s="4" t="n">
        <v>12</v>
      </c>
      <c r="B13" s="4" t="n">
        <v>10031246905</v>
      </c>
      <c r="C13" s="4" t="s">
        <v>39</v>
      </c>
      <c r="D13" s="4" t="s">
        <v>40</v>
      </c>
      <c r="E13" s="5" t="s">
        <v>41</v>
      </c>
      <c r="F13" s="4" t="n">
        <v>95.25</v>
      </c>
      <c r="G13" s="4" t="n">
        <v>96.64</v>
      </c>
      <c r="H13" s="6" t="n">
        <v>100.8</v>
      </c>
      <c r="I13" s="7" t="n">
        <f aca="false">IF(G13&lt;&gt;0,G13/H13,F13/H13)</f>
        <v>0.958730158730159</v>
      </c>
    </row>
    <row r="14" customFormat="false" ht="15" hidden="false" customHeight="false" outlineLevel="0" collapsed="false">
      <c r="A14" s="4" t="n">
        <v>12</v>
      </c>
      <c r="B14" s="4" t="n">
        <v>10035461975</v>
      </c>
      <c r="C14" s="4" t="s">
        <v>42</v>
      </c>
      <c r="D14" s="4" t="s">
        <v>43</v>
      </c>
      <c r="E14" s="5" t="s">
        <v>44</v>
      </c>
      <c r="F14" s="4" t="n">
        <v>81.63</v>
      </c>
      <c r="G14" s="4"/>
      <c r="H14" s="6" t="n">
        <v>91.2</v>
      </c>
      <c r="I14" s="7" t="n">
        <f aca="false">IF(G14&lt;&gt;0,G14/H14,F14/H14)</f>
        <v>0.895065789473684</v>
      </c>
    </row>
    <row r="15" customFormat="false" ht="15" hidden="false" customHeight="false" outlineLevel="0" collapsed="false">
      <c r="A15" s="4" t="n">
        <v>12</v>
      </c>
      <c r="B15" s="4" t="n">
        <v>10035461983</v>
      </c>
      <c r="C15" s="4" t="s">
        <v>45</v>
      </c>
      <c r="D15" s="4" t="s">
        <v>46</v>
      </c>
      <c r="E15" s="5" t="s">
        <v>44</v>
      </c>
      <c r="F15" s="4" t="n">
        <v>68.91</v>
      </c>
      <c r="G15" s="4"/>
      <c r="H15" s="6" t="n">
        <v>77.81</v>
      </c>
      <c r="I15" s="7" t="n">
        <f aca="false">IF(G15&lt;&gt;0,G15/H15,F15/H15)</f>
        <v>0.885618815062331</v>
      </c>
    </row>
    <row r="16" customFormat="false" ht="15" hidden="false" customHeight="false" outlineLevel="0" collapsed="false">
      <c r="A16" s="4" t="n">
        <v>12</v>
      </c>
      <c r="B16" s="4" t="n">
        <v>10035505336</v>
      </c>
      <c r="C16" s="4" t="s">
        <v>47</v>
      </c>
      <c r="D16" s="4" t="s">
        <v>48</v>
      </c>
      <c r="E16" s="5" t="s">
        <v>44</v>
      </c>
      <c r="F16" s="4" t="n">
        <v>51.45</v>
      </c>
      <c r="G16" s="4"/>
      <c r="H16" s="6" t="n">
        <v>56.31</v>
      </c>
      <c r="I16" s="7" t="n">
        <f aca="false">IF(G16&lt;&gt;0,G16/H16,F16/H16)</f>
        <v>0.913692061800746</v>
      </c>
    </row>
    <row r="17" customFormat="false" ht="15" hidden="false" customHeight="false" outlineLevel="0" collapsed="false">
      <c r="A17" s="4" t="n">
        <v>12</v>
      </c>
      <c r="B17" s="4" t="n">
        <v>10035462122</v>
      </c>
      <c r="C17" s="4" t="s">
        <v>49</v>
      </c>
      <c r="D17" s="4" t="s">
        <v>50</v>
      </c>
      <c r="E17" s="5" t="s">
        <v>44</v>
      </c>
      <c r="F17" s="4" t="n">
        <v>40.09</v>
      </c>
      <c r="G17" s="4"/>
      <c r="H17" s="6" t="n">
        <v>42.99</v>
      </c>
      <c r="I17" s="7" t="n">
        <f aca="false">IF(G17&lt;&gt;0,G17/H17,F17/H17)</f>
        <v>0.932542451732961</v>
      </c>
    </row>
    <row r="18" customFormat="false" ht="15" hidden="false" customHeight="false" outlineLevel="0" collapsed="false">
      <c r="A18" s="4" t="n">
        <v>12</v>
      </c>
      <c r="B18" s="4" t="n">
        <v>10035462130</v>
      </c>
      <c r="C18" s="4" t="s">
        <v>51</v>
      </c>
      <c r="D18" s="4" t="s">
        <v>52</v>
      </c>
      <c r="E18" s="5" t="s">
        <v>44</v>
      </c>
      <c r="F18" s="4" t="n">
        <v>42.28</v>
      </c>
      <c r="G18" s="4"/>
      <c r="H18" s="6" t="n">
        <v>48.32</v>
      </c>
      <c r="I18" s="7" t="n">
        <f aca="false">IF(G18&lt;&gt;0,G18/H18,F18/H18)</f>
        <v>0.875</v>
      </c>
    </row>
    <row r="19" customFormat="false" ht="15" hidden="false" customHeight="false" outlineLevel="0" collapsed="false">
      <c r="A19" s="4" t="n">
        <v>12</v>
      </c>
      <c r="B19" s="4" t="n">
        <v>10035462084</v>
      </c>
      <c r="C19" s="4" t="s">
        <v>53</v>
      </c>
      <c r="D19" s="4" t="s">
        <v>54</v>
      </c>
      <c r="E19" s="5" t="s">
        <v>55</v>
      </c>
      <c r="F19" s="4" t="n">
        <v>182.71</v>
      </c>
      <c r="G19" s="4"/>
      <c r="H19" s="6" t="n">
        <v>232.78</v>
      </c>
      <c r="I19" s="7" t="n">
        <f aca="false">IF(G19&lt;&gt;0,G19/H19,F19/H19)</f>
        <v>0.784904201391872</v>
      </c>
    </row>
    <row r="20" customFormat="false" ht="15" hidden="false" customHeight="false" outlineLevel="0" collapsed="false">
      <c r="A20" s="4" t="n">
        <v>12</v>
      </c>
      <c r="B20" s="4" t="n">
        <v>10035462114</v>
      </c>
      <c r="C20" s="4" t="s">
        <v>56</v>
      </c>
      <c r="D20" s="4" t="s">
        <v>57</v>
      </c>
      <c r="E20" s="5" t="s">
        <v>55</v>
      </c>
      <c r="F20" s="4" t="n">
        <v>177.1</v>
      </c>
      <c r="G20" s="4"/>
      <c r="H20" s="6" t="n">
        <v>222.66</v>
      </c>
      <c r="I20" s="7" t="n">
        <f aca="false">IF(G20&lt;&gt;0,G20/H20,F20/H20)</f>
        <v>0.795383095302255</v>
      </c>
    </row>
    <row r="21" customFormat="false" ht="15" hidden="false" customHeight="false" outlineLevel="0" collapsed="false">
      <c r="A21" s="4" t="n">
        <v>12</v>
      </c>
      <c r="B21" s="4" t="n">
        <v>10035462262</v>
      </c>
      <c r="C21" s="4" t="s">
        <v>58</v>
      </c>
      <c r="D21" s="4" t="s">
        <v>59</v>
      </c>
      <c r="E21" s="5" t="s">
        <v>55</v>
      </c>
      <c r="F21" s="4" t="n">
        <v>179.44</v>
      </c>
      <c r="G21" s="4"/>
      <c r="H21" s="6" t="n">
        <v>230.76</v>
      </c>
      <c r="I21" s="7" t="n">
        <f aca="false">IF(G21&lt;&gt;0,G21/H21,F21/H21)</f>
        <v>0.777604437510834</v>
      </c>
    </row>
    <row r="22" customFormat="false" ht="15" hidden="false" customHeight="false" outlineLevel="0" collapsed="false">
      <c r="A22" s="4" t="n">
        <v>12</v>
      </c>
      <c r="B22" s="4" t="n">
        <v>10035977122</v>
      </c>
      <c r="C22" s="4" t="s">
        <v>60</v>
      </c>
      <c r="D22" s="4" t="s">
        <v>61</v>
      </c>
      <c r="E22" s="5" t="s">
        <v>62</v>
      </c>
      <c r="F22" s="4" t="n">
        <v>195.04</v>
      </c>
      <c r="G22" s="4"/>
      <c r="H22" s="6" t="n">
        <v>252.1</v>
      </c>
      <c r="I22" s="7" t="n">
        <f aca="false">IF(G22&lt;&gt;0,G22/H22,F22/H22)</f>
        <v>0.773661245537485</v>
      </c>
    </row>
    <row r="23" customFormat="false" ht="15" hidden="false" customHeight="false" outlineLevel="0" collapsed="false">
      <c r="A23" s="4" t="n">
        <v>12</v>
      </c>
      <c r="B23" s="4" t="n">
        <v>10035977130</v>
      </c>
      <c r="C23" s="4" t="s">
        <v>63</v>
      </c>
      <c r="D23" s="4" t="s">
        <v>64</v>
      </c>
      <c r="E23" s="5" t="s">
        <v>62</v>
      </c>
      <c r="F23" s="4" t="n">
        <v>200.42</v>
      </c>
      <c r="G23" s="4"/>
      <c r="H23" s="6" t="n">
        <v>251.3</v>
      </c>
      <c r="I23" s="7" t="n">
        <f aca="false">IF(G23&lt;&gt;0,G23/H23,F23/H23)</f>
        <v>0.797532829287704</v>
      </c>
    </row>
    <row r="24" customFormat="false" ht="15" hidden="false" customHeight="false" outlineLevel="0" collapsed="false">
      <c r="A24" s="4" t="n">
        <v>12</v>
      </c>
      <c r="B24" s="4" t="n">
        <v>10035977149</v>
      </c>
      <c r="C24" s="4" t="s">
        <v>65</v>
      </c>
      <c r="D24" s="4" t="s">
        <v>66</v>
      </c>
      <c r="E24" s="5" t="s">
        <v>62</v>
      </c>
      <c r="F24" s="4" t="n">
        <v>200.02</v>
      </c>
      <c r="G24" s="4"/>
      <c r="H24" s="6" t="n">
        <v>251.2</v>
      </c>
      <c r="I24" s="7" t="n">
        <f aca="false">IF(G24&lt;&gt;0,G24/H24,F24/H24)</f>
        <v>0.79625796178344</v>
      </c>
    </row>
    <row r="25" customFormat="false" ht="15" hidden="false" customHeight="false" outlineLevel="0" collapsed="false">
      <c r="A25" s="4" t="n">
        <v>12</v>
      </c>
      <c r="B25" s="4" t="n">
        <v>10035977157</v>
      </c>
      <c r="C25" s="4" t="s">
        <v>67</v>
      </c>
      <c r="D25" s="4" t="s">
        <v>68</v>
      </c>
      <c r="E25" s="5" t="s">
        <v>62</v>
      </c>
      <c r="F25" s="4" t="n">
        <v>200.34</v>
      </c>
      <c r="G25" s="4"/>
      <c r="H25" s="6" t="n">
        <v>250.8</v>
      </c>
      <c r="I25" s="7" t="n">
        <f aca="false">IF(G25&lt;&gt;0,G25/H25,F25/H25)</f>
        <v>0.798803827751196</v>
      </c>
    </row>
    <row r="26" customFormat="false" ht="15" hidden="false" customHeight="false" outlineLevel="0" collapsed="false">
      <c r="A26" s="4" t="n">
        <v>12</v>
      </c>
      <c r="B26" s="4" t="n">
        <v>10035977203</v>
      </c>
      <c r="C26" s="4" t="s">
        <v>69</v>
      </c>
      <c r="D26" s="4" t="s">
        <v>70</v>
      </c>
      <c r="E26" s="5" t="s">
        <v>62</v>
      </c>
      <c r="F26" s="4" t="n">
        <v>200</v>
      </c>
      <c r="G26" s="4"/>
      <c r="H26" s="6" t="n">
        <v>250.2</v>
      </c>
      <c r="I26" s="7" t="n">
        <f aca="false">IF(G26&lt;&gt;0,G26/H26,F26/H26)</f>
        <v>0.799360511590727</v>
      </c>
    </row>
    <row r="27" customFormat="false" ht="15" hidden="false" customHeight="false" outlineLevel="0" collapsed="false">
      <c r="A27" s="4" t="n">
        <v>12</v>
      </c>
      <c r="B27" s="4" t="n">
        <v>10035715969</v>
      </c>
      <c r="C27" s="4" t="s">
        <v>71</v>
      </c>
      <c r="D27" s="4" t="s">
        <v>72</v>
      </c>
      <c r="E27" s="5" t="s">
        <v>73</v>
      </c>
      <c r="F27" s="4" t="n">
        <v>184.41</v>
      </c>
      <c r="G27" s="4"/>
      <c r="H27" s="6" t="n">
        <v>218.73</v>
      </c>
      <c r="I27" s="7" t="n">
        <f aca="false">IF(G27&lt;&gt;0,G27/H27,F27/H27)</f>
        <v>0.843094225757784</v>
      </c>
    </row>
    <row r="28" customFormat="false" ht="15" hidden="false" customHeight="false" outlineLevel="0" collapsed="false">
      <c r="A28" s="4" t="n">
        <v>12</v>
      </c>
      <c r="B28" s="4" t="n">
        <v>10035715993</v>
      </c>
      <c r="C28" s="4" t="s">
        <v>74</v>
      </c>
      <c r="D28" s="4" t="s">
        <v>75</v>
      </c>
      <c r="E28" s="5" t="s">
        <v>73</v>
      </c>
      <c r="F28" s="4" t="n">
        <v>88.41</v>
      </c>
      <c r="G28" s="4"/>
      <c r="H28" s="6" t="n">
        <v>109.37</v>
      </c>
      <c r="I28" s="7" t="n">
        <f aca="false">IF(G28&lt;&gt;0,G28/H28,F28/H28)</f>
        <v>0.80835695346073</v>
      </c>
    </row>
    <row r="29" customFormat="false" ht="15" hidden="false" customHeight="false" outlineLevel="0" collapsed="false">
      <c r="A29" s="4" t="n">
        <v>12</v>
      </c>
      <c r="B29" s="4" t="n">
        <v>1003665285</v>
      </c>
      <c r="C29" s="4" t="s">
        <v>76</v>
      </c>
      <c r="D29" s="4" t="s">
        <v>77</v>
      </c>
      <c r="E29" s="5" t="s">
        <v>78</v>
      </c>
      <c r="F29" s="4" t="n">
        <v>167.42</v>
      </c>
      <c r="G29" s="4"/>
      <c r="H29" s="6" t="n">
        <v>244.42</v>
      </c>
      <c r="I29" s="7" t="n">
        <f aca="false">IF(G29&lt;&gt;0,G29/H29,F29/H29)</f>
        <v>0.684968496849685</v>
      </c>
    </row>
    <row r="30" customFormat="false" ht="15" hidden="false" customHeight="false" outlineLevel="0" collapsed="false">
      <c r="A30" s="4" t="n">
        <v>12</v>
      </c>
      <c r="B30" s="4" t="n">
        <v>1003665286</v>
      </c>
      <c r="C30" s="4" t="s">
        <v>79</v>
      </c>
      <c r="D30" s="4" t="s">
        <v>80</v>
      </c>
      <c r="E30" s="5" t="s">
        <v>78</v>
      </c>
      <c r="F30" s="4" t="n">
        <v>149.81</v>
      </c>
      <c r="G30" s="4"/>
      <c r="H30" s="6" t="n">
        <v>237.23</v>
      </c>
      <c r="I30" s="7" t="n">
        <f aca="false">IF(G30&lt;&gt;0,G30/H30,F30/H30)</f>
        <v>0.631496859587742</v>
      </c>
    </row>
    <row r="31" customFormat="false" ht="15" hidden="false" customHeight="false" outlineLevel="0" collapsed="false">
      <c r="A31" s="4" t="n">
        <v>12</v>
      </c>
      <c r="B31" s="4" t="n">
        <v>1003665288</v>
      </c>
      <c r="C31" s="4" t="s">
        <v>81</v>
      </c>
      <c r="D31" s="4" t="s">
        <v>82</v>
      </c>
      <c r="E31" s="5" t="s">
        <v>78</v>
      </c>
      <c r="F31" s="4" t="n">
        <v>35.45</v>
      </c>
      <c r="G31" s="4"/>
      <c r="H31" s="6" t="n">
        <v>122.21</v>
      </c>
      <c r="I31" s="7" t="n">
        <f aca="false">IF(G31&lt;&gt;0,G31/H31,F31/H31)</f>
        <v>0.290074461991654</v>
      </c>
    </row>
    <row r="32" customFormat="false" ht="15" hidden="false" customHeight="false" outlineLevel="0" collapsed="false">
      <c r="A32" s="4" t="n">
        <v>12</v>
      </c>
      <c r="B32" s="4" t="n">
        <v>10035751906</v>
      </c>
      <c r="C32" s="4" t="s">
        <v>83</v>
      </c>
      <c r="D32" s="4" t="s">
        <v>84</v>
      </c>
      <c r="E32" s="5" t="s">
        <v>85</v>
      </c>
      <c r="F32" s="4" t="n">
        <v>170.35</v>
      </c>
      <c r="G32" s="4"/>
      <c r="H32" s="6" t="n">
        <v>246.14</v>
      </c>
      <c r="I32" s="7" t="n">
        <f aca="false">IF(G32&lt;&gt;0,G32/H32,F32/H32)</f>
        <v>0.692085804826522</v>
      </c>
    </row>
    <row r="33" customFormat="false" ht="15" hidden="false" customHeight="false" outlineLevel="0" collapsed="false">
      <c r="A33" s="4" t="n">
        <v>12</v>
      </c>
      <c r="B33" s="4" t="n">
        <v>10035751914</v>
      </c>
      <c r="C33" s="4" t="s">
        <v>86</v>
      </c>
      <c r="D33" s="4" t="s">
        <v>87</v>
      </c>
      <c r="E33" s="5" t="s">
        <v>85</v>
      </c>
      <c r="F33" s="4" t="n">
        <v>167.95</v>
      </c>
      <c r="G33" s="4"/>
      <c r="H33" s="6" t="n">
        <v>238.9</v>
      </c>
      <c r="I33" s="7" t="n">
        <f aca="false">IF(G33&lt;&gt;0,G33/H33,F33/H33)</f>
        <v>0.703013813311009</v>
      </c>
    </row>
    <row r="34" customFormat="false" ht="15" hidden="false" customHeight="false" outlineLevel="0" collapsed="false">
      <c r="A34" s="4" t="n">
        <v>12</v>
      </c>
      <c r="B34" s="4" t="n">
        <v>10035751922</v>
      </c>
      <c r="C34" s="4" t="s">
        <v>88</v>
      </c>
      <c r="D34" s="4" t="s">
        <v>89</v>
      </c>
      <c r="E34" s="5" t="s">
        <v>85</v>
      </c>
      <c r="F34" s="4" t="n">
        <v>85.13</v>
      </c>
      <c r="G34" s="4"/>
      <c r="H34" s="6" t="n">
        <v>123.07</v>
      </c>
      <c r="I34" s="7" t="n">
        <f aca="false">IF(G34&lt;&gt;0,G34/H34,F34/H34)</f>
        <v>0.691720159258958</v>
      </c>
    </row>
    <row r="35" customFormat="false" ht="15" hidden="false" customHeight="false" outlineLevel="0" collapsed="false">
      <c r="A35" s="4" t="n">
        <v>12</v>
      </c>
      <c r="B35" s="4" t="n">
        <v>10035154517</v>
      </c>
      <c r="C35" s="4" t="s">
        <v>90</v>
      </c>
      <c r="D35" s="4" t="s">
        <v>91</v>
      </c>
      <c r="E35" s="5" t="s">
        <v>92</v>
      </c>
      <c r="F35" s="4" t="n">
        <v>9.47</v>
      </c>
      <c r="G35" s="4"/>
      <c r="H35" s="6" t="n">
        <v>9.25</v>
      </c>
      <c r="I35" s="7" t="n">
        <f aca="false">IF(G35&lt;&gt;0,G35/H35,F35/H35)</f>
        <v>1.02378378378378</v>
      </c>
    </row>
    <row r="36" customFormat="false" ht="15" hidden="false" customHeight="false" outlineLevel="0" collapsed="false">
      <c r="A36" s="4" t="n">
        <v>12</v>
      </c>
      <c r="B36" s="4" t="n">
        <v>10034908372</v>
      </c>
      <c r="C36" s="4" t="s">
        <v>93</v>
      </c>
      <c r="D36" s="4" t="s">
        <v>94</v>
      </c>
      <c r="E36" s="5" t="s">
        <v>92</v>
      </c>
      <c r="F36" s="4" t="n">
        <v>8.3</v>
      </c>
      <c r="G36" s="4"/>
      <c r="H36" s="6" t="n">
        <v>9</v>
      </c>
      <c r="I36" s="7" t="n">
        <f aca="false">IF(G36&lt;&gt;0,G36/H36,F36/H36)</f>
        <v>0.922222222222222</v>
      </c>
    </row>
    <row r="37" customFormat="false" ht="15" hidden="false" customHeight="false" outlineLevel="0" collapsed="false">
      <c r="A37" s="4" t="n">
        <v>12</v>
      </c>
      <c r="B37" s="4" t="n">
        <v>10035156587</v>
      </c>
      <c r="C37" s="4" t="s">
        <v>95</v>
      </c>
      <c r="D37" s="4" t="s">
        <v>96</v>
      </c>
      <c r="E37" s="5" t="s">
        <v>92</v>
      </c>
      <c r="F37" s="4" t="n">
        <v>9.54</v>
      </c>
      <c r="G37" s="4"/>
      <c r="H37" s="6" t="n">
        <v>9.25</v>
      </c>
      <c r="I37" s="7" t="n">
        <f aca="false">IF(G37&lt;&gt;0,G37/H37,F37/H37)</f>
        <v>1.03135135135135</v>
      </c>
    </row>
    <row r="38" customFormat="false" ht="15" hidden="false" customHeight="false" outlineLevel="0" collapsed="false">
      <c r="A38" s="4" t="n">
        <v>12</v>
      </c>
      <c r="B38" s="4" t="n">
        <v>10035106113</v>
      </c>
      <c r="C38" s="4" t="s">
        <v>97</v>
      </c>
      <c r="D38" s="4" t="s">
        <v>98</v>
      </c>
      <c r="E38" s="5" t="s">
        <v>92</v>
      </c>
      <c r="F38" s="4" t="n">
        <v>6.62</v>
      </c>
      <c r="G38" s="4"/>
      <c r="H38" s="6" t="n">
        <v>9.25</v>
      </c>
      <c r="I38" s="7" t="n">
        <f aca="false">IF(G38&lt;&gt;0,G38/H38,F38/H38)</f>
        <v>0.715675675675676</v>
      </c>
    </row>
    <row r="39" customFormat="false" ht="15" hidden="false" customHeight="false" outlineLevel="0" collapsed="false">
      <c r="A39" s="4" t="n">
        <v>12</v>
      </c>
      <c r="B39" s="4" t="n">
        <v>10034913074</v>
      </c>
      <c r="C39" s="4" t="s">
        <v>99</v>
      </c>
      <c r="D39" s="4" t="s">
        <v>100</v>
      </c>
      <c r="E39" s="5" t="s">
        <v>92</v>
      </c>
      <c r="F39" s="4" t="n">
        <v>8.35</v>
      </c>
      <c r="G39" s="4"/>
      <c r="H39" s="6" t="n">
        <v>9</v>
      </c>
      <c r="I39" s="7" t="n">
        <f aca="false">IF(G39&lt;&gt;0,G39/H39,F39/H39)</f>
        <v>0.927777777777778</v>
      </c>
    </row>
    <row r="40" customFormat="false" ht="15" hidden="false" customHeight="false" outlineLevel="0" collapsed="false">
      <c r="A40" s="4" t="n">
        <v>12</v>
      </c>
      <c r="B40" s="4" t="n">
        <v>10034908402</v>
      </c>
      <c r="C40" s="4" t="s">
        <v>101</v>
      </c>
      <c r="D40" s="4" t="s">
        <v>102</v>
      </c>
      <c r="E40" s="5" t="s">
        <v>92</v>
      </c>
      <c r="F40" s="4" t="n">
        <v>8.33</v>
      </c>
      <c r="G40" s="4"/>
      <c r="H40" s="6" t="n">
        <v>9</v>
      </c>
      <c r="I40" s="7" t="n">
        <f aca="false">IF(G40&lt;&gt;0,G40/H40,F40/H40)</f>
        <v>0.925555555555556</v>
      </c>
    </row>
    <row r="41" customFormat="false" ht="15" hidden="false" customHeight="false" outlineLevel="0" collapsed="false">
      <c r="A41" s="4" t="n">
        <v>12</v>
      </c>
      <c r="B41" s="4" t="n">
        <v>10035156609</v>
      </c>
      <c r="C41" s="4" t="s">
        <v>103</v>
      </c>
      <c r="D41" s="4" t="s">
        <v>104</v>
      </c>
      <c r="E41" s="5" t="s">
        <v>92</v>
      </c>
      <c r="F41" s="4" t="n">
        <v>9.64</v>
      </c>
      <c r="G41" s="4"/>
      <c r="H41" s="6" t="n">
        <v>9.25</v>
      </c>
      <c r="I41" s="7" t="n">
        <f aca="false">IF(G41&lt;&gt;0,G41/H41,F41/H41)</f>
        <v>1.04216216216216</v>
      </c>
    </row>
    <row r="42" customFormat="false" ht="15" hidden="false" customHeight="false" outlineLevel="0" collapsed="false">
      <c r="A42" s="4" t="n">
        <v>12</v>
      </c>
      <c r="B42" s="4" t="s">
        <v>105</v>
      </c>
      <c r="C42" s="4" t="s">
        <v>106</v>
      </c>
      <c r="D42" s="4" t="s">
        <v>107</v>
      </c>
      <c r="E42" s="5" t="s">
        <v>108</v>
      </c>
      <c r="F42" s="4" t="n">
        <v>85.92</v>
      </c>
      <c r="G42" s="4"/>
      <c r="H42" s="6" t="n">
        <v>88.8</v>
      </c>
      <c r="I42" s="7" t="n">
        <f aca="false">IF(G42&lt;&gt;0,G42/H42,F42/H42)</f>
        <v>0.967567567567568</v>
      </c>
    </row>
    <row r="43" customFormat="false" ht="15" hidden="false" customHeight="false" outlineLevel="0" collapsed="false">
      <c r="A43" s="4" t="n">
        <v>12</v>
      </c>
      <c r="B43" s="4" t="s">
        <v>109</v>
      </c>
      <c r="C43" s="4" t="s">
        <v>110</v>
      </c>
      <c r="D43" s="4" t="s">
        <v>111</v>
      </c>
      <c r="E43" s="5" t="s">
        <v>108</v>
      </c>
      <c r="F43" s="4" t="n">
        <v>45</v>
      </c>
      <c r="G43" s="4"/>
      <c r="H43" s="6" t="n">
        <v>48.92</v>
      </c>
      <c r="I43" s="7" t="n">
        <f aca="false">IF(G43&lt;&gt;0,G43/H43,F43/H43)</f>
        <v>0.919869174161897</v>
      </c>
    </row>
    <row r="44" customFormat="false" ht="15" hidden="false" customHeight="false" outlineLevel="0" collapsed="false">
      <c r="A44" s="4" t="n">
        <v>12</v>
      </c>
      <c r="B44" s="4" t="s">
        <v>112</v>
      </c>
      <c r="C44" s="4" t="s">
        <v>113</v>
      </c>
      <c r="D44" s="4" t="s">
        <v>114</v>
      </c>
      <c r="E44" s="5" t="s">
        <v>108</v>
      </c>
      <c r="F44" s="4" t="n">
        <v>19.02</v>
      </c>
      <c r="G44" s="4"/>
      <c r="H44" s="6" t="n">
        <v>53.63</v>
      </c>
      <c r="I44" s="7" t="n">
        <f aca="false">IF(G44&lt;&gt;0,G44/H44,F44/H44)</f>
        <v>0.354652246876748</v>
      </c>
    </row>
    <row r="45" customFormat="false" ht="15" hidden="false" customHeight="false" outlineLevel="0" collapsed="false">
      <c r="A45" s="4" t="n">
        <v>12</v>
      </c>
      <c r="B45" s="4" t="s">
        <v>115</v>
      </c>
      <c r="C45" s="4" t="s">
        <v>116</v>
      </c>
      <c r="D45" s="4" t="s">
        <v>117</v>
      </c>
      <c r="E45" s="5" t="s">
        <v>108</v>
      </c>
      <c r="F45" s="4" t="n">
        <v>59.93</v>
      </c>
      <c r="G45" s="4"/>
      <c r="H45" s="6" t="n">
        <v>61.45</v>
      </c>
      <c r="I45" s="7" t="n">
        <f aca="false">IF(G45&lt;&gt;0,G45/H45,F45/H45)</f>
        <v>0.97526444263629</v>
      </c>
    </row>
    <row r="46" customFormat="false" ht="15" hidden="false" customHeight="false" outlineLevel="0" collapsed="false">
      <c r="A46" s="4" t="n">
        <v>12</v>
      </c>
      <c r="B46" s="4" t="s">
        <v>118</v>
      </c>
      <c r="C46" s="4" t="s">
        <v>119</v>
      </c>
      <c r="D46" s="4" t="s">
        <v>120</v>
      </c>
      <c r="E46" s="5" t="s">
        <v>108</v>
      </c>
      <c r="F46" s="4" t="n">
        <v>26.65</v>
      </c>
      <c r="G46" s="4"/>
      <c r="H46" s="6" t="n">
        <v>27.47</v>
      </c>
      <c r="I46" s="7" t="n">
        <f aca="false">IF(G46&lt;&gt;0,G46/H46,F46/H46)</f>
        <v>0.970149253731343</v>
      </c>
    </row>
    <row r="47" customFormat="false" ht="15" hidden="false" customHeight="false" outlineLevel="0" collapsed="false">
      <c r="A47" s="4" t="n">
        <v>12</v>
      </c>
      <c r="B47" s="4" t="s">
        <v>121</v>
      </c>
      <c r="C47" s="4" t="s">
        <v>122</v>
      </c>
      <c r="D47" s="4" t="s">
        <v>123</v>
      </c>
      <c r="E47" s="5" t="s">
        <v>108</v>
      </c>
      <c r="F47" s="4" t="n">
        <v>27.12</v>
      </c>
      <c r="G47" s="4"/>
      <c r="H47" s="6" t="n">
        <v>27.47</v>
      </c>
      <c r="I47" s="7" t="n">
        <f aca="false">IF(G47&lt;&gt;0,G47/H47,F47/H47)</f>
        <v>0.987258827812159</v>
      </c>
    </row>
    <row r="48" customFormat="false" ht="15" hidden="false" customHeight="false" outlineLevel="0" collapsed="false">
      <c r="A48" s="4" t="n">
        <v>12</v>
      </c>
      <c r="B48" s="4" t="s">
        <v>124</v>
      </c>
      <c r="C48" s="4" t="s">
        <v>125</v>
      </c>
      <c r="D48" s="4" t="s">
        <v>126</v>
      </c>
      <c r="E48" s="5" t="s">
        <v>108</v>
      </c>
      <c r="F48" s="4" t="n">
        <v>32.6</v>
      </c>
      <c r="G48" s="4"/>
      <c r="H48" s="6" t="n">
        <v>62.33</v>
      </c>
      <c r="I48" s="7" t="n">
        <f aca="false">IF(G48&lt;&gt;0,G48/H48,F48/H48)</f>
        <v>0.523022621530563</v>
      </c>
    </row>
    <row r="49" customFormat="false" ht="15" hidden="false" customHeight="false" outlineLevel="0" collapsed="false">
      <c r="A49" s="4" t="n">
        <v>12</v>
      </c>
      <c r="B49" s="4" t="s">
        <v>127</v>
      </c>
      <c r="C49" s="4" t="s">
        <v>128</v>
      </c>
      <c r="D49" s="4" t="s">
        <v>129</v>
      </c>
      <c r="E49" s="5" t="s">
        <v>108</v>
      </c>
      <c r="F49" s="4" t="n">
        <v>28.34</v>
      </c>
      <c r="G49" s="4"/>
      <c r="H49" s="6" t="n">
        <v>29.29</v>
      </c>
      <c r="I49" s="7" t="n">
        <f aca="false">IF(G49&lt;&gt;0,G49/H49,F49/H49)</f>
        <v>0.96756572208945</v>
      </c>
    </row>
    <row r="50" customFormat="false" ht="15" hidden="false" customHeight="false" outlineLevel="0" collapsed="false">
      <c r="A50" s="4" t="n">
        <v>12</v>
      </c>
      <c r="B50" s="4" t="n">
        <v>10029355760</v>
      </c>
      <c r="C50" s="4" t="s">
        <v>130</v>
      </c>
      <c r="D50" s="4" t="s">
        <v>131</v>
      </c>
      <c r="E50" s="5" t="s">
        <v>132</v>
      </c>
      <c r="F50" s="4" t="n">
        <v>160.13</v>
      </c>
      <c r="G50" s="4"/>
      <c r="H50" s="6" t="n">
        <v>159.8</v>
      </c>
      <c r="I50" s="7" t="n">
        <f aca="false">IF(G50&lt;&gt;0,G50/H50,F50/H50)</f>
        <v>1.00206508135169</v>
      </c>
    </row>
    <row r="51" customFormat="false" ht="15" hidden="false" customHeight="false" outlineLevel="0" collapsed="false">
      <c r="A51" s="4" t="n">
        <v>12</v>
      </c>
      <c r="B51" s="4" t="n">
        <v>10035716108</v>
      </c>
      <c r="C51" s="4" t="s">
        <v>133</v>
      </c>
      <c r="D51" s="4" t="s">
        <v>134</v>
      </c>
      <c r="E51" s="5" t="s">
        <v>135</v>
      </c>
      <c r="F51" s="4" t="n">
        <v>50.52</v>
      </c>
      <c r="G51" s="4"/>
      <c r="H51" s="6" t="n">
        <v>54.99</v>
      </c>
      <c r="I51" s="7" t="n">
        <f aca="false">IF(G51&lt;&gt;0,G51/H51,F51/H51)</f>
        <v>0.918712493180578</v>
      </c>
    </row>
    <row r="52" customFormat="false" ht="15" hidden="false" customHeight="false" outlineLevel="0" collapsed="false">
      <c r="A52" s="4" t="n">
        <v>12</v>
      </c>
      <c r="B52" s="4" t="n">
        <v>10029848863</v>
      </c>
      <c r="C52" s="4" t="s">
        <v>136</v>
      </c>
      <c r="D52" s="4" t="s">
        <v>137</v>
      </c>
      <c r="E52" s="5" t="s">
        <v>138</v>
      </c>
      <c r="F52" s="4" t="n">
        <v>11.87</v>
      </c>
      <c r="G52" s="4"/>
      <c r="H52" s="6" t="n">
        <v>13.69</v>
      </c>
      <c r="I52" s="7" t="n">
        <f aca="false">IF(G52&lt;&gt;0,G52/H52,F52/H52)</f>
        <v>0.867056245434624</v>
      </c>
    </row>
    <row r="53" customFormat="false" ht="15" hidden="false" customHeight="false" outlineLevel="0" collapsed="false">
      <c r="A53" s="4" t="n">
        <v>12</v>
      </c>
      <c r="B53" s="4" t="n">
        <v>10029848855</v>
      </c>
      <c r="C53" s="4" t="s">
        <v>139</v>
      </c>
      <c r="D53" s="4" t="s">
        <v>140</v>
      </c>
      <c r="E53" s="5" t="s">
        <v>138</v>
      </c>
      <c r="F53" s="4" t="n">
        <v>51.68</v>
      </c>
      <c r="G53" s="4"/>
      <c r="H53" s="6" t="n">
        <v>55.75</v>
      </c>
      <c r="I53" s="7" t="n">
        <f aca="false">IF(G53&lt;&gt;0,G53/H53,F53/H53)</f>
        <v>0.926995515695067</v>
      </c>
    </row>
    <row r="54" customFormat="false" ht="15" hidden="false" customHeight="false" outlineLevel="0" collapsed="false">
      <c r="A54" s="4" t="n">
        <v>12</v>
      </c>
      <c r="B54" s="4" t="n">
        <v>10029848820</v>
      </c>
      <c r="C54" s="4" t="s">
        <v>141</v>
      </c>
      <c r="D54" s="4" t="s">
        <v>142</v>
      </c>
      <c r="E54" s="5" t="s">
        <v>138</v>
      </c>
      <c r="F54" s="4" t="n">
        <v>90.84</v>
      </c>
      <c r="G54" s="4"/>
      <c r="H54" s="6" t="n">
        <v>102.2</v>
      </c>
      <c r="I54" s="7" t="n">
        <f aca="false">IF(G54&lt;&gt;0,G54/H54,F54/H54)</f>
        <v>0.888845401174168</v>
      </c>
    </row>
    <row r="55" customFormat="false" ht="15" hidden="false" customHeight="false" outlineLevel="0" collapsed="false">
      <c r="A55" s="4" t="n">
        <v>12</v>
      </c>
      <c r="B55" s="4" t="n">
        <v>3014365852</v>
      </c>
      <c r="C55" s="4" t="s">
        <v>143</v>
      </c>
      <c r="D55" s="4" t="s">
        <v>144</v>
      </c>
      <c r="E55" s="5" t="s">
        <v>145</v>
      </c>
      <c r="F55" s="4" t="n">
        <v>202.31</v>
      </c>
      <c r="G55" s="4"/>
      <c r="H55" s="6" t="n">
        <v>233.1</v>
      </c>
      <c r="I55" s="7" t="n">
        <f aca="false">IF(G55&lt;&gt;0,G55/H55,F55/H55)</f>
        <v>0.867910767910768</v>
      </c>
    </row>
    <row r="56" customFormat="false" ht="15" hidden="false" customHeight="false" outlineLevel="0" collapsed="false">
      <c r="A56" s="4" t="n">
        <v>12</v>
      </c>
      <c r="B56" s="4" t="n">
        <v>3014365880</v>
      </c>
      <c r="C56" s="4" t="s">
        <v>146</v>
      </c>
      <c r="D56" s="4" t="s">
        <v>147</v>
      </c>
      <c r="E56" s="5" t="s">
        <v>145</v>
      </c>
      <c r="F56" s="4" t="n">
        <v>203.91</v>
      </c>
      <c r="G56" s="4"/>
      <c r="H56" s="6" t="n">
        <v>232.3</v>
      </c>
      <c r="I56" s="7" t="n">
        <f aca="false">IF(G56&lt;&gt;0,G56/H56,F56/H56)</f>
        <v>0.877787343951787</v>
      </c>
    </row>
    <row r="57" customFormat="false" ht="15" hidden="false" customHeight="false" outlineLevel="0" collapsed="false">
      <c r="A57" s="4" t="n">
        <v>12</v>
      </c>
      <c r="B57" s="4" t="n">
        <v>3014365849</v>
      </c>
      <c r="C57" s="4" t="s">
        <v>148</v>
      </c>
      <c r="D57" s="4" t="s">
        <v>149</v>
      </c>
      <c r="E57" s="5" t="s">
        <v>145</v>
      </c>
      <c r="F57" s="4" t="n">
        <v>88.73</v>
      </c>
      <c r="G57" s="4"/>
      <c r="H57" s="6" t="n">
        <v>110.1</v>
      </c>
      <c r="I57" s="7" t="n">
        <f aca="false">IF(G57&lt;&gt;0,G57/H57,F57/H57)</f>
        <v>0.805903723887375</v>
      </c>
    </row>
    <row r="58" customFormat="false" ht="15" hidden="false" customHeight="false" outlineLevel="0" collapsed="false">
      <c r="A58" s="4" t="n">
        <v>12</v>
      </c>
      <c r="B58" s="4" t="n">
        <v>3014367769</v>
      </c>
      <c r="C58" s="4" t="s">
        <v>150</v>
      </c>
      <c r="D58" s="4" t="s">
        <v>151</v>
      </c>
      <c r="E58" s="5" t="s">
        <v>152</v>
      </c>
      <c r="F58" s="4" t="n">
        <v>195.92</v>
      </c>
      <c r="G58" s="4"/>
      <c r="H58" s="6" t="n">
        <v>229.1</v>
      </c>
      <c r="I58" s="7" t="n">
        <f aca="false">IF(G58&lt;&gt;0,G58/H58,F58/H58)</f>
        <v>0.855172413793103</v>
      </c>
    </row>
    <row r="59" customFormat="false" ht="15" hidden="false" customHeight="false" outlineLevel="0" collapsed="false">
      <c r="A59" s="4" t="n">
        <v>12</v>
      </c>
      <c r="B59" s="4" t="n">
        <v>3014367806</v>
      </c>
      <c r="C59" s="4" t="s">
        <v>153</v>
      </c>
      <c r="D59" s="4" t="s">
        <v>154</v>
      </c>
      <c r="E59" s="5" t="s">
        <v>152</v>
      </c>
      <c r="F59" s="4" t="n">
        <v>205.36</v>
      </c>
      <c r="G59" s="4"/>
      <c r="H59" s="6" t="n">
        <v>230.5</v>
      </c>
      <c r="I59" s="7" t="n">
        <f aca="false">IF(G59&lt;&gt;0,G59/H59,F59/H59)</f>
        <v>0.890932754880694</v>
      </c>
    </row>
    <row r="60" customFormat="false" ht="15" hidden="false" customHeight="false" outlineLevel="0" collapsed="false">
      <c r="A60" s="4" t="n">
        <v>12</v>
      </c>
      <c r="B60" s="4" t="n">
        <v>3014367812</v>
      </c>
      <c r="C60" s="4" t="s">
        <v>155</v>
      </c>
      <c r="D60" s="4" t="s">
        <v>156</v>
      </c>
      <c r="E60" s="5" t="s">
        <v>152</v>
      </c>
      <c r="F60" s="4" t="n">
        <v>101.23</v>
      </c>
      <c r="G60" s="4"/>
      <c r="H60" s="6" t="n">
        <v>110.1</v>
      </c>
      <c r="I60" s="7" t="n">
        <f aca="false">IF(G60&lt;&gt;0,G60/H60,F60/H60)</f>
        <v>0.919436875567666</v>
      </c>
    </row>
    <row r="61" customFormat="false" ht="15" hidden="false" customHeight="false" outlineLevel="0" collapsed="false">
      <c r="A61" s="4" t="n">
        <v>12</v>
      </c>
      <c r="B61" s="4" t="n">
        <v>3014367788</v>
      </c>
      <c r="C61" s="4" t="s">
        <v>157</v>
      </c>
      <c r="D61" s="4" t="s">
        <v>158</v>
      </c>
      <c r="E61" s="5" t="s">
        <v>159</v>
      </c>
      <c r="F61" s="4" t="n">
        <v>189.53</v>
      </c>
      <c r="G61" s="4"/>
      <c r="H61" s="6" t="n">
        <v>217.9</v>
      </c>
      <c r="I61" s="7" t="n">
        <f aca="false">IF(G61&lt;&gt;0,G61/H61,F61/H61)</f>
        <v>0.869802661771455</v>
      </c>
    </row>
    <row r="62" customFormat="false" ht="15" hidden="false" customHeight="false" outlineLevel="0" collapsed="false">
      <c r="A62" s="4" t="n">
        <v>12</v>
      </c>
      <c r="B62" s="4" t="n">
        <v>3014367836</v>
      </c>
      <c r="C62" s="4" t="s">
        <v>160</v>
      </c>
      <c r="D62" s="4" t="s">
        <v>161</v>
      </c>
      <c r="E62" s="5" t="s">
        <v>159</v>
      </c>
      <c r="F62" s="4" t="n">
        <v>189.69</v>
      </c>
      <c r="G62" s="4"/>
      <c r="H62" s="6" t="n">
        <v>216.1</v>
      </c>
      <c r="I62" s="7" t="n">
        <f aca="false">IF(G62&lt;&gt;0,G62/H62,F62/H62)</f>
        <v>0.877788061082832</v>
      </c>
    </row>
    <row r="63" customFormat="false" ht="15" hidden="false" customHeight="false" outlineLevel="0" collapsed="false">
      <c r="A63" s="4" t="n">
        <v>12</v>
      </c>
      <c r="B63" s="4" t="n">
        <v>3014367837</v>
      </c>
      <c r="C63" s="4" t="s">
        <v>162</v>
      </c>
      <c r="D63" s="4" t="s">
        <v>163</v>
      </c>
      <c r="E63" s="5" t="s">
        <v>159</v>
      </c>
      <c r="F63" s="4" t="n">
        <v>91.28</v>
      </c>
      <c r="G63" s="4"/>
      <c r="H63" s="6" t="n">
        <v>104.6</v>
      </c>
      <c r="I63" s="7" t="n">
        <f aca="false">IF(G63&lt;&gt;0,G63/H63,F63/H63)</f>
        <v>0.872657743785851</v>
      </c>
    </row>
    <row r="64" customFormat="false" ht="15" hidden="false" customHeight="false" outlineLevel="0" collapsed="false">
      <c r="A64" s="4" t="n">
        <v>12</v>
      </c>
      <c r="B64" s="4" t="n">
        <v>3014367827</v>
      </c>
      <c r="C64" s="4" t="s">
        <v>164</v>
      </c>
      <c r="D64" s="4" t="s">
        <v>165</v>
      </c>
      <c r="E64" s="5" t="s">
        <v>166</v>
      </c>
      <c r="F64" s="4" t="n">
        <v>186.31</v>
      </c>
      <c r="G64" s="4"/>
      <c r="H64" s="6" t="n">
        <v>227.4</v>
      </c>
      <c r="I64" s="7" t="n">
        <f aca="false">IF(G64&lt;&gt;0,G64/H64,F64/H64)</f>
        <v>0.819305189094107</v>
      </c>
    </row>
    <row r="65" customFormat="false" ht="15" hidden="false" customHeight="false" outlineLevel="0" collapsed="false">
      <c r="A65" s="4" t="n">
        <v>12</v>
      </c>
      <c r="B65" s="4" t="n">
        <v>3014367828</v>
      </c>
      <c r="C65" s="4" t="s">
        <v>167</v>
      </c>
      <c r="D65" s="4" t="s">
        <v>168</v>
      </c>
      <c r="E65" s="5" t="s">
        <v>166</v>
      </c>
      <c r="F65" s="4" t="n">
        <v>183.34</v>
      </c>
      <c r="G65" s="4"/>
      <c r="H65" s="6" t="n">
        <v>228</v>
      </c>
      <c r="I65" s="7" t="n">
        <f aca="false">IF(G65&lt;&gt;0,G65/H65,F65/H65)</f>
        <v>0.804122807017544</v>
      </c>
    </row>
    <row r="66" customFormat="false" ht="15" hidden="false" customHeight="false" outlineLevel="0" collapsed="false">
      <c r="A66" s="4" t="n">
        <v>12</v>
      </c>
      <c r="B66" s="4" t="n">
        <v>3014367829</v>
      </c>
      <c r="C66" s="4" t="s">
        <v>169</v>
      </c>
      <c r="D66" s="4" t="s">
        <v>170</v>
      </c>
      <c r="E66" s="5" t="s">
        <v>166</v>
      </c>
      <c r="F66" s="4" t="n">
        <v>97.44</v>
      </c>
      <c r="G66" s="4"/>
      <c r="H66" s="6" t="n">
        <v>108.2</v>
      </c>
      <c r="I66" s="7" t="n">
        <f aca="false">IF(G66&lt;&gt;0,G66/H66,F66/H66)</f>
        <v>0.900554528650647</v>
      </c>
    </row>
    <row r="67" customFormat="false" ht="15" hidden="false" customHeight="false" outlineLevel="0" collapsed="false">
      <c r="A67" s="4" t="n">
        <v>12</v>
      </c>
      <c r="B67" s="4" t="n">
        <v>4003703994</v>
      </c>
      <c r="C67" s="4" t="s">
        <v>171</v>
      </c>
      <c r="D67" s="4" t="s">
        <v>172</v>
      </c>
      <c r="E67" s="5" t="s">
        <v>172</v>
      </c>
      <c r="F67" s="4" t="n">
        <v>235.16</v>
      </c>
      <c r="G67" s="4"/>
      <c r="H67" s="6" t="n">
        <v>238.6</v>
      </c>
      <c r="I67" s="7" t="n">
        <f aca="false">IF(G67&lt;&gt;0,G67/H67,F67/H67)</f>
        <v>0.98558256496228</v>
      </c>
    </row>
    <row r="68" customFormat="false" ht="15" hidden="false" customHeight="false" outlineLevel="0" collapsed="false">
      <c r="A68" s="4" t="n">
        <v>12</v>
      </c>
      <c r="B68" s="4" t="n">
        <v>10036981336</v>
      </c>
      <c r="C68" s="4" t="s">
        <v>173</v>
      </c>
      <c r="D68" s="4" t="s">
        <v>174</v>
      </c>
      <c r="E68" s="5" t="s">
        <v>175</v>
      </c>
      <c r="F68" s="4" t="n">
        <v>36.63</v>
      </c>
      <c r="G68" s="4"/>
      <c r="H68" s="6" t="n">
        <v>45.7</v>
      </c>
      <c r="I68" s="7" t="n">
        <f aca="false">IF(G68&lt;&gt;0,G68/H68,F68/H68)</f>
        <v>0.801531728665208</v>
      </c>
    </row>
    <row r="69" customFormat="false" ht="15" hidden="false" customHeight="false" outlineLevel="0" collapsed="false">
      <c r="A69" s="4" t="n">
        <v>12</v>
      </c>
      <c r="B69" s="4" t="n">
        <v>10036981344</v>
      </c>
      <c r="C69" s="4" t="s">
        <v>176</v>
      </c>
      <c r="D69" s="4" t="s">
        <v>177</v>
      </c>
      <c r="E69" s="5" t="s">
        <v>175</v>
      </c>
      <c r="F69" s="4" t="n">
        <v>36.42</v>
      </c>
      <c r="G69" s="4"/>
      <c r="H69" s="6" t="n">
        <v>45.7</v>
      </c>
      <c r="I69" s="7" t="n">
        <f aca="false">IF(G69&lt;&gt;0,G69/H69,F69/H69)</f>
        <v>0.796936542669584</v>
      </c>
    </row>
    <row r="70" customFormat="false" ht="15" hidden="false" customHeight="false" outlineLevel="0" collapsed="false">
      <c r="A70" s="4" t="n">
        <v>12</v>
      </c>
      <c r="B70" s="4" t="n">
        <v>10036981352</v>
      </c>
      <c r="C70" s="4" t="s">
        <v>178</v>
      </c>
      <c r="D70" s="4" t="s">
        <v>179</v>
      </c>
      <c r="E70" s="5" t="s">
        <v>175</v>
      </c>
      <c r="F70" s="4" t="n">
        <v>35.81</v>
      </c>
      <c r="G70" s="4"/>
      <c r="H70" s="6" t="n">
        <v>45.7</v>
      </c>
      <c r="I70" s="7" t="n">
        <f aca="false">IF(G70&lt;&gt;0,G70/H70,F70/H70)</f>
        <v>0.783588621444201</v>
      </c>
    </row>
    <row r="71" customFormat="false" ht="15" hidden="false" customHeight="false" outlineLevel="0" collapsed="false">
      <c r="A71" s="4" t="n">
        <v>12</v>
      </c>
      <c r="B71" s="4" t="n">
        <v>10036981387</v>
      </c>
      <c r="C71" s="4" t="s">
        <v>180</v>
      </c>
      <c r="D71" s="4" t="s">
        <v>181</v>
      </c>
      <c r="E71" s="5" t="s">
        <v>175</v>
      </c>
      <c r="F71" s="4" t="n">
        <v>35.45</v>
      </c>
      <c r="G71" s="4"/>
      <c r="H71" s="6" t="n">
        <v>45.7</v>
      </c>
      <c r="I71" s="7" t="n">
        <f aca="false">IF(G71&lt;&gt;0,G71/H71,F71/H71)</f>
        <v>0.775711159737418</v>
      </c>
    </row>
    <row r="72" customFormat="false" ht="15" hidden="false" customHeight="false" outlineLevel="0" collapsed="false">
      <c r="A72" s="4" t="n">
        <v>12</v>
      </c>
      <c r="B72" s="4" t="n">
        <v>10036981573</v>
      </c>
      <c r="C72" s="4" t="s">
        <v>182</v>
      </c>
      <c r="D72" s="4" t="s">
        <v>183</v>
      </c>
      <c r="E72" s="5" t="s">
        <v>175</v>
      </c>
      <c r="F72" s="4" t="n">
        <v>36.13</v>
      </c>
      <c r="G72" s="4"/>
      <c r="H72" s="6" t="n">
        <v>45.7</v>
      </c>
      <c r="I72" s="7" t="n">
        <f aca="false">IF(G72&lt;&gt;0,G72/H72,F72/H72)</f>
        <v>0.790590809628009</v>
      </c>
    </row>
    <row r="73" customFormat="false" ht="15" hidden="false" customHeight="false" outlineLevel="0" collapsed="false">
      <c r="A73" s="4" t="n">
        <v>12</v>
      </c>
      <c r="B73" s="4" t="n">
        <v>10036976782</v>
      </c>
      <c r="C73" s="4" t="s">
        <v>184</v>
      </c>
      <c r="D73" s="4" t="s">
        <v>185</v>
      </c>
      <c r="E73" s="5" t="s">
        <v>186</v>
      </c>
      <c r="F73" s="4" t="n">
        <v>221.42</v>
      </c>
      <c r="G73" s="4"/>
      <c r="H73" s="6" t="n">
        <v>247</v>
      </c>
      <c r="I73" s="7" t="n">
        <f aca="false">IF(G73&lt;&gt;0,G73/H73,F73/H73)</f>
        <v>0.896437246963563</v>
      </c>
    </row>
    <row r="74" customFormat="false" ht="15" hidden="false" customHeight="false" outlineLevel="0" collapsed="false">
      <c r="A74" s="4" t="n">
        <v>12</v>
      </c>
      <c r="B74" s="4" t="n">
        <v>10036976790</v>
      </c>
      <c r="C74" s="4" t="s">
        <v>187</v>
      </c>
      <c r="D74" s="4" t="s">
        <v>188</v>
      </c>
      <c r="E74" s="5" t="s">
        <v>186</v>
      </c>
      <c r="F74" s="4" t="n">
        <v>216.93</v>
      </c>
      <c r="G74" s="4"/>
      <c r="H74" s="6" t="n">
        <v>247</v>
      </c>
      <c r="I74" s="7" t="n">
        <f aca="false">IF(G74&lt;&gt;0,G74/H74,F74/H74)</f>
        <v>0.878259109311741</v>
      </c>
    </row>
    <row r="75" customFormat="false" ht="15" hidden="false" customHeight="false" outlineLevel="0" collapsed="false">
      <c r="A75" s="4" t="n">
        <v>12</v>
      </c>
      <c r="B75" s="4" t="n">
        <v>10036976804</v>
      </c>
      <c r="C75" s="4" t="s">
        <v>189</v>
      </c>
      <c r="D75" s="4" t="s">
        <v>190</v>
      </c>
      <c r="E75" s="5" t="s">
        <v>186</v>
      </c>
      <c r="F75" s="4" t="n">
        <v>278.92</v>
      </c>
      <c r="G75" s="4"/>
      <c r="H75" s="6" t="n">
        <v>247</v>
      </c>
      <c r="I75" s="7" t="n">
        <f aca="false">IF(G75&lt;&gt;0,G75/H75,F75/H75)</f>
        <v>1.12923076923077</v>
      </c>
    </row>
    <row r="76" customFormat="false" ht="15" hidden="false" customHeight="false" outlineLevel="0" collapsed="false">
      <c r="A76" s="4" t="n">
        <v>12</v>
      </c>
      <c r="B76" s="4" t="n">
        <v>10036976812</v>
      </c>
      <c r="C76" s="4" t="s">
        <v>191</v>
      </c>
      <c r="D76" s="4" t="s">
        <v>192</v>
      </c>
      <c r="E76" s="5" t="s">
        <v>186</v>
      </c>
      <c r="F76" s="4" t="n">
        <v>223.25</v>
      </c>
      <c r="G76" s="4"/>
      <c r="H76" s="6" t="n">
        <v>247</v>
      </c>
      <c r="I76" s="7" t="n">
        <f aca="false">IF(G76&lt;&gt;0,G76/H76,F76/H76)</f>
        <v>0.903846153846154</v>
      </c>
    </row>
    <row r="77" customFormat="false" ht="15" hidden="false" customHeight="false" outlineLevel="0" collapsed="false">
      <c r="A77" s="4" t="n">
        <v>12</v>
      </c>
      <c r="B77" s="4" t="n">
        <v>10036976839</v>
      </c>
      <c r="C77" s="4" t="s">
        <v>193</v>
      </c>
      <c r="D77" s="4" t="s">
        <v>194</v>
      </c>
      <c r="E77" s="5" t="s">
        <v>186</v>
      </c>
      <c r="F77" s="4" t="n">
        <v>221.65</v>
      </c>
      <c r="G77" s="4"/>
      <c r="H77" s="6" t="n">
        <v>247</v>
      </c>
      <c r="I77" s="7" t="n">
        <f aca="false">IF(G77&lt;&gt;0,G77/H77,F77/H77)</f>
        <v>0.897368421052632</v>
      </c>
    </row>
    <row r="78" customFormat="false" ht="15" hidden="false" customHeight="false" outlineLevel="0" collapsed="false">
      <c r="A78" s="4" t="n">
        <v>12</v>
      </c>
      <c r="B78" s="4" t="n">
        <v>10036748080</v>
      </c>
      <c r="C78" s="4" t="s">
        <v>195</v>
      </c>
      <c r="D78" s="4" t="s">
        <v>196</v>
      </c>
      <c r="E78" s="5" t="s">
        <v>197</v>
      </c>
      <c r="F78" s="9" t="n">
        <v>198.24</v>
      </c>
      <c r="G78" s="4"/>
      <c r="H78" s="6" t="n">
        <v>227.52</v>
      </c>
      <c r="I78" s="7" t="n">
        <f aca="false">IF(G78&lt;&gt;0,G78/H78,F78/H78)</f>
        <v>0.871308016877637</v>
      </c>
    </row>
    <row r="79" customFormat="false" ht="15" hidden="false" customHeight="false" outlineLevel="0" collapsed="false">
      <c r="A79" s="4" t="n">
        <v>12</v>
      </c>
      <c r="B79" s="4" t="n">
        <v>10036748090</v>
      </c>
      <c r="C79" s="4" t="s">
        <v>198</v>
      </c>
      <c r="D79" s="4" t="s">
        <v>199</v>
      </c>
      <c r="E79" s="5" t="s">
        <v>197</v>
      </c>
      <c r="F79" s="9" t="n">
        <v>83.02</v>
      </c>
      <c r="G79" s="4"/>
      <c r="H79" s="6" t="n">
        <v>227.52</v>
      </c>
      <c r="I79" s="7" t="n">
        <f aca="false">IF(G79&lt;&gt;0,G79/H79,F79/H79)</f>
        <v>0.36489099859353</v>
      </c>
    </row>
    <row r="80" customFormat="false" ht="15" hidden="false" customHeight="false" outlineLevel="0" collapsed="false">
      <c r="A80" s="4" t="n">
        <v>12</v>
      </c>
      <c r="B80" s="4" t="n">
        <v>10036748130</v>
      </c>
      <c r="C80" s="4" t="s">
        <v>200</v>
      </c>
      <c r="D80" s="4" t="s">
        <v>201</v>
      </c>
      <c r="E80" s="5" t="s">
        <v>197</v>
      </c>
      <c r="F80" s="9" t="n">
        <v>10.2</v>
      </c>
      <c r="G80" s="4"/>
      <c r="H80" s="6" t="n">
        <v>113.76</v>
      </c>
      <c r="I80" s="7" t="n">
        <f aca="false">IF(G80&lt;&gt;0,G80/H80,F80/H80)</f>
        <v>0.089662447257384</v>
      </c>
    </row>
    <row r="81" customFormat="false" ht="15" hidden="false" customHeight="false" outlineLevel="0" collapsed="false">
      <c r="A81" s="4" t="n">
        <v>12</v>
      </c>
      <c r="B81" s="4" t="n">
        <v>10036750940</v>
      </c>
      <c r="C81" s="4" t="s">
        <v>202</v>
      </c>
      <c r="D81" s="4" t="s">
        <v>203</v>
      </c>
      <c r="E81" s="5" t="s">
        <v>204</v>
      </c>
      <c r="F81" s="9" t="n">
        <v>197.2</v>
      </c>
      <c r="G81" s="4"/>
      <c r="H81" s="6" t="n">
        <v>226.16</v>
      </c>
      <c r="I81" s="7" t="n">
        <f aca="false">IF(G81&lt;&gt;0,G81/H81,F81/H81)</f>
        <v>0.871949062610541</v>
      </c>
    </row>
    <row r="82" customFormat="false" ht="15" hidden="false" customHeight="false" outlineLevel="0" collapsed="false">
      <c r="A82" s="4" t="n">
        <v>12</v>
      </c>
      <c r="B82" s="4" t="n">
        <v>10036750980</v>
      </c>
      <c r="C82" s="4" t="s">
        <v>205</v>
      </c>
      <c r="D82" s="4" t="s">
        <v>206</v>
      </c>
      <c r="E82" s="5" t="s">
        <v>204</v>
      </c>
      <c r="F82" s="9" t="n">
        <v>190.76</v>
      </c>
      <c r="G82" s="4"/>
      <c r="H82" s="6" t="n">
        <v>226.16</v>
      </c>
      <c r="I82" s="7" t="n">
        <f aca="false">IF(G82&lt;&gt;0,G82/H82,F82/H82)</f>
        <v>0.843473646975593</v>
      </c>
    </row>
    <row r="83" customFormat="false" ht="15" hidden="false" customHeight="false" outlineLevel="0" collapsed="false">
      <c r="A83" s="4" t="n">
        <v>12</v>
      </c>
      <c r="B83" s="4" t="n">
        <v>10036751030</v>
      </c>
      <c r="C83" s="4" t="s">
        <v>207</v>
      </c>
      <c r="D83" s="4" t="s">
        <v>208</v>
      </c>
      <c r="E83" s="5" t="s">
        <v>204</v>
      </c>
      <c r="F83" s="9" t="n">
        <v>98.49</v>
      </c>
      <c r="G83" s="4"/>
      <c r="H83" s="6" t="n">
        <v>113.08</v>
      </c>
      <c r="I83" s="7" t="n">
        <f aca="false">IF(G83&lt;&gt;0,G83/H83,F83/H83)</f>
        <v>0.870976299964627</v>
      </c>
    </row>
    <row r="84" customFormat="false" ht="15" hidden="false" customHeight="false" outlineLevel="0" collapsed="false">
      <c r="A84" s="4" t="n">
        <v>12</v>
      </c>
      <c r="B84" s="4" t="n">
        <v>834669283</v>
      </c>
      <c r="C84" s="4" t="s">
        <v>209</v>
      </c>
      <c r="D84" s="4" t="s">
        <v>210</v>
      </c>
      <c r="E84" s="5" t="s">
        <v>211</v>
      </c>
      <c r="F84" s="9" t="n">
        <v>168.37</v>
      </c>
      <c r="G84" s="4"/>
      <c r="H84" s="6" t="n">
        <v>197.8</v>
      </c>
      <c r="I84" s="7" t="n">
        <f aca="false">IF(G84&lt;&gt;0,G84/H84,F84/H84)</f>
        <v>0.851213346814965</v>
      </c>
    </row>
    <row r="85" customFormat="false" ht="15" hidden="false" customHeight="false" outlineLevel="0" collapsed="false">
      <c r="A85" s="4" t="n">
        <v>12</v>
      </c>
      <c r="B85" s="4" t="n">
        <v>834669341</v>
      </c>
      <c r="C85" s="4" t="s">
        <v>212</v>
      </c>
      <c r="D85" s="4" t="s">
        <v>213</v>
      </c>
      <c r="E85" s="5" t="s">
        <v>211</v>
      </c>
      <c r="F85" s="9" t="n">
        <v>171.6</v>
      </c>
      <c r="G85" s="4"/>
      <c r="H85" s="6" t="n">
        <v>197.8</v>
      </c>
      <c r="I85" s="7" t="n">
        <f aca="false">IF(G85&lt;&gt;0,G85/H85,F85/H85)</f>
        <v>0.867542972699697</v>
      </c>
    </row>
    <row r="86" customFormat="false" ht="15" hidden="false" customHeight="false" outlineLevel="0" collapsed="false">
      <c r="A86" s="4" t="n">
        <v>12</v>
      </c>
      <c r="B86" s="4" t="n">
        <v>834669366</v>
      </c>
      <c r="C86" s="4" t="s">
        <v>214</v>
      </c>
      <c r="D86" s="4" t="s">
        <v>215</v>
      </c>
      <c r="E86" s="5" t="s">
        <v>211</v>
      </c>
      <c r="F86" s="9" t="n">
        <v>84.75</v>
      </c>
      <c r="G86" s="4"/>
      <c r="H86" s="6" t="n">
        <v>98.9</v>
      </c>
      <c r="I86" s="7" t="n">
        <f aca="false">IF(G86&lt;&gt;0,G86/H86,F86/H86)</f>
        <v>0.856926188068756</v>
      </c>
    </row>
    <row r="87" customFormat="false" ht="15" hidden="false" customHeight="false" outlineLevel="0" collapsed="false">
      <c r="A87" s="4" t="n">
        <v>12</v>
      </c>
      <c r="B87" s="4" t="n">
        <v>834669374</v>
      </c>
      <c r="C87" s="4" t="s">
        <v>216</v>
      </c>
      <c r="D87" s="4" t="s">
        <v>217</v>
      </c>
      <c r="E87" s="5" t="s">
        <v>218</v>
      </c>
      <c r="F87" s="9" t="n">
        <v>147.62</v>
      </c>
      <c r="G87" s="4"/>
      <c r="H87" s="6" t="n">
        <v>184.4</v>
      </c>
      <c r="I87" s="7" t="n">
        <f aca="false">IF(G87&lt;&gt;0,G87/H87,F87/H87)</f>
        <v>0.800542299349241</v>
      </c>
    </row>
    <row r="88" customFormat="false" ht="15" hidden="false" customHeight="false" outlineLevel="0" collapsed="false">
      <c r="A88" s="4" t="n">
        <v>12</v>
      </c>
      <c r="B88" s="4" t="n">
        <v>834669390</v>
      </c>
      <c r="C88" s="4" t="s">
        <v>219</v>
      </c>
      <c r="D88" s="4" t="s">
        <v>220</v>
      </c>
      <c r="E88" s="5" t="s">
        <v>218</v>
      </c>
      <c r="F88" s="9" t="n">
        <v>142.68</v>
      </c>
      <c r="G88" s="4"/>
      <c r="H88" s="6" t="n">
        <v>184.4</v>
      </c>
      <c r="I88" s="7" t="n">
        <f aca="false">IF(G88&lt;&gt;0,G88/H88,F88/H88)</f>
        <v>0.773752711496746</v>
      </c>
    </row>
    <row r="89" customFormat="false" ht="15" hidden="false" customHeight="false" outlineLevel="0" collapsed="false">
      <c r="A89" s="4" t="n">
        <v>12</v>
      </c>
      <c r="B89" s="4" t="n">
        <v>834669424</v>
      </c>
      <c r="C89" s="4" t="s">
        <v>221</v>
      </c>
      <c r="D89" s="4" t="s">
        <v>222</v>
      </c>
      <c r="E89" s="5" t="s">
        <v>218</v>
      </c>
      <c r="F89" s="9" t="n">
        <v>85.78</v>
      </c>
      <c r="G89" s="4"/>
      <c r="H89" s="6" t="n">
        <v>92.2</v>
      </c>
      <c r="I89" s="7" t="n">
        <f aca="false">IF(G89&lt;&gt;0,G89/H89,F89/H89)</f>
        <v>0.930368763557484</v>
      </c>
    </row>
    <row r="90" customFormat="false" ht="15" hidden="false" customHeight="false" outlineLevel="0" collapsed="false">
      <c r="A90" s="4" t="n">
        <v>12</v>
      </c>
      <c r="B90" s="4"/>
      <c r="C90" s="4" t="s">
        <v>223</v>
      </c>
      <c r="D90" s="4" t="s">
        <v>224</v>
      </c>
      <c r="E90" s="5" t="s">
        <v>225</v>
      </c>
      <c r="F90" s="9" t="n">
        <v>44.4</v>
      </c>
      <c r="G90" s="4"/>
      <c r="H90" s="5" t="n">
        <v>125.68</v>
      </c>
      <c r="I90" s="7" t="n">
        <f aca="false">IF(G90&lt;&gt;0,G90/H90,F90/H90)</f>
        <v>0.353278166772756</v>
      </c>
    </row>
    <row r="91" customFormat="false" ht="15" hidden="false" customHeight="false" outlineLevel="0" collapsed="false">
      <c r="A91" s="4" t="n">
        <v>12</v>
      </c>
      <c r="B91" s="4"/>
      <c r="C91" s="4" t="s">
        <v>226</v>
      </c>
      <c r="D91" s="4" t="s">
        <v>227</v>
      </c>
      <c r="E91" s="5" t="s">
        <v>228</v>
      </c>
      <c r="F91" s="9" t="n">
        <v>50.47</v>
      </c>
      <c r="G91" s="4"/>
      <c r="H91" s="5" t="n">
        <v>125.68</v>
      </c>
      <c r="I91" s="7" t="n">
        <f aca="false">IF(G91&lt;&gt;0,G91/H91,F91/H91)</f>
        <v>0.401575429662635</v>
      </c>
    </row>
    <row r="92" customFormat="false" ht="15" hidden="false" customHeight="true" outlineLevel="0" collapsed="false">
      <c r="A92" s="10" t="s">
        <v>229</v>
      </c>
      <c r="B92" s="10"/>
      <c r="C92" s="10"/>
      <c r="D92" s="10"/>
      <c r="E92" s="10"/>
      <c r="F92" s="11" t="n">
        <f aca="false">SUM(F2:F91)</f>
        <v>9296.49</v>
      </c>
      <c r="G92" s="11" t="n">
        <f aca="false">SUM(F14:F91,G13,F3:F12,G2)</f>
        <v>9424.499</v>
      </c>
      <c r="H92" s="11" t="n">
        <f aca="false">SUM(H2:H91)</f>
        <v>11617.9</v>
      </c>
      <c r="I92" s="12" t="n">
        <f aca="false">IF(G92&lt;&gt;0,G92/H92,F92/H92)</f>
        <v>0.811205037054889</v>
      </c>
    </row>
  </sheetData>
  <mergeCells count="1">
    <mergeCell ref="A92:E9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L1" activePane="topRight" state="frozen"/>
      <selection pane="topLeft" activeCell="A1" activeCellId="0" sqref="A1"/>
      <selection pane="topRight" activeCell="O4" activeCellId="0" sqref="O4"/>
    </sheetView>
  </sheetViews>
  <sheetFormatPr defaultColWidth="8.6796875" defaultRowHeight="15" zeroHeight="false" outlineLevelRow="0" outlineLevelCol="0"/>
  <cols>
    <col collapsed="false" customWidth="true" hidden="true" outlineLevel="0" max="1" min="1" style="13" width="17.42"/>
    <col collapsed="false" customWidth="true" hidden="false" outlineLevel="0" max="2" min="2" style="1" width="32.15"/>
    <col collapsed="false" customWidth="true" hidden="false" outlineLevel="0" max="3" min="3" style="1" width="29.42"/>
    <col collapsed="false" customWidth="true" hidden="false" outlineLevel="0" max="4" min="4" style="14" width="22.57"/>
    <col collapsed="false" customWidth="true" hidden="false" outlineLevel="0" max="6" min="5" style="14" width="19.57"/>
    <col collapsed="false" customWidth="true" hidden="false" outlineLevel="0" max="7" min="7" style="15" width="27.15"/>
    <col collapsed="false" customWidth="true" hidden="false" outlineLevel="0" max="8" min="8" style="1" width="15.71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5.71"/>
    <col collapsed="false" customWidth="true" hidden="false" outlineLevel="0" max="12" min="12" style="1" width="142"/>
    <col collapsed="false" customWidth="true" hidden="false" outlineLevel="0" max="13" min="13" style="1" width="18.29"/>
    <col collapsed="false" customWidth="true" hidden="false" outlineLevel="0" max="14" min="14" style="1" width="36.57"/>
    <col collapsed="false" customWidth="true" hidden="false" outlineLevel="0" max="15" min="15" style="1" width="184"/>
    <col collapsed="false" customWidth="true" hidden="false" outlineLevel="0" max="16" min="16" style="1" width="90.71"/>
    <col collapsed="false" customWidth="true" hidden="false" outlineLevel="0" max="17" min="17" style="1" width="16"/>
  </cols>
  <sheetData>
    <row r="1" customFormat="false" ht="15" hidden="false" customHeight="false" outlineLevel="0" collapsed="false">
      <c r="A1" s="16" t="s">
        <v>1</v>
      </c>
      <c r="B1" s="17" t="s">
        <v>230</v>
      </c>
      <c r="C1" s="17" t="s">
        <v>231</v>
      </c>
      <c r="D1" s="18" t="s">
        <v>232</v>
      </c>
      <c r="E1" s="18" t="s">
        <v>233</v>
      </c>
      <c r="F1" s="18" t="s">
        <v>234</v>
      </c>
      <c r="G1" s="19" t="s">
        <v>235</v>
      </c>
      <c r="H1" s="17" t="s">
        <v>236</v>
      </c>
      <c r="I1" s="17" t="s">
        <v>237</v>
      </c>
      <c r="J1" s="17" t="s">
        <v>238</v>
      </c>
      <c r="K1" s="17" t="s">
        <v>239</v>
      </c>
      <c r="L1" s="17" t="s">
        <v>240</v>
      </c>
      <c r="M1" s="17" t="s">
        <v>241</v>
      </c>
      <c r="N1" s="17" t="s">
        <v>242</v>
      </c>
      <c r="O1" s="17" t="s">
        <v>243</v>
      </c>
      <c r="P1" s="17" t="s">
        <v>244</v>
      </c>
      <c r="Q1" s="17" t="s">
        <v>245</v>
      </c>
    </row>
    <row r="2" customFormat="false" ht="15" hidden="false" customHeight="false" outlineLevel="0" collapsed="false">
      <c r="B2" s="1" t="s">
        <v>246</v>
      </c>
      <c r="C2" s="1" t="s">
        <v>247</v>
      </c>
      <c r="D2" s="14" t="n">
        <v>46054.2729166667</v>
      </c>
      <c r="E2" s="14" t="n">
        <v>46054.2729166667</v>
      </c>
      <c r="F2" s="14" t="n">
        <v>46054.4340277778</v>
      </c>
      <c r="G2" s="15" t="n">
        <f aca="false">F2-E2</f>
        <v>0.161111111111111</v>
      </c>
      <c r="H2" s="20" t="s">
        <v>248</v>
      </c>
      <c r="J2" s="20" t="s">
        <v>249</v>
      </c>
      <c r="K2" s="1" t="e">
        <f aca="false">_xlfn.xlookup(J2,REF!$D$2:$D$12,REF!$E$2:$E$12)</f>
        <v>#NAME?</v>
      </c>
      <c r="L2" s="1" t="s">
        <v>250</v>
      </c>
      <c r="M2" s="20" t="s">
        <v>251</v>
      </c>
      <c r="N2" s="20" t="s">
        <v>252</v>
      </c>
      <c r="O2" s="21" t="s">
        <v>253</v>
      </c>
      <c r="P2" s="22" t="str">
        <f aca="false">_xlfn.CONCAT(B2,C2,D2,E2,F2)</f>
        <v>BC Turvania1.3Inverter(MBUS-13)46054.272916666746054.272916666746054.4340277778</v>
      </c>
      <c r="Q2" s="1" t="str">
        <f aca="false">_xlfn.CONCAT(H2,I2,J2)</f>
        <v>DAUINV</v>
      </c>
    </row>
    <row r="3" customFormat="false" ht="15" hidden="false" customHeight="false" outlineLevel="0" collapsed="false">
      <c r="B3" s="1" t="s">
        <v>254</v>
      </c>
      <c r="C3" s="1" t="s">
        <v>255</v>
      </c>
      <c r="D3" s="14" t="n">
        <v>46054.3604166667</v>
      </c>
      <c r="E3" s="14" t="n">
        <v>46054.3604166667</v>
      </c>
      <c r="F3" s="14" t="n">
        <v>46054.3875</v>
      </c>
      <c r="G3" s="15" t="n">
        <f aca="false">F3-E3</f>
        <v>0.0270833333333333</v>
      </c>
      <c r="H3" s="20" t="s">
        <v>248</v>
      </c>
      <c r="J3" s="20" t="s">
        <v>256</v>
      </c>
      <c r="K3" s="1" t="e">
        <f aca="false">_xlfn.xlookup(J3,REF!$D$2:$D$12,REF!$E$2:$E$12)</f>
        <v>#NAME?</v>
      </c>
      <c r="L3" s="1" t="s">
        <v>257</v>
      </c>
      <c r="M3" s="20" t="s">
        <v>258</v>
      </c>
      <c r="N3" s="20" t="s">
        <v>259</v>
      </c>
      <c r="O3" s="1" t="s">
        <v>260</v>
      </c>
      <c r="P3" s="22" t="str">
        <f aca="false">_xlfn.CONCAT(B3,C3,D3,E3,F3)</f>
        <v>BC Aracu5.1Inverter(MBUS-1)46054.360416666746054.360416666746054.3875</v>
      </c>
      <c r="Q3" s="1" t="str">
        <f aca="false">_xlfn.CONCAT(H3,I3,J3)</f>
        <v>DAURDE</v>
      </c>
    </row>
    <row r="4" customFormat="false" ht="15" hidden="false" customHeight="false" outlineLevel="0" collapsed="false">
      <c r="B4" s="1" t="s">
        <v>261</v>
      </c>
      <c r="C4" s="1" t="s">
        <v>262</v>
      </c>
      <c r="D4" s="14" t="n">
        <v>46054.3840277778</v>
      </c>
      <c r="E4" s="14" t="n">
        <v>46054.3840277778</v>
      </c>
      <c r="F4" s="14" t="n">
        <v>46054.4166666667</v>
      </c>
      <c r="G4" s="15" t="n">
        <f aca="false">F4-E4</f>
        <v>0.0326388888888889</v>
      </c>
      <c r="H4" s="20" t="s">
        <v>248</v>
      </c>
      <c r="I4" s="1" t="s">
        <v>263</v>
      </c>
      <c r="J4" s="20" t="s">
        <v>264</v>
      </c>
      <c r="K4" s="1" t="e">
        <f aca="false">_xlfn.xlookup(J4,REF!$D$2:$D$12,REF!$E$2:$E$12)</f>
        <v>#NAME?</v>
      </c>
      <c r="L4" s="1" t="s">
        <v>265</v>
      </c>
      <c r="M4" s="20" t="s">
        <v>266</v>
      </c>
      <c r="N4" s="20" t="s">
        <v>267</v>
      </c>
      <c r="O4" s="1" t="s">
        <v>268</v>
      </c>
      <c r="P4" s="22" t="str">
        <f aca="false">_xlfn.CONCAT(B4,C4,D4,E4,F4)</f>
        <v>BC Corumba2.2U02.I0146054.384027777846054.384027777846054.4166666667</v>
      </c>
      <c r="Q4" s="1" t="str">
        <f aca="false">_xlfn.CONCAT(H4,I4,J4)</f>
        <v>DAURFOCOM</v>
      </c>
    </row>
    <row r="5" customFormat="false" ht="15" hidden="false" customHeight="false" outlineLevel="0" collapsed="false">
      <c r="B5" s="1" t="s">
        <v>261</v>
      </c>
      <c r="C5" s="1" t="s">
        <v>269</v>
      </c>
      <c r="D5" s="14" t="n">
        <v>46054.3840277778</v>
      </c>
      <c r="E5" s="14" t="n">
        <v>46054.3840277778</v>
      </c>
      <c r="F5" s="14" t="n">
        <v>46054.4166666667</v>
      </c>
      <c r="G5" s="15" t="n">
        <f aca="false">F5-E5</f>
        <v>0.0326388888888889</v>
      </c>
      <c r="H5" s="20" t="s">
        <v>248</v>
      </c>
      <c r="I5" s="1" t="s">
        <v>263</v>
      </c>
      <c r="J5" s="20" t="s">
        <v>264</v>
      </c>
      <c r="K5" s="1" t="e">
        <f aca="false">_xlfn.xlookup(J5,REF!$D$2:$D$12,REF!$E$2:$E$12)</f>
        <v>#NAME?</v>
      </c>
      <c r="L5" s="1" t="s">
        <v>265</v>
      </c>
      <c r="M5" s="20" t="s">
        <v>266</v>
      </c>
      <c r="N5" s="20" t="s">
        <v>267</v>
      </c>
      <c r="O5" s="1" t="s">
        <v>268</v>
      </c>
      <c r="P5" s="22" t="str">
        <f aca="false">_xlfn.CONCAT(B5,C5,D5,E5,F5)</f>
        <v>BC Corumba2.2U02.I0246054.384027777846054.384027777846054.4166666667</v>
      </c>
      <c r="Q5" s="1" t="str">
        <f aca="false">_xlfn.CONCAT(H5,I5,J5)</f>
        <v>DAURFOCOM</v>
      </c>
    </row>
    <row r="6" customFormat="false" ht="15" hidden="false" customHeight="false" outlineLevel="0" collapsed="false">
      <c r="B6" s="1" t="s">
        <v>261</v>
      </c>
      <c r="C6" s="1" t="s">
        <v>270</v>
      </c>
      <c r="D6" s="14" t="n">
        <v>46054.3840277778</v>
      </c>
      <c r="E6" s="14" t="n">
        <v>46054.3840277778</v>
      </c>
      <c r="F6" s="14" t="n">
        <v>46054.4166666667</v>
      </c>
      <c r="G6" s="15" t="n">
        <f aca="false">F6-E6</f>
        <v>0.0326388888888889</v>
      </c>
      <c r="H6" s="20" t="s">
        <v>248</v>
      </c>
      <c r="I6" s="1" t="s">
        <v>263</v>
      </c>
      <c r="J6" s="20" t="s">
        <v>264</v>
      </c>
      <c r="K6" s="1" t="e">
        <f aca="false">_xlfn.xlookup(J6,REF!$D$2:$D$12,REF!$E$2:$E$12)</f>
        <v>#NAME?</v>
      </c>
      <c r="L6" s="1" t="s">
        <v>265</v>
      </c>
      <c r="M6" s="20" t="s">
        <v>266</v>
      </c>
      <c r="N6" s="20" t="s">
        <v>267</v>
      </c>
      <c r="O6" s="1" t="s">
        <v>268</v>
      </c>
      <c r="P6" s="22" t="str">
        <f aca="false">_xlfn.CONCAT(B6,C6,D6,E6,F6)</f>
        <v>BC Corumba2.2U02.I0346054.384027777846054.384027777846054.4166666667</v>
      </c>
      <c r="Q6" s="1" t="str">
        <f aca="false">_xlfn.CONCAT(H6,I6,J6)</f>
        <v>DAURFOCOM</v>
      </c>
    </row>
    <row r="7" customFormat="false" ht="15" hidden="false" customHeight="false" outlineLevel="0" collapsed="false">
      <c r="B7" s="1" t="s">
        <v>261</v>
      </c>
      <c r="C7" s="1" t="s">
        <v>271</v>
      </c>
      <c r="D7" s="14" t="n">
        <v>46054.3840277778</v>
      </c>
      <c r="E7" s="14" t="n">
        <v>46054.3840277778</v>
      </c>
      <c r="F7" s="14" t="n">
        <v>46054.4166666667</v>
      </c>
      <c r="G7" s="15" t="n">
        <f aca="false">F7-E7</f>
        <v>0.0326388888888889</v>
      </c>
      <c r="H7" s="20" t="s">
        <v>248</v>
      </c>
      <c r="I7" s="1" t="s">
        <v>263</v>
      </c>
      <c r="J7" s="20" t="s">
        <v>264</v>
      </c>
      <c r="K7" s="1" t="e">
        <f aca="false">_xlfn.xlookup(J7,REF!$D$2:$D$12,REF!$E$2:$E$12)</f>
        <v>#NAME?</v>
      </c>
      <c r="L7" s="1" t="s">
        <v>265</v>
      </c>
      <c r="M7" s="20" t="s">
        <v>266</v>
      </c>
      <c r="N7" s="20" t="s">
        <v>267</v>
      </c>
      <c r="O7" s="1" t="s">
        <v>268</v>
      </c>
      <c r="P7" s="22" t="str">
        <f aca="false">_xlfn.CONCAT(B7,C7,D7,E7,F7)</f>
        <v>BC Corumba2.2U02.I0446054.384027777846054.384027777846054.4166666667</v>
      </c>
      <c r="Q7" s="1" t="str">
        <f aca="false">_xlfn.CONCAT(H7,I7,J7)</f>
        <v>DAURFOCOM</v>
      </c>
    </row>
    <row r="8" customFormat="false" ht="15" hidden="false" customHeight="false" outlineLevel="0" collapsed="false">
      <c r="B8" s="1" t="s">
        <v>261</v>
      </c>
      <c r="C8" s="1" t="s">
        <v>272</v>
      </c>
      <c r="D8" s="14" t="n">
        <v>46054.3840277778</v>
      </c>
      <c r="E8" s="14" t="n">
        <v>46054.3840277778</v>
      </c>
      <c r="F8" s="14" t="n">
        <v>46054.4166666667</v>
      </c>
      <c r="G8" s="15" t="n">
        <f aca="false">F8-E8</f>
        <v>0.0326388888888889</v>
      </c>
      <c r="H8" s="20" t="s">
        <v>248</v>
      </c>
      <c r="I8" s="1" t="s">
        <v>263</v>
      </c>
      <c r="J8" s="20" t="s">
        <v>264</v>
      </c>
      <c r="K8" s="1" t="e">
        <f aca="false">_xlfn.xlookup(J8,REF!$D$2:$D$12,REF!$E$2:$E$12)</f>
        <v>#NAME?</v>
      </c>
      <c r="L8" s="1" t="s">
        <v>265</v>
      </c>
      <c r="M8" s="20" t="s">
        <v>266</v>
      </c>
      <c r="N8" s="20" t="s">
        <v>267</v>
      </c>
      <c r="O8" s="1" t="s">
        <v>268</v>
      </c>
      <c r="P8" s="22" t="str">
        <f aca="false">_xlfn.CONCAT(B8,C8,D8,E8,F8)</f>
        <v>BC Corumba2.2U02.I0546054.384027777846054.384027777846054.4166666667</v>
      </c>
      <c r="Q8" s="1" t="str">
        <f aca="false">_xlfn.CONCAT(H8,I8,J8)</f>
        <v>DAURFOCOM</v>
      </c>
    </row>
    <row r="9" customFormat="false" ht="15" hidden="false" customHeight="false" outlineLevel="0" collapsed="false">
      <c r="B9" s="1" t="s">
        <v>273</v>
      </c>
      <c r="C9" s="1" t="s">
        <v>274</v>
      </c>
      <c r="D9" s="14" t="n">
        <v>46054.4145833333</v>
      </c>
      <c r="E9" s="14" t="n">
        <v>46054.4145833333</v>
      </c>
      <c r="F9" s="14" t="n">
        <v>46054.4430555556</v>
      </c>
      <c r="G9" s="15" t="n">
        <f aca="false">F9-E9</f>
        <v>0.0284722222222222</v>
      </c>
      <c r="H9" s="20" t="s">
        <v>248</v>
      </c>
      <c r="J9" s="20" t="s">
        <v>256</v>
      </c>
      <c r="K9" s="1" t="e">
        <f aca="false">_xlfn.xlookup(J9,REF!$D$2:$D$12,REF!$E$2:$E$12)</f>
        <v>#NAME?</v>
      </c>
      <c r="L9" s="1" t="s">
        <v>275</v>
      </c>
      <c r="M9" s="20" t="s">
        <v>258</v>
      </c>
      <c r="N9" s="20" t="s">
        <v>259</v>
      </c>
      <c r="O9" s="1" t="s">
        <v>260</v>
      </c>
      <c r="P9" s="22" t="str">
        <f aca="false">_xlfn.CONCAT(B9,C9,D9,E9,F9)</f>
        <v>BC Vazante 1.1Inverter1246054.414583333346054.414583333346054.4430555556</v>
      </c>
      <c r="Q9" s="1" t="str">
        <f aca="false">_xlfn.CONCAT(H9,I9,J9)</f>
        <v>DAURDE</v>
      </c>
    </row>
    <row r="10" customFormat="false" ht="15" hidden="false" customHeight="false" outlineLevel="0" collapsed="false">
      <c r="B10" s="1" t="s">
        <v>276</v>
      </c>
      <c r="C10" s="1" t="s">
        <v>277</v>
      </c>
      <c r="D10" s="14" t="n">
        <v>46054.4166666667</v>
      </c>
      <c r="E10" s="14" t="n">
        <v>46054.4166666667</v>
      </c>
      <c r="F10" s="14" t="n">
        <v>46054.7395833333</v>
      </c>
      <c r="G10" s="15" t="n">
        <f aca="false">F10-E10</f>
        <v>0.322916666666667</v>
      </c>
      <c r="H10" s="20" t="s">
        <v>248</v>
      </c>
      <c r="J10" s="20" t="s">
        <v>256</v>
      </c>
      <c r="K10" s="1" t="e">
        <f aca="false">_xlfn.xlookup(J10,REF!$D$2:$D$12,REF!$E$2:$E$12)</f>
        <v>#NAME?</v>
      </c>
      <c r="L10" s="1" t="s">
        <v>275</v>
      </c>
      <c r="M10" s="20" t="s">
        <v>258</v>
      </c>
      <c r="N10" s="20" t="s">
        <v>259</v>
      </c>
      <c r="O10" s="1" t="s">
        <v>278</v>
      </c>
      <c r="P10" s="22" t="str">
        <f aca="false">_xlfn.CONCAT(B10,C10,D10,E10,F10)</f>
        <v>ARAGUATINS 2.1Inverter(MBUS-12)46054.416666666746054.416666666746054.7395833333</v>
      </c>
      <c r="Q10" s="1" t="str">
        <f aca="false">_xlfn.CONCAT(H10,I10,J10)</f>
        <v>DAURDE</v>
      </c>
    </row>
    <row r="11" customFormat="false" ht="15" hidden="false" customHeight="false" outlineLevel="0" collapsed="false">
      <c r="B11" s="1" t="s">
        <v>276</v>
      </c>
      <c r="C11" s="1" t="s">
        <v>279</v>
      </c>
      <c r="D11" s="14" t="n">
        <v>46054.4166666667</v>
      </c>
      <c r="E11" s="14" t="n">
        <v>46054.4166666667</v>
      </c>
      <c r="F11" s="14" t="n">
        <v>46054.7395833333</v>
      </c>
      <c r="G11" s="15" t="n">
        <f aca="false">F11-E11</f>
        <v>0.322916666666667</v>
      </c>
      <c r="H11" s="20" t="s">
        <v>248</v>
      </c>
      <c r="J11" s="20" t="s">
        <v>256</v>
      </c>
      <c r="K11" s="1" t="e">
        <f aca="false">_xlfn.xlookup(J11,REF!$D$2:$D$12,REF!$E$2:$E$12)</f>
        <v>#NAME?</v>
      </c>
      <c r="L11" s="1" t="s">
        <v>275</v>
      </c>
      <c r="M11" s="20" t="s">
        <v>258</v>
      </c>
      <c r="N11" s="20" t="s">
        <v>259</v>
      </c>
      <c r="O11" s="1" t="s">
        <v>278</v>
      </c>
      <c r="P11" s="22" t="str">
        <f aca="false">_xlfn.CONCAT(B11,C11,D11,E11,F11)</f>
        <v>ARAGUATINS 2.1Inverter(MBUS-15)46054.416666666746054.416666666746054.7395833333</v>
      </c>
      <c r="Q11" s="1" t="str">
        <f aca="false">_xlfn.CONCAT(H11,I11,J11)</f>
        <v>DAURDE</v>
      </c>
    </row>
    <row r="12" customFormat="false" ht="15" hidden="false" customHeight="false" outlineLevel="0" collapsed="false">
      <c r="B12" s="1" t="s">
        <v>276</v>
      </c>
      <c r="C12" s="1" t="s">
        <v>280</v>
      </c>
      <c r="D12" s="14" t="n">
        <v>46054.4166666667</v>
      </c>
      <c r="E12" s="14" t="n">
        <v>46054.4166666667</v>
      </c>
      <c r="F12" s="14" t="n">
        <v>46054.7395833333</v>
      </c>
      <c r="G12" s="15" t="n">
        <f aca="false">F12-E12</f>
        <v>0.322916666666667</v>
      </c>
      <c r="H12" s="20" t="s">
        <v>248</v>
      </c>
      <c r="J12" s="20" t="s">
        <v>256</v>
      </c>
      <c r="K12" s="1" t="e">
        <f aca="false">_xlfn.xlookup(J12,REF!$D$2:$D$12,REF!$E$2:$E$12)</f>
        <v>#NAME?</v>
      </c>
      <c r="L12" s="1" t="s">
        <v>275</v>
      </c>
      <c r="M12" s="20" t="s">
        <v>258</v>
      </c>
      <c r="N12" s="20" t="s">
        <v>259</v>
      </c>
      <c r="O12" s="1" t="s">
        <v>278</v>
      </c>
      <c r="P12" s="22" t="str">
        <f aca="false">_xlfn.CONCAT(B12,C12,D12,E12,F12)</f>
        <v>ARAGUATINS 2.1Inverter(MBUS-14)46054.416666666746054.416666666746054.7395833333</v>
      </c>
      <c r="Q12" s="1" t="str">
        <f aca="false">_xlfn.CONCAT(H12,I12,J12)</f>
        <v>DAURDE</v>
      </c>
    </row>
    <row r="13" customFormat="false" ht="15" hidden="false" customHeight="false" outlineLevel="0" collapsed="false">
      <c r="B13" s="1" t="s">
        <v>276</v>
      </c>
      <c r="C13" s="1" t="s">
        <v>255</v>
      </c>
      <c r="D13" s="14" t="n">
        <v>46054.4166666667</v>
      </c>
      <c r="E13" s="14" t="n">
        <v>46054.4166666667</v>
      </c>
      <c r="F13" s="14" t="n">
        <v>46054.7395833333</v>
      </c>
      <c r="G13" s="15" t="n">
        <f aca="false">F13-E13</f>
        <v>0.322916666666667</v>
      </c>
      <c r="H13" s="20" t="s">
        <v>248</v>
      </c>
      <c r="J13" s="20" t="s">
        <v>256</v>
      </c>
      <c r="K13" s="1" t="e">
        <f aca="false">_xlfn.xlookup(J13,REF!$D$2:$D$12,REF!$E$2:$E$12)</f>
        <v>#NAME?</v>
      </c>
      <c r="L13" s="1" t="s">
        <v>275</v>
      </c>
      <c r="M13" s="20" t="s">
        <v>258</v>
      </c>
      <c r="N13" s="20" t="s">
        <v>259</v>
      </c>
      <c r="O13" s="1" t="s">
        <v>278</v>
      </c>
      <c r="P13" s="22" t="str">
        <f aca="false">_xlfn.CONCAT(B13,C13,D13,E13,F13)</f>
        <v>ARAGUATINS 2.1Inverter(MBUS-1)46054.416666666746054.416666666746054.7395833333</v>
      </c>
      <c r="Q13" s="1" t="str">
        <f aca="false">_xlfn.CONCAT(H13,I13,J13)</f>
        <v>DAURDE</v>
      </c>
    </row>
    <row r="14" customFormat="false" ht="15" hidden="false" customHeight="false" outlineLevel="0" collapsed="false">
      <c r="B14" s="1" t="s">
        <v>281</v>
      </c>
      <c r="C14" s="1" t="s">
        <v>282</v>
      </c>
      <c r="D14" s="14" t="n">
        <v>46055.2986111111</v>
      </c>
      <c r="E14" s="14" t="n">
        <v>46055.2986111111</v>
      </c>
      <c r="G14" s="15" t="n">
        <f aca="false">F14-E14</f>
        <v>-46055.2986111111</v>
      </c>
      <c r="H14" s="20" t="s">
        <v>248</v>
      </c>
      <c r="J14" s="20" t="s">
        <v>249</v>
      </c>
      <c r="K14" s="1" t="e">
        <f aca="false">_xlfn.xlookup(J14,REF!$D$2:$D$12,REF!$E$2:$E$12)</f>
        <v>#NAME?</v>
      </c>
      <c r="L14" s="1" t="s">
        <v>283</v>
      </c>
      <c r="M14" s="20" t="s">
        <v>251</v>
      </c>
      <c r="N14" s="20" t="s">
        <v>284</v>
      </c>
      <c r="O14" s="1" t="s">
        <v>285</v>
      </c>
      <c r="P14" s="22" t="str">
        <f aca="false">_xlfn.CONCAT(B14,C14,D14,E14,F14)</f>
        <v>BC Varjao1.3215KTL-H0(MBUS-14)46055.298611111146055.2986111111</v>
      </c>
      <c r="Q14" s="1" t="str">
        <f aca="false">_xlfn.CONCAT(H14,I14,J14)</f>
        <v>DAUINV</v>
      </c>
    </row>
    <row r="15" customFormat="false" ht="15" hidden="false" customHeight="false" outlineLevel="0" collapsed="false">
      <c r="B15" s="1" t="s">
        <v>276</v>
      </c>
      <c r="C15" s="1" t="s">
        <v>277</v>
      </c>
      <c r="D15" s="23" t="n">
        <v>46055.3506944444</v>
      </c>
      <c r="E15" s="23" t="n">
        <v>46055.3506944444</v>
      </c>
      <c r="F15" s="14" t="n">
        <v>46055.5034722222</v>
      </c>
      <c r="G15" s="15" t="n">
        <f aca="false">F15-E15</f>
        <v>0.152777777777778</v>
      </c>
      <c r="H15" s="20" t="s">
        <v>286</v>
      </c>
      <c r="J15" s="20" t="s">
        <v>230</v>
      </c>
      <c r="K15" s="1" t="e">
        <f aca="false">_xlfn.xlookup(J15,REF!$D$2:$D$12,REF!$E$2:$E$12)</f>
        <v>#NAME?</v>
      </c>
      <c r="L15" s="1" t="s">
        <v>287</v>
      </c>
      <c r="M15" s="20" t="s">
        <v>288</v>
      </c>
      <c r="N15" s="20" t="s">
        <v>289</v>
      </c>
      <c r="O15" s="1" t="s">
        <v>290</v>
      </c>
      <c r="P15" s="22" t="str">
        <f aca="false">_xlfn.CONCAT(B15,C15,D15,E15,F15)</f>
        <v>ARAGUATINS 2.1Inverter(MBUS-12)46055.350694444446055.350694444446055.5034722222</v>
      </c>
      <c r="Q15" s="1" t="str">
        <f aca="false">_xlfn.CONCAT(H15,I15,J15)</f>
        <v>DEMUFV</v>
      </c>
    </row>
    <row r="16" customFormat="false" ht="15" hidden="false" customHeight="false" outlineLevel="0" collapsed="false">
      <c r="B16" s="1" t="s">
        <v>276</v>
      </c>
      <c r="C16" s="1" t="s">
        <v>279</v>
      </c>
      <c r="D16" s="23" t="n">
        <v>46055.3506944444</v>
      </c>
      <c r="E16" s="23" t="n">
        <v>46055.3506944444</v>
      </c>
      <c r="F16" s="14" t="n">
        <v>46055.5034722222</v>
      </c>
      <c r="G16" s="15" t="n">
        <f aca="false">F16-E16</f>
        <v>0.152777777777778</v>
      </c>
      <c r="H16" s="20" t="s">
        <v>286</v>
      </c>
      <c r="J16" s="20" t="s">
        <v>230</v>
      </c>
      <c r="K16" s="1" t="e">
        <f aca="false">_xlfn.xlookup(J16,REF!$D$2:$D$12,REF!$E$2:$E$12)</f>
        <v>#NAME?</v>
      </c>
      <c r="L16" s="1" t="s">
        <v>287</v>
      </c>
      <c r="M16" s="20" t="s">
        <v>288</v>
      </c>
      <c r="N16" s="20" t="s">
        <v>289</v>
      </c>
      <c r="O16" s="1" t="s">
        <v>290</v>
      </c>
      <c r="P16" s="22" t="str">
        <f aca="false">_xlfn.CONCAT(B16,C16,D16,E16,F16)</f>
        <v>ARAGUATINS 2.1Inverter(MBUS-15)46055.350694444446055.350694444446055.5034722222</v>
      </c>
      <c r="Q16" s="1" t="str">
        <f aca="false">_xlfn.CONCAT(H16,I16,J16)</f>
        <v>DEMUFV</v>
      </c>
    </row>
    <row r="17" customFormat="false" ht="15" hidden="false" customHeight="false" outlineLevel="0" collapsed="false">
      <c r="B17" s="1" t="s">
        <v>276</v>
      </c>
      <c r="C17" s="1" t="s">
        <v>280</v>
      </c>
      <c r="D17" s="23" t="n">
        <v>46055.3506944444</v>
      </c>
      <c r="E17" s="23" t="n">
        <v>46055.3506944444</v>
      </c>
      <c r="F17" s="14" t="n">
        <v>46055.5034722222</v>
      </c>
      <c r="G17" s="15" t="n">
        <f aca="false">F17-E17</f>
        <v>0.152777777777778</v>
      </c>
      <c r="H17" s="20" t="s">
        <v>286</v>
      </c>
      <c r="J17" s="20" t="s">
        <v>230</v>
      </c>
      <c r="K17" s="1" t="e">
        <f aca="false">_xlfn.xlookup(J17,REF!$D$2:$D$12,REF!$E$2:$E$12)</f>
        <v>#NAME?</v>
      </c>
      <c r="L17" s="1" t="s">
        <v>287</v>
      </c>
      <c r="M17" s="20" t="s">
        <v>288</v>
      </c>
      <c r="N17" s="20" t="s">
        <v>289</v>
      </c>
      <c r="O17" s="1" t="s">
        <v>290</v>
      </c>
      <c r="P17" s="22" t="str">
        <f aca="false">_xlfn.CONCAT(B17,C17,D17,E17,F17)</f>
        <v>ARAGUATINS 2.1Inverter(MBUS-14)46055.350694444446055.350694444446055.5034722222</v>
      </c>
      <c r="Q17" s="1" t="str">
        <f aca="false">_xlfn.CONCAT(H17,I17,J17)</f>
        <v>DEMUFV</v>
      </c>
    </row>
    <row r="18" customFormat="false" ht="15" hidden="false" customHeight="false" outlineLevel="0" collapsed="false">
      <c r="B18" s="1" t="s">
        <v>276</v>
      </c>
      <c r="C18" s="1" t="s">
        <v>255</v>
      </c>
      <c r="D18" s="23" t="n">
        <v>46055.3506944444</v>
      </c>
      <c r="E18" s="23" t="n">
        <v>46055.3506944444</v>
      </c>
      <c r="F18" s="14" t="n">
        <v>46055.5034722222</v>
      </c>
      <c r="G18" s="15" t="n">
        <f aca="false">F18-E18</f>
        <v>0.152777777777778</v>
      </c>
      <c r="H18" s="20" t="s">
        <v>286</v>
      </c>
      <c r="J18" s="20" t="s">
        <v>230</v>
      </c>
      <c r="K18" s="1" t="e">
        <f aca="false">_xlfn.xlookup(J18,REF!$D$2:$D$12,REF!$E$2:$E$12)</f>
        <v>#NAME?</v>
      </c>
      <c r="L18" s="1" t="s">
        <v>287</v>
      </c>
      <c r="M18" s="20" t="s">
        <v>288</v>
      </c>
      <c r="N18" s="20" t="s">
        <v>289</v>
      </c>
      <c r="O18" s="1" t="s">
        <v>290</v>
      </c>
      <c r="P18" s="22" t="str">
        <f aca="false">_xlfn.CONCAT(B18,C18,D18,E18,F18)</f>
        <v>ARAGUATINS 2.1Inverter(MBUS-1)46055.350694444446055.350694444446055.5034722222</v>
      </c>
      <c r="Q18" s="1" t="str">
        <f aca="false">_xlfn.CONCAT(H18,I18,J18)</f>
        <v>DEMUFV</v>
      </c>
    </row>
    <row r="19" customFormat="false" ht="15" hidden="false" customHeight="false" outlineLevel="0" collapsed="false">
      <c r="B19" s="1" t="s">
        <v>41</v>
      </c>
      <c r="C19" s="1" t="s">
        <v>291</v>
      </c>
      <c r="D19" s="14" t="n">
        <v>46055.3819444444</v>
      </c>
      <c r="E19" s="14" t="n">
        <v>46055.3819444444</v>
      </c>
      <c r="F19" s="14" t="n">
        <v>46055.4465277778</v>
      </c>
      <c r="G19" s="15" t="n">
        <f aca="false">F19-E19</f>
        <v>0.0645833333333333</v>
      </c>
      <c r="H19" s="20" t="s">
        <v>248</v>
      </c>
      <c r="I19" s="1" t="s">
        <v>263</v>
      </c>
      <c r="J19" s="20" t="s">
        <v>264</v>
      </c>
      <c r="K19" s="1" t="e">
        <f aca="false">_xlfn.xlookup(J19,REF!$D$2:$D$12,REF!$E$2:$E$12)</f>
        <v>#NAME?</v>
      </c>
      <c r="L19" s="1" t="s">
        <v>292</v>
      </c>
      <c r="M19" s="20" t="s">
        <v>266</v>
      </c>
      <c r="N19" s="20" t="s">
        <v>252</v>
      </c>
      <c r="O19" s="1" t="s">
        <v>293</v>
      </c>
      <c r="P19" s="22" t="str">
        <f aca="false">_xlfn.CONCAT(B19,C19,D19,E19,F19)</f>
        <v>BC Bom SucessoSG60KTL46055.381944444446055.381944444446055.4465277778</v>
      </c>
      <c r="Q19" s="1" t="str">
        <f aca="false">_xlfn.CONCAT(H19,I19,J19)</f>
        <v>DAURFOCOM</v>
      </c>
    </row>
    <row r="20" customFormat="false" ht="15" hidden="false" customHeight="false" outlineLevel="0" collapsed="false">
      <c r="B20" s="1" t="s">
        <v>41</v>
      </c>
      <c r="C20" s="1" t="s">
        <v>294</v>
      </c>
      <c r="D20" s="14" t="n">
        <v>46055.3819444444</v>
      </c>
      <c r="E20" s="14" t="n">
        <v>46055.3819444444</v>
      </c>
      <c r="F20" s="14" t="n">
        <v>46055.4465277778</v>
      </c>
      <c r="G20" s="15" t="n">
        <f aca="false">F20-E20</f>
        <v>0.0645833333333333</v>
      </c>
      <c r="H20" s="20" t="s">
        <v>248</v>
      </c>
      <c r="I20" s="1" t="s">
        <v>263</v>
      </c>
      <c r="J20" s="20" t="s">
        <v>264</v>
      </c>
      <c r="K20" s="1" t="e">
        <f aca="false">_xlfn.xlookup(J20,REF!$D$2:$D$12,REF!$E$2:$E$12)</f>
        <v>#NAME?</v>
      </c>
      <c r="L20" s="1" t="s">
        <v>292</v>
      </c>
      <c r="M20" s="20" t="s">
        <v>266</v>
      </c>
      <c r="N20" s="20" t="s">
        <v>252</v>
      </c>
      <c r="O20" s="1" t="s">
        <v>293</v>
      </c>
      <c r="P20" s="22" t="str">
        <f aca="false">_xlfn.CONCAT(B20,C20,D20,E20,F20)</f>
        <v>BC Bom SucessoI46055.381944444446055.381944444446055.4465277778</v>
      </c>
      <c r="Q20" s="1" t="str">
        <f aca="false">_xlfn.CONCAT(H20,I20,J20)</f>
        <v>DAURFOCOM</v>
      </c>
    </row>
    <row r="21" customFormat="false" ht="15" hidden="false" customHeight="false" outlineLevel="0" collapsed="false">
      <c r="B21" s="1" t="s">
        <v>41</v>
      </c>
      <c r="C21" s="1" t="s">
        <v>295</v>
      </c>
      <c r="D21" s="14" t="n">
        <v>46055.3819444444</v>
      </c>
      <c r="E21" s="14" t="n">
        <v>46055.3819444444</v>
      </c>
      <c r="F21" s="14" t="n">
        <v>46055.4465277778</v>
      </c>
      <c r="G21" s="15" t="n">
        <f aca="false">F21-E21</f>
        <v>0.0645833333333333</v>
      </c>
      <c r="H21" s="20" t="s">
        <v>248</v>
      </c>
      <c r="I21" s="1" t="s">
        <v>263</v>
      </c>
      <c r="J21" s="20" t="s">
        <v>264</v>
      </c>
      <c r="K21" s="1" t="e">
        <f aca="false">_xlfn.xlookup(J21,REF!$D$2:$D$12,REF!$E$2:$E$12)</f>
        <v>#NAME?</v>
      </c>
      <c r="L21" s="1" t="s">
        <v>292</v>
      </c>
      <c r="M21" s="20" t="s">
        <v>266</v>
      </c>
      <c r="N21" s="20" t="s">
        <v>252</v>
      </c>
      <c r="O21" s="1" t="s">
        <v>293</v>
      </c>
      <c r="P21" s="22" t="str">
        <f aca="false">_xlfn.CONCAT(B21,C21,D21,E21,F21)</f>
        <v>BC Bom SucessoG46055.381944444446055.381944444446055.4465277778</v>
      </c>
      <c r="Q21" s="1" t="str">
        <f aca="false">_xlfn.CONCAT(H21,I21,J21)</f>
        <v>DAURFOCOM</v>
      </c>
    </row>
    <row r="22" customFormat="false" ht="15" hidden="false" customHeight="false" outlineLevel="0" collapsed="false">
      <c r="B22" s="1" t="s">
        <v>41</v>
      </c>
      <c r="C22" s="1" t="s">
        <v>296</v>
      </c>
      <c r="D22" s="14" t="n">
        <v>46055.3819444444</v>
      </c>
      <c r="E22" s="14" t="n">
        <v>46055.3819444444</v>
      </c>
      <c r="F22" s="14" t="n">
        <v>46055.4465277778</v>
      </c>
      <c r="G22" s="15" t="n">
        <f aca="false">F22-E22</f>
        <v>0.0645833333333333</v>
      </c>
      <c r="H22" s="20" t="s">
        <v>248</v>
      </c>
      <c r="I22" s="1" t="s">
        <v>263</v>
      </c>
      <c r="J22" s="20" t="s">
        <v>264</v>
      </c>
      <c r="K22" s="1" t="e">
        <f aca="false">_xlfn.xlookup(J22,REF!$D$2:$D$12,REF!$E$2:$E$12)</f>
        <v>#NAME?</v>
      </c>
      <c r="L22" s="1" t="s">
        <v>292</v>
      </c>
      <c r="M22" s="20" t="s">
        <v>266</v>
      </c>
      <c r="N22" s="20" t="s">
        <v>252</v>
      </c>
      <c r="O22" s="1" t="s">
        <v>293</v>
      </c>
      <c r="P22" s="22" t="str">
        <f aca="false">_xlfn.CONCAT(B22,C22,D22,E22,F22)</f>
        <v>BC Bom SucessoK46055.381944444446055.381944444446055.4465277778</v>
      </c>
      <c r="Q22" s="1" t="str">
        <f aca="false">_xlfn.CONCAT(H22,I22,J22)</f>
        <v>DAURFOCOM</v>
      </c>
    </row>
    <row r="23" customFormat="false" ht="15" hidden="false" customHeight="false" outlineLevel="0" collapsed="false">
      <c r="B23" s="1" t="s">
        <v>41</v>
      </c>
      <c r="C23" s="1" t="s">
        <v>297</v>
      </c>
      <c r="D23" s="14" t="n">
        <v>46055.3819444444</v>
      </c>
      <c r="E23" s="14" t="n">
        <v>46055.3819444444</v>
      </c>
      <c r="F23" s="14" t="n">
        <v>46055.4465277778</v>
      </c>
      <c r="G23" s="15" t="n">
        <f aca="false">F23-E23</f>
        <v>0.0645833333333333</v>
      </c>
      <c r="H23" s="20" t="s">
        <v>248</v>
      </c>
      <c r="I23" s="1" t="s">
        <v>263</v>
      </c>
      <c r="J23" s="20" t="s">
        <v>264</v>
      </c>
      <c r="K23" s="1" t="e">
        <f aca="false">_xlfn.xlookup(J23,REF!$D$2:$D$12,REF!$E$2:$E$12)</f>
        <v>#NAME?</v>
      </c>
      <c r="L23" s="1" t="s">
        <v>292</v>
      </c>
      <c r="M23" s="20" t="s">
        <v>266</v>
      </c>
      <c r="N23" s="20" t="s">
        <v>252</v>
      </c>
      <c r="O23" s="1" t="s">
        <v>293</v>
      </c>
      <c r="P23" s="22" t="str">
        <f aca="false">_xlfn.CONCAT(B23,C23,D23,E23,F23)</f>
        <v>BC Bom SucessoH46055.381944444446055.381944444446055.4465277778</v>
      </c>
      <c r="Q23" s="1" t="str">
        <f aca="false">_xlfn.CONCAT(H23,I23,J23)</f>
        <v>DAURFOCOM</v>
      </c>
    </row>
    <row r="24" customFormat="false" ht="15" hidden="false" customHeight="false" outlineLevel="0" collapsed="false">
      <c r="B24" s="1" t="s">
        <v>41</v>
      </c>
      <c r="C24" s="1" t="s">
        <v>298</v>
      </c>
      <c r="D24" s="14" t="n">
        <v>46055.3819444444</v>
      </c>
      <c r="E24" s="14" t="n">
        <v>46055.3819444444</v>
      </c>
      <c r="F24" s="14" t="n">
        <v>46055.4465277778</v>
      </c>
      <c r="G24" s="15" t="n">
        <f aca="false">F24-E24</f>
        <v>0.0645833333333333</v>
      </c>
      <c r="H24" s="20" t="s">
        <v>248</v>
      </c>
      <c r="I24" s="1" t="s">
        <v>263</v>
      </c>
      <c r="J24" s="20" t="s">
        <v>264</v>
      </c>
      <c r="K24" s="1" t="e">
        <f aca="false">_xlfn.xlookup(J24,REF!$D$2:$D$12,REF!$E$2:$E$12)</f>
        <v>#NAME?</v>
      </c>
      <c r="L24" s="1" t="s">
        <v>292</v>
      </c>
      <c r="M24" s="20" t="s">
        <v>266</v>
      </c>
      <c r="N24" s="20" t="s">
        <v>252</v>
      </c>
      <c r="O24" s="1" t="s">
        <v>293</v>
      </c>
      <c r="P24" s="22" t="str">
        <f aca="false">_xlfn.CONCAT(B24,C24,D24,E24,F24)</f>
        <v>BC Bom SucessoF46055.381944444446055.381944444446055.4465277778</v>
      </c>
      <c r="Q24" s="1" t="str">
        <f aca="false">_xlfn.CONCAT(H24,I24,J24)</f>
        <v>DAURFOCOM</v>
      </c>
    </row>
    <row r="25" customFormat="false" ht="15" hidden="false" customHeight="false" outlineLevel="0" collapsed="false">
      <c r="B25" s="1" t="s">
        <v>41</v>
      </c>
      <c r="C25" s="1" t="s">
        <v>299</v>
      </c>
      <c r="D25" s="14" t="n">
        <v>46055.3819444444</v>
      </c>
      <c r="E25" s="14" t="n">
        <v>46055.3819444444</v>
      </c>
      <c r="F25" s="14" t="n">
        <v>46055.4465277778</v>
      </c>
      <c r="G25" s="15" t="n">
        <f aca="false">F25-E25</f>
        <v>0.0645833333333333</v>
      </c>
      <c r="H25" s="20" t="s">
        <v>248</v>
      </c>
      <c r="I25" s="1" t="s">
        <v>263</v>
      </c>
      <c r="J25" s="20" t="s">
        <v>264</v>
      </c>
      <c r="K25" s="1" t="e">
        <f aca="false">_xlfn.xlookup(J25,REF!$D$2:$D$12,REF!$E$2:$E$12)</f>
        <v>#NAME?</v>
      </c>
      <c r="L25" s="1" t="s">
        <v>292</v>
      </c>
      <c r="M25" s="20" t="s">
        <v>266</v>
      </c>
      <c r="N25" s="20" t="s">
        <v>252</v>
      </c>
      <c r="O25" s="1" t="s">
        <v>293</v>
      </c>
      <c r="P25" s="22" t="str">
        <f aca="false">_xlfn.CONCAT(B25,C25,D25,E25,F25)</f>
        <v>BC Bom SucessoD46055.381944444446055.381944444446055.4465277778</v>
      </c>
      <c r="Q25" s="1" t="str">
        <f aca="false">_xlfn.CONCAT(H25,I25,J25)</f>
        <v>DAURFOCOM</v>
      </c>
    </row>
    <row r="26" customFormat="false" ht="15" hidden="false" customHeight="false" outlineLevel="0" collapsed="false">
      <c r="B26" s="1" t="s">
        <v>41</v>
      </c>
      <c r="C26" s="1" t="s">
        <v>300</v>
      </c>
      <c r="D26" s="14" t="n">
        <v>46055.3819444444</v>
      </c>
      <c r="E26" s="14" t="n">
        <v>46055.3819444444</v>
      </c>
      <c r="F26" s="14" t="n">
        <v>46055.4465277778</v>
      </c>
      <c r="G26" s="15" t="n">
        <f aca="false">F26-E26</f>
        <v>0.0645833333333333</v>
      </c>
      <c r="H26" s="20" t="s">
        <v>248</v>
      </c>
      <c r="I26" s="1" t="s">
        <v>263</v>
      </c>
      <c r="J26" s="20" t="s">
        <v>264</v>
      </c>
      <c r="K26" s="1" t="e">
        <f aca="false">_xlfn.xlookup(J26,REF!$D$2:$D$12,REF!$E$2:$E$12)</f>
        <v>#NAME?</v>
      </c>
      <c r="L26" s="1" t="s">
        <v>292</v>
      </c>
      <c r="M26" s="20" t="s">
        <v>266</v>
      </c>
      <c r="N26" s="20" t="s">
        <v>252</v>
      </c>
      <c r="O26" s="1" t="s">
        <v>293</v>
      </c>
      <c r="P26" s="22" t="str">
        <f aca="false">_xlfn.CONCAT(B26,C26,D26,E26,F26)</f>
        <v>BC Bom SucessoE46055.381944444446055.381944444446055.4465277778</v>
      </c>
      <c r="Q26" s="1" t="str">
        <f aca="false">_xlfn.CONCAT(H26,I26,J26)</f>
        <v>DAURFOCOM</v>
      </c>
    </row>
    <row r="27" customFormat="false" ht="15" hidden="false" customHeight="false" outlineLevel="0" collapsed="false">
      <c r="B27" s="1" t="s">
        <v>41</v>
      </c>
      <c r="C27" s="1" t="s">
        <v>301</v>
      </c>
      <c r="D27" s="14" t="n">
        <v>46055.3819444444</v>
      </c>
      <c r="E27" s="14" t="n">
        <v>46055.3819444444</v>
      </c>
      <c r="F27" s="14" t="n">
        <v>46055.4465277778</v>
      </c>
      <c r="G27" s="15" t="n">
        <f aca="false">F27-E27</f>
        <v>0.0645833333333333</v>
      </c>
      <c r="H27" s="20" t="s">
        <v>248</v>
      </c>
      <c r="I27" s="1" t="s">
        <v>263</v>
      </c>
      <c r="J27" s="20" t="s">
        <v>264</v>
      </c>
      <c r="K27" s="1" t="e">
        <f aca="false">_xlfn.xlookup(J27,REF!$D$2:$D$12,REF!$E$2:$E$12)</f>
        <v>#NAME?</v>
      </c>
      <c r="L27" s="1" t="s">
        <v>292</v>
      </c>
      <c r="M27" s="20" t="s">
        <v>266</v>
      </c>
      <c r="N27" s="20" t="s">
        <v>252</v>
      </c>
      <c r="O27" s="1" t="s">
        <v>293</v>
      </c>
      <c r="P27" s="22" t="str">
        <f aca="false">_xlfn.CONCAT(B27,C27,D27,E27,F27)</f>
        <v>BC Bom SucessoC46055.381944444446055.381944444446055.4465277778</v>
      </c>
      <c r="Q27" s="1" t="str">
        <f aca="false">_xlfn.CONCAT(H27,I27,J27)</f>
        <v>DAURFOCOM</v>
      </c>
    </row>
    <row r="28" customFormat="false" ht="15" hidden="false" customHeight="false" outlineLevel="0" collapsed="false">
      <c r="B28" s="1" t="s">
        <v>41</v>
      </c>
      <c r="C28" s="1" t="s">
        <v>302</v>
      </c>
      <c r="D28" s="14" t="n">
        <v>46055.3819444444</v>
      </c>
      <c r="E28" s="14" t="n">
        <v>46055.3819444444</v>
      </c>
      <c r="F28" s="14" t="n">
        <v>46055.4465277778</v>
      </c>
      <c r="G28" s="15" t="n">
        <f aca="false">F28-E28</f>
        <v>0.0645833333333333</v>
      </c>
      <c r="H28" s="20" t="s">
        <v>248</v>
      </c>
      <c r="I28" s="1" t="s">
        <v>263</v>
      </c>
      <c r="J28" s="20" t="s">
        <v>264</v>
      </c>
      <c r="K28" s="1" t="e">
        <f aca="false">_xlfn.xlookup(J28,REF!$D$2:$D$12,REF!$E$2:$E$12)</f>
        <v>#NAME?</v>
      </c>
      <c r="L28" s="1" t="s">
        <v>292</v>
      </c>
      <c r="M28" s="20" t="s">
        <v>266</v>
      </c>
      <c r="N28" s="20" t="s">
        <v>252</v>
      </c>
      <c r="O28" s="1" t="s">
        <v>293</v>
      </c>
      <c r="P28" s="22" t="str">
        <f aca="false">_xlfn.CONCAT(B28,C28,D28,E28,F28)</f>
        <v>BC Bom SucessoB46055.381944444446055.381944444446055.4465277778</v>
      </c>
      <c r="Q28" s="1" t="str">
        <f aca="false">_xlfn.CONCAT(H28,I28,J28)</f>
        <v>DAURFOCOM</v>
      </c>
    </row>
    <row r="29" customFormat="false" ht="15" hidden="false" customHeight="false" outlineLevel="0" collapsed="false">
      <c r="B29" s="24" t="s">
        <v>41</v>
      </c>
      <c r="C29" s="1" t="s">
        <v>303</v>
      </c>
      <c r="D29" s="14" t="n">
        <v>46055.3819444444</v>
      </c>
      <c r="E29" s="14" t="n">
        <v>46055.3819444444</v>
      </c>
      <c r="F29" s="14" t="n">
        <v>46055.4465277778</v>
      </c>
      <c r="G29" s="15" t="n">
        <f aca="false">F29-E29</f>
        <v>0.0645833333333333</v>
      </c>
      <c r="H29" s="20" t="s">
        <v>248</v>
      </c>
      <c r="I29" s="1" t="s">
        <v>263</v>
      </c>
      <c r="J29" s="20" t="s">
        <v>264</v>
      </c>
      <c r="K29" s="1" t="e">
        <f aca="false">_xlfn.xlookup(J29,REF!$D$2:$D$12,REF!$E$2:$E$12)</f>
        <v>#NAME?</v>
      </c>
      <c r="L29" s="1" t="s">
        <v>292</v>
      </c>
      <c r="M29" s="20" t="s">
        <v>266</v>
      </c>
      <c r="N29" s="20" t="s">
        <v>252</v>
      </c>
      <c r="O29" s="1" t="s">
        <v>293</v>
      </c>
      <c r="P29" s="22" t="str">
        <f aca="false">_xlfn.CONCAT(B29,C29,D29,E29,F29)</f>
        <v>BC Bom SucessoA46055.381944444446055.381944444446055.4465277778</v>
      </c>
      <c r="Q29" s="1" t="str">
        <f aca="false">_xlfn.CONCAT(H29,I29,J29)</f>
        <v>DAURFOCOM</v>
      </c>
    </row>
    <row r="30" customFormat="false" ht="15" hidden="false" customHeight="false" outlineLevel="0" collapsed="false">
      <c r="B30" s="24" t="s">
        <v>41</v>
      </c>
      <c r="C30" s="1" t="s">
        <v>304</v>
      </c>
      <c r="D30" s="14" t="n">
        <v>46055.3819444444</v>
      </c>
      <c r="E30" s="14" t="n">
        <v>46055.3819444444</v>
      </c>
      <c r="F30" s="14" t="n">
        <v>46055.4465277778</v>
      </c>
      <c r="G30" s="15" t="n">
        <f aca="false">F30-E30</f>
        <v>0.0645833333333333</v>
      </c>
      <c r="H30" s="20" t="s">
        <v>248</v>
      </c>
      <c r="I30" s="1" t="s">
        <v>263</v>
      </c>
      <c r="J30" s="20" t="s">
        <v>264</v>
      </c>
      <c r="K30" s="1" t="e">
        <f aca="false">_xlfn.xlookup(J30,REF!$D$2:$D$12,REF!$E$2:$E$12)</f>
        <v>#NAME?</v>
      </c>
      <c r="L30" s="1" t="s">
        <v>292</v>
      </c>
      <c r="M30" s="20" t="s">
        <v>266</v>
      </c>
      <c r="N30" s="20" t="s">
        <v>252</v>
      </c>
      <c r="O30" s="1" t="s">
        <v>293</v>
      </c>
      <c r="P30" s="22" t="str">
        <f aca="false">_xlfn.CONCAT(B30,C30,D30,E30,F30)</f>
        <v>BC Bom SucessoJ46055.381944444446055.381944444446055.4465277778</v>
      </c>
      <c r="Q30" s="1" t="str">
        <f aca="false">_xlfn.CONCAT(H30,I30,J30)</f>
        <v>DAURFOCOM</v>
      </c>
    </row>
    <row r="31" customFormat="false" ht="15" hidden="false" customHeight="false" outlineLevel="0" collapsed="false">
      <c r="B31" s="24" t="s">
        <v>254</v>
      </c>
      <c r="C31" s="1" t="s">
        <v>255</v>
      </c>
      <c r="D31" s="14" t="n">
        <v>46055.3888888889</v>
      </c>
      <c r="E31" s="14" t="n">
        <v>46055.3888888889</v>
      </c>
      <c r="F31" s="14" t="n">
        <v>46055.4569444444</v>
      </c>
      <c r="G31" s="15" t="n">
        <f aca="false">F31-E31</f>
        <v>0.0680555555555556</v>
      </c>
      <c r="H31" s="20" t="s">
        <v>248</v>
      </c>
      <c r="I31" s="1" t="s">
        <v>263</v>
      </c>
      <c r="J31" s="20" t="s">
        <v>264</v>
      </c>
      <c r="K31" s="1" t="e">
        <f aca="false">_xlfn.xlookup(J31,REF!$D$2:$D$12,REF!$E$2:$E$12)</f>
        <v>#NAME?</v>
      </c>
      <c r="L31" s="1" t="s">
        <v>305</v>
      </c>
      <c r="M31" s="20" t="s">
        <v>266</v>
      </c>
      <c r="N31" s="20" t="s">
        <v>252</v>
      </c>
      <c r="O31" s="1" t="s">
        <v>306</v>
      </c>
      <c r="P31" s="22" t="str">
        <f aca="false">_xlfn.CONCAT(B31,C31,D31,E31,F31)</f>
        <v>BC Aracu5.1Inverter(MBUS-1)46055.388888888946055.388888888946055.4569444444</v>
      </c>
      <c r="Q31" s="1" t="str">
        <f aca="false">_xlfn.CONCAT(H31,I31,J31)</f>
        <v>DAURFOCOM</v>
      </c>
    </row>
    <row r="32" customFormat="false" ht="15" hidden="false" customHeight="false" outlineLevel="0" collapsed="false">
      <c r="B32" s="24" t="s">
        <v>307</v>
      </c>
      <c r="C32" s="1" t="s">
        <v>255</v>
      </c>
      <c r="D32" s="14" t="n">
        <v>46055.3888888889</v>
      </c>
      <c r="E32" s="14" t="n">
        <v>46055.3888888889</v>
      </c>
      <c r="F32" s="14" t="n">
        <v>46055.4569444444</v>
      </c>
      <c r="G32" s="15" t="n">
        <f aca="false">F32-E32</f>
        <v>0.0680555555555556</v>
      </c>
      <c r="H32" s="20" t="s">
        <v>248</v>
      </c>
      <c r="I32" s="1" t="s">
        <v>263</v>
      </c>
      <c r="J32" s="20" t="s">
        <v>264</v>
      </c>
      <c r="K32" s="1" t="e">
        <f aca="false">_xlfn.xlookup(J32,REF!$D$2:$D$12,REF!$E$2:$E$12)</f>
        <v>#NAME?</v>
      </c>
      <c r="L32" s="1" t="s">
        <v>305</v>
      </c>
      <c r="M32" s="20" t="s">
        <v>266</v>
      </c>
      <c r="N32" s="20" t="s">
        <v>252</v>
      </c>
      <c r="O32" s="1" t="s">
        <v>306</v>
      </c>
      <c r="P32" s="22" t="str">
        <f aca="false">_xlfn.CONCAT(B32,C32,D32,E32,F32)</f>
        <v>BC Aracu5.2Inverter(MBUS-1)46055.388888888946055.388888888946055.4569444444</v>
      </c>
      <c r="Q32" s="1" t="str">
        <f aca="false">_xlfn.CONCAT(H32,I32,J32)</f>
        <v>DAURFOCOM</v>
      </c>
    </row>
    <row r="33" customFormat="false" ht="15" hidden="false" customHeight="false" outlineLevel="0" collapsed="false">
      <c r="B33" s="1" t="s">
        <v>308</v>
      </c>
      <c r="C33" s="1" t="s">
        <v>255</v>
      </c>
      <c r="D33" s="14" t="n">
        <v>46055.3888888889</v>
      </c>
      <c r="E33" s="14" t="n">
        <v>46055.3888888889</v>
      </c>
      <c r="F33" s="14" t="n">
        <v>46055.4569444444</v>
      </c>
      <c r="G33" s="15" t="n">
        <f aca="false">F33-E33</f>
        <v>0.0680555555555556</v>
      </c>
      <c r="H33" s="20" t="s">
        <v>248</v>
      </c>
      <c r="I33" s="1" t="s">
        <v>263</v>
      </c>
      <c r="J33" s="20" t="s">
        <v>264</v>
      </c>
      <c r="K33" s="1" t="e">
        <f aca="false">_xlfn.xlookup(J33,REF!$D$2:$D$12,REF!$E$2:$E$12)</f>
        <v>#NAME?</v>
      </c>
      <c r="L33" s="1" t="s">
        <v>305</v>
      </c>
      <c r="M33" s="20" t="s">
        <v>266</v>
      </c>
      <c r="N33" s="20" t="s">
        <v>252</v>
      </c>
      <c r="O33" s="1" t="s">
        <v>306</v>
      </c>
      <c r="P33" s="22" t="str">
        <f aca="false">_xlfn.CONCAT(B33,C33,D33,E33,F33)</f>
        <v>BC Aracu5.3Inverter(MBUS-1)46055.388888888946055.388888888946055.4569444444</v>
      </c>
      <c r="Q33" s="1" t="str">
        <f aca="false">_xlfn.CONCAT(H33,I33,J33)</f>
        <v>DAURFOCOM</v>
      </c>
    </row>
    <row r="34" customFormat="false" ht="15" hidden="false" customHeight="false" outlineLevel="0" collapsed="false">
      <c r="B34" s="1" t="s">
        <v>309</v>
      </c>
      <c r="C34" s="1" t="s">
        <v>255</v>
      </c>
      <c r="D34" s="14" t="n">
        <v>46055.3888888889</v>
      </c>
      <c r="E34" s="14" t="n">
        <v>46055.3888888889</v>
      </c>
      <c r="F34" s="14" t="n">
        <v>46055.4569444444</v>
      </c>
      <c r="G34" s="15" t="n">
        <f aca="false">F34-E34</f>
        <v>0.0680555555555556</v>
      </c>
      <c r="H34" s="20" t="s">
        <v>248</v>
      </c>
      <c r="I34" s="1" t="s">
        <v>263</v>
      </c>
      <c r="J34" s="20" t="s">
        <v>264</v>
      </c>
      <c r="K34" s="1" t="e">
        <f aca="false">_xlfn.xlookup(J34,REF!$D$2:$D$12,REF!$E$2:$E$12)</f>
        <v>#NAME?</v>
      </c>
      <c r="L34" s="1" t="s">
        <v>305</v>
      </c>
      <c r="M34" s="20" t="s">
        <v>266</v>
      </c>
      <c r="N34" s="20" t="s">
        <v>252</v>
      </c>
      <c r="O34" s="1" t="s">
        <v>306</v>
      </c>
      <c r="P34" s="22" t="str">
        <f aca="false">_xlfn.CONCAT(B34,C34,D34,E34,F34)</f>
        <v>BC Aracu5.4Inverter(MBUS-1)46055.388888888946055.388888888946055.4569444444</v>
      </c>
      <c r="Q34" s="1" t="str">
        <f aca="false">_xlfn.CONCAT(H34,I34,J34)</f>
        <v>DAURFOCOM</v>
      </c>
    </row>
    <row r="35" customFormat="false" ht="15" hidden="false" customHeight="false" outlineLevel="0" collapsed="false">
      <c r="B35" s="1" t="s">
        <v>310</v>
      </c>
      <c r="C35" s="1" t="s">
        <v>255</v>
      </c>
      <c r="D35" s="14" t="n">
        <v>46055.3888888889</v>
      </c>
      <c r="E35" s="14" t="n">
        <v>46055.3888888889</v>
      </c>
      <c r="F35" s="14" t="n">
        <v>46055.4569444444</v>
      </c>
      <c r="G35" s="15" t="n">
        <f aca="false">F35-E35</f>
        <v>0.0680555555555556</v>
      </c>
      <c r="H35" s="20" t="s">
        <v>248</v>
      </c>
      <c r="I35" s="1" t="s">
        <v>263</v>
      </c>
      <c r="J35" s="20" t="s">
        <v>264</v>
      </c>
      <c r="K35" s="1" t="e">
        <f aca="false">_xlfn.xlookup(J35,REF!$D$2:$D$12,REF!$E$2:$E$12)</f>
        <v>#NAME?</v>
      </c>
      <c r="L35" s="1" t="s">
        <v>305</v>
      </c>
      <c r="M35" s="20" t="s">
        <v>266</v>
      </c>
      <c r="N35" s="20" t="s">
        <v>252</v>
      </c>
      <c r="O35" s="1" t="s">
        <v>306</v>
      </c>
      <c r="P35" s="22" t="str">
        <f aca="false">_xlfn.CONCAT(B35,C35,D35,E35,F35)</f>
        <v>BC Aracu5.5Inverter(MBUS-1)46055.388888888946055.388888888946055.4569444444</v>
      </c>
      <c r="Q35" s="1" t="str">
        <f aca="false">_xlfn.CONCAT(H35,I35,J35)</f>
        <v>DAURFOCOM</v>
      </c>
    </row>
    <row r="36" customFormat="false" ht="15" hidden="false" customHeight="false" outlineLevel="0" collapsed="false">
      <c r="B36" s="1" t="s">
        <v>311</v>
      </c>
      <c r="C36" s="1" t="s">
        <v>312</v>
      </c>
      <c r="D36" s="14" t="n">
        <v>46055.6666666667</v>
      </c>
      <c r="E36" s="14" t="n">
        <v>46055.6666666667</v>
      </c>
      <c r="F36" s="14" t="n">
        <v>46055.7145833333</v>
      </c>
      <c r="G36" s="15" t="n">
        <f aca="false">F36-E36</f>
        <v>0.0479166666666667</v>
      </c>
      <c r="H36" s="20" t="s">
        <v>313</v>
      </c>
      <c r="J36" s="20" t="s">
        <v>249</v>
      </c>
      <c r="K36" s="1" t="e">
        <f aca="false">_xlfn.xlookup(J36,REF!$D$2:$D$12,REF!$E$2:$E$12)</f>
        <v>#NAME?</v>
      </c>
      <c r="L36" s="1" t="s">
        <v>314</v>
      </c>
      <c r="M36" s="20" t="s">
        <v>288</v>
      </c>
      <c r="N36" s="20" t="s">
        <v>315</v>
      </c>
      <c r="O36" s="1" t="s">
        <v>316</v>
      </c>
      <c r="P36" s="22" t="str">
        <f aca="false">_xlfn.CONCAT(B36,C36,D36,E36,F36)</f>
        <v>BC Aracu4SG75CX(COM1-018)_001_01846055.666666666746055.666666666746055.7145833333</v>
      </c>
      <c r="Q36" s="1" t="str">
        <f aca="false">_xlfn.CONCAT(H36,I36,J36)</f>
        <v>DPRINV</v>
      </c>
    </row>
    <row r="37" customFormat="false" ht="15" hidden="false" customHeight="false" outlineLevel="0" collapsed="false">
      <c r="B37" s="1" t="s">
        <v>311</v>
      </c>
      <c r="C37" s="1" t="s">
        <v>317</v>
      </c>
      <c r="D37" s="14" t="n">
        <v>46055.6666666667</v>
      </c>
      <c r="E37" s="14" t="n">
        <v>46055.6666666667</v>
      </c>
      <c r="F37" s="14" t="n">
        <v>46055.7145833333</v>
      </c>
      <c r="G37" s="15" t="n">
        <f aca="false">F37-E37</f>
        <v>0.0479166666666667</v>
      </c>
      <c r="H37" s="20" t="s">
        <v>313</v>
      </c>
      <c r="J37" s="20" t="s">
        <v>249</v>
      </c>
      <c r="K37" s="1" t="e">
        <f aca="false">_xlfn.xlookup(J37,REF!$D$2:$D$12,REF!$E$2:$E$12)</f>
        <v>#NAME?</v>
      </c>
      <c r="L37" s="1" t="s">
        <v>314</v>
      </c>
      <c r="M37" s="20" t="s">
        <v>288</v>
      </c>
      <c r="N37" s="20" t="s">
        <v>315</v>
      </c>
      <c r="O37" s="1" t="s">
        <v>316</v>
      </c>
      <c r="P37" s="22" t="str">
        <f aca="false">_xlfn.CONCAT(B37,C37,D37,E37,F37)</f>
        <v>BC Aracu4SG75CX(COM1-019)_001_01946055.666666666746055.666666666746055.7145833333</v>
      </c>
      <c r="Q37" s="1" t="str">
        <f aca="false">_xlfn.CONCAT(H37,I37,J37)</f>
        <v>DPRINV</v>
      </c>
    </row>
    <row r="38" customFormat="false" ht="15" hidden="false" customHeight="false" outlineLevel="0" collapsed="false">
      <c r="B38" s="1" t="s">
        <v>311</v>
      </c>
      <c r="C38" s="1" t="s">
        <v>318</v>
      </c>
      <c r="D38" s="14" t="n">
        <v>46055.6666666667</v>
      </c>
      <c r="E38" s="14" t="n">
        <v>46055.6666666667</v>
      </c>
      <c r="F38" s="14" t="n">
        <v>46055.7145833333</v>
      </c>
      <c r="G38" s="15" t="n">
        <f aca="false">F38-E38</f>
        <v>0.0479166666666667</v>
      </c>
      <c r="H38" s="20" t="s">
        <v>313</v>
      </c>
      <c r="J38" s="20" t="s">
        <v>249</v>
      </c>
      <c r="K38" s="1" t="e">
        <f aca="false">_xlfn.xlookup(J38,REF!$D$2:$D$12,REF!$E$2:$E$12)</f>
        <v>#NAME?</v>
      </c>
      <c r="L38" s="1" t="s">
        <v>314</v>
      </c>
      <c r="M38" s="20" t="s">
        <v>288</v>
      </c>
      <c r="N38" s="20" t="s">
        <v>315</v>
      </c>
      <c r="O38" s="1" t="s">
        <v>316</v>
      </c>
      <c r="P38" s="22" t="str">
        <f aca="false">_xlfn.CONCAT(B38,C38,D38,E38,F38)</f>
        <v>BC Aracu4SG75CX(COM1-020)_001_02046055.666666666746055.666666666746055.7145833333</v>
      </c>
      <c r="Q38" s="1" t="str">
        <f aca="false">_xlfn.CONCAT(H38,I38,J38)</f>
        <v>DPRINV</v>
      </c>
    </row>
    <row r="39" customFormat="false" ht="15" hidden="false" customHeight="false" outlineLevel="0" collapsed="false">
      <c r="B39" s="1" t="s">
        <v>311</v>
      </c>
      <c r="C39" s="1" t="s">
        <v>319</v>
      </c>
      <c r="D39" s="14" t="n">
        <v>46055.6666666667</v>
      </c>
      <c r="E39" s="14" t="n">
        <v>46055.6666666667</v>
      </c>
      <c r="F39" s="14" t="n">
        <v>46055.7145833333</v>
      </c>
      <c r="G39" s="15" t="n">
        <f aca="false">F39-E39</f>
        <v>0.0479166666666667</v>
      </c>
      <c r="H39" s="20" t="s">
        <v>313</v>
      </c>
      <c r="J39" s="20" t="s">
        <v>249</v>
      </c>
      <c r="K39" s="1" t="e">
        <f aca="false">_xlfn.xlookup(J39,REF!$D$2:$D$12,REF!$E$2:$E$12)</f>
        <v>#NAME?</v>
      </c>
      <c r="L39" s="1" t="s">
        <v>314</v>
      </c>
      <c r="M39" s="20" t="s">
        <v>288</v>
      </c>
      <c r="N39" s="20" t="s">
        <v>315</v>
      </c>
      <c r="O39" s="1" t="s">
        <v>316</v>
      </c>
      <c r="P39" s="22" t="str">
        <f aca="false">_xlfn.CONCAT(B39,C39,D39,E39,F39)</f>
        <v>BC Aracu4SG75CX(COM1-021)_001_02146055.666666666746055.666666666746055.7145833333</v>
      </c>
      <c r="Q39" s="1" t="str">
        <f aca="false">_xlfn.CONCAT(H39,I39,J39)</f>
        <v>DPRINV</v>
      </c>
    </row>
    <row r="40" customFormat="false" ht="15" hidden="false" customHeight="false" outlineLevel="0" collapsed="false">
      <c r="B40" s="1" t="s">
        <v>320</v>
      </c>
      <c r="C40" s="1" t="s">
        <v>321</v>
      </c>
      <c r="D40" s="14" t="n">
        <v>46055.8263888889</v>
      </c>
      <c r="E40" s="14" t="n">
        <v>46055.8263888889</v>
      </c>
      <c r="F40" s="14" t="n">
        <v>46055.9548611111</v>
      </c>
      <c r="G40" s="15" t="n">
        <f aca="false">F40-E40</f>
        <v>0.128472222222222</v>
      </c>
      <c r="H40" s="20" t="s">
        <v>248</v>
      </c>
      <c r="J40" s="20" t="s">
        <v>256</v>
      </c>
      <c r="K40" s="1" t="e">
        <f aca="false">_xlfn.xlookup(J40,REF!$D$2:$D$12,REF!$E$2:$E$12)</f>
        <v>#NAME?</v>
      </c>
      <c r="L40" s="1" t="s">
        <v>275</v>
      </c>
      <c r="M40" s="20" t="s">
        <v>258</v>
      </c>
      <c r="N40" s="20" t="s">
        <v>259</v>
      </c>
      <c r="O40" s="1" t="s">
        <v>322</v>
      </c>
      <c r="P40" s="22" t="str">
        <f aca="false">_xlfn.CONCAT(B40,C40,D40,E40,F40)</f>
        <v>BC Panama1.1ITAPOAN 001 (COM1-001)_001_00146055.826388888946055.826388888946055.9548611111</v>
      </c>
      <c r="Q40" s="1" t="str">
        <f aca="false">_xlfn.CONCAT(H40,I40,J40)</f>
        <v>DAURDE</v>
      </c>
    </row>
    <row r="41" customFormat="false" ht="15" hidden="false" customHeight="false" outlineLevel="0" collapsed="false">
      <c r="B41" s="1" t="s">
        <v>320</v>
      </c>
      <c r="C41" s="1" t="s">
        <v>323</v>
      </c>
      <c r="D41" s="14" t="n">
        <v>46055.8263888889</v>
      </c>
      <c r="E41" s="14" t="n">
        <v>46055.8263888889</v>
      </c>
      <c r="F41" s="14" t="n">
        <v>46055.9548611111</v>
      </c>
      <c r="G41" s="15" t="n">
        <f aca="false">F41-E41</f>
        <v>0.128472222222222</v>
      </c>
      <c r="H41" s="20" t="s">
        <v>248</v>
      </c>
      <c r="J41" s="20" t="s">
        <v>256</v>
      </c>
      <c r="K41" s="1" t="e">
        <f aca="false">_xlfn.xlookup(J41,REF!$D$2:$D$12,REF!$E$2:$E$12)</f>
        <v>#NAME?</v>
      </c>
      <c r="L41" s="1" t="s">
        <v>275</v>
      </c>
      <c r="M41" s="20" t="s">
        <v>258</v>
      </c>
      <c r="N41" s="20" t="s">
        <v>259</v>
      </c>
      <c r="O41" s="1" t="s">
        <v>322</v>
      </c>
      <c r="P41" s="22" t="str">
        <f aca="false">_xlfn.CONCAT(B41,C41,D41,E41,F41)</f>
        <v>BC Panama1.1CEREAL_00246055.826388888946055.826388888946055.9548611111</v>
      </c>
      <c r="Q41" s="1" t="str">
        <f aca="false">_xlfn.CONCAT(H41,I41,J41)</f>
        <v>DAURDE</v>
      </c>
    </row>
    <row r="42" customFormat="false" ht="15" hidden="false" customHeight="false" outlineLevel="0" collapsed="false">
      <c r="B42" s="1" t="s">
        <v>320</v>
      </c>
      <c r="C42" s="1" t="s">
        <v>324</v>
      </c>
      <c r="D42" s="14" t="n">
        <v>46055.8263888889</v>
      </c>
      <c r="E42" s="14" t="n">
        <v>46055.8263888889</v>
      </c>
      <c r="F42" s="14" t="n">
        <v>46055.9548611111</v>
      </c>
      <c r="G42" s="15" t="n">
        <f aca="false">F42-E42</f>
        <v>0.128472222222222</v>
      </c>
      <c r="H42" s="20" t="s">
        <v>248</v>
      </c>
      <c r="J42" s="20" t="s">
        <v>256</v>
      </c>
      <c r="K42" s="1" t="e">
        <f aca="false">_xlfn.xlookup(J42,REF!$D$2:$D$12,REF!$E$2:$E$12)</f>
        <v>#NAME?</v>
      </c>
      <c r="L42" s="1" t="s">
        <v>275</v>
      </c>
      <c r="M42" s="20" t="s">
        <v>258</v>
      </c>
      <c r="N42" s="20" t="s">
        <v>259</v>
      </c>
      <c r="O42" s="1" t="s">
        <v>322</v>
      </c>
      <c r="P42" s="22" t="str">
        <f aca="false">_xlfn.CONCAT(B42,C42,D42,E42,F42)</f>
        <v>BC Panama1.1ITAPOAN_00346055.826388888946055.826388888946055.9548611111</v>
      </c>
      <c r="Q42" s="1" t="str">
        <f aca="false">_xlfn.CONCAT(H42,I42,J42)</f>
        <v>DAURDE</v>
      </c>
    </row>
    <row r="43" customFormat="false" ht="15" hidden="false" customHeight="false" outlineLevel="0" collapsed="false">
      <c r="B43" s="1" t="s">
        <v>325</v>
      </c>
      <c r="C43" s="1" t="s">
        <v>326</v>
      </c>
      <c r="D43" s="14" t="n">
        <v>46055.8263888889</v>
      </c>
      <c r="E43" s="14" t="n">
        <v>46055.8263888889</v>
      </c>
      <c r="F43" s="14" t="n">
        <v>46055.9548611111</v>
      </c>
      <c r="G43" s="15" t="n">
        <f aca="false">F43-E43</f>
        <v>0.128472222222222</v>
      </c>
      <c r="H43" s="20" t="s">
        <v>248</v>
      </c>
      <c r="J43" s="20" t="s">
        <v>256</v>
      </c>
      <c r="K43" s="1" t="e">
        <f aca="false">_xlfn.xlookup(J43,REF!$D$2:$D$12,REF!$E$2:$E$12)</f>
        <v>#NAME?</v>
      </c>
      <c r="L43" s="1" t="s">
        <v>275</v>
      </c>
      <c r="M43" s="20" t="s">
        <v>258</v>
      </c>
      <c r="N43" s="20" t="s">
        <v>259</v>
      </c>
      <c r="O43" s="1" t="s">
        <v>322</v>
      </c>
      <c r="P43" s="22" t="str">
        <f aca="false">_xlfn.CONCAT(B43,C43,D43,E43,F43)</f>
        <v>BC Panama1.2ART_00446055.826388888946055.826388888946055.9548611111</v>
      </c>
      <c r="Q43" s="1" t="str">
        <f aca="false">_xlfn.CONCAT(H43,I43,J43)</f>
        <v>DAURDE</v>
      </c>
    </row>
    <row r="44" customFormat="false" ht="15" hidden="false" customHeight="false" outlineLevel="0" collapsed="false">
      <c r="B44" s="1" t="s">
        <v>325</v>
      </c>
      <c r="C44" s="1" t="s">
        <v>327</v>
      </c>
      <c r="D44" s="14" t="n">
        <v>46055.8263888889</v>
      </c>
      <c r="E44" s="14" t="n">
        <v>46055.8263888889</v>
      </c>
      <c r="F44" s="14" t="n">
        <v>46055.9548611111</v>
      </c>
      <c r="G44" s="15" t="n">
        <f aca="false">F44-E44</f>
        <v>0.128472222222222</v>
      </c>
      <c r="H44" s="20" t="s">
        <v>248</v>
      </c>
      <c r="J44" s="20" t="s">
        <v>256</v>
      </c>
      <c r="K44" s="1" t="e">
        <f aca="false">_xlfn.xlookup(J44,REF!$D$2:$D$12,REF!$E$2:$E$12)</f>
        <v>#NAME?</v>
      </c>
      <c r="L44" s="1" t="s">
        <v>275</v>
      </c>
      <c r="M44" s="20" t="s">
        <v>258</v>
      </c>
      <c r="N44" s="20" t="s">
        <v>259</v>
      </c>
      <c r="O44" s="1" t="s">
        <v>322</v>
      </c>
      <c r="P44" s="22" t="str">
        <f aca="false">_xlfn.CONCAT(B44,C44,D44,E44,F44)</f>
        <v>BC Panama1.2COOGED_00546055.826388888946055.826388888946055.9548611111</v>
      </c>
      <c r="Q44" s="1" t="str">
        <f aca="false">_xlfn.CONCAT(H44,I44,J44)</f>
        <v>DAURDE</v>
      </c>
    </row>
    <row r="45" customFormat="false" ht="15" hidden="false" customHeight="false" outlineLevel="0" collapsed="false">
      <c r="B45" s="1" t="s">
        <v>325</v>
      </c>
      <c r="C45" s="1" t="s">
        <v>328</v>
      </c>
      <c r="D45" s="14" t="n">
        <v>46055.8263888889</v>
      </c>
      <c r="E45" s="14" t="n">
        <v>46055.8263888889</v>
      </c>
      <c r="F45" s="14" t="n">
        <v>46055.9548611111</v>
      </c>
      <c r="G45" s="15" t="n">
        <f aca="false">F45-E45</f>
        <v>0.128472222222222</v>
      </c>
      <c r="H45" s="20" t="s">
        <v>248</v>
      </c>
      <c r="J45" s="20" t="s">
        <v>256</v>
      </c>
      <c r="K45" s="1" t="e">
        <f aca="false">_xlfn.xlookup(J45,REF!$D$2:$D$12,REF!$E$2:$E$12)</f>
        <v>#NAME?</v>
      </c>
      <c r="L45" s="1" t="s">
        <v>275</v>
      </c>
      <c r="M45" s="20" t="s">
        <v>258</v>
      </c>
      <c r="N45" s="20" t="s">
        <v>259</v>
      </c>
      <c r="O45" s="1" t="s">
        <v>322</v>
      </c>
      <c r="P45" s="22" t="str">
        <f aca="false">_xlfn.CONCAT(B45,C45,D45,E45,F45)</f>
        <v>BC Panama1.2ART_00646055.826388888946055.826388888946055.9548611111</v>
      </c>
      <c r="Q45" s="1" t="str">
        <f aca="false">_xlfn.CONCAT(H45,I45,J45)</f>
        <v>DAURDE</v>
      </c>
    </row>
    <row r="46" customFormat="false" ht="15" hidden="false" customHeight="false" outlineLevel="0" collapsed="false">
      <c r="B46" s="1" t="s">
        <v>325</v>
      </c>
      <c r="C46" s="1" t="s">
        <v>329</v>
      </c>
      <c r="D46" s="14" t="n">
        <v>46055.8263888889</v>
      </c>
      <c r="E46" s="14" t="n">
        <v>46055.8263888889</v>
      </c>
      <c r="F46" s="14" t="n">
        <v>46055.9548611111</v>
      </c>
      <c r="G46" s="15" t="n">
        <f aca="false">F46-E46</f>
        <v>0.128472222222222</v>
      </c>
      <c r="H46" s="20" t="s">
        <v>248</v>
      </c>
      <c r="J46" s="20" t="s">
        <v>256</v>
      </c>
      <c r="K46" s="1" t="e">
        <f aca="false">_xlfn.xlookup(J46,REF!$D$2:$D$12,REF!$E$2:$E$12)</f>
        <v>#NAME?</v>
      </c>
      <c r="L46" s="1" t="s">
        <v>275</v>
      </c>
      <c r="M46" s="20" t="s">
        <v>258</v>
      </c>
      <c r="N46" s="20" t="s">
        <v>259</v>
      </c>
      <c r="O46" s="1" t="s">
        <v>322</v>
      </c>
      <c r="P46" s="22" t="str">
        <f aca="false">_xlfn.CONCAT(B46,C46,D46,E46,F46)</f>
        <v>BC Panama1.2RADIO_00746055.826388888946055.826388888946055.9548611111</v>
      </c>
      <c r="Q46" s="1" t="str">
        <f aca="false">_xlfn.CONCAT(H46,I46,J46)</f>
        <v>DAURDE</v>
      </c>
    </row>
    <row r="47" customFormat="false" ht="15" hidden="false" customHeight="false" outlineLevel="0" collapsed="false">
      <c r="B47" s="1" t="s">
        <v>330</v>
      </c>
      <c r="C47" s="1" t="s">
        <v>277</v>
      </c>
      <c r="D47" s="14" t="n">
        <v>46055.8715277778</v>
      </c>
      <c r="E47" s="14" t="n">
        <v>46055.8715277778</v>
      </c>
      <c r="F47" s="14" t="n">
        <v>46056.3125</v>
      </c>
      <c r="G47" s="15" t="n">
        <f aca="false">F47-E47</f>
        <v>0.440972222222222</v>
      </c>
      <c r="H47" s="20" t="s">
        <v>248</v>
      </c>
      <c r="J47" s="20" t="s">
        <v>256</v>
      </c>
      <c r="K47" s="1" t="e">
        <f aca="false">_xlfn.xlookup(J47,REF!$D$2:$D$12,REF!$E$2:$E$12)</f>
        <v>#NAME?</v>
      </c>
      <c r="L47" s="1" t="s">
        <v>331</v>
      </c>
      <c r="M47" s="20" t="s">
        <v>258</v>
      </c>
      <c r="N47" s="20" t="s">
        <v>259</v>
      </c>
      <c r="O47" s="1" t="s">
        <v>260</v>
      </c>
      <c r="P47" s="22" t="str">
        <f aca="false">_xlfn.CONCAT(B47,C47,D47,E47,F47)</f>
        <v>BC Formoso2.1Inverter(MBUS-12)46055.871527777846055.871527777846056.3125</v>
      </c>
      <c r="Q47" s="1" t="str">
        <f aca="false">_xlfn.CONCAT(H47,I47,J47)</f>
        <v>DAURDE</v>
      </c>
    </row>
    <row r="48" customFormat="false" ht="15" hidden="false" customHeight="false" outlineLevel="0" collapsed="false">
      <c r="B48" s="1" t="s">
        <v>330</v>
      </c>
      <c r="C48" s="1" t="s">
        <v>280</v>
      </c>
      <c r="D48" s="14" t="n">
        <v>46055.8715277778</v>
      </c>
      <c r="E48" s="14" t="n">
        <v>46055.8715277778</v>
      </c>
      <c r="F48" s="14" t="n">
        <v>46056.3125</v>
      </c>
      <c r="G48" s="15" t="n">
        <f aca="false">F48-E48</f>
        <v>0.440972222222222</v>
      </c>
      <c r="H48" s="20" t="s">
        <v>248</v>
      </c>
      <c r="J48" s="20" t="s">
        <v>256</v>
      </c>
      <c r="K48" s="1" t="e">
        <f aca="false">_xlfn.xlookup(J48,REF!$D$2:$D$12,REF!$E$2:$E$12)</f>
        <v>#NAME?</v>
      </c>
      <c r="L48" s="1" t="s">
        <v>331</v>
      </c>
      <c r="M48" s="20" t="s">
        <v>258</v>
      </c>
      <c r="N48" s="20" t="s">
        <v>259</v>
      </c>
      <c r="O48" s="1" t="s">
        <v>260</v>
      </c>
      <c r="P48" s="22" t="str">
        <f aca="false">_xlfn.CONCAT(B48,C48,D48,E48,F48)</f>
        <v>BC Formoso2.1Inverter(MBUS-14)46055.871527777846055.871527777846056.3125</v>
      </c>
      <c r="Q48" s="1" t="str">
        <f aca="false">_xlfn.CONCAT(H48,I48,J48)</f>
        <v>DAURDE</v>
      </c>
    </row>
    <row r="49" customFormat="false" ht="15" hidden="false" customHeight="false" outlineLevel="0" collapsed="false">
      <c r="B49" s="1" t="s">
        <v>330</v>
      </c>
      <c r="C49" s="1" t="s">
        <v>247</v>
      </c>
      <c r="D49" s="14" t="n">
        <v>46055.8715277778</v>
      </c>
      <c r="E49" s="14" t="n">
        <v>46055.8715277778</v>
      </c>
      <c r="F49" s="14" t="n">
        <v>46056.3125</v>
      </c>
      <c r="G49" s="15" t="n">
        <f aca="false">F49-E49</f>
        <v>0.440972222222222</v>
      </c>
      <c r="H49" s="20" t="s">
        <v>248</v>
      </c>
      <c r="J49" s="20" t="s">
        <v>256</v>
      </c>
      <c r="K49" s="1" t="e">
        <f aca="false">_xlfn.xlookup(J49,REF!$D$2:$D$12,REF!$E$2:$E$12)</f>
        <v>#NAME?</v>
      </c>
      <c r="L49" s="1" t="s">
        <v>331</v>
      </c>
      <c r="M49" s="20" t="s">
        <v>258</v>
      </c>
      <c r="N49" s="20" t="s">
        <v>259</v>
      </c>
      <c r="O49" s="1" t="s">
        <v>260</v>
      </c>
      <c r="P49" s="22" t="str">
        <f aca="false">_xlfn.CONCAT(B49,C49,D49,E49,F49)</f>
        <v>BC Formoso2.1Inverter(MBUS-13)46055.871527777846055.871527777846056.3125</v>
      </c>
      <c r="Q49" s="1" t="str">
        <f aca="false">_xlfn.CONCAT(H49,I49,J49)</f>
        <v>DAURDE</v>
      </c>
    </row>
    <row r="50" customFormat="false" ht="15" hidden="false" customHeight="false" outlineLevel="0" collapsed="false">
      <c r="B50" s="1" t="s">
        <v>330</v>
      </c>
      <c r="C50" s="1" t="s">
        <v>255</v>
      </c>
      <c r="D50" s="14" t="n">
        <v>46055.8715277778</v>
      </c>
      <c r="E50" s="14" t="n">
        <v>46055.8715277778</v>
      </c>
      <c r="F50" s="14" t="n">
        <v>46056.3125</v>
      </c>
      <c r="G50" s="15" t="n">
        <f aca="false">F50-E50</f>
        <v>0.440972222222222</v>
      </c>
      <c r="H50" s="20" t="s">
        <v>248</v>
      </c>
      <c r="J50" s="20" t="s">
        <v>256</v>
      </c>
      <c r="K50" s="1" t="e">
        <f aca="false">_xlfn.xlookup(J50,REF!$D$2:$D$12,REF!$E$2:$E$12)</f>
        <v>#NAME?</v>
      </c>
      <c r="L50" s="1" t="s">
        <v>331</v>
      </c>
      <c r="M50" s="20" t="s">
        <v>258</v>
      </c>
      <c r="N50" s="20" t="s">
        <v>259</v>
      </c>
      <c r="O50" s="1" t="s">
        <v>260</v>
      </c>
      <c r="P50" s="22" t="str">
        <f aca="false">_xlfn.CONCAT(B50,C50,D50,E50,F50)</f>
        <v>BC Formoso2.1Inverter(MBUS-1)46055.871527777846055.871527777846056.3125</v>
      </c>
      <c r="Q50" s="1" t="str">
        <f aca="false">_xlfn.CONCAT(H50,I50,J50)</f>
        <v>DAURDE</v>
      </c>
    </row>
    <row r="51" customFormat="false" ht="15" hidden="false" customHeight="false" outlineLevel="0" collapsed="false">
      <c r="B51" s="1" t="s">
        <v>332</v>
      </c>
      <c r="C51" s="1" t="s">
        <v>247</v>
      </c>
      <c r="D51" s="14" t="n">
        <v>46055.8715277778</v>
      </c>
      <c r="E51" s="14" t="n">
        <v>46055.8715277778</v>
      </c>
      <c r="F51" s="14" t="n">
        <v>46056.3125</v>
      </c>
      <c r="G51" s="15" t="n">
        <f aca="false">F51-E51</f>
        <v>0.440972222222222</v>
      </c>
      <c r="H51" s="20" t="s">
        <v>248</v>
      </c>
      <c r="J51" s="20" t="s">
        <v>256</v>
      </c>
      <c r="K51" s="1" t="e">
        <f aca="false">_xlfn.xlookup(J51,REF!$D$2:$D$12,REF!$E$2:$E$12)</f>
        <v>#NAME?</v>
      </c>
      <c r="L51" s="1" t="s">
        <v>331</v>
      </c>
      <c r="M51" s="20" t="s">
        <v>258</v>
      </c>
      <c r="N51" s="20" t="s">
        <v>259</v>
      </c>
      <c r="O51" s="1" t="s">
        <v>260</v>
      </c>
      <c r="P51" s="22" t="str">
        <f aca="false">_xlfn.CONCAT(B51,C51,D51,E51,F51)</f>
        <v>BC Formoso2.3Inverter(MBUS-13)46055.871527777846055.871527777846056.3125</v>
      </c>
      <c r="Q51" s="1" t="str">
        <f aca="false">_xlfn.CONCAT(H51,I51,J51)</f>
        <v>DAURDE</v>
      </c>
    </row>
    <row r="52" customFormat="false" ht="15" hidden="false" customHeight="false" outlineLevel="0" collapsed="false">
      <c r="B52" s="1" t="s">
        <v>332</v>
      </c>
      <c r="C52" s="1" t="s">
        <v>277</v>
      </c>
      <c r="D52" s="14" t="n">
        <v>46055.8715277778</v>
      </c>
      <c r="E52" s="14" t="n">
        <v>46055.8715277778</v>
      </c>
      <c r="F52" s="14" t="n">
        <v>46056.3125</v>
      </c>
      <c r="G52" s="15" t="n">
        <f aca="false">F52-E52</f>
        <v>0.440972222222222</v>
      </c>
      <c r="H52" s="20" t="s">
        <v>248</v>
      </c>
      <c r="J52" s="20" t="s">
        <v>256</v>
      </c>
      <c r="K52" s="1" t="e">
        <f aca="false">_xlfn.xlookup(J52,REF!$D$2:$D$12,REF!$E$2:$E$12)</f>
        <v>#NAME?</v>
      </c>
      <c r="L52" s="1" t="s">
        <v>331</v>
      </c>
      <c r="M52" s="20" t="s">
        <v>258</v>
      </c>
      <c r="N52" s="20" t="s">
        <v>259</v>
      </c>
      <c r="O52" s="1" t="s">
        <v>260</v>
      </c>
      <c r="P52" s="22" t="str">
        <f aca="false">_xlfn.CONCAT(B52,C52,D52,E52,F52)</f>
        <v>BC Formoso2.3Inverter(MBUS-12)46055.871527777846055.871527777846056.3125</v>
      </c>
      <c r="Q52" s="1" t="str">
        <f aca="false">_xlfn.CONCAT(H52,I52,J52)</f>
        <v>DAURDE</v>
      </c>
    </row>
    <row r="53" customFormat="false" ht="15" hidden="false" customHeight="false" outlineLevel="0" collapsed="false">
      <c r="B53" s="1" t="s">
        <v>333</v>
      </c>
      <c r="C53" s="1" t="s">
        <v>334</v>
      </c>
      <c r="D53" s="14" t="n">
        <v>46056.5298611111</v>
      </c>
      <c r="E53" s="14" t="n">
        <v>46056.5298611111</v>
      </c>
      <c r="F53" s="14" t="n">
        <v>46056.5388888889</v>
      </c>
      <c r="G53" s="15" t="n">
        <f aca="false">F53-E53</f>
        <v>0.00902777777777778</v>
      </c>
      <c r="H53" s="20" t="s">
        <v>248</v>
      </c>
      <c r="J53" s="20" t="s">
        <v>256</v>
      </c>
      <c r="K53" s="1" t="e">
        <f aca="false">_xlfn.xlookup(J53,REF!$D$2:$D$12,REF!$E$2:$E$12)</f>
        <v>#NAME?</v>
      </c>
      <c r="L53" s="1" t="s">
        <v>335</v>
      </c>
      <c r="M53" s="20" t="s">
        <v>258</v>
      </c>
      <c r="N53" s="20" t="s">
        <v>259</v>
      </c>
      <c r="O53" s="1" t="s">
        <v>260</v>
      </c>
      <c r="P53" s="22" t="str">
        <f aca="false">_xlfn.CONCAT(B53,C53,D53,E53,F53)</f>
        <v>BC ParanoaSG60KTL(COM1-014)_001_01346056.529861111146056.529861111146056.5388888889</v>
      </c>
      <c r="Q53" s="1" t="str">
        <f aca="false">_xlfn.CONCAT(H53,I53,J53)</f>
        <v>DAURDE</v>
      </c>
    </row>
    <row r="54" customFormat="false" ht="15" hidden="false" customHeight="false" outlineLevel="0" collapsed="false">
      <c r="B54" s="1" t="s">
        <v>333</v>
      </c>
      <c r="C54" s="1" t="s">
        <v>336</v>
      </c>
      <c r="D54" s="14" t="n">
        <v>46056.5298611111</v>
      </c>
      <c r="E54" s="14" t="n">
        <v>46056.5298611111</v>
      </c>
      <c r="F54" s="14" t="n">
        <v>46056.5388888889</v>
      </c>
      <c r="G54" s="15" t="n">
        <f aca="false">F54-E54</f>
        <v>0.00902777777777778</v>
      </c>
      <c r="H54" s="20" t="s">
        <v>248</v>
      </c>
      <c r="J54" s="20" t="s">
        <v>256</v>
      </c>
      <c r="K54" s="1" t="e">
        <f aca="false">_xlfn.xlookup(J54,REF!$D$2:$D$12,REF!$E$2:$E$12)</f>
        <v>#NAME?</v>
      </c>
      <c r="L54" s="1" t="s">
        <v>335</v>
      </c>
      <c r="M54" s="20" t="s">
        <v>258</v>
      </c>
      <c r="N54" s="20" t="s">
        <v>259</v>
      </c>
      <c r="O54" s="1" t="s">
        <v>260</v>
      </c>
      <c r="P54" s="22" t="str">
        <f aca="false">_xlfn.CONCAT(B54,C54,D54,E54,F54)</f>
        <v>BC ParanoaSG60KTL(COM1-013)_001_01046056.529861111146056.529861111146056.5388888889</v>
      </c>
      <c r="Q54" s="1" t="str">
        <f aca="false">_xlfn.CONCAT(H54,I54,J54)</f>
        <v>DAURDE</v>
      </c>
    </row>
    <row r="55" customFormat="false" ht="15" hidden="false" customHeight="false" outlineLevel="0" collapsed="false">
      <c r="B55" s="1" t="s">
        <v>333</v>
      </c>
      <c r="C55" s="1" t="s">
        <v>337</v>
      </c>
      <c r="D55" s="14" t="n">
        <v>46056.5298611111</v>
      </c>
      <c r="E55" s="14" t="n">
        <v>46056.5298611111</v>
      </c>
      <c r="F55" s="14" t="n">
        <v>46056.5388888889</v>
      </c>
      <c r="G55" s="15" t="n">
        <f aca="false">F55-E55</f>
        <v>0.00902777777777778</v>
      </c>
      <c r="H55" s="20" t="s">
        <v>248</v>
      </c>
      <c r="J55" s="20" t="s">
        <v>256</v>
      </c>
      <c r="K55" s="1" t="e">
        <f aca="false">_xlfn.xlookup(J55,REF!$D$2:$D$12,REF!$E$2:$E$12)</f>
        <v>#NAME?</v>
      </c>
      <c r="L55" s="1" t="s">
        <v>335</v>
      </c>
      <c r="M55" s="20" t="s">
        <v>258</v>
      </c>
      <c r="N55" s="20" t="s">
        <v>259</v>
      </c>
      <c r="O55" s="1" t="s">
        <v>260</v>
      </c>
      <c r="P55" s="22" t="str">
        <f aca="false">_xlfn.CONCAT(B55,C55,D55,E55,F55)</f>
        <v>BC ParanoaSG60KTL(COM1-012)_001_01146056.529861111146056.529861111146056.5388888889</v>
      </c>
      <c r="Q55" s="1" t="str">
        <f aca="false">_xlfn.CONCAT(H55,I55,J55)</f>
        <v>DAURDE</v>
      </c>
    </row>
    <row r="56" customFormat="false" ht="15" hidden="false" customHeight="false" outlineLevel="0" collapsed="false">
      <c r="B56" s="1" t="s">
        <v>333</v>
      </c>
      <c r="C56" s="1" t="s">
        <v>338</v>
      </c>
      <c r="D56" s="14" t="n">
        <v>46056.5298611111</v>
      </c>
      <c r="E56" s="14" t="n">
        <v>46056.5298611111</v>
      </c>
      <c r="F56" s="14" t="n">
        <v>46056.5388888889</v>
      </c>
      <c r="G56" s="15" t="n">
        <f aca="false">F56-E56</f>
        <v>0.00902777777777778</v>
      </c>
      <c r="H56" s="20" t="s">
        <v>248</v>
      </c>
      <c r="J56" s="20" t="s">
        <v>256</v>
      </c>
      <c r="K56" s="1" t="e">
        <f aca="false">_xlfn.xlookup(J56,REF!$D$2:$D$12,REF!$E$2:$E$12)</f>
        <v>#NAME?</v>
      </c>
      <c r="L56" s="1" t="s">
        <v>335</v>
      </c>
      <c r="M56" s="20" t="s">
        <v>258</v>
      </c>
      <c r="N56" s="20" t="s">
        <v>259</v>
      </c>
      <c r="O56" s="1" t="s">
        <v>260</v>
      </c>
      <c r="P56" s="22" t="str">
        <f aca="false">_xlfn.CONCAT(B56,C56,D56,E56,F56)</f>
        <v>BC ParanoaSG60KTL(COM1-011)_001_00546056.529861111146056.529861111146056.5388888889</v>
      </c>
      <c r="Q56" s="1" t="str">
        <f aca="false">_xlfn.CONCAT(H56,I56,J56)</f>
        <v>DAURDE</v>
      </c>
    </row>
    <row r="57" customFormat="false" ht="15" hidden="false" customHeight="false" outlineLevel="0" collapsed="false">
      <c r="B57" s="1" t="s">
        <v>333</v>
      </c>
      <c r="C57" s="1" t="s">
        <v>339</v>
      </c>
      <c r="D57" s="14" t="n">
        <v>46056.5298611111</v>
      </c>
      <c r="E57" s="14" t="n">
        <v>46056.5298611111</v>
      </c>
      <c r="F57" s="14" t="n">
        <v>46056.5388888889</v>
      </c>
      <c r="G57" s="15" t="n">
        <f aca="false">F57-E57</f>
        <v>0.00902777777777778</v>
      </c>
      <c r="H57" s="20" t="s">
        <v>248</v>
      </c>
      <c r="J57" s="20" t="s">
        <v>256</v>
      </c>
      <c r="K57" s="1" t="e">
        <f aca="false">_xlfn.xlookup(J57,REF!$D$2:$D$12,REF!$E$2:$E$12)</f>
        <v>#NAME?</v>
      </c>
      <c r="L57" s="1" t="s">
        <v>335</v>
      </c>
      <c r="M57" s="20" t="s">
        <v>258</v>
      </c>
      <c r="N57" s="20" t="s">
        <v>259</v>
      </c>
      <c r="O57" s="1" t="s">
        <v>260</v>
      </c>
      <c r="P57" s="22" t="str">
        <f aca="false">_xlfn.CONCAT(B57,C57,D57,E57,F57)</f>
        <v>BC ParanoaSG60KTL(COM1-010)_001_00346056.529861111146056.529861111146056.5388888889</v>
      </c>
      <c r="Q57" s="1" t="str">
        <f aca="false">_xlfn.CONCAT(H57,I57,J57)</f>
        <v>DAURDE</v>
      </c>
    </row>
    <row r="58" customFormat="false" ht="15" hidden="false" customHeight="false" outlineLevel="0" collapsed="false">
      <c r="B58" s="1" t="s">
        <v>333</v>
      </c>
      <c r="C58" s="1" t="s">
        <v>340</v>
      </c>
      <c r="D58" s="14" t="n">
        <v>46056.5298611111</v>
      </c>
      <c r="E58" s="14" t="n">
        <v>46056.5298611111</v>
      </c>
      <c r="F58" s="14" t="n">
        <v>46056.5388888889</v>
      </c>
      <c r="G58" s="15" t="n">
        <f aca="false">F58-E58</f>
        <v>0.00902777777777778</v>
      </c>
      <c r="H58" s="20" t="s">
        <v>248</v>
      </c>
      <c r="J58" s="20" t="s">
        <v>256</v>
      </c>
      <c r="K58" s="1" t="e">
        <f aca="false">_xlfn.xlookup(J58,REF!$D$2:$D$12,REF!$E$2:$E$12)</f>
        <v>#NAME?</v>
      </c>
      <c r="L58" s="1" t="s">
        <v>335</v>
      </c>
      <c r="M58" s="20" t="s">
        <v>258</v>
      </c>
      <c r="N58" s="20" t="s">
        <v>259</v>
      </c>
      <c r="O58" s="1" t="s">
        <v>260</v>
      </c>
      <c r="P58" s="22" t="str">
        <f aca="false">_xlfn.CONCAT(B58,C58,D58,E58,F58)</f>
        <v>BC ParanoaSG60KTL(COM1-018)_001_01246056.529861111146056.529861111146056.5388888889</v>
      </c>
      <c r="Q58" s="1" t="str">
        <f aca="false">_xlfn.CONCAT(H58,I58,J58)</f>
        <v>DAURDE</v>
      </c>
    </row>
    <row r="59" customFormat="false" ht="15" hidden="false" customHeight="false" outlineLevel="0" collapsed="false">
      <c r="B59" s="1" t="s">
        <v>333</v>
      </c>
      <c r="C59" s="1" t="s">
        <v>341</v>
      </c>
      <c r="D59" s="14" t="n">
        <v>46056.5298611111</v>
      </c>
      <c r="E59" s="14" t="n">
        <v>46056.5298611111</v>
      </c>
      <c r="F59" s="14" t="n">
        <v>46056.5388888889</v>
      </c>
      <c r="G59" s="15" t="n">
        <f aca="false">F59-E59</f>
        <v>0.00902777777777778</v>
      </c>
      <c r="H59" s="20" t="s">
        <v>248</v>
      </c>
      <c r="J59" s="20" t="s">
        <v>256</v>
      </c>
      <c r="K59" s="1" t="e">
        <f aca="false">_xlfn.xlookup(J59,REF!$D$2:$D$12,REF!$E$2:$E$12)</f>
        <v>#NAME?</v>
      </c>
      <c r="L59" s="1" t="s">
        <v>335</v>
      </c>
      <c r="M59" s="20" t="s">
        <v>258</v>
      </c>
      <c r="N59" s="20" t="s">
        <v>259</v>
      </c>
      <c r="O59" s="1" t="s">
        <v>260</v>
      </c>
      <c r="P59" s="22" t="str">
        <f aca="false">_xlfn.CONCAT(B59,C59,D59,E59,F59)</f>
        <v>BC ParanoaSG60KTL(COM1-017)_001_00746056.529861111146056.529861111146056.5388888889</v>
      </c>
      <c r="Q59" s="1" t="str">
        <f aca="false">_xlfn.CONCAT(H59,I59,J59)</f>
        <v>DAURDE</v>
      </c>
    </row>
    <row r="60" customFormat="false" ht="15" hidden="false" customHeight="false" outlineLevel="0" collapsed="false">
      <c r="B60" s="1" t="s">
        <v>333</v>
      </c>
      <c r="C60" s="1" t="s">
        <v>342</v>
      </c>
      <c r="D60" s="14" t="n">
        <v>46056.5298611111</v>
      </c>
      <c r="E60" s="14" t="n">
        <v>46056.5298611111</v>
      </c>
      <c r="F60" s="14" t="n">
        <v>46056.5388888889</v>
      </c>
      <c r="G60" s="15" t="n">
        <f aca="false">F60-E60</f>
        <v>0.00902777777777778</v>
      </c>
      <c r="H60" s="20" t="s">
        <v>248</v>
      </c>
      <c r="J60" s="20" t="s">
        <v>256</v>
      </c>
      <c r="K60" s="1" t="e">
        <f aca="false">_xlfn.xlookup(J60,REF!$D$2:$D$12,REF!$E$2:$E$12)</f>
        <v>#NAME?</v>
      </c>
      <c r="L60" s="1" t="s">
        <v>335</v>
      </c>
      <c r="M60" s="20" t="s">
        <v>258</v>
      </c>
      <c r="N60" s="20" t="s">
        <v>259</v>
      </c>
      <c r="O60" s="1" t="s">
        <v>260</v>
      </c>
      <c r="P60" s="22" t="str">
        <f aca="false">_xlfn.CONCAT(B60,C60,D60,E60,F60)</f>
        <v>BC ParanoaSG60KTL(COM1-016)_001_00646056.529861111146056.529861111146056.5388888889</v>
      </c>
      <c r="Q60" s="1" t="str">
        <f aca="false">_xlfn.CONCAT(H60,I60,J60)</f>
        <v>DAURDE</v>
      </c>
    </row>
    <row r="61" customFormat="false" ht="15" hidden="false" customHeight="false" outlineLevel="0" collapsed="false">
      <c r="B61" s="1" t="s">
        <v>333</v>
      </c>
      <c r="C61" s="1" t="s">
        <v>343</v>
      </c>
      <c r="D61" s="14" t="n">
        <v>46056.5298611111</v>
      </c>
      <c r="E61" s="14" t="n">
        <v>46056.5298611111</v>
      </c>
      <c r="F61" s="14" t="n">
        <v>46056.5388888889</v>
      </c>
      <c r="G61" s="15" t="n">
        <f aca="false">F61-E61</f>
        <v>0.00902777777777778</v>
      </c>
      <c r="H61" s="20" t="s">
        <v>248</v>
      </c>
      <c r="J61" s="20" t="s">
        <v>256</v>
      </c>
      <c r="K61" s="1" t="e">
        <f aca="false">_xlfn.xlookup(J61,REF!$D$2:$D$12,REF!$E$2:$E$12)</f>
        <v>#NAME?</v>
      </c>
      <c r="L61" s="1" t="s">
        <v>335</v>
      </c>
      <c r="M61" s="20" t="s">
        <v>258</v>
      </c>
      <c r="N61" s="20" t="s">
        <v>259</v>
      </c>
      <c r="O61" s="1" t="s">
        <v>260</v>
      </c>
      <c r="P61" s="22" t="str">
        <f aca="false">_xlfn.CONCAT(B61,C61,D61,E61,F61)</f>
        <v>BC ParanoaSG50CX(COM2-015)_001_01746056.529861111146056.529861111146056.5388888889</v>
      </c>
      <c r="Q61" s="1" t="str">
        <f aca="false">_xlfn.CONCAT(H61,I61,J61)</f>
        <v>DAURDE</v>
      </c>
    </row>
    <row r="62" customFormat="false" ht="15" hidden="false" customHeight="false" outlineLevel="0" collapsed="false">
      <c r="B62" s="1" t="s">
        <v>333</v>
      </c>
      <c r="C62" s="1" t="s">
        <v>344</v>
      </c>
      <c r="D62" s="14" t="n">
        <v>46056.5298611111</v>
      </c>
      <c r="E62" s="14" t="n">
        <v>46056.5298611111</v>
      </c>
      <c r="F62" s="14" t="n">
        <v>46056.5388888889</v>
      </c>
      <c r="G62" s="15" t="n">
        <f aca="false">F62-E62</f>
        <v>0.00902777777777778</v>
      </c>
      <c r="H62" s="20" t="s">
        <v>248</v>
      </c>
      <c r="J62" s="20" t="s">
        <v>256</v>
      </c>
      <c r="K62" s="1" t="e">
        <f aca="false">_xlfn.xlookup(J62,REF!$D$2:$D$12,REF!$E$2:$E$12)</f>
        <v>#NAME?</v>
      </c>
      <c r="L62" s="1" t="s">
        <v>335</v>
      </c>
      <c r="M62" s="20" t="s">
        <v>258</v>
      </c>
      <c r="N62" s="20" t="s">
        <v>259</v>
      </c>
      <c r="O62" s="1" t="s">
        <v>260</v>
      </c>
      <c r="P62" s="22" t="str">
        <f aca="false">_xlfn.CONCAT(B62,C62,D62,E62,F62)</f>
        <v>BC ParanoaSG60KTL(COM1-009)_001_00246056.529861111146056.529861111146056.5388888889</v>
      </c>
      <c r="Q62" s="1" t="str">
        <f aca="false">_xlfn.CONCAT(H62,I62,J62)</f>
        <v>DAURDE</v>
      </c>
    </row>
    <row r="63" customFormat="false" ht="15" hidden="false" customHeight="false" outlineLevel="0" collapsed="false">
      <c r="B63" s="1" t="s">
        <v>333</v>
      </c>
      <c r="C63" s="1" t="s">
        <v>345</v>
      </c>
      <c r="D63" s="14" t="n">
        <v>46056.5298611111</v>
      </c>
      <c r="E63" s="14" t="n">
        <v>46056.5298611111</v>
      </c>
      <c r="F63" s="14" t="n">
        <v>46056.5388888889</v>
      </c>
      <c r="G63" s="15" t="n">
        <f aca="false">F63-E63</f>
        <v>0.00902777777777778</v>
      </c>
      <c r="H63" s="20" t="s">
        <v>248</v>
      </c>
      <c r="J63" s="20" t="s">
        <v>256</v>
      </c>
      <c r="K63" s="1" t="e">
        <f aca="false">_xlfn.xlookup(J63,REF!$D$2:$D$12,REF!$E$2:$E$12)</f>
        <v>#NAME?</v>
      </c>
      <c r="L63" s="1" t="s">
        <v>335</v>
      </c>
      <c r="M63" s="20" t="s">
        <v>258</v>
      </c>
      <c r="N63" s="20" t="s">
        <v>259</v>
      </c>
      <c r="O63" s="1" t="s">
        <v>260</v>
      </c>
      <c r="P63" s="22" t="str">
        <f aca="false">_xlfn.CONCAT(B63,C63,D63,E63,F63)</f>
        <v>BC ParanoaSG60KTL(COM1-008)_001_00946056.529861111146056.529861111146056.5388888889</v>
      </c>
      <c r="Q63" s="1" t="str">
        <f aca="false">_xlfn.CONCAT(H63,I63,J63)</f>
        <v>DAURDE</v>
      </c>
    </row>
    <row r="64" customFormat="false" ht="15" hidden="false" customHeight="false" outlineLevel="0" collapsed="false">
      <c r="B64" s="1" t="s">
        <v>333</v>
      </c>
      <c r="C64" s="1" t="s">
        <v>346</v>
      </c>
      <c r="D64" s="14" t="n">
        <v>46056.5298611111</v>
      </c>
      <c r="E64" s="14" t="n">
        <v>46056.5298611111</v>
      </c>
      <c r="F64" s="14" t="n">
        <v>46056.5388888889</v>
      </c>
      <c r="G64" s="15" t="n">
        <f aca="false">F64-E64</f>
        <v>0.00902777777777778</v>
      </c>
      <c r="H64" s="20" t="s">
        <v>248</v>
      </c>
      <c r="J64" s="20" t="s">
        <v>256</v>
      </c>
      <c r="K64" s="1" t="e">
        <f aca="false">_xlfn.xlookup(J64,REF!$D$2:$D$12,REF!$E$2:$E$12)</f>
        <v>#NAME?</v>
      </c>
      <c r="L64" s="1" t="s">
        <v>335</v>
      </c>
      <c r="M64" s="20" t="s">
        <v>258</v>
      </c>
      <c r="N64" s="20" t="s">
        <v>259</v>
      </c>
      <c r="O64" s="1" t="s">
        <v>260</v>
      </c>
      <c r="P64" s="22" t="str">
        <f aca="false">_xlfn.CONCAT(B64,C64,D64,E64,F64)</f>
        <v>BC ParanoaSG60KTL(COM1-007)_001_00446056.529861111146056.529861111146056.5388888889</v>
      </c>
      <c r="Q64" s="1" t="str">
        <f aca="false">_xlfn.CONCAT(H64,I64,J64)</f>
        <v>DAURDE</v>
      </c>
    </row>
    <row r="65" customFormat="false" ht="15" hidden="false" customHeight="false" outlineLevel="0" collapsed="false">
      <c r="B65" s="1" t="s">
        <v>333</v>
      </c>
      <c r="C65" s="1" t="s">
        <v>347</v>
      </c>
      <c r="D65" s="14" t="n">
        <v>46056.5298611111</v>
      </c>
      <c r="E65" s="14" t="n">
        <v>46056.5298611111</v>
      </c>
      <c r="F65" s="14" t="n">
        <v>46056.5388888889</v>
      </c>
      <c r="G65" s="15" t="n">
        <f aca="false">F65-E65</f>
        <v>0.00902777777777778</v>
      </c>
      <c r="H65" s="20" t="s">
        <v>248</v>
      </c>
      <c r="J65" s="20" t="s">
        <v>256</v>
      </c>
      <c r="K65" s="1" t="e">
        <f aca="false">_xlfn.xlookup(J65,REF!$D$2:$D$12,REF!$E$2:$E$12)</f>
        <v>#NAME?</v>
      </c>
      <c r="L65" s="1" t="s">
        <v>335</v>
      </c>
      <c r="M65" s="20" t="s">
        <v>258</v>
      </c>
      <c r="N65" s="20" t="s">
        <v>259</v>
      </c>
      <c r="O65" s="1" t="s">
        <v>260</v>
      </c>
      <c r="P65" s="22" t="str">
        <f aca="false">_xlfn.CONCAT(B65,C65,D65,E65,F65)</f>
        <v>BC ParanoaSG60KTL(COM1-006)_001_01446056.529861111146056.529861111146056.5388888889</v>
      </c>
      <c r="Q65" s="1" t="str">
        <f aca="false">_xlfn.CONCAT(H65,I65,J65)</f>
        <v>DAURDE</v>
      </c>
    </row>
    <row r="66" customFormat="false" ht="15" hidden="false" customHeight="false" outlineLevel="0" collapsed="false">
      <c r="B66" s="1" t="s">
        <v>333</v>
      </c>
      <c r="C66" s="1" t="s">
        <v>348</v>
      </c>
      <c r="D66" s="14" t="n">
        <v>46056.5298611111</v>
      </c>
      <c r="E66" s="14" t="n">
        <v>46056.5298611111</v>
      </c>
      <c r="F66" s="14" t="n">
        <v>46056.5388888889</v>
      </c>
      <c r="G66" s="15" t="n">
        <f aca="false">F66-E66</f>
        <v>0.00902777777777778</v>
      </c>
      <c r="H66" s="20" t="s">
        <v>248</v>
      </c>
      <c r="J66" s="20" t="s">
        <v>256</v>
      </c>
      <c r="K66" s="1" t="e">
        <f aca="false">_xlfn.xlookup(J66,REF!$D$2:$D$12,REF!$E$2:$E$12)</f>
        <v>#NAME?</v>
      </c>
      <c r="L66" s="1" t="s">
        <v>335</v>
      </c>
      <c r="M66" s="20" t="s">
        <v>258</v>
      </c>
      <c r="N66" s="20" t="s">
        <v>259</v>
      </c>
      <c r="O66" s="1" t="s">
        <v>260</v>
      </c>
      <c r="P66" s="22" t="str">
        <f aca="false">_xlfn.CONCAT(B66,C66,D66,E66,F66)</f>
        <v>BC ParanoaSG40CX(COM2-005)_001_01546056.529861111146056.529861111146056.5388888889</v>
      </c>
      <c r="Q66" s="1" t="str">
        <f aca="false">_xlfn.CONCAT(H66,I66,J66)</f>
        <v>DAURDE</v>
      </c>
    </row>
    <row r="67" customFormat="false" ht="15" hidden="false" customHeight="false" outlineLevel="0" collapsed="false">
      <c r="B67" s="1" t="s">
        <v>333</v>
      </c>
      <c r="C67" s="1" t="s">
        <v>349</v>
      </c>
      <c r="D67" s="14" t="n">
        <v>46056.5298611111</v>
      </c>
      <c r="E67" s="14" t="n">
        <v>46056.5298611111</v>
      </c>
      <c r="F67" s="14" t="n">
        <v>46056.5388888889</v>
      </c>
      <c r="G67" s="15" t="n">
        <f aca="false">F67-E67</f>
        <v>0.00902777777777778</v>
      </c>
      <c r="H67" s="20" t="s">
        <v>248</v>
      </c>
      <c r="J67" s="20" t="s">
        <v>256</v>
      </c>
      <c r="K67" s="1" t="e">
        <f aca="false">_xlfn.xlookup(J67,REF!$D$2:$D$12,REF!$E$2:$E$12)</f>
        <v>#NAME?</v>
      </c>
      <c r="L67" s="1" t="s">
        <v>335</v>
      </c>
      <c r="M67" s="20" t="s">
        <v>258</v>
      </c>
      <c r="N67" s="20" t="s">
        <v>259</v>
      </c>
      <c r="O67" s="1" t="s">
        <v>260</v>
      </c>
      <c r="P67" s="22" t="str">
        <f aca="false">_xlfn.CONCAT(B67,C67,D67,E67,F67)</f>
        <v>BC ParanoaSG60KTL(COM1-019)_002_00746056.529861111146056.529861111146056.5388888889</v>
      </c>
      <c r="Q67" s="1" t="str">
        <f aca="false">_xlfn.CONCAT(H67,I67,J67)</f>
        <v>DAURDE</v>
      </c>
    </row>
    <row r="68" customFormat="false" ht="15" hidden="false" customHeight="false" outlineLevel="0" collapsed="false">
      <c r="B68" s="1" t="s">
        <v>333</v>
      </c>
      <c r="C68" s="1" t="s">
        <v>350</v>
      </c>
      <c r="D68" s="14" t="n">
        <v>46056.5298611111</v>
      </c>
      <c r="E68" s="14" t="n">
        <v>46056.5298611111</v>
      </c>
      <c r="F68" s="14" t="n">
        <v>46056.5388888889</v>
      </c>
      <c r="G68" s="15" t="n">
        <f aca="false">F68-E68</f>
        <v>0.00902777777777778</v>
      </c>
      <c r="H68" s="20" t="s">
        <v>248</v>
      </c>
      <c r="J68" s="20" t="s">
        <v>256</v>
      </c>
      <c r="K68" s="1" t="e">
        <f aca="false">_xlfn.xlookup(J68,REF!$D$2:$D$12,REF!$E$2:$E$12)</f>
        <v>#NAME?</v>
      </c>
      <c r="L68" s="1" t="s">
        <v>335</v>
      </c>
      <c r="M68" s="20" t="s">
        <v>258</v>
      </c>
      <c r="N68" s="20" t="s">
        <v>259</v>
      </c>
      <c r="O68" s="1" t="s">
        <v>260</v>
      </c>
      <c r="P68" s="22" t="str">
        <f aca="false">_xlfn.CONCAT(B68,C68,D68,E68,F68)</f>
        <v>BC ParanoaSG60KTL(COM1-020)_002_01146056.529861111146056.529861111146056.5388888889</v>
      </c>
      <c r="Q68" s="1" t="str">
        <f aca="false">_xlfn.CONCAT(H68,I68,J68)</f>
        <v>DAURDE</v>
      </c>
    </row>
    <row r="69" customFormat="false" ht="15" hidden="false" customHeight="false" outlineLevel="0" collapsed="false">
      <c r="B69" s="1" t="s">
        <v>333</v>
      </c>
      <c r="C69" s="1" t="s">
        <v>351</v>
      </c>
      <c r="D69" s="14" t="n">
        <v>46056.5298611111</v>
      </c>
      <c r="E69" s="14" t="n">
        <v>46056.5298611111</v>
      </c>
      <c r="F69" s="14" t="n">
        <v>46056.5388888889</v>
      </c>
      <c r="G69" s="15" t="n">
        <f aca="false">F69-E69</f>
        <v>0.00902777777777778</v>
      </c>
      <c r="H69" s="20" t="s">
        <v>248</v>
      </c>
      <c r="J69" s="20" t="s">
        <v>256</v>
      </c>
      <c r="K69" s="1" t="e">
        <f aca="false">_xlfn.xlookup(J69,REF!$D$2:$D$12,REF!$E$2:$E$12)</f>
        <v>#NAME?</v>
      </c>
      <c r="L69" s="1" t="s">
        <v>335</v>
      </c>
      <c r="M69" s="20" t="s">
        <v>258</v>
      </c>
      <c r="N69" s="20" t="s">
        <v>259</v>
      </c>
      <c r="O69" s="1" t="s">
        <v>260</v>
      </c>
      <c r="P69" s="22" t="str">
        <f aca="false">_xlfn.CONCAT(B69,C69,D69,E69,F69)</f>
        <v>BC ParanoaSG60KTL(COM1-021)_002_01746056.529861111146056.529861111146056.5388888889</v>
      </c>
      <c r="Q69" s="1" t="str">
        <f aca="false">_xlfn.CONCAT(H69,I69,J69)</f>
        <v>DAURDE</v>
      </c>
    </row>
    <row r="70" s="26" customFormat="true" ht="15" hidden="false" customHeight="false" outlineLevel="0" collapsed="false">
      <c r="A70" s="13"/>
      <c r="B70" s="24" t="s">
        <v>333</v>
      </c>
      <c r="C70" s="24" t="s">
        <v>352</v>
      </c>
      <c r="D70" s="14" t="n">
        <v>46056.5298611111</v>
      </c>
      <c r="E70" s="14" t="n">
        <v>46056.5298611111</v>
      </c>
      <c r="F70" s="14" t="n">
        <v>46056.5388888889</v>
      </c>
      <c r="G70" s="15" t="n">
        <f aca="false">F70-E70</f>
        <v>0.00902777777777778</v>
      </c>
      <c r="H70" s="20" t="s">
        <v>248</v>
      </c>
      <c r="I70" s="24"/>
      <c r="J70" s="20" t="s">
        <v>256</v>
      </c>
      <c r="K70" s="1" t="e">
        <f aca="false">_xlfn.xlookup(J70,REF!$D$2:$D$12,REF!$E$2:$E$12)</f>
        <v>#NAME?</v>
      </c>
      <c r="L70" s="1" t="s">
        <v>335</v>
      </c>
      <c r="M70" s="20" t="s">
        <v>258</v>
      </c>
      <c r="N70" s="20" t="s">
        <v>259</v>
      </c>
      <c r="O70" s="1" t="s">
        <v>260</v>
      </c>
      <c r="P70" s="25" t="str">
        <f aca="false">_xlfn.CONCAT(B70,C70,D70,E70,F70)</f>
        <v>BC ParanoaSG60KTL(COM1-022)_002_02046056.529861111146056.529861111146056.5388888889</v>
      </c>
      <c r="Q70" s="24" t="str">
        <f aca="false">_xlfn.CONCAT(H70,I70,J70)</f>
        <v>DAURDE</v>
      </c>
    </row>
    <row r="71" customFormat="false" ht="15" hidden="false" customHeight="false" outlineLevel="0" collapsed="false">
      <c r="B71" s="1" t="s">
        <v>333</v>
      </c>
      <c r="C71" s="1" t="s">
        <v>353</v>
      </c>
      <c r="D71" s="14" t="n">
        <v>46056.5298611111</v>
      </c>
      <c r="E71" s="14" t="n">
        <v>46056.5298611111</v>
      </c>
      <c r="F71" s="14" t="n">
        <v>46056.5388888889</v>
      </c>
      <c r="G71" s="15" t="n">
        <f aca="false">F71-E71</f>
        <v>0.00902777777777778</v>
      </c>
      <c r="H71" s="20" t="s">
        <v>248</v>
      </c>
      <c r="J71" s="20" t="s">
        <v>256</v>
      </c>
      <c r="K71" s="1" t="e">
        <f aca="false">_xlfn.xlookup(J71,REF!$D$2:$D$12,REF!$E$2:$E$12)</f>
        <v>#NAME?</v>
      </c>
      <c r="L71" s="1" t="s">
        <v>335</v>
      </c>
      <c r="M71" s="20" t="s">
        <v>258</v>
      </c>
      <c r="N71" s="20" t="s">
        <v>259</v>
      </c>
      <c r="O71" s="1" t="s">
        <v>260</v>
      </c>
      <c r="P71" s="22" t="str">
        <f aca="false">_xlfn.CONCAT(B71,C71,D71,E71,F71)</f>
        <v>BC ParanoaSG40CX(COM2-023)_002_02446056.529861111146056.529861111146056.5388888889</v>
      </c>
      <c r="Q71" s="1" t="str">
        <f aca="false">_xlfn.CONCAT(H71,I71,J71)</f>
        <v>DAURDE</v>
      </c>
    </row>
    <row r="72" customFormat="false" ht="15" hidden="false" customHeight="false" outlineLevel="0" collapsed="false">
      <c r="B72" s="1" t="s">
        <v>333</v>
      </c>
      <c r="C72" s="1" t="s">
        <v>354</v>
      </c>
      <c r="D72" s="14" t="n">
        <v>46056.5298611111</v>
      </c>
      <c r="E72" s="14" t="n">
        <v>46056.5298611111</v>
      </c>
      <c r="F72" s="14" t="n">
        <v>46056.5388888889</v>
      </c>
      <c r="G72" s="15" t="n">
        <f aca="false">F72-E72</f>
        <v>0.00902777777777778</v>
      </c>
      <c r="H72" s="20" t="s">
        <v>248</v>
      </c>
      <c r="J72" s="20" t="s">
        <v>256</v>
      </c>
      <c r="K72" s="1" t="e">
        <f aca="false">_xlfn.xlookup(J72,REF!$D$2:$D$12,REF!$E$2:$E$12)</f>
        <v>#NAME?</v>
      </c>
      <c r="L72" s="1" t="s">
        <v>335</v>
      </c>
      <c r="M72" s="20" t="s">
        <v>258</v>
      </c>
      <c r="N72" s="20" t="s">
        <v>259</v>
      </c>
      <c r="O72" s="1" t="s">
        <v>260</v>
      </c>
      <c r="P72" s="22" t="str">
        <f aca="false">_xlfn.CONCAT(B72,C72,D72,E72,F72)</f>
        <v>BC ParanoaSG40CX(COM2-024)_002_02246056.529861111146056.529861111146056.5388888889</v>
      </c>
      <c r="Q72" s="1" t="str">
        <f aca="false">_xlfn.CONCAT(H72,I72,J72)</f>
        <v>DAURDE</v>
      </c>
    </row>
    <row r="73" customFormat="false" ht="15" hidden="false" customHeight="false" outlineLevel="0" collapsed="false">
      <c r="B73" s="1" t="s">
        <v>333</v>
      </c>
      <c r="C73" s="1" t="s">
        <v>355</v>
      </c>
      <c r="D73" s="14" t="n">
        <v>46056.5298611111</v>
      </c>
      <c r="E73" s="14" t="n">
        <v>46056.5298611111</v>
      </c>
      <c r="F73" s="14" t="n">
        <v>46056.5388888889</v>
      </c>
      <c r="G73" s="15" t="n">
        <f aca="false">F73-E73</f>
        <v>0.00902777777777778</v>
      </c>
      <c r="H73" s="20" t="s">
        <v>248</v>
      </c>
      <c r="J73" s="20" t="s">
        <v>256</v>
      </c>
      <c r="K73" s="1" t="e">
        <f aca="false">_xlfn.xlookup(J73,REF!$D$2:$D$12,REF!$E$2:$E$12)</f>
        <v>#NAME?</v>
      </c>
      <c r="L73" s="1" t="s">
        <v>335</v>
      </c>
      <c r="M73" s="20" t="s">
        <v>258</v>
      </c>
      <c r="N73" s="20" t="s">
        <v>259</v>
      </c>
      <c r="O73" s="1" t="s">
        <v>260</v>
      </c>
      <c r="P73" s="22" t="str">
        <f aca="false">_xlfn.CONCAT(B73,C73,D73,E73,F73)</f>
        <v>BC ParanoaSG60KTL(COM1-007)_002_01346056.529861111146056.529861111146056.5388888889</v>
      </c>
      <c r="Q73" s="1" t="str">
        <f aca="false">_xlfn.CONCAT(H73,I73,J73)</f>
        <v>DAURDE</v>
      </c>
    </row>
    <row r="74" customFormat="false" ht="15" hidden="false" customHeight="false" outlineLevel="0" collapsed="false">
      <c r="B74" s="1" t="s">
        <v>333</v>
      </c>
      <c r="C74" s="1" t="s">
        <v>356</v>
      </c>
      <c r="D74" s="14" t="n">
        <v>46056.5298611111</v>
      </c>
      <c r="E74" s="14" t="n">
        <v>46056.5298611111</v>
      </c>
      <c r="F74" s="14" t="n">
        <v>46056.5388888889</v>
      </c>
      <c r="G74" s="15" t="n">
        <f aca="false">F74-E74</f>
        <v>0.00902777777777778</v>
      </c>
      <c r="H74" s="20" t="s">
        <v>248</v>
      </c>
      <c r="J74" s="20" t="s">
        <v>256</v>
      </c>
      <c r="K74" s="1" t="e">
        <f aca="false">_xlfn.xlookup(J74,REF!$D$2:$D$12,REF!$E$2:$E$12)</f>
        <v>#NAME?</v>
      </c>
      <c r="L74" s="1" t="s">
        <v>335</v>
      </c>
      <c r="M74" s="20" t="s">
        <v>258</v>
      </c>
      <c r="N74" s="20" t="s">
        <v>259</v>
      </c>
      <c r="O74" s="1" t="s">
        <v>260</v>
      </c>
      <c r="P74" s="22" t="str">
        <f aca="false">_xlfn.CONCAT(B74,C74,D74,E74,F74)</f>
        <v>BC ParanoaSG60KTL(COM1-008)_002_00246056.529861111146056.529861111146056.5388888889</v>
      </c>
      <c r="Q74" s="1" t="str">
        <f aca="false">_xlfn.CONCAT(H74,I74,J74)</f>
        <v>DAURDE</v>
      </c>
    </row>
    <row r="75" customFormat="false" ht="15" hidden="false" customHeight="false" outlineLevel="0" collapsed="false">
      <c r="B75" s="1" t="s">
        <v>333</v>
      </c>
      <c r="C75" s="1" t="s">
        <v>357</v>
      </c>
      <c r="D75" s="14" t="n">
        <v>46056.5298611111</v>
      </c>
      <c r="E75" s="14" t="n">
        <v>46056.5298611111</v>
      </c>
      <c r="F75" s="14" t="n">
        <v>46056.5388888889</v>
      </c>
      <c r="G75" s="15" t="n">
        <f aca="false">F75-E75</f>
        <v>0.00902777777777778</v>
      </c>
      <c r="H75" s="20" t="s">
        <v>248</v>
      </c>
      <c r="J75" s="20" t="s">
        <v>256</v>
      </c>
      <c r="K75" s="1" t="e">
        <f aca="false">_xlfn.xlookup(J75,REF!$D$2:$D$12,REF!$E$2:$E$12)</f>
        <v>#NAME?</v>
      </c>
      <c r="L75" s="1" t="s">
        <v>335</v>
      </c>
      <c r="M75" s="20" t="s">
        <v>258</v>
      </c>
      <c r="N75" s="20" t="s">
        <v>259</v>
      </c>
      <c r="O75" s="1" t="s">
        <v>260</v>
      </c>
      <c r="P75" s="22" t="str">
        <f aca="false">_xlfn.CONCAT(B75,C75,D75,E75,F75)</f>
        <v>BC ParanoaSG60KTL(COM1-009)_002_00846056.529861111146056.529861111146056.5388888889</v>
      </c>
      <c r="Q75" s="1" t="str">
        <f aca="false">_xlfn.CONCAT(H75,I75,J75)</f>
        <v>DAURDE</v>
      </c>
    </row>
    <row r="76" customFormat="false" ht="15" hidden="false" customHeight="false" outlineLevel="0" collapsed="false">
      <c r="B76" s="1" t="s">
        <v>333</v>
      </c>
      <c r="C76" s="1" t="s">
        <v>358</v>
      </c>
      <c r="D76" s="14" t="n">
        <v>46056.5298611111</v>
      </c>
      <c r="E76" s="14" t="n">
        <v>46056.5298611111</v>
      </c>
      <c r="F76" s="14" t="n">
        <v>46056.5388888889</v>
      </c>
      <c r="G76" s="15" t="n">
        <f aca="false">F76-E76</f>
        <v>0.00902777777777778</v>
      </c>
      <c r="H76" s="20" t="s">
        <v>248</v>
      </c>
      <c r="J76" s="20" t="s">
        <v>256</v>
      </c>
      <c r="K76" s="1" t="e">
        <f aca="false">_xlfn.xlookup(J76,REF!$D$2:$D$12,REF!$E$2:$E$12)</f>
        <v>#NAME?</v>
      </c>
      <c r="L76" s="1" t="s">
        <v>335</v>
      </c>
      <c r="M76" s="20" t="s">
        <v>258</v>
      </c>
      <c r="N76" s="20" t="s">
        <v>259</v>
      </c>
      <c r="O76" s="1" t="s">
        <v>260</v>
      </c>
      <c r="P76" s="22" t="str">
        <f aca="false">_xlfn.CONCAT(B76,C76,D76,E76,F76)</f>
        <v>BC ParanoaSG60KTL(COM1-010)_002_00346056.529861111146056.529861111146056.5388888889</v>
      </c>
      <c r="Q76" s="1" t="str">
        <f aca="false">_xlfn.CONCAT(H76,I76,J76)</f>
        <v>DAURDE</v>
      </c>
    </row>
    <row r="77" customFormat="false" ht="15" hidden="false" customHeight="false" outlineLevel="0" collapsed="false">
      <c r="B77" s="1" t="s">
        <v>333</v>
      </c>
      <c r="C77" s="1" t="s">
        <v>359</v>
      </c>
      <c r="D77" s="14" t="n">
        <v>46056.5298611111</v>
      </c>
      <c r="E77" s="14" t="n">
        <v>46056.5298611111</v>
      </c>
      <c r="F77" s="14" t="n">
        <v>46056.5388888889</v>
      </c>
      <c r="G77" s="15" t="n">
        <f aca="false">F77-E77</f>
        <v>0.00902777777777778</v>
      </c>
      <c r="H77" s="20" t="s">
        <v>248</v>
      </c>
      <c r="J77" s="20" t="s">
        <v>256</v>
      </c>
      <c r="K77" s="1" t="e">
        <f aca="false">_xlfn.xlookup(J77,REF!$D$2:$D$12,REF!$E$2:$E$12)</f>
        <v>#NAME?</v>
      </c>
      <c r="L77" s="1" t="s">
        <v>335</v>
      </c>
      <c r="M77" s="20" t="s">
        <v>258</v>
      </c>
      <c r="N77" s="20" t="s">
        <v>259</v>
      </c>
      <c r="O77" s="1" t="s">
        <v>260</v>
      </c>
      <c r="P77" s="22" t="str">
        <f aca="false">_xlfn.CONCAT(B77,C77,D77,E77,F77)</f>
        <v>BC ParanoaSG60KTL(COM1-011)_002_01046056.529861111146056.529861111146056.5388888889</v>
      </c>
      <c r="Q77" s="1" t="str">
        <f aca="false">_xlfn.CONCAT(H77,I77,J77)</f>
        <v>DAURDE</v>
      </c>
    </row>
    <row r="78" customFormat="false" ht="15" hidden="false" customHeight="false" outlineLevel="0" collapsed="false">
      <c r="B78" s="1" t="s">
        <v>333</v>
      </c>
      <c r="C78" s="1" t="s">
        <v>360</v>
      </c>
      <c r="D78" s="14" t="n">
        <v>46056.5298611111</v>
      </c>
      <c r="E78" s="14" t="n">
        <v>46056.5298611111</v>
      </c>
      <c r="F78" s="14" t="n">
        <v>46056.5388888889</v>
      </c>
      <c r="G78" s="15" t="n">
        <f aca="false">F78-E78</f>
        <v>0.00902777777777778</v>
      </c>
      <c r="H78" s="20" t="s">
        <v>248</v>
      </c>
      <c r="J78" s="20" t="s">
        <v>256</v>
      </c>
      <c r="K78" s="1" t="e">
        <f aca="false">_xlfn.xlookup(J78,REF!$D$2:$D$12,REF!$E$2:$E$12)</f>
        <v>#NAME?</v>
      </c>
      <c r="L78" s="1" t="s">
        <v>335</v>
      </c>
      <c r="M78" s="20" t="s">
        <v>258</v>
      </c>
      <c r="N78" s="20" t="s">
        <v>259</v>
      </c>
      <c r="O78" s="1" t="s">
        <v>260</v>
      </c>
      <c r="P78" s="22" t="str">
        <f aca="false">_xlfn.CONCAT(B78,C78,D78,E78,F78)</f>
        <v>BC ParanoaSG60KTL(COM1-012)_002_00546056.529861111146056.529861111146056.5388888889</v>
      </c>
      <c r="Q78" s="1" t="str">
        <f aca="false">_xlfn.CONCAT(H78,I78,J78)</f>
        <v>DAURDE</v>
      </c>
    </row>
    <row r="79" customFormat="false" ht="15" hidden="false" customHeight="false" outlineLevel="0" collapsed="false">
      <c r="B79" s="1" t="s">
        <v>333</v>
      </c>
      <c r="C79" s="1" t="s">
        <v>361</v>
      </c>
      <c r="D79" s="14" t="n">
        <v>46056.5298611111</v>
      </c>
      <c r="E79" s="14" t="n">
        <v>46056.5298611111</v>
      </c>
      <c r="F79" s="14" t="n">
        <v>46056.5388888889</v>
      </c>
      <c r="G79" s="15" t="n">
        <f aca="false">F79-E79</f>
        <v>0.00902777777777778</v>
      </c>
      <c r="H79" s="20" t="s">
        <v>248</v>
      </c>
      <c r="J79" s="20" t="s">
        <v>256</v>
      </c>
      <c r="K79" s="1" t="e">
        <f aca="false">_xlfn.xlookup(J79,REF!$D$2:$D$12,REF!$E$2:$E$12)</f>
        <v>#NAME?</v>
      </c>
      <c r="L79" s="1" t="s">
        <v>335</v>
      </c>
      <c r="M79" s="20" t="s">
        <v>258</v>
      </c>
      <c r="N79" s="20" t="s">
        <v>259</v>
      </c>
      <c r="O79" s="1" t="s">
        <v>260</v>
      </c>
      <c r="P79" s="22" t="str">
        <f aca="false">_xlfn.CONCAT(B79,C79,D79,E79,F79)</f>
        <v>BC ParanoaSG60KTL(COM1-001)_002_00646056.529861111146056.529861111146056.5388888889</v>
      </c>
      <c r="Q79" s="1" t="str">
        <f aca="false">_xlfn.CONCAT(H79,I79,J79)</f>
        <v>DAURDE</v>
      </c>
    </row>
    <row r="80" customFormat="false" ht="15" hidden="false" customHeight="false" outlineLevel="0" collapsed="false">
      <c r="B80" s="1" t="s">
        <v>333</v>
      </c>
      <c r="C80" s="1" t="s">
        <v>362</v>
      </c>
      <c r="D80" s="14" t="n">
        <v>46056.5298611111</v>
      </c>
      <c r="E80" s="14" t="n">
        <v>46056.5298611111</v>
      </c>
      <c r="F80" s="14" t="n">
        <v>46056.5388888889</v>
      </c>
      <c r="G80" s="15" t="n">
        <f aca="false">F80-E80</f>
        <v>0.00902777777777778</v>
      </c>
      <c r="H80" s="20" t="s">
        <v>248</v>
      </c>
      <c r="J80" s="20" t="s">
        <v>256</v>
      </c>
      <c r="K80" s="1" t="e">
        <f aca="false">_xlfn.xlookup(J80,REF!$D$2:$D$12,REF!$E$2:$E$12)</f>
        <v>#NAME?</v>
      </c>
      <c r="L80" s="1" t="s">
        <v>335</v>
      </c>
      <c r="M80" s="20" t="s">
        <v>258</v>
      </c>
      <c r="N80" s="20" t="s">
        <v>259</v>
      </c>
      <c r="O80" s="1" t="s">
        <v>260</v>
      </c>
      <c r="P80" s="22" t="str">
        <f aca="false">_xlfn.CONCAT(B80,C80,D80,E80,F80)</f>
        <v>BC ParanoaSG60KTL(COM1-002)_002_01646056.529861111146056.529861111146056.5388888889</v>
      </c>
      <c r="Q80" s="1" t="str">
        <f aca="false">_xlfn.CONCAT(H80,I80,J80)</f>
        <v>DAURDE</v>
      </c>
    </row>
    <row r="81" customFormat="false" ht="15" hidden="false" customHeight="false" outlineLevel="0" collapsed="false">
      <c r="B81" s="1" t="s">
        <v>333</v>
      </c>
      <c r="C81" s="1" t="s">
        <v>363</v>
      </c>
      <c r="D81" s="14" t="n">
        <v>46056.5298611111</v>
      </c>
      <c r="E81" s="14" t="n">
        <v>46056.5298611111</v>
      </c>
      <c r="F81" s="14" t="n">
        <v>46056.5388888889</v>
      </c>
      <c r="G81" s="15" t="n">
        <f aca="false">F81-E81</f>
        <v>0.00902777777777778</v>
      </c>
      <c r="H81" s="20" t="s">
        <v>248</v>
      </c>
      <c r="J81" s="20" t="s">
        <v>256</v>
      </c>
      <c r="K81" s="1" t="e">
        <f aca="false">_xlfn.xlookup(J81,REF!$D$2:$D$12,REF!$E$2:$E$12)</f>
        <v>#NAME?</v>
      </c>
      <c r="L81" s="1" t="s">
        <v>335</v>
      </c>
      <c r="M81" s="20" t="s">
        <v>258</v>
      </c>
      <c r="N81" s="20" t="s">
        <v>259</v>
      </c>
      <c r="O81" s="1" t="s">
        <v>260</v>
      </c>
      <c r="P81" s="22" t="str">
        <f aca="false">_xlfn.CONCAT(B81,C81,D81,E81,F81)</f>
        <v>BC ParanoaSG50CX(COM2-003)_002_02146056.529861111146056.529861111146056.5388888889</v>
      </c>
      <c r="Q81" s="1" t="str">
        <f aca="false">_xlfn.CONCAT(H81,I81,J81)</f>
        <v>DAURDE</v>
      </c>
    </row>
    <row r="82" customFormat="false" ht="15" hidden="false" customHeight="false" outlineLevel="0" collapsed="false">
      <c r="B82" s="1" t="s">
        <v>333</v>
      </c>
      <c r="C82" s="1" t="s">
        <v>364</v>
      </c>
      <c r="D82" s="14" t="n">
        <v>46056.5298611111</v>
      </c>
      <c r="E82" s="14" t="n">
        <v>46056.5298611111</v>
      </c>
      <c r="F82" s="14" t="n">
        <v>46056.5388888889</v>
      </c>
      <c r="G82" s="15" t="n">
        <f aca="false">F82-E82</f>
        <v>0.00902777777777778</v>
      </c>
      <c r="H82" s="20" t="s">
        <v>248</v>
      </c>
      <c r="J82" s="20" t="s">
        <v>256</v>
      </c>
      <c r="K82" s="1" t="e">
        <f aca="false">_xlfn.xlookup(J82,REF!$D$2:$D$12,REF!$E$2:$E$12)</f>
        <v>#NAME?</v>
      </c>
      <c r="L82" s="1" t="s">
        <v>335</v>
      </c>
      <c r="M82" s="20" t="s">
        <v>258</v>
      </c>
      <c r="N82" s="20" t="s">
        <v>259</v>
      </c>
      <c r="O82" s="1" t="s">
        <v>260</v>
      </c>
      <c r="P82" s="22" t="str">
        <f aca="false">_xlfn.CONCAT(B82,C82,D82,E82,F82)</f>
        <v>BC ParanoaSG50CX(COM2-004)_002_02346056.529861111146056.529861111146056.5388888889</v>
      </c>
      <c r="Q82" s="1" t="str">
        <f aca="false">_xlfn.CONCAT(H82,I82,J82)</f>
        <v>DAURDE</v>
      </c>
    </row>
    <row r="83" customFormat="false" ht="15" hidden="false" customHeight="false" outlineLevel="0" collapsed="false">
      <c r="B83" s="1" t="s">
        <v>333</v>
      </c>
      <c r="C83" s="1" t="s">
        <v>365</v>
      </c>
      <c r="D83" s="14" t="n">
        <v>46056.5298611111</v>
      </c>
      <c r="E83" s="14" t="n">
        <v>46056.5298611111</v>
      </c>
      <c r="F83" s="14" t="n">
        <v>46056.5388888889</v>
      </c>
      <c r="G83" s="15" t="n">
        <f aca="false">F83-E83</f>
        <v>0.00902777777777778</v>
      </c>
      <c r="H83" s="20" t="s">
        <v>248</v>
      </c>
      <c r="J83" s="20" t="s">
        <v>256</v>
      </c>
      <c r="K83" s="1" t="e">
        <f aca="false">_xlfn.xlookup(J83,REF!$D$2:$D$12,REF!$E$2:$E$12)</f>
        <v>#NAME?</v>
      </c>
      <c r="L83" s="1" t="s">
        <v>335</v>
      </c>
      <c r="M83" s="20" t="s">
        <v>258</v>
      </c>
      <c r="N83" s="20" t="s">
        <v>259</v>
      </c>
      <c r="O83" s="1" t="s">
        <v>260</v>
      </c>
      <c r="P83" s="22" t="str">
        <f aca="false">_xlfn.CONCAT(B83,C83,D83,E83,F83)</f>
        <v>BC ParanoaSG60KTL(COM1-005)_002_00946056.529861111146056.529861111146056.5388888889</v>
      </c>
      <c r="Q83" s="1" t="str">
        <f aca="false">_xlfn.CONCAT(H83,I83,J83)</f>
        <v>DAURDE</v>
      </c>
    </row>
    <row r="84" customFormat="false" ht="15" hidden="false" customHeight="false" outlineLevel="0" collapsed="false">
      <c r="B84" s="1" t="s">
        <v>333</v>
      </c>
      <c r="C84" s="1" t="s">
        <v>366</v>
      </c>
      <c r="D84" s="14" t="n">
        <v>46056.5298611111</v>
      </c>
      <c r="E84" s="14" t="n">
        <v>46056.5298611111</v>
      </c>
      <c r="F84" s="14" t="n">
        <v>46056.5388888889</v>
      </c>
      <c r="G84" s="15" t="n">
        <f aca="false">F84-E84</f>
        <v>0.00902777777777778</v>
      </c>
      <c r="H84" s="20" t="s">
        <v>248</v>
      </c>
      <c r="J84" s="20" t="s">
        <v>256</v>
      </c>
      <c r="K84" s="1" t="e">
        <f aca="false">_xlfn.xlookup(J84,REF!$D$2:$D$12,REF!$E$2:$E$12)</f>
        <v>#NAME?</v>
      </c>
      <c r="L84" s="1" t="s">
        <v>335</v>
      </c>
      <c r="M84" s="20" t="s">
        <v>258</v>
      </c>
      <c r="N84" s="20" t="s">
        <v>259</v>
      </c>
      <c r="O84" s="1" t="s">
        <v>260</v>
      </c>
      <c r="P84" s="22" t="str">
        <f aca="false">_xlfn.CONCAT(B84,C84,D84,E84,F84)</f>
        <v>BC ParanoaSG60KTL(COM1-006)_002_00146056.529861111146056.529861111146056.5388888889</v>
      </c>
      <c r="Q84" s="1" t="str">
        <f aca="false">_xlfn.CONCAT(H84,I84,J84)</f>
        <v>DAURDE</v>
      </c>
    </row>
    <row r="85" customFormat="false" ht="15" hidden="false" customHeight="false" outlineLevel="0" collapsed="false">
      <c r="B85" s="1" t="s">
        <v>333</v>
      </c>
      <c r="C85" s="1" t="s">
        <v>367</v>
      </c>
      <c r="D85" s="14" t="n">
        <v>46056.5298611111</v>
      </c>
      <c r="E85" s="14" t="n">
        <v>46056.5298611111</v>
      </c>
      <c r="F85" s="14" t="n">
        <v>46056.5388888889</v>
      </c>
      <c r="G85" s="15" t="n">
        <f aca="false">F85-E85</f>
        <v>0.00902777777777778</v>
      </c>
      <c r="H85" s="20" t="s">
        <v>248</v>
      </c>
      <c r="J85" s="20" t="s">
        <v>256</v>
      </c>
      <c r="K85" s="1" t="e">
        <f aca="false">_xlfn.xlookup(J85,REF!$D$2:$D$12,REF!$E$2:$E$12)</f>
        <v>#NAME?</v>
      </c>
      <c r="L85" s="1" t="s">
        <v>335</v>
      </c>
      <c r="M85" s="20" t="s">
        <v>258</v>
      </c>
      <c r="N85" s="20" t="s">
        <v>259</v>
      </c>
      <c r="O85" s="1" t="s">
        <v>260</v>
      </c>
      <c r="P85" s="22" t="str">
        <f aca="false">_xlfn.CONCAT(B85,C85,D86,E85,F85)</f>
        <v>BC ParanoaSG60KTL(COM1-013)_002_00446056.529861111146056.529861111146056.5388888889</v>
      </c>
      <c r="Q85" s="1" t="str">
        <f aca="false">_xlfn.CONCAT(H85,I85,J85)</f>
        <v>DAURDE</v>
      </c>
    </row>
    <row r="86" customFormat="false" ht="15" hidden="false" customHeight="false" outlineLevel="0" collapsed="false">
      <c r="B86" s="1" t="s">
        <v>333</v>
      </c>
      <c r="C86" s="1" t="s">
        <v>368</v>
      </c>
      <c r="D86" s="14" t="n">
        <v>46056.5298611111</v>
      </c>
      <c r="E86" s="14" t="n">
        <v>46056.5298611111</v>
      </c>
      <c r="F86" s="14" t="n">
        <v>46056.5388888889</v>
      </c>
      <c r="G86" s="15" t="n">
        <f aca="false">F86-E86</f>
        <v>0.00902777777777778</v>
      </c>
      <c r="H86" s="20" t="s">
        <v>248</v>
      </c>
      <c r="J86" s="20" t="s">
        <v>256</v>
      </c>
      <c r="K86" s="1" t="e">
        <f aca="false">_xlfn.xlookup(J86,REF!$D$2:$D$12,REF!$E$2:$E$12)</f>
        <v>#NAME?</v>
      </c>
      <c r="L86" s="1" t="s">
        <v>335</v>
      </c>
      <c r="M86" s="20" t="s">
        <v>258</v>
      </c>
      <c r="N86" s="20" t="s">
        <v>259</v>
      </c>
      <c r="O86" s="1" t="s">
        <v>260</v>
      </c>
      <c r="P86" s="22" t="str">
        <f aca="false">_xlfn.CONCAT(B86,C86,D87,E86,F86)</f>
        <v>BC ParanoaSG60KTL(COM1-014)_002_01946056.529861111146056.529861111146056.5388888889</v>
      </c>
      <c r="Q86" s="1" t="str">
        <f aca="false">_xlfn.CONCAT(H86,I86,J86)</f>
        <v>DAURDE</v>
      </c>
    </row>
    <row r="87" customFormat="false" ht="15" hidden="false" customHeight="false" outlineLevel="0" collapsed="false">
      <c r="B87" s="1" t="s">
        <v>333</v>
      </c>
      <c r="C87" s="1" t="s">
        <v>369</v>
      </c>
      <c r="D87" s="14" t="n">
        <v>46056.5298611111</v>
      </c>
      <c r="E87" s="14" t="n">
        <v>46056.5298611111</v>
      </c>
      <c r="F87" s="14" t="n">
        <v>46056.5388888889</v>
      </c>
      <c r="G87" s="15" t="n">
        <f aca="false">F87-E87</f>
        <v>0.00902777777777778</v>
      </c>
      <c r="H87" s="20" t="s">
        <v>248</v>
      </c>
      <c r="J87" s="20" t="s">
        <v>256</v>
      </c>
      <c r="K87" s="1" t="e">
        <f aca="false">_xlfn.xlookup(J87,REF!$D$2:$D$12,REF!$E$2:$E$12)</f>
        <v>#NAME?</v>
      </c>
      <c r="L87" s="1" t="s">
        <v>335</v>
      </c>
      <c r="M87" s="20" t="s">
        <v>258</v>
      </c>
      <c r="N87" s="20" t="s">
        <v>259</v>
      </c>
      <c r="O87" s="1" t="s">
        <v>260</v>
      </c>
      <c r="P87" s="22" t="str">
        <f aca="false">_xlfn.CONCAT(B87,C87,D88,E87,F87)</f>
        <v>BC ParanoaSG60KTL(COM1-015)_002_01846056.529861111146056.529861111146056.5388888889</v>
      </c>
      <c r="Q87" s="1" t="str">
        <f aca="false">_xlfn.CONCAT(H87,I87,J87)</f>
        <v>DAURDE</v>
      </c>
    </row>
    <row r="88" customFormat="false" ht="15" hidden="false" customHeight="false" outlineLevel="0" collapsed="false">
      <c r="B88" s="1" t="s">
        <v>333</v>
      </c>
      <c r="C88" s="1" t="s">
        <v>370</v>
      </c>
      <c r="D88" s="14" t="n">
        <v>46056.5298611111</v>
      </c>
      <c r="E88" s="14" t="n">
        <v>46056.5298611111</v>
      </c>
      <c r="F88" s="14" t="n">
        <v>46056.5388888889</v>
      </c>
      <c r="G88" s="15" t="n">
        <f aca="false">F88-E88</f>
        <v>0.00902777777777778</v>
      </c>
      <c r="H88" s="20" t="s">
        <v>248</v>
      </c>
      <c r="J88" s="20" t="s">
        <v>256</v>
      </c>
      <c r="K88" s="1" t="e">
        <f aca="false">_xlfn.xlookup(J88,REF!$D$2:$D$12,REF!$E$2:$E$12)</f>
        <v>#NAME?</v>
      </c>
      <c r="L88" s="1" t="s">
        <v>335</v>
      </c>
      <c r="M88" s="20" t="s">
        <v>258</v>
      </c>
      <c r="N88" s="20" t="s">
        <v>259</v>
      </c>
      <c r="O88" s="1" t="s">
        <v>260</v>
      </c>
      <c r="P88" s="22" t="str">
        <f aca="false">_xlfn.CONCAT(B88,C88,D89,E88,F88)</f>
        <v>BC ParanoaSG60KTL(COM1-016)_002_01446056.529861111146056.529861111146056.5388888889</v>
      </c>
      <c r="Q88" s="1" t="str">
        <f aca="false">_xlfn.CONCAT(H88,I88,J88)</f>
        <v>DAURDE</v>
      </c>
    </row>
    <row r="89" customFormat="false" ht="15" hidden="false" customHeight="false" outlineLevel="0" collapsed="false">
      <c r="B89" s="1" t="s">
        <v>333</v>
      </c>
      <c r="C89" s="1" t="s">
        <v>371</v>
      </c>
      <c r="D89" s="14" t="n">
        <v>46056.5298611111</v>
      </c>
      <c r="E89" s="14" t="n">
        <v>46056.5298611111</v>
      </c>
      <c r="F89" s="14" t="n">
        <v>46056.5388888889</v>
      </c>
      <c r="G89" s="15" t="n">
        <f aca="false">F89-E89</f>
        <v>0.00902777777777778</v>
      </c>
      <c r="H89" s="20" t="s">
        <v>248</v>
      </c>
      <c r="J89" s="20" t="s">
        <v>256</v>
      </c>
      <c r="K89" s="1" t="e">
        <f aca="false">_xlfn.xlookup(J89,REF!$D$2:$D$12,REF!$E$2:$E$12)</f>
        <v>#NAME?</v>
      </c>
      <c r="L89" s="1" t="s">
        <v>335</v>
      </c>
      <c r="M89" s="20" t="s">
        <v>258</v>
      </c>
      <c r="N89" s="20" t="s">
        <v>259</v>
      </c>
      <c r="O89" s="1" t="s">
        <v>260</v>
      </c>
      <c r="P89" s="22" t="str">
        <f aca="false">_xlfn.CONCAT(B89,C89,D90,E89,F89)</f>
        <v>BC ParanoaSG60KTL(COM1-017)_002_01546056.529861111146056.529861111146056.5388888889</v>
      </c>
      <c r="Q89" s="1" t="str">
        <f aca="false">_xlfn.CONCAT(H89,I89,J89)</f>
        <v>DAURDE</v>
      </c>
    </row>
    <row r="90" customFormat="false" ht="15" hidden="false" customHeight="false" outlineLevel="0" collapsed="false">
      <c r="B90" s="1" t="s">
        <v>333</v>
      </c>
      <c r="C90" s="1" t="s">
        <v>372</v>
      </c>
      <c r="D90" s="14" t="n">
        <v>46056.5298611111</v>
      </c>
      <c r="E90" s="14" t="n">
        <v>46056.5298611111</v>
      </c>
      <c r="F90" s="14" t="n">
        <v>46056.5388888889</v>
      </c>
      <c r="G90" s="15" t="n">
        <f aca="false">F90-E90</f>
        <v>0.00902777777777778</v>
      </c>
      <c r="H90" s="20" t="s">
        <v>248</v>
      </c>
      <c r="J90" s="20" t="s">
        <v>256</v>
      </c>
      <c r="K90" s="1" t="e">
        <f aca="false">_xlfn.xlookup(J90,REF!$D$2:$D$12,REF!$E$2:$E$12)</f>
        <v>#NAME?</v>
      </c>
      <c r="L90" s="1" t="s">
        <v>335</v>
      </c>
      <c r="M90" s="20" t="s">
        <v>258</v>
      </c>
      <c r="N90" s="20" t="s">
        <v>259</v>
      </c>
      <c r="O90" s="1" t="s">
        <v>260</v>
      </c>
      <c r="P90" s="22" t="str">
        <f aca="false">_xlfn.CONCAT(B90,C90,D91,E90,F90)</f>
        <v>BC ParanoaSG60KTL(COM1-018)_002_01246056.529861111146056.529861111146056.5388888889</v>
      </c>
      <c r="Q90" s="1" t="str">
        <f aca="false">_xlfn.CONCAT(H90,I90,J90)</f>
        <v>DAURDE</v>
      </c>
    </row>
    <row r="91" customFormat="false" ht="15" hidden="false" customHeight="false" outlineLevel="0" collapsed="false">
      <c r="B91" s="1" t="s">
        <v>333</v>
      </c>
      <c r="C91" s="1" t="s">
        <v>373</v>
      </c>
      <c r="D91" s="14" t="n">
        <v>46056.5298611111</v>
      </c>
      <c r="E91" s="14" t="n">
        <v>46056.5298611111</v>
      </c>
      <c r="F91" s="14" t="n">
        <v>46056.5388888889</v>
      </c>
      <c r="G91" s="15" t="n">
        <f aca="false">F91-E91</f>
        <v>0.00902777777777778</v>
      </c>
      <c r="H91" s="20" t="s">
        <v>248</v>
      </c>
      <c r="J91" s="20" t="s">
        <v>256</v>
      </c>
      <c r="K91" s="1" t="e">
        <f aca="false">_xlfn.xlookup(J91,REF!$D$2:$D$12,REF!$E$2:$E$12)</f>
        <v>#NAME?</v>
      </c>
      <c r="L91" s="1" t="s">
        <v>335</v>
      </c>
      <c r="M91" s="20" t="s">
        <v>258</v>
      </c>
      <c r="N91" s="20" t="s">
        <v>259</v>
      </c>
      <c r="O91" s="1" t="s">
        <v>260</v>
      </c>
      <c r="P91" s="22" t="str">
        <f aca="false">_xlfn.CONCAT(B91,C91,D92,E91,F91)</f>
        <v>BC ParanoaSG50CX(COM2-004)_001_01846056.529861111146056.529861111146056.5388888889</v>
      </c>
      <c r="Q91" s="1" t="str">
        <f aca="false">_xlfn.CONCAT(H91,I91,J91)</f>
        <v>DAURDE</v>
      </c>
    </row>
    <row r="92" customFormat="false" ht="15" hidden="false" customHeight="false" outlineLevel="0" collapsed="false">
      <c r="B92" s="1" t="s">
        <v>333</v>
      </c>
      <c r="C92" s="1" t="s">
        <v>374</v>
      </c>
      <c r="D92" s="14" t="n">
        <v>46056.5298611111</v>
      </c>
      <c r="E92" s="14" t="n">
        <v>46056.5298611111</v>
      </c>
      <c r="F92" s="14" t="n">
        <v>46056.5388888889</v>
      </c>
      <c r="G92" s="15" t="n">
        <f aca="false">F92-E92</f>
        <v>0.00902777777777778</v>
      </c>
      <c r="H92" s="20" t="s">
        <v>248</v>
      </c>
      <c r="J92" s="20" t="s">
        <v>256</v>
      </c>
      <c r="K92" s="1" t="e">
        <f aca="false">_xlfn.xlookup(J92,REF!$D$2:$D$12,REF!$E$2:$E$12)</f>
        <v>#NAME?</v>
      </c>
      <c r="L92" s="1" t="s">
        <v>335</v>
      </c>
      <c r="M92" s="20" t="s">
        <v>258</v>
      </c>
      <c r="N92" s="20" t="s">
        <v>259</v>
      </c>
      <c r="O92" s="1" t="s">
        <v>260</v>
      </c>
      <c r="P92" s="22" t="str">
        <f aca="false">_xlfn.CONCAT(B92,C92,D93,E92,F92)</f>
        <v>BC ParanoaSG50CX(COM2-003)_001_01646056.529861111146056.529861111146056.5388888889</v>
      </c>
      <c r="Q92" s="1" t="str">
        <f aca="false">_xlfn.CONCAT(H92,I92,J92)</f>
        <v>DAURDE</v>
      </c>
    </row>
    <row r="93" customFormat="false" ht="15" hidden="false" customHeight="false" outlineLevel="0" collapsed="false">
      <c r="B93" s="1" t="s">
        <v>333</v>
      </c>
      <c r="C93" s="1" t="s">
        <v>375</v>
      </c>
      <c r="D93" s="14" t="n">
        <v>46056.5298611111</v>
      </c>
      <c r="E93" s="14" t="n">
        <v>46056.5298611111</v>
      </c>
      <c r="F93" s="14" t="n">
        <v>46056.5388888889</v>
      </c>
      <c r="G93" s="15" t="n">
        <f aca="false">F93-E93</f>
        <v>0.00902777777777778</v>
      </c>
      <c r="H93" s="20" t="s">
        <v>248</v>
      </c>
      <c r="J93" s="20" t="s">
        <v>256</v>
      </c>
      <c r="K93" s="1" t="e">
        <f aca="false">_xlfn.xlookup(J93,REF!$D$2:$D$12,REF!$E$2:$E$12)</f>
        <v>#NAME?</v>
      </c>
      <c r="L93" s="1" t="s">
        <v>335</v>
      </c>
      <c r="M93" s="20" t="s">
        <v>258</v>
      </c>
      <c r="N93" s="20" t="s">
        <v>259</v>
      </c>
      <c r="O93" s="1" t="s">
        <v>260</v>
      </c>
      <c r="P93" s="22" t="str">
        <f aca="false">_xlfn.CONCAT(B93,C93,D94,E93,F93)</f>
        <v>BC ParanoaSG60KTL(COM1-002)_001_00846056.651388888946056.529861111146056.5388888889</v>
      </c>
      <c r="Q93" s="1" t="str">
        <f aca="false">_xlfn.CONCAT(H93,I93,J93)</f>
        <v>DAURDE</v>
      </c>
    </row>
    <row r="94" customFormat="false" ht="15" hidden="false" customHeight="false" outlineLevel="0" collapsed="false">
      <c r="B94" s="1" t="s">
        <v>333</v>
      </c>
      <c r="C94" s="1" t="s">
        <v>334</v>
      </c>
      <c r="D94" s="14" t="n">
        <v>46056.6513888889</v>
      </c>
      <c r="E94" s="14" t="n">
        <v>46056.6513888889</v>
      </c>
      <c r="F94" s="14" t="n">
        <v>46056.75</v>
      </c>
      <c r="G94" s="15" t="n">
        <f aca="false">F94-E94</f>
        <v>0.0986111111111111</v>
      </c>
      <c r="H94" s="20" t="s">
        <v>248</v>
      </c>
      <c r="J94" s="20" t="s">
        <v>256</v>
      </c>
      <c r="K94" s="1" t="e">
        <f aca="false">_xlfn.xlookup(J94,REF!$D$2:$D$12,REF!$E$2:$E$12)</f>
        <v>#NAME?</v>
      </c>
      <c r="L94" s="1" t="s">
        <v>376</v>
      </c>
      <c r="M94" s="20" t="s">
        <v>258</v>
      </c>
      <c r="N94" s="20" t="s">
        <v>259</v>
      </c>
      <c r="O94" s="1" t="s">
        <v>377</v>
      </c>
      <c r="P94" s="22" t="str">
        <f aca="false">_xlfn.CONCAT(B94,C94,D94,E94,F94)</f>
        <v>BC ParanoaSG60KTL(COM1-014)_001_01346056.651388888946056.651388888946056.75</v>
      </c>
      <c r="Q94" s="1" t="str">
        <f aca="false">_xlfn.CONCAT(H94,I94,J94)</f>
        <v>DAURDE</v>
      </c>
    </row>
    <row r="95" customFormat="false" ht="15" hidden="false" customHeight="false" outlineLevel="0" collapsed="false">
      <c r="B95" s="1" t="s">
        <v>333</v>
      </c>
      <c r="C95" s="1" t="s">
        <v>336</v>
      </c>
      <c r="D95" s="14" t="n">
        <v>46056.6513888889</v>
      </c>
      <c r="E95" s="14" t="n">
        <v>46056.6513888889</v>
      </c>
      <c r="F95" s="14" t="n">
        <v>46056.75</v>
      </c>
      <c r="G95" s="15" t="n">
        <f aca="false">F95-E95</f>
        <v>0.0986111111111111</v>
      </c>
      <c r="H95" s="20" t="s">
        <v>248</v>
      </c>
      <c r="J95" s="20" t="s">
        <v>256</v>
      </c>
      <c r="K95" s="1" t="e">
        <f aca="false">_xlfn.xlookup(J95,REF!$D$2:$D$12,REF!$E$2:$E$12)</f>
        <v>#NAME?</v>
      </c>
      <c r="L95" s="1" t="s">
        <v>376</v>
      </c>
      <c r="M95" s="20" t="s">
        <v>258</v>
      </c>
      <c r="N95" s="20" t="s">
        <v>259</v>
      </c>
      <c r="O95" s="1" t="s">
        <v>377</v>
      </c>
      <c r="P95" s="22" t="str">
        <f aca="false">_xlfn.CONCAT(B95,C95,D95,E95,F95)</f>
        <v>BC ParanoaSG60KTL(COM1-013)_001_01046056.651388888946056.651388888946056.75</v>
      </c>
      <c r="Q95" s="1" t="str">
        <f aca="false">_xlfn.CONCAT(H95,I95,J95)</f>
        <v>DAURDE</v>
      </c>
    </row>
    <row r="96" customFormat="false" ht="15" hidden="false" customHeight="false" outlineLevel="0" collapsed="false">
      <c r="B96" s="1" t="s">
        <v>333</v>
      </c>
      <c r="C96" s="1" t="s">
        <v>337</v>
      </c>
      <c r="D96" s="14" t="n">
        <v>46056.6513888889</v>
      </c>
      <c r="E96" s="14" t="n">
        <v>46056.6513888889</v>
      </c>
      <c r="F96" s="14" t="n">
        <v>46056.75</v>
      </c>
      <c r="G96" s="15" t="n">
        <f aca="false">F96-E96</f>
        <v>0.0986111111111111</v>
      </c>
      <c r="H96" s="20" t="s">
        <v>248</v>
      </c>
      <c r="J96" s="20" t="s">
        <v>256</v>
      </c>
      <c r="K96" s="1" t="e">
        <f aca="false">_xlfn.xlookup(J96,REF!$D$2:$D$12,REF!$E$2:$E$12)</f>
        <v>#NAME?</v>
      </c>
      <c r="L96" s="1" t="s">
        <v>376</v>
      </c>
      <c r="M96" s="20" t="s">
        <v>258</v>
      </c>
      <c r="N96" s="20" t="s">
        <v>259</v>
      </c>
      <c r="O96" s="1" t="s">
        <v>377</v>
      </c>
      <c r="P96" s="22" t="str">
        <f aca="false">_xlfn.CONCAT(B96,C96,D96,E96,F96)</f>
        <v>BC ParanoaSG60KTL(COM1-012)_001_01146056.651388888946056.651388888946056.75</v>
      </c>
      <c r="Q96" s="1" t="str">
        <f aca="false">_xlfn.CONCAT(H96,I96,J96)</f>
        <v>DAURDE</v>
      </c>
    </row>
    <row r="97" customFormat="false" ht="15" hidden="false" customHeight="false" outlineLevel="0" collapsed="false">
      <c r="B97" s="1" t="s">
        <v>333</v>
      </c>
      <c r="C97" s="1" t="s">
        <v>338</v>
      </c>
      <c r="D97" s="14" t="n">
        <v>46056.6513888889</v>
      </c>
      <c r="E97" s="14" t="n">
        <v>46056.6513888889</v>
      </c>
      <c r="F97" s="14" t="n">
        <v>46056.75</v>
      </c>
      <c r="G97" s="15" t="n">
        <f aca="false">F97-E97</f>
        <v>0.0986111111111111</v>
      </c>
      <c r="H97" s="20" t="s">
        <v>248</v>
      </c>
      <c r="J97" s="20" t="s">
        <v>256</v>
      </c>
      <c r="K97" s="1" t="e">
        <f aca="false">_xlfn.xlookup(J97,REF!$D$2:$D$12,REF!$E$2:$E$12)</f>
        <v>#NAME?</v>
      </c>
      <c r="L97" s="1" t="s">
        <v>376</v>
      </c>
      <c r="M97" s="20" t="s">
        <v>258</v>
      </c>
      <c r="N97" s="20" t="s">
        <v>259</v>
      </c>
      <c r="O97" s="1" t="s">
        <v>377</v>
      </c>
      <c r="P97" s="22" t="str">
        <f aca="false">_xlfn.CONCAT(B97,C97,D97,E97,F97)</f>
        <v>BC ParanoaSG60KTL(COM1-011)_001_00546056.651388888946056.651388888946056.75</v>
      </c>
      <c r="Q97" s="1" t="str">
        <f aca="false">_xlfn.CONCAT(H97,I97,J97)</f>
        <v>DAURDE</v>
      </c>
    </row>
    <row r="98" customFormat="false" ht="15" hidden="false" customHeight="false" outlineLevel="0" collapsed="false">
      <c r="B98" s="1" t="s">
        <v>333</v>
      </c>
      <c r="C98" s="1" t="s">
        <v>339</v>
      </c>
      <c r="D98" s="14" t="n">
        <v>46056.6513888889</v>
      </c>
      <c r="E98" s="14" t="n">
        <v>46056.6513888889</v>
      </c>
      <c r="F98" s="14" t="n">
        <v>46056.75</v>
      </c>
      <c r="G98" s="15" t="n">
        <f aca="false">F98-E98</f>
        <v>0.0986111111111111</v>
      </c>
      <c r="H98" s="20" t="s">
        <v>248</v>
      </c>
      <c r="J98" s="20" t="s">
        <v>256</v>
      </c>
      <c r="K98" s="1" t="e">
        <f aca="false">_xlfn.xlookup(J98,REF!$D$2:$D$12,REF!$E$2:$E$12)</f>
        <v>#NAME?</v>
      </c>
      <c r="L98" s="1" t="s">
        <v>376</v>
      </c>
      <c r="M98" s="20" t="s">
        <v>258</v>
      </c>
      <c r="N98" s="20" t="s">
        <v>259</v>
      </c>
      <c r="O98" s="1" t="s">
        <v>377</v>
      </c>
      <c r="P98" s="22" t="str">
        <f aca="false">_xlfn.CONCAT(B98,C98,D98,E98,F98)</f>
        <v>BC ParanoaSG60KTL(COM1-010)_001_00346056.651388888946056.651388888946056.75</v>
      </c>
      <c r="Q98" s="1" t="str">
        <f aca="false">_xlfn.CONCAT(H98,I98,J98)</f>
        <v>DAURDE</v>
      </c>
    </row>
    <row r="99" customFormat="false" ht="15" hidden="false" customHeight="false" outlineLevel="0" collapsed="false">
      <c r="B99" s="1" t="s">
        <v>333</v>
      </c>
      <c r="C99" s="1" t="s">
        <v>340</v>
      </c>
      <c r="D99" s="14" t="n">
        <v>46056.6513888889</v>
      </c>
      <c r="E99" s="14" t="n">
        <v>46056.6513888889</v>
      </c>
      <c r="F99" s="14" t="n">
        <v>46056.75</v>
      </c>
      <c r="G99" s="15" t="n">
        <f aca="false">F99-E99</f>
        <v>0.0986111111111111</v>
      </c>
      <c r="H99" s="20" t="s">
        <v>248</v>
      </c>
      <c r="J99" s="20" t="s">
        <v>256</v>
      </c>
      <c r="K99" s="1" t="e">
        <f aca="false">_xlfn.xlookup(J99,REF!$D$2:$D$12,REF!$E$2:$E$12)</f>
        <v>#NAME?</v>
      </c>
      <c r="L99" s="1" t="s">
        <v>376</v>
      </c>
      <c r="M99" s="20" t="s">
        <v>258</v>
      </c>
      <c r="N99" s="20" t="s">
        <v>259</v>
      </c>
      <c r="O99" s="1" t="s">
        <v>377</v>
      </c>
      <c r="P99" s="22" t="str">
        <f aca="false">_xlfn.CONCAT(B99,C99,D99,E99,F99)</f>
        <v>BC ParanoaSG60KTL(COM1-018)_001_01246056.651388888946056.651388888946056.75</v>
      </c>
      <c r="Q99" s="1" t="str">
        <f aca="false">_xlfn.CONCAT(H99,I99,J99)</f>
        <v>DAURDE</v>
      </c>
    </row>
    <row r="100" customFormat="false" ht="15" hidden="false" customHeight="false" outlineLevel="0" collapsed="false">
      <c r="B100" s="1" t="s">
        <v>333</v>
      </c>
      <c r="C100" s="1" t="s">
        <v>341</v>
      </c>
      <c r="D100" s="14" t="n">
        <v>46056.6513888889</v>
      </c>
      <c r="E100" s="14" t="n">
        <v>46056.6513888889</v>
      </c>
      <c r="F100" s="14" t="n">
        <v>46056.75</v>
      </c>
      <c r="G100" s="15" t="n">
        <f aca="false">F100-E100</f>
        <v>0.0986111111111111</v>
      </c>
      <c r="H100" s="20" t="s">
        <v>248</v>
      </c>
      <c r="J100" s="20" t="s">
        <v>256</v>
      </c>
      <c r="K100" s="1" t="e">
        <f aca="false">_xlfn.xlookup(J100,REF!$D$2:$D$12,REF!$E$2:$E$12)</f>
        <v>#NAME?</v>
      </c>
      <c r="L100" s="1" t="s">
        <v>376</v>
      </c>
      <c r="M100" s="20" t="s">
        <v>258</v>
      </c>
      <c r="N100" s="20" t="s">
        <v>259</v>
      </c>
      <c r="O100" s="1" t="s">
        <v>377</v>
      </c>
      <c r="P100" s="22" t="str">
        <f aca="false">_xlfn.CONCAT(B100,C100,D100,E100,F100)</f>
        <v>BC ParanoaSG60KTL(COM1-017)_001_00746056.651388888946056.651388888946056.75</v>
      </c>
      <c r="Q100" s="1" t="str">
        <f aca="false">_xlfn.CONCAT(H100,I100,J100)</f>
        <v>DAURDE</v>
      </c>
    </row>
    <row r="101" customFormat="false" ht="15" hidden="false" customHeight="false" outlineLevel="0" collapsed="false">
      <c r="B101" s="1" t="s">
        <v>333</v>
      </c>
      <c r="C101" s="1" t="s">
        <v>342</v>
      </c>
      <c r="D101" s="14" t="n">
        <v>46056.6513888889</v>
      </c>
      <c r="E101" s="14" t="n">
        <v>46056.6513888889</v>
      </c>
      <c r="F101" s="14" t="n">
        <v>46056.75</v>
      </c>
      <c r="G101" s="15" t="n">
        <f aca="false">F101-E101</f>
        <v>0.0986111111111111</v>
      </c>
      <c r="H101" s="20" t="s">
        <v>248</v>
      </c>
      <c r="J101" s="20" t="s">
        <v>256</v>
      </c>
      <c r="K101" s="1" t="e">
        <f aca="false">_xlfn.xlookup(J101,REF!$D$2:$D$12,REF!$E$2:$E$12)</f>
        <v>#NAME?</v>
      </c>
      <c r="L101" s="1" t="s">
        <v>376</v>
      </c>
      <c r="M101" s="20" t="s">
        <v>258</v>
      </c>
      <c r="N101" s="20" t="s">
        <v>259</v>
      </c>
      <c r="O101" s="1" t="s">
        <v>377</v>
      </c>
      <c r="P101" s="22" t="str">
        <f aca="false">_xlfn.CONCAT(B101,C101,D101,E101,F101)</f>
        <v>BC ParanoaSG60KTL(COM1-016)_001_00646056.651388888946056.651388888946056.75</v>
      </c>
      <c r="Q101" s="1" t="str">
        <f aca="false">_xlfn.CONCAT(H101,I101,J101)</f>
        <v>DAURDE</v>
      </c>
    </row>
    <row r="102" customFormat="false" ht="15" hidden="false" customHeight="false" outlineLevel="0" collapsed="false">
      <c r="B102" s="1" t="s">
        <v>333</v>
      </c>
      <c r="C102" s="1" t="s">
        <v>343</v>
      </c>
      <c r="D102" s="14" t="n">
        <v>46056.6513888889</v>
      </c>
      <c r="E102" s="14" t="n">
        <v>46056.6513888889</v>
      </c>
      <c r="F102" s="14" t="n">
        <v>46056.75</v>
      </c>
      <c r="G102" s="15" t="n">
        <f aca="false">F102-E102</f>
        <v>0.0986111111111111</v>
      </c>
      <c r="H102" s="20" t="s">
        <v>248</v>
      </c>
      <c r="J102" s="20" t="s">
        <v>256</v>
      </c>
      <c r="K102" s="1" t="e">
        <f aca="false">_xlfn.xlookup(J102,REF!$D$2:$D$12,REF!$E$2:$E$12)</f>
        <v>#NAME?</v>
      </c>
      <c r="L102" s="1" t="s">
        <v>376</v>
      </c>
      <c r="M102" s="20" t="s">
        <v>258</v>
      </c>
      <c r="N102" s="20" t="s">
        <v>259</v>
      </c>
      <c r="O102" s="1" t="s">
        <v>377</v>
      </c>
      <c r="P102" s="22" t="str">
        <f aca="false">_xlfn.CONCAT(B102,C102,D102,E102,F102)</f>
        <v>BC ParanoaSG50CX(COM2-015)_001_01746056.651388888946056.651388888946056.75</v>
      </c>
      <c r="Q102" s="1" t="str">
        <f aca="false">_xlfn.CONCAT(H102,I102,J102)</f>
        <v>DAURDE</v>
      </c>
    </row>
    <row r="103" customFormat="false" ht="15" hidden="false" customHeight="false" outlineLevel="0" collapsed="false">
      <c r="B103" s="1" t="s">
        <v>333</v>
      </c>
      <c r="C103" s="1" t="s">
        <v>344</v>
      </c>
      <c r="D103" s="14" t="n">
        <v>46056.6513888889</v>
      </c>
      <c r="E103" s="14" t="n">
        <v>46056.6513888889</v>
      </c>
      <c r="F103" s="14" t="n">
        <v>46056.75</v>
      </c>
      <c r="G103" s="15" t="n">
        <f aca="false">F103-E103</f>
        <v>0.0986111111111111</v>
      </c>
      <c r="H103" s="20" t="s">
        <v>248</v>
      </c>
      <c r="J103" s="20" t="s">
        <v>256</v>
      </c>
      <c r="K103" s="1" t="e">
        <f aca="false">_xlfn.xlookup(J103,REF!$D$2:$D$12,REF!$E$2:$E$12)</f>
        <v>#NAME?</v>
      </c>
      <c r="L103" s="1" t="s">
        <v>376</v>
      </c>
      <c r="M103" s="20" t="s">
        <v>258</v>
      </c>
      <c r="N103" s="20" t="s">
        <v>259</v>
      </c>
      <c r="O103" s="1" t="s">
        <v>377</v>
      </c>
      <c r="P103" s="22" t="str">
        <f aca="false">_xlfn.CONCAT(B103,C103,D103,E103,F103)</f>
        <v>BC ParanoaSG60KTL(COM1-009)_001_00246056.651388888946056.651388888946056.75</v>
      </c>
      <c r="Q103" s="1" t="str">
        <f aca="false">_xlfn.CONCAT(H103,I103,J103)</f>
        <v>DAURDE</v>
      </c>
    </row>
    <row r="104" customFormat="false" ht="15" hidden="false" customHeight="false" outlineLevel="0" collapsed="false">
      <c r="B104" s="1" t="s">
        <v>333</v>
      </c>
      <c r="C104" s="1" t="s">
        <v>345</v>
      </c>
      <c r="D104" s="14" t="n">
        <v>46056.6513888889</v>
      </c>
      <c r="E104" s="14" t="n">
        <v>46056.6513888889</v>
      </c>
      <c r="F104" s="14" t="n">
        <v>46056.75</v>
      </c>
      <c r="G104" s="15" t="n">
        <f aca="false">F104-E104</f>
        <v>0.0986111111111111</v>
      </c>
      <c r="H104" s="20" t="s">
        <v>248</v>
      </c>
      <c r="J104" s="20" t="s">
        <v>256</v>
      </c>
      <c r="K104" s="1" t="e">
        <f aca="false">_xlfn.xlookup(J104,REF!$D$2:$D$12,REF!$E$2:$E$12)</f>
        <v>#NAME?</v>
      </c>
      <c r="L104" s="1" t="s">
        <v>376</v>
      </c>
      <c r="M104" s="20" t="s">
        <v>258</v>
      </c>
      <c r="N104" s="20" t="s">
        <v>259</v>
      </c>
      <c r="O104" s="1" t="s">
        <v>377</v>
      </c>
      <c r="P104" s="22" t="str">
        <f aca="false">_xlfn.CONCAT(B104,C104,D104,E104,F104)</f>
        <v>BC ParanoaSG60KTL(COM1-008)_001_00946056.651388888946056.651388888946056.75</v>
      </c>
      <c r="Q104" s="1" t="str">
        <f aca="false">_xlfn.CONCAT(H104,I104,J104)</f>
        <v>DAURDE</v>
      </c>
    </row>
    <row r="105" customFormat="false" ht="15" hidden="false" customHeight="false" outlineLevel="0" collapsed="false">
      <c r="B105" s="1" t="s">
        <v>333</v>
      </c>
      <c r="C105" s="1" t="s">
        <v>346</v>
      </c>
      <c r="D105" s="14" t="n">
        <v>46056.6513888889</v>
      </c>
      <c r="E105" s="14" t="n">
        <v>46056.6513888889</v>
      </c>
      <c r="F105" s="14" t="n">
        <v>46056.75</v>
      </c>
      <c r="G105" s="15" t="n">
        <f aca="false">F105-E105</f>
        <v>0.0986111111111111</v>
      </c>
      <c r="H105" s="20" t="s">
        <v>248</v>
      </c>
      <c r="J105" s="20" t="s">
        <v>256</v>
      </c>
      <c r="K105" s="1" t="e">
        <f aca="false">_xlfn.xlookup(J105,REF!$D$2:$D$12,REF!$E$2:$E$12)</f>
        <v>#NAME?</v>
      </c>
      <c r="L105" s="1" t="s">
        <v>376</v>
      </c>
      <c r="M105" s="20" t="s">
        <v>258</v>
      </c>
      <c r="N105" s="20" t="s">
        <v>259</v>
      </c>
      <c r="O105" s="1" t="s">
        <v>377</v>
      </c>
      <c r="P105" s="22" t="str">
        <f aca="false">_xlfn.CONCAT(B105,C105,D105,E105,F105)</f>
        <v>BC ParanoaSG60KTL(COM1-007)_001_00446056.651388888946056.651388888946056.75</v>
      </c>
      <c r="Q105" s="1" t="str">
        <f aca="false">_xlfn.CONCAT(H105,I105,J105)</f>
        <v>DAURDE</v>
      </c>
    </row>
    <row r="106" customFormat="false" ht="15" hidden="false" customHeight="false" outlineLevel="0" collapsed="false">
      <c r="B106" s="1" t="s">
        <v>333</v>
      </c>
      <c r="C106" s="1" t="s">
        <v>347</v>
      </c>
      <c r="D106" s="14" t="n">
        <v>46056.6513888889</v>
      </c>
      <c r="E106" s="14" t="n">
        <v>46056.6513888889</v>
      </c>
      <c r="F106" s="14" t="n">
        <v>46056.75</v>
      </c>
      <c r="G106" s="15" t="n">
        <f aca="false">F106-E106</f>
        <v>0.0986111111111111</v>
      </c>
      <c r="H106" s="20" t="s">
        <v>248</v>
      </c>
      <c r="J106" s="20" t="s">
        <v>256</v>
      </c>
      <c r="K106" s="1" t="e">
        <f aca="false">_xlfn.xlookup(J106,REF!$D$2:$D$12,REF!$E$2:$E$12)</f>
        <v>#NAME?</v>
      </c>
      <c r="L106" s="1" t="s">
        <v>376</v>
      </c>
      <c r="M106" s="20" t="s">
        <v>258</v>
      </c>
      <c r="N106" s="20" t="s">
        <v>259</v>
      </c>
      <c r="O106" s="1" t="s">
        <v>377</v>
      </c>
      <c r="P106" s="22" t="str">
        <f aca="false">_xlfn.CONCAT(B106,C106,D106,E106,F106)</f>
        <v>BC ParanoaSG60KTL(COM1-006)_001_01446056.651388888946056.651388888946056.75</v>
      </c>
      <c r="Q106" s="1" t="str">
        <f aca="false">_xlfn.CONCAT(H106,I106,J106)</f>
        <v>DAURDE</v>
      </c>
    </row>
    <row r="107" customFormat="false" ht="15" hidden="false" customHeight="false" outlineLevel="0" collapsed="false">
      <c r="B107" s="1" t="s">
        <v>333</v>
      </c>
      <c r="C107" s="1" t="s">
        <v>348</v>
      </c>
      <c r="D107" s="14" t="n">
        <v>46056.6513888889</v>
      </c>
      <c r="E107" s="14" t="n">
        <v>46056.6513888889</v>
      </c>
      <c r="F107" s="14" t="n">
        <v>46056.75</v>
      </c>
      <c r="G107" s="15" t="n">
        <f aca="false">F107-E107</f>
        <v>0.0986111111111111</v>
      </c>
      <c r="H107" s="20" t="s">
        <v>248</v>
      </c>
      <c r="J107" s="20" t="s">
        <v>256</v>
      </c>
      <c r="K107" s="1" t="e">
        <f aca="false">_xlfn.xlookup(J107,REF!$D$2:$D$12,REF!$E$2:$E$12)</f>
        <v>#NAME?</v>
      </c>
      <c r="L107" s="1" t="s">
        <v>376</v>
      </c>
      <c r="M107" s="20" t="s">
        <v>258</v>
      </c>
      <c r="N107" s="20" t="s">
        <v>259</v>
      </c>
      <c r="O107" s="1" t="s">
        <v>377</v>
      </c>
      <c r="P107" s="22" t="str">
        <f aca="false">_xlfn.CONCAT(B107,C107,D107,E107,F107)</f>
        <v>BC ParanoaSG40CX(COM2-005)_001_01546056.651388888946056.651388888946056.75</v>
      </c>
      <c r="Q107" s="1" t="str">
        <f aca="false">_xlfn.CONCAT(H107,I107,J107)</f>
        <v>DAURDE</v>
      </c>
    </row>
    <row r="108" customFormat="false" ht="15" hidden="false" customHeight="false" outlineLevel="0" collapsed="false">
      <c r="B108" s="1" t="s">
        <v>333</v>
      </c>
      <c r="C108" s="1" t="s">
        <v>349</v>
      </c>
      <c r="D108" s="14" t="n">
        <v>46056.6513888889</v>
      </c>
      <c r="E108" s="14" t="n">
        <v>46056.6513888889</v>
      </c>
      <c r="F108" s="14" t="n">
        <v>46056.75</v>
      </c>
      <c r="G108" s="15" t="n">
        <f aca="false">F108-E108</f>
        <v>0.0986111111111111</v>
      </c>
      <c r="H108" s="20" t="s">
        <v>248</v>
      </c>
      <c r="J108" s="20" t="s">
        <v>256</v>
      </c>
      <c r="K108" s="1" t="e">
        <f aca="false">_xlfn.xlookup(J108,REF!$D$2:$D$12,REF!$E$2:$E$12)</f>
        <v>#NAME?</v>
      </c>
      <c r="L108" s="1" t="s">
        <v>376</v>
      </c>
      <c r="M108" s="20" t="s">
        <v>258</v>
      </c>
      <c r="N108" s="20" t="s">
        <v>259</v>
      </c>
      <c r="O108" s="1" t="s">
        <v>377</v>
      </c>
      <c r="P108" s="22" t="str">
        <f aca="false">_xlfn.CONCAT(B108,C108,D108,E108,F108)</f>
        <v>BC ParanoaSG60KTL(COM1-019)_002_00746056.651388888946056.651388888946056.75</v>
      </c>
      <c r="Q108" s="1" t="str">
        <f aca="false">_xlfn.CONCAT(H108,I108,J108)</f>
        <v>DAURDE</v>
      </c>
    </row>
    <row r="109" customFormat="false" ht="15" hidden="false" customHeight="false" outlineLevel="0" collapsed="false">
      <c r="B109" s="1" t="s">
        <v>333</v>
      </c>
      <c r="C109" s="1" t="s">
        <v>350</v>
      </c>
      <c r="D109" s="14" t="n">
        <v>46056.6513888889</v>
      </c>
      <c r="E109" s="14" t="n">
        <v>46056.6513888889</v>
      </c>
      <c r="F109" s="14" t="n">
        <v>46056.75</v>
      </c>
      <c r="G109" s="15" t="n">
        <f aca="false">F109-E109</f>
        <v>0.0986111111111111</v>
      </c>
      <c r="H109" s="20" t="s">
        <v>248</v>
      </c>
      <c r="J109" s="20" t="s">
        <v>256</v>
      </c>
      <c r="K109" s="1" t="e">
        <f aca="false">_xlfn.xlookup(J109,REF!$D$2:$D$12,REF!$E$2:$E$12)</f>
        <v>#NAME?</v>
      </c>
      <c r="L109" s="1" t="s">
        <v>376</v>
      </c>
      <c r="M109" s="20" t="s">
        <v>258</v>
      </c>
      <c r="N109" s="20" t="s">
        <v>259</v>
      </c>
      <c r="O109" s="1" t="s">
        <v>377</v>
      </c>
      <c r="P109" s="22" t="str">
        <f aca="false">_xlfn.CONCAT(B109,C109,D109,E109,F109)</f>
        <v>BC ParanoaSG60KTL(COM1-020)_002_01146056.651388888946056.651388888946056.75</v>
      </c>
      <c r="Q109" s="1" t="str">
        <f aca="false">_xlfn.CONCAT(H109,I109,J109)</f>
        <v>DAURDE</v>
      </c>
    </row>
    <row r="110" customFormat="false" ht="15" hidden="false" customHeight="false" outlineLevel="0" collapsed="false">
      <c r="B110" s="1" t="s">
        <v>333</v>
      </c>
      <c r="C110" s="1" t="s">
        <v>351</v>
      </c>
      <c r="D110" s="14" t="n">
        <v>46056.6513888889</v>
      </c>
      <c r="E110" s="14" t="n">
        <v>46056.6513888889</v>
      </c>
      <c r="F110" s="14" t="n">
        <v>46056.75</v>
      </c>
      <c r="G110" s="15" t="n">
        <f aca="false">F110-E110</f>
        <v>0.0986111111111111</v>
      </c>
      <c r="H110" s="20" t="s">
        <v>248</v>
      </c>
      <c r="J110" s="20" t="s">
        <v>256</v>
      </c>
      <c r="K110" s="1" t="e">
        <f aca="false">_xlfn.xlookup(J110,REF!$D$2:$D$12,REF!$E$2:$E$12)</f>
        <v>#NAME?</v>
      </c>
      <c r="L110" s="1" t="s">
        <v>376</v>
      </c>
      <c r="M110" s="20" t="s">
        <v>258</v>
      </c>
      <c r="N110" s="20" t="s">
        <v>259</v>
      </c>
      <c r="O110" s="1" t="s">
        <v>377</v>
      </c>
      <c r="P110" s="22" t="str">
        <f aca="false">_xlfn.CONCAT(B110,C110,D110,E110,F110)</f>
        <v>BC ParanoaSG60KTL(COM1-021)_002_01746056.651388888946056.651388888946056.75</v>
      </c>
      <c r="Q110" s="1" t="str">
        <f aca="false">_xlfn.CONCAT(H110,I110,J110)</f>
        <v>DAURDE</v>
      </c>
    </row>
    <row r="111" customFormat="false" ht="15" hidden="false" customHeight="false" outlineLevel="0" collapsed="false">
      <c r="B111" s="24" t="s">
        <v>333</v>
      </c>
      <c r="C111" s="24" t="s">
        <v>352</v>
      </c>
      <c r="D111" s="14" t="n">
        <v>46056.6513888889</v>
      </c>
      <c r="E111" s="14" t="n">
        <v>46056.6513888889</v>
      </c>
      <c r="F111" s="14" t="n">
        <v>46056.75</v>
      </c>
      <c r="G111" s="15" t="n">
        <f aca="false">F111-E111</f>
        <v>0.0986111111111111</v>
      </c>
      <c r="H111" s="20" t="s">
        <v>248</v>
      </c>
      <c r="J111" s="20" t="s">
        <v>256</v>
      </c>
      <c r="K111" s="1" t="e">
        <f aca="false">_xlfn.xlookup(J111,REF!$D$2:$D$12,REF!$E$2:$E$12)</f>
        <v>#NAME?</v>
      </c>
      <c r="L111" s="1" t="s">
        <v>376</v>
      </c>
      <c r="M111" s="20" t="s">
        <v>258</v>
      </c>
      <c r="N111" s="20" t="s">
        <v>259</v>
      </c>
      <c r="O111" s="1" t="s">
        <v>377</v>
      </c>
      <c r="P111" s="22" t="str">
        <f aca="false">_xlfn.CONCAT(B111,C111,D111,E111,F111)</f>
        <v>BC ParanoaSG60KTL(COM1-022)_002_02046056.651388888946056.651388888946056.75</v>
      </c>
      <c r="Q111" s="1" t="str">
        <f aca="false">_xlfn.CONCAT(H111,I111,J111)</f>
        <v>DAURDE</v>
      </c>
    </row>
    <row r="112" customFormat="false" ht="15" hidden="false" customHeight="false" outlineLevel="0" collapsed="false">
      <c r="B112" s="1" t="s">
        <v>333</v>
      </c>
      <c r="C112" s="1" t="s">
        <v>353</v>
      </c>
      <c r="D112" s="14" t="n">
        <v>46056.6513888889</v>
      </c>
      <c r="E112" s="14" t="n">
        <v>46056.6513888889</v>
      </c>
      <c r="F112" s="14" t="n">
        <v>46056.75</v>
      </c>
      <c r="G112" s="15" t="n">
        <f aca="false">F112-E112</f>
        <v>0.0986111111111111</v>
      </c>
      <c r="H112" s="20" t="s">
        <v>248</v>
      </c>
      <c r="J112" s="20" t="s">
        <v>256</v>
      </c>
      <c r="K112" s="1" t="e">
        <f aca="false">_xlfn.xlookup(J112,REF!$D$2:$D$12,REF!$E$2:$E$12)</f>
        <v>#NAME?</v>
      </c>
      <c r="L112" s="1" t="s">
        <v>376</v>
      </c>
      <c r="M112" s="20" t="s">
        <v>258</v>
      </c>
      <c r="N112" s="20" t="s">
        <v>259</v>
      </c>
      <c r="O112" s="1" t="s">
        <v>377</v>
      </c>
      <c r="P112" s="22" t="str">
        <f aca="false">_xlfn.CONCAT(B112,C112,D112,E112,F112)</f>
        <v>BC ParanoaSG40CX(COM2-023)_002_02446056.651388888946056.651388888946056.75</v>
      </c>
      <c r="Q112" s="1" t="str">
        <f aca="false">_xlfn.CONCAT(H112,I112,J112)</f>
        <v>DAURDE</v>
      </c>
    </row>
    <row r="113" customFormat="false" ht="15" hidden="false" customHeight="false" outlineLevel="0" collapsed="false">
      <c r="B113" s="1" t="s">
        <v>333</v>
      </c>
      <c r="C113" s="1" t="s">
        <v>354</v>
      </c>
      <c r="D113" s="14" t="n">
        <v>46056.6513888889</v>
      </c>
      <c r="E113" s="14" t="n">
        <v>46056.6513888889</v>
      </c>
      <c r="F113" s="14" t="n">
        <v>46056.75</v>
      </c>
      <c r="G113" s="15" t="n">
        <f aca="false">F113-E113</f>
        <v>0.0986111111111111</v>
      </c>
      <c r="H113" s="20" t="s">
        <v>248</v>
      </c>
      <c r="J113" s="20" t="s">
        <v>256</v>
      </c>
      <c r="K113" s="1" t="e">
        <f aca="false">_xlfn.xlookup(J113,REF!$D$2:$D$12,REF!$E$2:$E$12)</f>
        <v>#NAME?</v>
      </c>
      <c r="L113" s="1" t="s">
        <v>376</v>
      </c>
      <c r="M113" s="20" t="s">
        <v>258</v>
      </c>
      <c r="N113" s="20" t="s">
        <v>259</v>
      </c>
      <c r="O113" s="1" t="s">
        <v>377</v>
      </c>
      <c r="P113" s="22" t="str">
        <f aca="false">_xlfn.CONCAT(B113,C113,D113,E113,F113)</f>
        <v>BC ParanoaSG40CX(COM2-024)_002_02246056.651388888946056.651388888946056.75</v>
      </c>
      <c r="Q113" s="1" t="str">
        <f aca="false">_xlfn.CONCAT(H113,I113,J113)</f>
        <v>DAURDE</v>
      </c>
    </row>
    <row r="114" customFormat="false" ht="15" hidden="false" customHeight="false" outlineLevel="0" collapsed="false">
      <c r="B114" s="1" t="s">
        <v>333</v>
      </c>
      <c r="C114" s="1" t="s">
        <v>355</v>
      </c>
      <c r="D114" s="14" t="n">
        <v>46056.6513888889</v>
      </c>
      <c r="E114" s="14" t="n">
        <v>46056.6513888889</v>
      </c>
      <c r="F114" s="14" t="n">
        <v>46056.75</v>
      </c>
      <c r="G114" s="15" t="n">
        <f aca="false">F114-E114</f>
        <v>0.0986111111111111</v>
      </c>
      <c r="H114" s="20" t="s">
        <v>248</v>
      </c>
      <c r="J114" s="20" t="s">
        <v>256</v>
      </c>
      <c r="K114" s="1" t="e">
        <f aca="false">_xlfn.xlookup(J114,REF!$D$2:$D$12,REF!$E$2:$E$12)</f>
        <v>#NAME?</v>
      </c>
      <c r="L114" s="1" t="s">
        <v>376</v>
      </c>
      <c r="M114" s="20" t="s">
        <v>258</v>
      </c>
      <c r="N114" s="20" t="s">
        <v>259</v>
      </c>
      <c r="O114" s="1" t="s">
        <v>377</v>
      </c>
      <c r="P114" s="22" t="str">
        <f aca="false">_xlfn.CONCAT(B114,C114,D114,E114,F114)</f>
        <v>BC ParanoaSG60KTL(COM1-007)_002_01346056.651388888946056.651388888946056.75</v>
      </c>
      <c r="Q114" s="1" t="str">
        <f aca="false">_xlfn.CONCAT(H114,I114,J114)</f>
        <v>DAURDE</v>
      </c>
    </row>
    <row r="115" customFormat="false" ht="15" hidden="false" customHeight="false" outlineLevel="0" collapsed="false">
      <c r="B115" s="1" t="s">
        <v>333</v>
      </c>
      <c r="C115" s="1" t="s">
        <v>356</v>
      </c>
      <c r="D115" s="14" t="n">
        <v>46056.6513888889</v>
      </c>
      <c r="E115" s="14" t="n">
        <v>46056.6513888889</v>
      </c>
      <c r="F115" s="14" t="n">
        <v>46056.75</v>
      </c>
      <c r="G115" s="15" t="n">
        <f aca="false">F115-E115</f>
        <v>0.0986111111111111</v>
      </c>
      <c r="H115" s="20" t="s">
        <v>248</v>
      </c>
      <c r="J115" s="20" t="s">
        <v>256</v>
      </c>
      <c r="K115" s="1" t="e">
        <f aca="false">_xlfn.xlookup(J115,REF!$D$2:$D$12,REF!$E$2:$E$12)</f>
        <v>#NAME?</v>
      </c>
      <c r="L115" s="1" t="s">
        <v>376</v>
      </c>
      <c r="M115" s="20" t="s">
        <v>258</v>
      </c>
      <c r="N115" s="20" t="s">
        <v>259</v>
      </c>
      <c r="O115" s="1" t="s">
        <v>377</v>
      </c>
      <c r="P115" s="22" t="str">
        <f aca="false">_xlfn.CONCAT(B115,C115,D115,E115,F115)</f>
        <v>BC ParanoaSG60KTL(COM1-008)_002_00246056.651388888946056.651388888946056.75</v>
      </c>
      <c r="Q115" s="1" t="str">
        <f aca="false">_xlfn.CONCAT(H115,I115,J115)</f>
        <v>DAURDE</v>
      </c>
    </row>
    <row r="116" customFormat="false" ht="15" hidden="false" customHeight="false" outlineLevel="0" collapsed="false">
      <c r="B116" s="1" t="s">
        <v>333</v>
      </c>
      <c r="C116" s="1" t="s">
        <v>357</v>
      </c>
      <c r="D116" s="14" t="n">
        <v>46056.6513888889</v>
      </c>
      <c r="E116" s="14" t="n">
        <v>46056.6513888889</v>
      </c>
      <c r="F116" s="14" t="n">
        <v>46056.75</v>
      </c>
      <c r="G116" s="15" t="n">
        <f aca="false">F116-E116</f>
        <v>0.0986111111111111</v>
      </c>
      <c r="H116" s="20" t="s">
        <v>248</v>
      </c>
      <c r="J116" s="20" t="s">
        <v>256</v>
      </c>
      <c r="K116" s="1" t="e">
        <f aca="false">_xlfn.xlookup(J116,REF!$D$2:$D$12,REF!$E$2:$E$12)</f>
        <v>#NAME?</v>
      </c>
      <c r="L116" s="1" t="s">
        <v>376</v>
      </c>
      <c r="M116" s="20" t="s">
        <v>258</v>
      </c>
      <c r="N116" s="20" t="s">
        <v>259</v>
      </c>
      <c r="O116" s="1" t="s">
        <v>377</v>
      </c>
      <c r="P116" s="22" t="str">
        <f aca="false">_xlfn.CONCAT(B116,C116,D116,E116,F116)</f>
        <v>BC ParanoaSG60KTL(COM1-009)_002_00846056.651388888946056.651388888946056.75</v>
      </c>
      <c r="Q116" s="1" t="str">
        <f aca="false">_xlfn.CONCAT(H116,I116,J116)</f>
        <v>DAURDE</v>
      </c>
    </row>
    <row r="117" customFormat="false" ht="15" hidden="false" customHeight="false" outlineLevel="0" collapsed="false">
      <c r="B117" s="1" t="s">
        <v>333</v>
      </c>
      <c r="C117" s="1" t="s">
        <v>358</v>
      </c>
      <c r="D117" s="14" t="n">
        <v>46056.6513888889</v>
      </c>
      <c r="E117" s="14" t="n">
        <v>46056.6513888889</v>
      </c>
      <c r="F117" s="14" t="n">
        <v>46056.75</v>
      </c>
      <c r="G117" s="15" t="n">
        <f aca="false">F117-E117</f>
        <v>0.0986111111111111</v>
      </c>
      <c r="H117" s="20" t="s">
        <v>248</v>
      </c>
      <c r="J117" s="20" t="s">
        <v>256</v>
      </c>
      <c r="K117" s="1" t="e">
        <f aca="false">_xlfn.xlookup(J117,REF!$D$2:$D$12,REF!$E$2:$E$12)</f>
        <v>#NAME?</v>
      </c>
      <c r="L117" s="1" t="s">
        <v>376</v>
      </c>
      <c r="M117" s="20" t="s">
        <v>258</v>
      </c>
      <c r="N117" s="20" t="s">
        <v>259</v>
      </c>
      <c r="O117" s="1" t="s">
        <v>377</v>
      </c>
      <c r="P117" s="22" t="str">
        <f aca="false">_xlfn.CONCAT(B117,C117,D117,E117,F117)</f>
        <v>BC ParanoaSG60KTL(COM1-010)_002_00346056.651388888946056.651388888946056.75</v>
      </c>
      <c r="Q117" s="1" t="str">
        <f aca="false">_xlfn.CONCAT(H117,I117,J117)</f>
        <v>DAURDE</v>
      </c>
    </row>
    <row r="118" customFormat="false" ht="15" hidden="false" customHeight="false" outlineLevel="0" collapsed="false">
      <c r="B118" s="1" t="s">
        <v>333</v>
      </c>
      <c r="C118" s="1" t="s">
        <v>359</v>
      </c>
      <c r="D118" s="14" t="n">
        <v>46056.6513888889</v>
      </c>
      <c r="E118" s="14" t="n">
        <v>46056.6513888889</v>
      </c>
      <c r="F118" s="14" t="n">
        <v>46056.75</v>
      </c>
      <c r="G118" s="15" t="n">
        <f aca="false">F118-E118</f>
        <v>0.0986111111111111</v>
      </c>
      <c r="H118" s="20" t="s">
        <v>248</v>
      </c>
      <c r="J118" s="20" t="s">
        <v>256</v>
      </c>
      <c r="K118" s="1" t="e">
        <f aca="false">_xlfn.xlookup(J118,REF!$D$2:$D$12,REF!$E$2:$E$12)</f>
        <v>#NAME?</v>
      </c>
      <c r="L118" s="1" t="s">
        <v>376</v>
      </c>
      <c r="M118" s="20" t="s">
        <v>258</v>
      </c>
      <c r="N118" s="20" t="s">
        <v>259</v>
      </c>
      <c r="O118" s="1" t="s">
        <v>377</v>
      </c>
      <c r="P118" s="22" t="str">
        <f aca="false">_xlfn.CONCAT(B118,C118,D118,E118,F118)</f>
        <v>BC ParanoaSG60KTL(COM1-011)_002_01046056.651388888946056.651388888946056.75</v>
      </c>
      <c r="Q118" s="1" t="str">
        <f aca="false">_xlfn.CONCAT(H118,I118,J118)</f>
        <v>DAURDE</v>
      </c>
    </row>
    <row r="119" customFormat="false" ht="15" hidden="false" customHeight="false" outlineLevel="0" collapsed="false">
      <c r="B119" s="1" t="s">
        <v>333</v>
      </c>
      <c r="C119" s="1" t="s">
        <v>360</v>
      </c>
      <c r="D119" s="14" t="n">
        <v>46056.6513888889</v>
      </c>
      <c r="E119" s="14" t="n">
        <v>46056.6513888889</v>
      </c>
      <c r="F119" s="14" t="n">
        <v>46056.75</v>
      </c>
      <c r="G119" s="15" t="n">
        <f aca="false">F119-E119</f>
        <v>0.0986111111111111</v>
      </c>
      <c r="H119" s="20" t="s">
        <v>248</v>
      </c>
      <c r="J119" s="20" t="s">
        <v>256</v>
      </c>
      <c r="K119" s="1" t="e">
        <f aca="false">_xlfn.xlookup(J119,REF!$D$2:$D$12,REF!$E$2:$E$12)</f>
        <v>#NAME?</v>
      </c>
      <c r="L119" s="1" t="s">
        <v>376</v>
      </c>
      <c r="M119" s="20" t="s">
        <v>258</v>
      </c>
      <c r="N119" s="20" t="s">
        <v>259</v>
      </c>
      <c r="O119" s="1" t="s">
        <v>377</v>
      </c>
      <c r="P119" s="22" t="str">
        <f aca="false">_xlfn.CONCAT(B119,C119,D119,E119,F119)</f>
        <v>BC ParanoaSG60KTL(COM1-012)_002_00546056.651388888946056.651388888946056.75</v>
      </c>
      <c r="Q119" s="1" t="str">
        <f aca="false">_xlfn.CONCAT(H119,I119,J119)</f>
        <v>DAURDE</v>
      </c>
    </row>
    <row r="120" customFormat="false" ht="15" hidden="false" customHeight="false" outlineLevel="0" collapsed="false">
      <c r="B120" s="1" t="s">
        <v>333</v>
      </c>
      <c r="C120" s="1" t="s">
        <v>361</v>
      </c>
      <c r="D120" s="14" t="n">
        <v>46056.6513888889</v>
      </c>
      <c r="E120" s="14" t="n">
        <v>46056.6513888889</v>
      </c>
      <c r="F120" s="14" t="n">
        <v>46056.75</v>
      </c>
      <c r="G120" s="15" t="n">
        <f aca="false">F120-E120</f>
        <v>0.0986111111111111</v>
      </c>
      <c r="H120" s="20" t="s">
        <v>248</v>
      </c>
      <c r="J120" s="20" t="s">
        <v>256</v>
      </c>
      <c r="K120" s="1" t="e">
        <f aca="false">_xlfn.xlookup(J120,REF!$D$2:$D$12,REF!$E$2:$E$12)</f>
        <v>#NAME?</v>
      </c>
      <c r="L120" s="1" t="s">
        <v>376</v>
      </c>
      <c r="M120" s="20" t="s">
        <v>258</v>
      </c>
      <c r="N120" s="20" t="s">
        <v>259</v>
      </c>
      <c r="O120" s="1" t="s">
        <v>377</v>
      </c>
      <c r="P120" s="22" t="str">
        <f aca="false">_xlfn.CONCAT(B120,C120,D120,E120,F120)</f>
        <v>BC ParanoaSG60KTL(COM1-001)_002_00646056.651388888946056.651388888946056.75</v>
      </c>
      <c r="Q120" s="1" t="str">
        <f aca="false">_xlfn.CONCAT(H120,I120,J120)</f>
        <v>DAURDE</v>
      </c>
    </row>
    <row r="121" customFormat="false" ht="15" hidden="false" customHeight="false" outlineLevel="0" collapsed="false">
      <c r="B121" s="1" t="s">
        <v>333</v>
      </c>
      <c r="C121" s="1" t="s">
        <v>362</v>
      </c>
      <c r="D121" s="14" t="n">
        <v>46056.6513888889</v>
      </c>
      <c r="E121" s="14" t="n">
        <v>46056.6513888889</v>
      </c>
      <c r="F121" s="14" t="n">
        <v>46056.75</v>
      </c>
      <c r="G121" s="15" t="n">
        <f aca="false">F121-E121</f>
        <v>0.0986111111111111</v>
      </c>
      <c r="H121" s="20" t="s">
        <v>248</v>
      </c>
      <c r="J121" s="20" t="s">
        <v>256</v>
      </c>
      <c r="K121" s="1" t="e">
        <f aca="false">_xlfn.xlookup(J121,REF!$D$2:$D$12,REF!$E$2:$E$12)</f>
        <v>#NAME?</v>
      </c>
      <c r="L121" s="1" t="s">
        <v>376</v>
      </c>
      <c r="M121" s="20" t="s">
        <v>258</v>
      </c>
      <c r="N121" s="20" t="s">
        <v>259</v>
      </c>
      <c r="O121" s="1" t="s">
        <v>377</v>
      </c>
      <c r="P121" s="22" t="str">
        <f aca="false">_xlfn.CONCAT(B121,C121,D121,E121,F121)</f>
        <v>BC ParanoaSG60KTL(COM1-002)_002_01646056.651388888946056.651388888946056.75</v>
      </c>
      <c r="Q121" s="1" t="str">
        <f aca="false">_xlfn.CONCAT(H121,I121,J121)</f>
        <v>DAURDE</v>
      </c>
    </row>
    <row r="122" customFormat="false" ht="15" hidden="false" customHeight="false" outlineLevel="0" collapsed="false">
      <c r="B122" s="1" t="s">
        <v>333</v>
      </c>
      <c r="C122" s="1" t="s">
        <v>363</v>
      </c>
      <c r="D122" s="14" t="n">
        <v>46056.6513888889</v>
      </c>
      <c r="E122" s="14" t="n">
        <v>46056.6513888889</v>
      </c>
      <c r="F122" s="14" t="n">
        <v>46056.75</v>
      </c>
      <c r="G122" s="15" t="n">
        <f aca="false">F122-E122</f>
        <v>0.0986111111111111</v>
      </c>
      <c r="H122" s="20" t="s">
        <v>248</v>
      </c>
      <c r="J122" s="20" t="s">
        <v>256</v>
      </c>
      <c r="K122" s="1" t="e">
        <f aca="false">_xlfn.xlookup(J122,REF!$D$2:$D$12,REF!$E$2:$E$12)</f>
        <v>#NAME?</v>
      </c>
      <c r="L122" s="1" t="s">
        <v>376</v>
      </c>
      <c r="M122" s="20" t="s">
        <v>258</v>
      </c>
      <c r="N122" s="20" t="s">
        <v>259</v>
      </c>
      <c r="O122" s="1" t="s">
        <v>377</v>
      </c>
      <c r="P122" s="22" t="str">
        <f aca="false">_xlfn.CONCAT(B122,C122,D122,E122,F122)</f>
        <v>BC ParanoaSG50CX(COM2-003)_002_02146056.651388888946056.651388888946056.75</v>
      </c>
      <c r="Q122" s="1" t="str">
        <f aca="false">_xlfn.CONCAT(H122,I122,J122)</f>
        <v>DAURDE</v>
      </c>
    </row>
    <row r="123" customFormat="false" ht="15" hidden="false" customHeight="false" outlineLevel="0" collapsed="false">
      <c r="B123" s="1" t="s">
        <v>333</v>
      </c>
      <c r="C123" s="1" t="s">
        <v>364</v>
      </c>
      <c r="D123" s="14" t="n">
        <v>46056.6513888889</v>
      </c>
      <c r="E123" s="14" t="n">
        <v>46056.6513888889</v>
      </c>
      <c r="F123" s="14" t="n">
        <v>46056.75</v>
      </c>
      <c r="G123" s="15" t="n">
        <f aca="false">F123-E123</f>
        <v>0.0986111111111111</v>
      </c>
      <c r="H123" s="20" t="s">
        <v>248</v>
      </c>
      <c r="J123" s="20" t="s">
        <v>256</v>
      </c>
      <c r="K123" s="1" t="e">
        <f aca="false">_xlfn.xlookup(J123,REF!$D$2:$D$12,REF!$E$2:$E$12)</f>
        <v>#NAME?</v>
      </c>
      <c r="L123" s="1" t="s">
        <v>376</v>
      </c>
      <c r="M123" s="20" t="s">
        <v>258</v>
      </c>
      <c r="N123" s="20" t="s">
        <v>259</v>
      </c>
      <c r="O123" s="1" t="s">
        <v>377</v>
      </c>
      <c r="P123" s="22" t="str">
        <f aca="false">_xlfn.CONCAT(B123,C123,D123,E123,F123)</f>
        <v>BC ParanoaSG50CX(COM2-004)_002_02346056.651388888946056.651388888946056.75</v>
      </c>
      <c r="Q123" s="1" t="str">
        <f aca="false">_xlfn.CONCAT(H123,I123,J123)</f>
        <v>DAURDE</v>
      </c>
    </row>
    <row r="124" customFormat="false" ht="15" hidden="false" customHeight="false" outlineLevel="0" collapsed="false">
      <c r="B124" s="1" t="s">
        <v>333</v>
      </c>
      <c r="C124" s="1" t="s">
        <v>365</v>
      </c>
      <c r="D124" s="14" t="n">
        <v>46056.6513888889</v>
      </c>
      <c r="E124" s="14" t="n">
        <v>46056.6513888889</v>
      </c>
      <c r="F124" s="14" t="n">
        <v>46056.75</v>
      </c>
      <c r="G124" s="15" t="n">
        <f aca="false">F124-E124</f>
        <v>0.0986111111111111</v>
      </c>
      <c r="H124" s="20" t="s">
        <v>248</v>
      </c>
      <c r="J124" s="20" t="s">
        <v>256</v>
      </c>
      <c r="K124" s="1" t="e">
        <f aca="false">_xlfn.xlookup(J124,REF!$D$2:$D$12,REF!$E$2:$E$12)</f>
        <v>#NAME?</v>
      </c>
      <c r="L124" s="1" t="s">
        <v>376</v>
      </c>
      <c r="M124" s="20" t="s">
        <v>258</v>
      </c>
      <c r="N124" s="20" t="s">
        <v>259</v>
      </c>
      <c r="O124" s="1" t="s">
        <v>377</v>
      </c>
      <c r="P124" s="22" t="str">
        <f aca="false">_xlfn.CONCAT(B124,C124,D124,E124,F124)</f>
        <v>BC ParanoaSG60KTL(COM1-005)_002_00946056.651388888946056.651388888946056.75</v>
      </c>
      <c r="Q124" s="1" t="str">
        <f aca="false">_xlfn.CONCAT(H124,I124,J124)</f>
        <v>DAURDE</v>
      </c>
    </row>
    <row r="125" customFormat="false" ht="15" hidden="false" customHeight="false" outlineLevel="0" collapsed="false">
      <c r="B125" s="1" t="s">
        <v>333</v>
      </c>
      <c r="C125" s="1" t="s">
        <v>366</v>
      </c>
      <c r="D125" s="14" t="n">
        <v>46056.6513888889</v>
      </c>
      <c r="E125" s="14" t="n">
        <v>46056.6513888889</v>
      </c>
      <c r="F125" s="14" t="n">
        <v>46056.75</v>
      </c>
      <c r="G125" s="15" t="n">
        <f aca="false">F125-E125</f>
        <v>0.0986111111111111</v>
      </c>
      <c r="H125" s="20" t="s">
        <v>248</v>
      </c>
      <c r="J125" s="20" t="s">
        <v>256</v>
      </c>
      <c r="K125" s="1" t="e">
        <f aca="false">_xlfn.xlookup(J125,REF!$D$2:$D$12,REF!$E$2:$E$12)</f>
        <v>#NAME?</v>
      </c>
      <c r="L125" s="1" t="s">
        <v>376</v>
      </c>
      <c r="M125" s="20" t="s">
        <v>258</v>
      </c>
      <c r="N125" s="20" t="s">
        <v>259</v>
      </c>
      <c r="O125" s="1" t="s">
        <v>377</v>
      </c>
      <c r="P125" s="22" t="str">
        <f aca="false">_xlfn.CONCAT(B125,C125,D125,E125,F125)</f>
        <v>BC ParanoaSG60KTL(COM1-006)_002_00146056.651388888946056.651388888946056.75</v>
      </c>
      <c r="Q125" s="1" t="str">
        <f aca="false">_xlfn.CONCAT(H125,I125,J125)</f>
        <v>DAURDE</v>
      </c>
    </row>
    <row r="126" customFormat="false" ht="15" hidden="false" customHeight="false" outlineLevel="0" collapsed="false">
      <c r="B126" s="1" t="s">
        <v>333</v>
      </c>
      <c r="C126" s="1" t="s">
        <v>367</v>
      </c>
      <c r="D126" s="14" t="n">
        <v>46056.6513888889</v>
      </c>
      <c r="E126" s="14" t="n">
        <v>46056.6513888889</v>
      </c>
      <c r="F126" s="14" t="n">
        <v>46056.75</v>
      </c>
      <c r="G126" s="15" t="n">
        <f aca="false">F126-E126</f>
        <v>0.0986111111111111</v>
      </c>
      <c r="H126" s="20" t="s">
        <v>248</v>
      </c>
      <c r="J126" s="20" t="s">
        <v>256</v>
      </c>
      <c r="K126" s="1" t="e">
        <f aca="false">_xlfn.xlookup(J126,REF!$D$2:$D$12,REF!$E$2:$E$12)</f>
        <v>#NAME?</v>
      </c>
      <c r="L126" s="1" t="s">
        <v>376</v>
      </c>
      <c r="M126" s="20" t="s">
        <v>258</v>
      </c>
      <c r="N126" s="20" t="s">
        <v>259</v>
      </c>
      <c r="O126" s="1" t="s">
        <v>377</v>
      </c>
      <c r="P126" s="22" t="str">
        <f aca="false">_xlfn.CONCAT(B126,C126,D126,E126,F126)</f>
        <v>BC ParanoaSG60KTL(COM1-013)_002_00446056.651388888946056.651388888946056.75</v>
      </c>
      <c r="Q126" s="1" t="str">
        <f aca="false">_xlfn.CONCAT(H126,I126,J126)</f>
        <v>DAURDE</v>
      </c>
    </row>
    <row r="127" customFormat="false" ht="15" hidden="false" customHeight="false" outlineLevel="0" collapsed="false">
      <c r="B127" s="1" t="s">
        <v>333</v>
      </c>
      <c r="C127" s="1" t="s">
        <v>368</v>
      </c>
      <c r="D127" s="14" t="n">
        <v>46056.6513888889</v>
      </c>
      <c r="E127" s="14" t="n">
        <v>46056.6513888889</v>
      </c>
      <c r="F127" s="14" t="n">
        <v>46056.75</v>
      </c>
      <c r="G127" s="15" t="n">
        <f aca="false">F127-E127</f>
        <v>0.0986111111111111</v>
      </c>
      <c r="H127" s="20" t="s">
        <v>248</v>
      </c>
      <c r="J127" s="20" t="s">
        <v>256</v>
      </c>
      <c r="K127" s="1" t="e">
        <f aca="false">_xlfn.xlookup(J127,REF!$D$2:$D$12,REF!$E$2:$E$12)</f>
        <v>#NAME?</v>
      </c>
      <c r="L127" s="1" t="s">
        <v>376</v>
      </c>
      <c r="M127" s="20" t="s">
        <v>258</v>
      </c>
      <c r="N127" s="20" t="s">
        <v>259</v>
      </c>
      <c r="O127" s="1" t="s">
        <v>377</v>
      </c>
      <c r="P127" s="22" t="str">
        <f aca="false">_xlfn.CONCAT(B127,C127,D127,E127,F127)</f>
        <v>BC ParanoaSG60KTL(COM1-014)_002_01946056.651388888946056.651388888946056.75</v>
      </c>
      <c r="Q127" s="1" t="str">
        <f aca="false">_xlfn.CONCAT(H127,I127,J127)</f>
        <v>DAURDE</v>
      </c>
    </row>
    <row r="128" customFormat="false" ht="15" hidden="false" customHeight="false" outlineLevel="0" collapsed="false">
      <c r="B128" s="1" t="s">
        <v>333</v>
      </c>
      <c r="C128" s="1" t="s">
        <v>369</v>
      </c>
      <c r="D128" s="14" t="n">
        <v>46056.6513888889</v>
      </c>
      <c r="E128" s="14" t="n">
        <v>46056.6513888889</v>
      </c>
      <c r="F128" s="14" t="n">
        <v>46056.75</v>
      </c>
      <c r="G128" s="15" t="n">
        <f aca="false">F128-E128</f>
        <v>0.0986111111111111</v>
      </c>
      <c r="H128" s="20" t="s">
        <v>248</v>
      </c>
      <c r="J128" s="20" t="s">
        <v>256</v>
      </c>
      <c r="K128" s="1" t="e">
        <f aca="false">_xlfn.xlookup(J128,REF!$D$2:$D$12,REF!$E$2:$E$12)</f>
        <v>#NAME?</v>
      </c>
      <c r="L128" s="1" t="s">
        <v>376</v>
      </c>
      <c r="M128" s="20" t="s">
        <v>258</v>
      </c>
      <c r="N128" s="20" t="s">
        <v>259</v>
      </c>
      <c r="O128" s="1" t="s">
        <v>377</v>
      </c>
      <c r="P128" s="22" t="str">
        <f aca="false">_xlfn.CONCAT(B128,C128,D128,E128,F128)</f>
        <v>BC ParanoaSG60KTL(COM1-015)_002_01846056.651388888946056.651388888946056.75</v>
      </c>
      <c r="Q128" s="1" t="str">
        <f aca="false">_xlfn.CONCAT(H128,I128,J128)</f>
        <v>DAURDE</v>
      </c>
    </row>
    <row r="129" customFormat="false" ht="15" hidden="false" customHeight="false" outlineLevel="0" collapsed="false">
      <c r="B129" s="1" t="s">
        <v>333</v>
      </c>
      <c r="C129" s="1" t="s">
        <v>370</v>
      </c>
      <c r="D129" s="14" t="n">
        <v>46056.6513888889</v>
      </c>
      <c r="E129" s="14" t="n">
        <v>46056.6513888889</v>
      </c>
      <c r="F129" s="14" t="n">
        <v>46056.75</v>
      </c>
      <c r="G129" s="15" t="n">
        <f aca="false">F129-E129</f>
        <v>0.0986111111111111</v>
      </c>
      <c r="H129" s="20" t="s">
        <v>248</v>
      </c>
      <c r="J129" s="20" t="s">
        <v>256</v>
      </c>
      <c r="K129" s="1" t="e">
        <f aca="false">_xlfn.xlookup(J129,REF!$D$2:$D$12,REF!$E$2:$E$12)</f>
        <v>#NAME?</v>
      </c>
      <c r="L129" s="1" t="s">
        <v>376</v>
      </c>
      <c r="M129" s="20" t="s">
        <v>258</v>
      </c>
      <c r="N129" s="20" t="s">
        <v>259</v>
      </c>
      <c r="O129" s="1" t="s">
        <v>377</v>
      </c>
      <c r="P129" s="22" t="str">
        <f aca="false">_xlfn.CONCAT(B129,C129,D129,E129,F129)</f>
        <v>BC ParanoaSG60KTL(COM1-016)_002_01446056.651388888946056.651388888946056.75</v>
      </c>
      <c r="Q129" s="1" t="str">
        <f aca="false">_xlfn.CONCAT(H129,I129,J129)</f>
        <v>DAURDE</v>
      </c>
    </row>
    <row r="130" customFormat="false" ht="15" hidden="false" customHeight="false" outlineLevel="0" collapsed="false">
      <c r="B130" s="1" t="s">
        <v>333</v>
      </c>
      <c r="C130" s="1" t="s">
        <v>371</v>
      </c>
      <c r="D130" s="14" t="n">
        <v>46056.6513888889</v>
      </c>
      <c r="E130" s="14" t="n">
        <v>46056.6513888889</v>
      </c>
      <c r="F130" s="14" t="n">
        <v>46056.75</v>
      </c>
      <c r="G130" s="15" t="n">
        <f aca="false">F130-E130</f>
        <v>0.0986111111111111</v>
      </c>
      <c r="H130" s="20" t="s">
        <v>248</v>
      </c>
      <c r="J130" s="20" t="s">
        <v>256</v>
      </c>
      <c r="K130" s="1" t="e">
        <f aca="false">_xlfn.xlookup(J130,REF!$D$2:$D$12,REF!$E$2:$E$12)</f>
        <v>#NAME?</v>
      </c>
      <c r="L130" s="1" t="s">
        <v>376</v>
      </c>
      <c r="M130" s="20" t="s">
        <v>258</v>
      </c>
      <c r="N130" s="20" t="s">
        <v>259</v>
      </c>
      <c r="O130" s="1" t="s">
        <v>377</v>
      </c>
      <c r="P130" s="22" t="str">
        <f aca="false">_xlfn.CONCAT(B130,C130,D130,E130,F130)</f>
        <v>BC ParanoaSG60KTL(COM1-017)_002_01546056.651388888946056.651388888946056.75</v>
      </c>
      <c r="Q130" s="1" t="str">
        <f aca="false">_xlfn.CONCAT(H130,I130,J130)</f>
        <v>DAURDE</v>
      </c>
    </row>
    <row r="131" customFormat="false" ht="15" hidden="false" customHeight="false" outlineLevel="0" collapsed="false">
      <c r="B131" s="1" t="s">
        <v>333</v>
      </c>
      <c r="C131" s="1" t="s">
        <v>372</v>
      </c>
      <c r="D131" s="14" t="n">
        <v>46056.6513888889</v>
      </c>
      <c r="E131" s="14" t="n">
        <v>46056.6513888889</v>
      </c>
      <c r="F131" s="14" t="n">
        <v>46056.75</v>
      </c>
      <c r="G131" s="15" t="n">
        <f aca="false">F131-E131</f>
        <v>0.0986111111111111</v>
      </c>
      <c r="H131" s="20" t="s">
        <v>248</v>
      </c>
      <c r="J131" s="20" t="s">
        <v>256</v>
      </c>
      <c r="K131" s="1" t="e">
        <f aca="false">_xlfn.xlookup(J131,REF!$D$2:$D$12,REF!$E$2:$E$12)</f>
        <v>#NAME?</v>
      </c>
      <c r="L131" s="1" t="s">
        <v>376</v>
      </c>
      <c r="M131" s="20" t="s">
        <v>258</v>
      </c>
      <c r="N131" s="20" t="s">
        <v>259</v>
      </c>
      <c r="O131" s="1" t="s">
        <v>377</v>
      </c>
      <c r="P131" s="22" t="str">
        <f aca="false">_xlfn.CONCAT(B131,C131,D131,E131,F131)</f>
        <v>BC ParanoaSG60KTL(COM1-018)_002_01246056.651388888946056.651388888946056.75</v>
      </c>
      <c r="Q131" s="1" t="str">
        <f aca="false">_xlfn.CONCAT(H131,I131,J131)</f>
        <v>DAURDE</v>
      </c>
    </row>
    <row r="132" customFormat="false" ht="15" hidden="false" customHeight="false" outlineLevel="0" collapsed="false">
      <c r="B132" s="1" t="s">
        <v>333</v>
      </c>
      <c r="C132" s="1" t="s">
        <v>373</v>
      </c>
      <c r="D132" s="14" t="n">
        <v>46056.6513888889</v>
      </c>
      <c r="E132" s="14" t="n">
        <v>46056.6513888889</v>
      </c>
      <c r="F132" s="14" t="n">
        <v>46056.75</v>
      </c>
      <c r="G132" s="15" t="n">
        <f aca="false">F132-E132</f>
        <v>0.0986111111111111</v>
      </c>
      <c r="H132" s="20" t="s">
        <v>248</v>
      </c>
      <c r="J132" s="20" t="s">
        <v>256</v>
      </c>
      <c r="K132" s="1" t="e">
        <f aca="false">_xlfn.xlookup(J132,REF!$D$2:$D$12,REF!$E$2:$E$12)</f>
        <v>#NAME?</v>
      </c>
      <c r="L132" s="1" t="s">
        <v>376</v>
      </c>
      <c r="M132" s="20" t="s">
        <v>258</v>
      </c>
      <c r="N132" s="20" t="s">
        <v>259</v>
      </c>
      <c r="O132" s="1" t="s">
        <v>377</v>
      </c>
      <c r="P132" s="22" t="str">
        <f aca="false">_xlfn.CONCAT(B132,C132,D132,E132,F132)</f>
        <v>BC ParanoaSG50CX(COM2-004)_001_01846056.651388888946056.651388888946056.75</v>
      </c>
      <c r="Q132" s="1" t="str">
        <f aca="false">_xlfn.CONCAT(H132,I132,J132)</f>
        <v>DAURDE</v>
      </c>
    </row>
    <row r="133" customFormat="false" ht="15" hidden="false" customHeight="false" outlineLevel="0" collapsed="false">
      <c r="B133" s="1" t="s">
        <v>333</v>
      </c>
      <c r="C133" s="1" t="s">
        <v>374</v>
      </c>
      <c r="D133" s="14" t="n">
        <v>46056.6513888889</v>
      </c>
      <c r="E133" s="14" t="n">
        <v>46056.6513888889</v>
      </c>
      <c r="F133" s="14" t="n">
        <v>46056.75</v>
      </c>
      <c r="G133" s="15" t="n">
        <f aca="false">F133-E133</f>
        <v>0.0986111111111111</v>
      </c>
      <c r="H133" s="20" t="s">
        <v>248</v>
      </c>
      <c r="J133" s="20" t="s">
        <v>256</v>
      </c>
      <c r="K133" s="1" t="e">
        <f aca="false">_xlfn.xlookup(J133,REF!$D$2:$D$12,REF!$E$2:$E$12)</f>
        <v>#NAME?</v>
      </c>
      <c r="L133" s="1" t="s">
        <v>376</v>
      </c>
      <c r="M133" s="20" t="s">
        <v>258</v>
      </c>
      <c r="N133" s="20" t="s">
        <v>259</v>
      </c>
      <c r="O133" s="1" t="s">
        <v>377</v>
      </c>
      <c r="P133" s="22" t="str">
        <f aca="false">_xlfn.CONCAT(B133,C133,D133,E133,F133)</f>
        <v>BC ParanoaSG50CX(COM2-003)_001_01646056.651388888946056.651388888946056.75</v>
      </c>
      <c r="Q133" s="1" t="str">
        <f aca="false">_xlfn.CONCAT(H133,I133,J133)</f>
        <v>DAURDE</v>
      </c>
    </row>
    <row r="134" customFormat="false" ht="15" hidden="false" customHeight="false" outlineLevel="0" collapsed="false">
      <c r="B134" s="1" t="s">
        <v>333</v>
      </c>
      <c r="C134" s="1" t="s">
        <v>375</v>
      </c>
      <c r="D134" s="14" t="n">
        <v>46056.6513888889</v>
      </c>
      <c r="E134" s="14" t="n">
        <v>46056.6513888889</v>
      </c>
      <c r="F134" s="14" t="n">
        <v>46056.75</v>
      </c>
      <c r="G134" s="15" t="n">
        <f aca="false">F134-E134</f>
        <v>0.0986111111111111</v>
      </c>
      <c r="H134" s="20" t="s">
        <v>248</v>
      </c>
      <c r="J134" s="20" t="s">
        <v>256</v>
      </c>
      <c r="K134" s="1" t="e">
        <f aca="false">_xlfn.xlookup(J134,REF!$D$2:$D$12,REF!$E$2:$E$12)</f>
        <v>#NAME?</v>
      </c>
      <c r="L134" s="1" t="s">
        <v>376</v>
      </c>
      <c r="M134" s="20" t="s">
        <v>258</v>
      </c>
      <c r="N134" s="20" t="s">
        <v>259</v>
      </c>
      <c r="O134" s="1" t="s">
        <v>377</v>
      </c>
      <c r="P134" s="22" t="str">
        <f aca="false">_xlfn.CONCAT(B134,C134,D134,E134,F134)</f>
        <v>BC ParanoaSG60KTL(COM1-002)_001_00846056.651388888946056.651388888946056.75</v>
      </c>
      <c r="Q134" s="1" t="str">
        <f aca="false">_xlfn.CONCAT(H134,I134,J134)</f>
        <v>DAURDE</v>
      </c>
    </row>
    <row r="135" customFormat="false" ht="15" hidden="false" customHeight="false" outlineLevel="0" collapsed="false">
      <c r="B135" s="1" t="s">
        <v>254</v>
      </c>
      <c r="C135" s="1" t="s">
        <v>255</v>
      </c>
      <c r="D135" s="14" t="n">
        <v>46056.8763888889</v>
      </c>
      <c r="E135" s="14" t="n">
        <v>46056.8763888889</v>
      </c>
      <c r="F135" s="14" t="n">
        <v>46057.2993055556</v>
      </c>
      <c r="G135" s="15" t="n">
        <f aca="false">F135-E135</f>
        <v>0.422916666666667</v>
      </c>
      <c r="H135" s="20" t="s">
        <v>248</v>
      </c>
      <c r="J135" s="20" t="s">
        <v>256</v>
      </c>
      <c r="K135" s="1" t="e">
        <f aca="false">_xlfn.xlookup(J135,REF!$D$2:$D$12,REF!$E$2:$E$12)</f>
        <v>#NAME?</v>
      </c>
      <c r="L135" s="1" t="s">
        <v>378</v>
      </c>
      <c r="M135" s="20" t="s">
        <v>258</v>
      </c>
      <c r="N135" s="20" t="s">
        <v>379</v>
      </c>
      <c r="O135" s="1" t="s">
        <v>260</v>
      </c>
      <c r="P135" s="22" t="str">
        <f aca="false">_xlfn.CONCAT(B135,C135,D135,E135,F135)</f>
        <v>BC Aracu5.1Inverter(MBUS-1)46056.876388888946056.876388888946057.2993055556</v>
      </c>
      <c r="Q135" s="1" t="str">
        <f aca="false">_xlfn.CONCAT(H135,I135,J135)</f>
        <v>DAURDE</v>
      </c>
    </row>
    <row r="136" customFormat="false" ht="15" hidden="false" customHeight="false" outlineLevel="0" collapsed="false">
      <c r="B136" s="1" t="s">
        <v>380</v>
      </c>
      <c r="C136" s="1" t="s">
        <v>277</v>
      </c>
      <c r="D136" s="14" t="n">
        <v>46057.2722222222</v>
      </c>
      <c r="E136" s="14" t="n">
        <v>46057.2722222222</v>
      </c>
      <c r="F136" s="14" t="n">
        <v>46057.3541666667</v>
      </c>
      <c r="G136" s="15" t="n">
        <f aca="false">F136-E136</f>
        <v>0.0819444444444444</v>
      </c>
      <c r="H136" s="20" t="s">
        <v>248</v>
      </c>
      <c r="J136" s="20" t="s">
        <v>256</v>
      </c>
      <c r="K136" s="1" t="e">
        <f aca="false">_xlfn.xlookup(J136,REF!$D$2:$D$12,REF!$E$2:$E$12)</f>
        <v>#NAME?</v>
      </c>
      <c r="L136" s="1" t="s">
        <v>378</v>
      </c>
      <c r="M136" s="20" t="s">
        <v>258</v>
      </c>
      <c r="N136" s="20" t="s">
        <v>379</v>
      </c>
      <c r="O136" s="1" t="s">
        <v>260</v>
      </c>
      <c r="P136" s="22" t="str">
        <f aca="false">_xlfn.CONCAT(B136,C136,D136,E136,F136)</f>
        <v>ARAGUATINS 1.1Inverter(MBUS-12)46057.272222222246057.272222222246057.3541666667</v>
      </c>
      <c r="Q136" s="1" t="str">
        <f aca="false">_xlfn.CONCAT(H136,I136,J136)</f>
        <v>DAURDE</v>
      </c>
    </row>
    <row r="137" customFormat="false" ht="15" hidden="false" customHeight="false" outlineLevel="0" collapsed="false">
      <c r="B137" s="1" t="s">
        <v>380</v>
      </c>
      <c r="C137" s="1" t="s">
        <v>247</v>
      </c>
      <c r="D137" s="14" t="n">
        <v>46057.2722222222</v>
      </c>
      <c r="E137" s="14" t="n">
        <v>46057.2722222222</v>
      </c>
      <c r="F137" s="14" t="n">
        <v>46057.3541666667</v>
      </c>
      <c r="G137" s="15" t="n">
        <f aca="false">F137-E137</f>
        <v>0.0819444444444444</v>
      </c>
      <c r="H137" s="20" t="s">
        <v>248</v>
      </c>
      <c r="J137" s="20" t="s">
        <v>256</v>
      </c>
      <c r="K137" s="1" t="e">
        <f aca="false">_xlfn.xlookup(J137,REF!$D$2:$D$12,REF!$E$2:$E$12)</f>
        <v>#NAME?</v>
      </c>
      <c r="L137" s="1" t="s">
        <v>378</v>
      </c>
      <c r="M137" s="20" t="s">
        <v>258</v>
      </c>
      <c r="N137" s="20" t="s">
        <v>379</v>
      </c>
      <c r="O137" s="1" t="s">
        <v>260</v>
      </c>
      <c r="P137" s="22" t="str">
        <f aca="false">_xlfn.CONCAT(B137,C137,D137,E137,F137)</f>
        <v>ARAGUATINS 1.1Inverter(MBUS-13)46057.272222222246057.272222222246057.3541666667</v>
      </c>
      <c r="Q137" s="1" t="str">
        <f aca="false">_xlfn.CONCAT(H137,I137,J137)</f>
        <v>DAURDE</v>
      </c>
    </row>
    <row r="138" customFormat="false" ht="15" hidden="false" customHeight="false" outlineLevel="0" collapsed="false">
      <c r="B138" s="1" t="s">
        <v>380</v>
      </c>
      <c r="C138" s="1" t="s">
        <v>280</v>
      </c>
      <c r="D138" s="14" t="n">
        <v>46057.2722222222</v>
      </c>
      <c r="E138" s="14" t="n">
        <v>46057.2722222222</v>
      </c>
      <c r="F138" s="14" t="n">
        <v>46057.3541666667</v>
      </c>
      <c r="G138" s="15" t="n">
        <f aca="false">F138-E138</f>
        <v>0.0819444444444444</v>
      </c>
      <c r="H138" s="20" t="s">
        <v>248</v>
      </c>
      <c r="J138" s="20" t="s">
        <v>256</v>
      </c>
      <c r="K138" s="1" t="e">
        <f aca="false">_xlfn.xlookup(J138,REF!$D$2:$D$12,REF!$E$2:$E$12)</f>
        <v>#NAME?</v>
      </c>
      <c r="L138" s="1" t="s">
        <v>378</v>
      </c>
      <c r="M138" s="20" t="s">
        <v>258</v>
      </c>
      <c r="N138" s="20" t="s">
        <v>379</v>
      </c>
      <c r="O138" s="1" t="s">
        <v>260</v>
      </c>
      <c r="P138" s="22" t="str">
        <f aca="false">_xlfn.CONCAT(B138,C138,D138,E138,F138)</f>
        <v>ARAGUATINS 1.1Inverter(MBUS-14)46057.272222222246057.272222222246057.3541666667</v>
      </c>
      <c r="Q138" s="1" t="str">
        <f aca="false">_xlfn.CONCAT(H138,I138,J138)</f>
        <v>DAURDE</v>
      </c>
    </row>
    <row r="139" customFormat="false" ht="15" hidden="false" customHeight="false" outlineLevel="0" collapsed="false">
      <c r="B139" s="1" t="s">
        <v>380</v>
      </c>
      <c r="C139" s="1" t="s">
        <v>279</v>
      </c>
      <c r="D139" s="14" t="n">
        <v>46057.2722222222</v>
      </c>
      <c r="E139" s="14" t="n">
        <v>46057.2722222222</v>
      </c>
      <c r="F139" s="14" t="n">
        <v>46057.3541666667</v>
      </c>
      <c r="G139" s="15" t="n">
        <f aca="false">F139-E139</f>
        <v>0.0819444444444444</v>
      </c>
      <c r="H139" s="20" t="s">
        <v>248</v>
      </c>
      <c r="J139" s="20" t="s">
        <v>256</v>
      </c>
      <c r="K139" s="1" t="e">
        <f aca="false">_xlfn.xlookup(J139,REF!$D$2:$D$12,REF!$E$2:$E$12)</f>
        <v>#NAME?</v>
      </c>
      <c r="L139" s="1" t="s">
        <v>378</v>
      </c>
      <c r="M139" s="20" t="s">
        <v>258</v>
      </c>
      <c r="N139" s="20" t="s">
        <v>379</v>
      </c>
      <c r="O139" s="1" t="s">
        <v>260</v>
      </c>
      <c r="P139" s="22" t="str">
        <f aca="false">_xlfn.CONCAT(B139,C139,D139,E139,F139)</f>
        <v>ARAGUATINS 1.1Inverter(MBUS-15)46057.272222222246057.272222222246057.3541666667</v>
      </c>
      <c r="Q139" s="1" t="str">
        <f aca="false">_xlfn.CONCAT(H139,I139,J139)</f>
        <v>DAURDE</v>
      </c>
    </row>
    <row r="140" customFormat="false" ht="15" hidden="false" customHeight="false" outlineLevel="0" collapsed="false">
      <c r="B140" s="1" t="s">
        <v>381</v>
      </c>
      <c r="C140" s="1" t="s">
        <v>277</v>
      </c>
      <c r="D140" s="14" t="n">
        <v>46057.2722222222</v>
      </c>
      <c r="E140" s="14" t="n">
        <v>46057.2722222222</v>
      </c>
      <c r="F140" s="14" t="n">
        <v>46057.3541666667</v>
      </c>
      <c r="G140" s="15" t="n">
        <f aca="false">F140-E140</f>
        <v>0.0819444444444444</v>
      </c>
      <c r="H140" s="20" t="s">
        <v>248</v>
      </c>
      <c r="J140" s="20" t="s">
        <v>256</v>
      </c>
      <c r="K140" s="1" t="e">
        <f aca="false">_xlfn.xlookup(J140,REF!$D$2:$D$12,REF!$E$2:$E$12)</f>
        <v>#NAME?</v>
      </c>
      <c r="L140" s="1" t="s">
        <v>378</v>
      </c>
      <c r="M140" s="20" t="s">
        <v>258</v>
      </c>
      <c r="N140" s="20" t="s">
        <v>379</v>
      </c>
      <c r="O140" s="1" t="s">
        <v>260</v>
      </c>
      <c r="P140" s="22" t="str">
        <f aca="false">_xlfn.CONCAT(B140,C140,D140,E140,F140)</f>
        <v>ARAGUATINS 1.2Inverter(MBUS-12)46057.272222222246057.272222222246057.3541666667</v>
      </c>
      <c r="Q140" s="1" t="str">
        <f aca="false">_xlfn.CONCAT(H140,I140,J140)</f>
        <v>DAURDE</v>
      </c>
    </row>
    <row r="141" customFormat="false" ht="15" hidden="false" customHeight="false" outlineLevel="0" collapsed="false">
      <c r="B141" s="1" t="s">
        <v>381</v>
      </c>
      <c r="C141" s="1" t="s">
        <v>247</v>
      </c>
      <c r="D141" s="14" t="n">
        <v>46057.2722222222</v>
      </c>
      <c r="E141" s="14" t="n">
        <v>46057.2722222222</v>
      </c>
      <c r="F141" s="14" t="n">
        <v>46057.3541666667</v>
      </c>
      <c r="G141" s="15" t="n">
        <f aca="false">F141-E141</f>
        <v>0.0819444444444444</v>
      </c>
      <c r="H141" s="20" t="s">
        <v>248</v>
      </c>
      <c r="J141" s="20" t="s">
        <v>256</v>
      </c>
      <c r="K141" s="1" t="e">
        <f aca="false">_xlfn.xlookup(J141,REF!$D$2:$D$12,REF!$E$2:$E$12)</f>
        <v>#NAME?</v>
      </c>
      <c r="L141" s="1" t="s">
        <v>378</v>
      </c>
      <c r="M141" s="20" t="s">
        <v>258</v>
      </c>
      <c r="N141" s="20" t="s">
        <v>379</v>
      </c>
      <c r="O141" s="1" t="s">
        <v>260</v>
      </c>
      <c r="P141" s="22" t="str">
        <f aca="false">_xlfn.CONCAT(B141,C141,D141,E141,F141)</f>
        <v>ARAGUATINS 1.2Inverter(MBUS-13)46057.272222222246057.272222222246057.3541666667</v>
      </c>
      <c r="Q141" s="1" t="str">
        <f aca="false">_xlfn.CONCAT(H141,I141,J141)</f>
        <v>DAURDE</v>
      </c>
    </row>
    <row r="142" customFormat="false" ht="15" hidden="false" customHeight="false" outlineLevel="0" collapsed="false">
      <c r="B142" s="1" t="s">
        <v>381</v>
      </c>
      <c r="C142" s="1" t="s">
        <v>280</v>
      </c>
      <c r="D142" s="14" t="n">
        <v>46057.2722222222</v>
      </c>
      <c r="E142" s="14" t="n">
        <v>46057.2722222222</v>
      </c>
      <c r="F142" s="14" t="n">
        <v>46057.3541666667</v>
      </c>
      <c r="G142" s="15" t="n">
        <f aca="false">F142-E142</f>
        <v>0.0819444444444444</v>
      </c>
      <c r="H142" s="20" t="s">
        <v>248</v>
      </c>
      <c r="J142" s="20" t="s">
        <v>256</v>
      </c>
      <c r="K142" s="1" t="e">
        <f aca="false">_xlfn.xlookup(J142,REF!$D$2:$D$12,REF!$E$2:$E$12)</f>
        <v>#NAME?</v>
      </c>
      <c r="L142" s="1" t="s">
        <v>378</v>
      </c>
      <c r="M142" s="20" t="s">
        <v>258</v>
      </c>
      <c r="N142" s="20" t="s">
        <v>379</v>
      </c>
      <c r="O142" s="1" t="s">
        <v>260</v>
      </c>
      <c r="P142" s="22" t="str">
        <f aca="false">_xlfn.CONCAT(B142,C142,D142,E142,F142)</f>
        <v>ARAGUATINS 1.2Inverter(MBUS-14)46057.272222222246057.272222222246057.3541666667</v>
      </c>
      <c r="Q142" s="1" t="str">
        <f aca="false">_xlfn.CONCAT(H142,I142,J142)</f>
        <v>DAURDE</v>
      </c>
    </row>
    <row r="143" customFormat="false" ht="15" hidden="false" customHeight="false" outlineLevel="0" collapsed="false">
      <c r="B143" s="1" t="s">
        <v>381</v>
      </c>
      <c r="C143" s="1" t="s">
        <v>279</v>
      </c>
      <c r="D143" s="14" t="n">
        <v>46057.2722222222</v>
      </c>
      <c r="E143" s="14" t="n">
        <v>46057.2722222222</v>
      </c>
      <c r="F143" s="14" t="n">
        <v>46057.3541666667</v>
      </c>
      <c r="G143" s="15" t="n">
        <f aca="false">F143-E143</f>
        <v>0.0819444444444444</v>
      </c>
      <c r="H143" s="20" t="s">
        <v>248</v>
      </c>
      <c r="J143" s="20" t="s">
        <v>256</v>
      </c>
      <c r="K143" s="1" t="e">
        <f aca="false">_xlfn.xlookup(J143,REF!$D$2:$D$12,REF!$E$2:$E$12)</f>
        <v>#NAME?</v>
      </c>
      <c r="L143" s="1" t="s">
        <v>378</v>
      </c>
      <c r="M143" s="20" t="s">
        <v>258</v>
      </c>
      <c r="N143" s="20" t="s">
        <v>379</v>
      </c>
      <c r="O143" s="1" t="s">
        <v>260</v>
      </c>
      <c r="P143" s="22" t="str">
        <f aca="false">_xlfn.CONCAT(B143,C143,D143,E143,F143)</f>
        <v>ARAGUATINS 1.2Inverter(MBUS-15)46057.272222222246057.272222222246057.3541666667</v>
      </c>
      <c r="Q143" s="1" t="str">
        <f aca="false">_xlfn.CONCAT(H143,I143,J143)</f>
        <v>DAURDE</v>
      </c>
    </row>
    <row r="144" customFormat="false" ht="15" hidden="false" customHeight="false" outlineLevel="0" collapsed="false">
      <c r="B144" s="1" t="s">
        <v>382</v>
      </c>
      <c r="C144" s="1" t="s">
        <v>383</v>
      </c>
      <c r="D144" s="14" t="n">
        <v>46057.2722222222</v>
      </c>
      <c r="E144" s="14" t="n">
        <v>46057.2722222222</v>
      </c>
      <c r="F144" s="14" t="n">
        <v>46057.3541666667</v>
      </c>
      <c r="G144" s="15" t="n">
        <f aca="false">F144-E144</f>
        <v>0.0819444444444444</v>
      </c>
      <c r="H144" s="20" t="s">
        <v>248</v>
      </c>
      <c r="J144" s="20" t="s">
        <v>256</v>
      </c>
      <c r="K144" s="1" t="e">
        <f aca="false">_xlfn.xlookup(J144,REF!$D$2:$D$12,REF!$E$2:$E$12)</f>
        <v>#NAME?</v>
      </c>
      <c r="L144" s="1" t="s">
        <v>384</v>
      </c>
      <c r="M144" s="20" t="s">
        <v>258</v>
      </c>
      <c r="N144" s="20" t="s">
        <v>379</v>
      </c>
      <c r="O144" s="1" t="s">
        <v>260</v>
      </c>
      <c r="P144" s="22" t="str">
        <f aca="false">_xlfn.CONCAT(B144,C144,D144,E144,F144)</f>
        <v>ARAGUATINS 1.3Inverter(MBUS-20)46057.272222222246057.272222222246057.3541666667</v>
      </c>
      <c r="Q144" s="1" t="str">
        <f aca="false">_xlfn.CONCAT(H144,I144,J144)</f>
        <v>DAURDE</v>
      </c>
    </row>
    <row r="145" customFormat="false" ht="15" hidden="false" customHeight="false" outlineLevel="0" collapsed="false">
      <c r="B145" s="1" t="s">
        <v>382</v>
      </c>
      <c r="C145" s="1" t="s">
        <v>255</v>
      </c>
      <c r="D145" s="14" t="n">
        <v>46057.2722222222</v>
      </c>
      <c r="E145" s="14" t="n">
        <v>46057.2722222222</v>
      </c>
      <c r="F145" s="14" t="n">
        <v>46057.3541666667</v>
      </c>
      <c r="G145" s="15" t="n">
        <f aca="false">F145-E145</f>
        <v>0.0819444444444444</v>
      </c>
      <c r="H145" s="20" t="s">
        <v>248</v>
      </c>
      <c r="J145" s="20" t="s">
        <v>256</v>
      </c>
      <c r="K145" s="1" t="e">
        <f aca="false">_xlfn.xlookup(J145,REF!$D$2:$D$12,REF!$E$2:$E$12)</f>
        <v>#NAME?</v>
      </c>
      <c r="L145" s="1" t="s">
        <v>384</v>
      </c>
      <c r="M145" s="20" t="s">
        <v>258</v>
      </c>
      <c r="N145" s="20" t="s">
        <v>379</v>
      </c>
      <c r="O145" s="1" t="s">
        <v>260</v>
      </c>
      <c r="P145" s="22" t="str">
        <f aca="false">_xlfn.CONCAT(B145,C145,D145,E145,F145)</f>
        <v>ARAGUATINS 1.3Inverter(MBUS-1)46057.272222222246057.272222222246057.3541666667</v>
      </c>
      <c r="Q145" s="1" t="str">
        <f aca="false">_xlfn.CONCAT(H145,I145,J145)</f>
        <v>DAURDE</v>
      </c>
    </row>
    <row r="146" customFormat="false" ht="15" hidden="false" customHeight="false" outlineLevel="0" collapsed="false">
      <c r="B146" s="1" t="s">
        <v>276</v>
      </c>
      <c r="C146" s="1" t="s">
        <v>277</v>
      </c>
      <c r="D146" s="14" t="n">
        <v>46057.2722222222</v>
      </c>
      <c r="E146" s="14" t="n">
        <v>46057.2722222222</v>
      </c>
      <c r="F146" s="14" t="n">
        <v>46057.3541666667</v>
      </c>
      <c r="G146" s="15" t="n">
        <f aca="false">F146-E146</f>
        <v>0.0819444444444444</v>
      </c>
      <c r="H146" s="20" t="s">
        <v>248</v>
      </c>
      <c r="J146" s="20" t="s">
        <v>256</v>
      </c>
      <c r="K146" s="1" t="e">
        <f aca="false">_xlfn.xlookup(J146,REF!$D$2:$D$12,REF!$E$2:$E$12)</f>
        <v>#NAME?</v>
      </c>
      <c r="L146" s="1" t="s">
        <v>385</v>
      </c>
      <c r="M146" s="20" t="s">
        <v>258</v>
      </c>
      <c r="N146" s="20" t="s">
        <v>379</v>
      </c>
      <c r="O146" s="1" t="s">
        <v>260</v>
      </c>
      <c r="P146" s="22" t="str">
        <f aca="false">_xlfn.CONCAT(B146,C146,D146,E146,F146)</f>
        <v>ARAGUATINS 2.1Inverter(MBUS-12)46057.272222222246057.272222222246057.3541666667</v>
      </c>
      <c r="Q146" s="1" t="str">
        <f aca="false">_xlfn.CONCAT(H146,I146,J146)</f>
        <v>DAURDE</v>
      </c>
    </row>
    <row r="147" customFormat="false" ht="15" hidden="false" customHeight="false" outlineLevel="0" collapsed="false">
      <c r="B147" s="1" t="s">
        <v>276</v>
      </c>
      <c r="C147" s="1" t="s">
        <v>279</v>
      </c>
      <c r="D147" s="14" t="n">
        <v>46057.2722222222</v>
      </c>
      <c r="E147" s="14" t="n">
        <v>46057.2722222222</v>
      </c>
      <c r="F147" s="14" t="n">
        <v>46057.3541666667</v>
      </c>
      <c r="G147" s="15" t="n">
        <f aca="false">F147-E147</f>
        <v>0.0819444444444444</v>
      </c>
      <c r="H147" s="20" t="s">
        <v>248</v>
      </c>
      <c r="J147" s="20" t="s">
        <v>256</v>
      </c>
      <c r="K147" s="1" t="e">
        <f aca="false">_xlfn.xlookup(J147,REF!$D$2:$D$12,REF!$E$2:$E$12)</f>
        <v>#NAME?</v>
      </c>
      <c r="L147" s="1" t="s">
        <v>385</v>
      </c>
      <c r="M147" s="20" t="s">
        <v>258</v>
      </c>
      <c r="N147" s="20" t="s">
        <v>379</v>
      </c>
      <c r="O147" s="1" t="s">
        <v>260</v>
      </c>
      <c r="P147" s="22" t="str">
        <f aca="false">_xlfn.CONCAT(B147,C147,D147,E147,F147)</f>
        <v>ARAGUATINS 2.1Inverter(MBUS-15)46057.272222222246057.272222222246057.3541666667</v>
      </c>
      <c r="Q147" s="1" t="str">
        <f aca="false">_xlfn.CONCAT(H147,I147,J147)</f>
        <v>DAURDE</v>
      </c>
    </row>
    <row r="148" customFormat="false" ht="15" hidden="false" customHeight="false" outlineLevel="0" collapsed="false">
      <c r="B148" s="1" t="s">
        <v>276</v>
      </c>
      <c r="C148" s="1" t="s">
        <v>280</v>
      </c>
      <c r="D148" s="14" t="n">
        <v>46057.2722222222</v>
      </c>
      <c r="E148" s="14" t="n">
        <v>46057.2722222222</v>
      </c>
      <c r="F148" s="14" t="n">
        <v>46057.3541666667</v>
      </c>
      <c r="G148" s="15" t="n">
        <f aca="false">F148-E148</f>
        <v>0.0819444444444444</v>
      </c>
      <c r="H148" s="20" t="s">
        <v>248</v>
      </c>
      <c r="J148" s="20" t="s">
        <v>256</v>
      </c>
      <c r="K148" s="1" t="e">
        <f aca="false">_xlfn.xlookup(J148,REF!$D$2:$D$12,REF!$E$2:$E$12)</f>
        <v>#NAME?</v>
      </c>
      <c r="L148" s="1" t="s">
        <v>385</v>
      </c>
      <c r="M148" s="20" t="s">
        <v>258</v>
      </c>
      <c r="N148" s="20" t="s">
        <v>379</v>
      </c>
      <c r="O148" s="1" t="s">
        <v>260</v>
      </c>
      <c r="P148" s="22" t="str">
        <f aca="false">_xlfn.CONCAT(B148,C148,D148,E148,F148)</f>
        <v>ARAGUATINS 2.1Inverter(MBUS-14)46057.272222222246057.272222222246057.3541666667</v>
      </c>
      <c r="Q148" s="1" t="str">
        <f aca="false">_xlfn.CONCAT(H148,I148,J148)</f>
        <v>DAURDE</v>
      </c>
    </row>
    <row r="149" customFormat="false" ht="15" hidden="false" customHeight="false" outlineLevel="0" collapsed="false">
      <c r="B149" s="1" t="s">
        <v>276</v>
      </c>
      <c r="C149" s="1" t="s">
        <v>255</v>
      </c>
      <c r="D149" s="14" t="n">
        <v>46057.2722222222</v>
      </c>
      <c r="E149" s="14" t="n">
        <v>46057.2722222222</v>
      </c>
      <c r="F149" s="14" t="n">
        <v>46057.3541666667</v>
      </c>
      <c r="G149" s="15" t="n">
        <f aca="false">F149-E149</f>
        <v>0.0819444444444444</v>
      </c>
      <c r="H149" s="20" t="s">
        <v>248</v>
      </c>
      <c r="J149" s="20" t="s">
        <v>256</v>
      </c>
      <c r="K149" s="1" t="e">
        <f aca="false">_xlfn.xlookup(J149,REF!$D$2:$D$12,REF!$E$2:$E$12)</f>
        <v>#NAME?</v>
      </c>
      <c r="L149" s="1" t="s">
        <v>385</v>
      </c>
      <c r="M149" s="20" t="s">
        <v>258</v>
      </c>
      <c r="N149" s="20" t="s">
        <v>379</v>
      </c>
      <c r="O149" s="1" t="s">
        <v>260</v>
      </c>
      <c r="P149" s="22" t="str">
        <f aca="false">_xlfn.CONCAT(B149,C149,D149,E149,F149)</f>
        <v>ARAGUATINS 2.1Inverter(MBUS-1)46057.272222222246057.272222222246057.3541666667</v>
      </c>
      <c r="Q149" s="1" t="str">
        <f aca="false">_xlfn.CONCAT(H149,I149,J149)</f>
        <v>DAURDE</v>
      </c>
    </row>
    <row r="150" customFormat="false" ht="15" hidden="false" customHeight="false" outlineLevel="0" collapsed="false">
      <c r="B150" s="1" t="s">
        <v>386</v>
      </c>
      <c r="C150" s="1" t="s">
        <v>279</v>
      </c>
      <c r="D150" s="14" t="n">
        <v>46057.2722222222</v>
      </c>
      <c r="E150" s="14" t="n">
        <v>46057.2722222222</v>
      </c>
      <c r="F150" s="14" t="n">
        <v>46057.3541666667</v>
      </c>
      <c r="G150" s="15" t="n">
        <f aca="false">F150-E150</f>
        <v>0.0819444444444444</v>
      </c>
      <c r="H150" s="20" t="s">
        <v>248</v>
      </c>
      <c r="J150" s="20" t="s">
        <v>256</v>
      </c>
      <c r="K150" s="1" t="e">
        <f aca="false">_xlfn.xlookup(J150,REF!$D$2:$D$12,REF!$E$2:$E$12)</f>
        <v>#NAME?</v>
      </c>
      <c r="L150" s="1" t="s">
        <v>387</v>
      </c>
      <c r="M150" s="20" t="s">
        <v>258</v>
      </c>
      <c r="N150" s="20" t="s">
        <v>379</v>
      </c>
      <c r="O150" s="1" t="s">
        <v>260</v>
      </c>
      <c r="P150" s="22" t="str">
        <f aca="false">_xlfn.CONCAT(B150,C150,D150,E150,F150)</f>
        <v>ARAGUATINS 2.2Inverter(MBUS-15)46057.272222222246057.272222222246057.3541666667</v>
      </c>
      <c r="Q150" s="1" t="str">
        <f aca="false">_xlfn.CONCAT(H150,I150,J150)</f>
        <v>DAURDE</v>
      </c>
    </row>
    <row r="151" customFormat="false" ht="15" hidden="false" customHeight="false" outlineLevel="0" collapsed="false">
      <c r="B151" s="1" t="s">
        <v>386</v>
      </c>
      <c r="C151" s="1" t="s">
        <v>247</v>
      </c>
      <c r="D151" s="14" t="n">
        <v>46057.2722222222</v>
      </c>
      <c r="E151" s="14" t="n">
        <v>46057.2722222222</v>
      </c>
      <c r="F151" s="14" t="n">
        <v>46057.3541666667</v>
      </c>
      <c r="G151" s="15" t="n">
        <f aca="false">F151-E151</f>
        <v>0.0819444444444444</v>
      </c>
      <c r="H151" s="20" t="s">
        <v>248</v>
      </c>
      <c r="J151" s="20" t="s">
        <v>256</v>
      </c>
      <c r="K151" s="1" t="e">
        <f aca="false">_xlfn.xlookup(J151,REF!$D$2:$D$12,REF!$E$2:$E$12)</f>
        <v>#NAME?</v>
      </c>
      <c r="L151" s="1" t="s">
        <v>387</v>
      </c>
      <c r="M151" s="20" t="s">
        <v>258</v>
      </c>
      <c r="N151" s="20" t="s">
        <v>379</v>
      </c>
      <c r="O151" s="1" t="s">
        <v>260</v>
      </c>
      <c r="P151" s="22" t="str">
        <f aca="false">_xlfn.CONCAT(B151,C151,D151,E151,F151)</f>
        <v>ARAGUATINS 2.2Inverter(MBUS-13)46057.272222222246057.272222222246057.3541666667</v>
      </c>
      <c r="Q151" s="1" t="str">
        <f aca="false">_xlfn.CONCAT(H151,I151,J151)</f>
        <v>DAURDE</v>
      </c>
    </row>
    <row r="152" customFormat="false" ht="15" hidden="false" customHeight="false" outlineLevel="0" collapsed="false">
      <c r="B152" s="1" t="s">
        <v>386</v>
      </c>
      <c r="C152" s="1" t="s">
        <v>280</v>
      </c>
      <c r="D152" s="14" t="n">
        <v>46057.2722222222</v>
      </c>
      <c r="E152" s="14" t="n">
        <v>46057.2722222222</v>
      </c>
      <c r="F152" s="14" t="n">
        <v>46057.3541666667</v>
      </c>
      <c r="G152" s="15" t="n">
        <f aca="false">F152-E152</f>
        <v>0.0819444444444444</v>
      </c>
      <c r="H152" s="20" t="s">
        <v>248</v>
      </c>
      <c r="J152" s="20" t="s">
        <v>256</v>
      </c>
      <c r="K152" s="1" t="e">
        <f aca="false">_xlfn.xlookup(J152,REF!$D$2:$D$12,REF!$E$2:$E$12)</f>
        <v>#NAME?</v>
      </c>
      <c r="L152" s="1" t="s">
        <v>387</v>
      </c>
      <c r="M152" s="20" t="s">
        <v>258</v>
      </c>
      <c r="N152" s="20" t="s">
        <v>379</v>
      </c>
      <c r="O152" s="1" t="s">
        <v>260</v>
      </c>
      <c r="P152" s="22" t="str">
        <f aca="false">_xlfn.CONCAT(B152,C152,D152,E152,F152)</f>
        <v>ARAGUATINS 2.2Inverter(MBUS-14)46057.272222222246057.272222222246057.3541666667</v>
      </c>
      <c r="Q152" s="1" t="str">
        <f aca="false">_xlfn.CONCAT(H152,I152,J152)</f>
        <v>DAURDE</v>
      </c>
    </row>
    <row r="153" customFormat="false" ht="15" hidden="false" customHeight="false" outlineLevel="0" collapsed="false">
      <c r="B153" s="1" t="s">
        <v>386</v>
      </c>
      <c r="C153" s="1" t="s">
        <v>277</v>
      </c>
      <c r="D153" s="14" t="n">
        <v>46057.2722222222</v>
      </c>
      <c r="E153" s="14" t="n">
        <v>46057.2722222222</v>
      </c>
      <c r="F153" s="14" t="n">
        <v>46057.3541666667</v>
      </c>
      <c r="G153" s="15" t="n">
        <f aca="false">F153-E153</f>
        <v>0.0819444444444444</v>
      </c>
      <c r="H153" s="20" t="s">
        <v>248</v>
      </c>
      <c r="J153" s="20" t="s">
        <v>256</v>
      </c>
      <c r="K153" s="1" t="e">
        <f aca="false">_xlfn.xlookup(J153,REF!$D$2:$D$12,REF!$E$2:$E$12)</f>
        <v>#NAME?</v>
      </c>
      <c r="L153" s="1" t="s">
        <v>387</v>
      </c>
      <c r="M153" s="20" t="s">
        <v>258</v>
      </c>
      <c r="N153" s="20" t="s">
        <v>379</v>
      </c>
      <c r="O153" s="1" t="s">
        <v>260</v>
      </c>
      <c r="P153" s="22" t="str">
        <f aca="false">_xlfn.CONCAT(B153,C153,D153,E153,F153)</f>
        <v>ARAGUATINS 2.2Inverter(MBUS-12)46057.272222222246057.272222222246057.3541666667</v>
      </c>
      <c r="Q153" s="1" t="str">
        <f aca="false">_xlfn.CONCAT(H153,I153,J153)</f>
        <v>DAURDE</v>
      </c>
    </row>
    <row r="154" customFormat="false" ht="15" hidden="false" customHeight="false" outlineLevel="0" collapsed="false">
      <c r="B154" s="1" t="s">
        <v>388</v>
      </c>
      <c r="C154" s="1" t="s">
        <v>277</v>
      </c>
      <c r="D154" s="14" t="n">
        <v>46057.2722222222</v>
      </c>
      <c r="E154" s="14" t="n">
        <v>46057.2722222222</v>
      </c>
      <c r="F154" s="14" t="n">
        <v>46057.3541666667</v>
      </c>
      <c r="G154" s="15" t="n">
        <f aca="false">F154-E154</f>
        <v>0.0819444444444444</v>
      </c>
      <c r="H154" s="20" t="s">
        <v>248</v>
      </c>
      <c r="J154" s="20" t="s">
        <v>256</v>
      </c>
      <c r="K154" s="1" t="e">
        <f aca="false">_xlfn.xlookup(J154,REF!$D$2:$D$12,REF!$E$2:$E$12)</f>
        <v>#NAME?</v>
      </c>
      <c r="L154" s="1" t="s">
        <v>385</v>
      </c>
      <c r="M154" s="20" t="s">
        <v>258</v>
      </c>
      <c r="N154" s="20" t="s">
        <v>379</v>
      </c>
      <c r="O154" s="1" t="s">
        <v>260</v>
      </c>
      <c r="P154" s="22" t="str">
        <f aca="false">_xlfn.CONCAT(B154,C154,D154,E154,F154)</f>
        <v>ARAGUATINS 2.3Inverter(MBUS-12)46057.272222222246057.272222222246057.3541666667</v>
      </c>
      <c r="Q154" s="1" t="str">
        <f aca="false">_xlfn.CONCAT(H154,I154,J154)</f>
        <v>DAURDE</v>
      </c>
    </row>
    <row r="155" customFormat="false" ht="15" hidden="false" customHeight="false" outlineLevel="0" collapsed="false">
      <c r="B155" s="1" t="s">
        <v>388</v>
      </c>
      <c r="C155" s="1" t="s">
        <v>247</v>
      </c>
      <c r="D155" s="14" t="n">
        <v>46057.2722222222</v>
      </c>
      <c r="E155" s="14" t="n">
        <v>46057.2722222222</v>
      </c>
      <c r="F155" s="14" t="n">
        <v>46057.3541666667</v>
      </c>
      <c r="G155" s="15" t="n">
        <f aca="false">F155-E155</f>
        <v>0.0819444444444444</v>
      </c>
      <c r="H155" s="20" t="s">
        <v>248</v>
      </c>
      <c r="J155" s="20" t="s">
        <v>256</v>
      </c>
      <c r="K155" s="1" t="e">
        <f aca="false">_xlfn.xlookup(J155,REF!$D$2:$D$12,REF!$E$2:$E$12)</f>
        <v>#NAME?</v>
      </c>
      <c r="L155" s="1" t="s">
        <v>385</v>
      </c>
      <c r="M155" s="20" t="s">
        <v>258</v>
      </c>
      <c r="N155" s="20" t="s">
        <v>379</v>
      </c>
      <c r="O155" s="1" t="s">
        <v>260</v>
      </c>
      <c r="P155" s="22" t="str">
        <f aca="false">_xlfn.CONCAT(B155,C155,D155,E155,F155)</f>
        <v>ARAGUATINS 2.3Inverter(MBUS-13)46057.272222222246057.272222222246057.3541666667</v>
      </c>
      <c r="Q155" s="1" t="str">
        <f aca="false">_xlfn.CONCAT(H155,I155,J155)</f>
        <v>DAURDE</v>
      </c>
    </row>
    <row r="156" customFormat="false" ht="15" hidden="false" customHeight="false" outlineLevel="0" collapsed="false">
      <c r="B156" s="1" t="s">
        <v>254</v>
      </c>
      <c r="C156" s="1" t="s">
        <v>255</v>
      </c>
      <c r="D156" s="14" t="n">
        <v>46057.6388888889</v>
      </c>
      <c r="E156" s="14" t="n">
        <v>46057.6388888889</v>
      </c>
      <c r="F156" s="14" t="n">
        <v>46057.6736111111</v>
      </c>
      <c r="G156" s="15" t="n">
        <f aca="false">F156-E156</f>
        <v>0.0347222222222222</v>
      </c>
      <c r="H156" s="20" t="s">
        <v>313</v>
      </c>
      <c r="J156" s="20" t="s">
        <v>249</v>
      </c>
      <c r="K156" s="1" t="e">
        <f aca="false">_xlfn.xlookup(J156,REF!$D$2:$D$12,REF!$E$2:$E$12)</f>
        <v>#NAME?</v>
      </c>
      <c r="L156" s="1" t="s">
        <v>314</v>
      </c>
      <c r="M156" s="20" t="s">
        <v>288</v>
      </c>
      <c r="N156" s="20" t="s">
        <v>315</v>
      </c>
      <c r="O156" s="1" t="s">
        <v>389</v>
      </c>
      <c r="P156" s="22" t="str">
        <f aca="false">_xlfn.CONCAT(B156,C156,D156,E156,F156)</f>
        <v>BC Aracu5.1Inverter(MBUS-1)46057.638888888946057.638888888946057.6736111111</v>
      </c>
      <c r="Q156" s="1" t="str">
        <f aca="false">_xlfn.CONCAT(H156,I156,J156)</f>
        <v>DPRINV</v>
      </c>
    </row>
    <row r="157" customFormat="false" ht="15" hidden="false" customHeight="false" outlineLevel="0" collapsed="false">
      <c r="B157" s="1" t="s">
        <v>307</v>
      </c>
      <c r="C157" s="1" t="s">
        <v>255</v>
      </c>
      <c r="D157" s="14" t="n">
        <v>46057.6388888889</v>
      </c>
      <c r="E157" s="14" t="n">
        <v>46057.6388888889</v>
      </c>
      <c r="F157" s="14" t="n">
        <v>46057.6736111111</v>
      </c>
      <c r="G157" s="15" t="n">
        <f aca="false">F157-E157</f>
        <v>0.0347222222222222</v>
      </c>
      <c r="H157" s="20" t="s">
        <v>313</v>
      </c>
      <c r="J157" s="20" t="s">
        <v>249</v>
      </c>
      <c r="K157" s="1" t="e">
        <f aca="false">_xlfn.xlookup(J157,REF!$D$2:$D$12,REF!$E$2:$E$12)</f>
        <v>#NAME?</v>
      </c>
      <c r="L157" s="1" t="s">
        <v>314</v>
      </c>
      <c r="M157" s="20" t="s">
        <v>288</v>
      </c>
      <c r="N157" s="20" t="s">
        <v>315</v>
      </c>
      <c r="O157" s="1" t="s">
        <v>389</v>
      </c>
      <c r="P157" s="22" t="str">
        <f aca="false">_xlfn.CONCAT(B157,C157,D157,E157,F157)</f>
        <v>BC Aracu5.2Inverter(MBUS-1)46057.638888888946057.638888888946057.6736111111</v>
      </c>
      <c r="Q157" s="1" t="str">
        <f aca="false">_xlfn.CONCAT(H157,I157,J157)</f>
        <v>DPRINV</v>
      </c>
    </row>
    <row r="158" customFormat="false" ht="15" hidden="false" customHeight="false" outlineLevel="0" collapsed="false">
      <c r="B158" s="1" t="s">
        <v>308</v>
      </c>
      <c r="C158" s="1" t="s">
        <v>255</v>
      </c>
      <c r="D158" s="14" t="n">
        <v>46057.6388888889</v>
      </c>
      <c r="E158" s="14" t="n">
        <v>46057.6388888889</v>
      </c>
      <c r="F158" s="14" t="n">
        <v>46057.6736111111</v>
      </c>
      <c r="G158" s="15" t="n">
        <f aca="false">F158-E158</f>
        <v>0.0347222222222222</v>
      </c>
      <c r="H158" s="20" t="s">
        <v>313</v>
      </c>
      <c r="J158" s="20" t="s">
        <v>249</v>
      </c>
      <c r="K158" s="1" t="e">
        <f aca="false">_xlfn.xlookup(J158,REF!$D$2:$D$12,REF!$E$2:$E$12)</f>
        <v>#NAME?</v>
      </c>
      <c r="L158" s="1" t="s">
        <v>314</v>
      </c>
      <c r="M158" s="20" t="s">
        <v>288</v>
      </c>
      <c r="N158" s="20" t="s">
        <v>315</v>
      </c>
      <c r="O158" s="1" t="s">
        <v>389</v>
      </c>
      <c r="P158" s="22" t="str">
        <f aca="false">_xlfn.CONCAT(B158,C158,D158,E158,F158)</f>
        <v>BC Aracu5.3Inverter(MBUS-1)46057.638888888946057.638888888946057.6736111111</v>
      </c>
      <c r="Q158" s="1" t="str">
        <f aca="false">_xlfn.CONCAT(H158,I158,J158)</f>
        <v>DPRINV</v>
      </c>
    </row>
    <row r="159" customFormat="false" ht="15" hidden="false" customHeight="false" outlineLevel="0" collapsed="false">
      <c r="B159" s="1" t="s">
        <v>310</v>
      </c>
      <c r="C159" s="1" t="s">
        <v>255</v>
      </c>
      <c r="D159" s="14" t="n">
        <v>46057.6388888889</v>
      </c>
      <c r="E159" s="14" t="n">
        <v>46057.6388888889</v>
      </c>
      <c r="F159" s="14" t="n">
        <v>46057.6736111111</v>
      </c>
      <c r="G159" s="15" t="n">
        <f aca="false">F159-E159</f>
        <v>0.0347222222222222</v>
      </c>
      <c r="H159" s="20" t="s">
        <v>313</v>
      </c>
      <c r="J159" s="20" t="s">
        <v>249</v>
      </c>
      <c r="K159" s="1" t="e">
        <f aca="false">_xlfn.xlookup(J159,REF!$D$2:$D$12,REF!$E$2:$E$12)</f>
        <v>#NAME?</v>
      </c>
      <c r="L159" s="1" t="s">
        <v>314</v>
      </c>
      <c r="M159" s="20" t="s">
        <v>288</v>
      </c>
      <c r="N159" s="20" t="s">
        <v>315</v>
      </c>
      <c r="O159" s="1" t="s">
        <v>389</v>
      </c>
      <c r="P159" s="22" t="str">
        <f aca="false">_xlfn.CONCAT(B159,C159,D159,E159,F159)</f>
        <v>BC Aracu5.5Inverter(MBUS-1)46057.638888888946057.638888888946057.6736111111</v>
      </c>
      <c r="Q159" s="1" t="str">
        <f aca="false">_xlfn.CONCAT(H159,I159,J159)</f>
        <v>DPRINV</v>
      </c>
    </row>
    <row r="160" customFormat="false" ht="15" hidden="false" customHeight="false" outlineLevel="0" collapsed="false">
      <c r="B160" s="1" t="s">
        <v>390</v>
      </c>
      <c r="C160" s="1" t="s">
        <v>391</v>
      </c>
      <c r="D160" s="14" t="n">
        <v>46057.6611111111</v>
      </c>
      <c r="E160" s="14" t="n">
        <v>46057.6611111111</v>
      </c>
      <c r="F160" s="14" t="n">
        <v>46057.6736111111</v>
      </c>
      <c r="G160" s="15" t="n">
        <f aca="false">F160-E160</f>
        <v>0.0125</v>
      </c>
      <c r="H160" s="20" t="s">
        <v>248</v>
      </c>
      <c r="I160" s="1" t="s">
        <v>263</v>
      </c>
      <c r="J160" s="20" t="s">
        <v>264</v>
      </c>
      <c r="K160" s="1" t="e">
        <f aca="false">_xlfn.xlookup(J160,REF!$D$2:$D$12,REF!$E$2:$E$12)</f>
        <v>#NAME?</v>
      </c>
      <c r="L160" s="1" t="s">
        <v>392</v>
      </c>
      <c r="M160" s="20" t="s">
        <v>266</v>
      </c>
      <c r="N160" s="20" t="s">
        <v>252</v>
      </c>
      <c r="O160" s="21" t="s">
        <v>393</v>
      </c>
      <c r="P160" s="22" t="str">
        <f aca="false">_xlfn.CONCAT(B160,C160,D160,E160,F160)</f>
        <v>BC Camarao1.3215KTL-H3(MBUS-16)46057.661111111146057.661111111146057.6736111111</v>
      </c>
      <c r="Q160" s="1" t="str">
        <f aca="false">_xlfn.CONCAT(H160,I160,J160)</f>
        <v>DAURFOCOM</v>
      </c>
    </row>
    <row r="161" customFormat="false" ht="15" hidden="false" customHeight="false" outlineLevel="0" collapsed="false">
      <c r="B161" s="1" t="s">
        <v>390</v>
      </c>
      <c r="C161" s="1" t="s">
        <v>394</v>
      </c>
      <c r="D161" s="14" t="n">
        <v>46057.6611111111</v>
      </c>
      <c r="E161" s="14" t="n">
        <v>46057.6611111111</v>
      </c>
      <c r="F161" s="14" t="n">
        <v>46057.6736111111</v>
      </c>
      <c r="G161" s="15" t="n">
        <f aca="false">F161-E161</f>
        <v>0.0125</v>
      </c>
      <c r="H161" s="20" t="s">
        <v>248</v>
      </c>
      <c r="I161" s="1" t="s">
        <v>263</v>
      </c>
      <c r="J161" s="20" t="s">
        <v>264</v>
      </c>
      <c r="K161" s="1" t="e">
        <f aca="false">_xlfn.xlookup(J161,REF!$D$2:$D$12,REF!$E$2:$E$12)</f>
        <v>#NAME?</v>
      </c>
      <c r="L161" s="1" t="s">
        <v>392</v>
      </c>
      <c r="M161" s="20" t="s">
        <v>266</v>
      </c>
      <c r="N161" s="20" t="s">
        <v>252</v>
      </c>
      <c r="O161" s="21" t="s">
        <v>393</v>
      </c>
      <c r="P161" s="22" t="str">
        <f aca="false">_xlfn.CONCAT(B161,C161,D161,E161,F161)</f>
        <v>BC Camarao1.3215KTL-H3(MBUS-14)46057.661111111146057.661111111146057.6736111111</v>
      </c>
      <c r="Q161" s="1" t="str">
        <f aca="false">_xlfn.CONCAT(H161,I161,J161)</f>
        <v>DAURFOCOM</v>
      </c>
    </row>
    <row r="162" customFormat="false" ht="15" hidden="false" customHeight="false" outlineLevel="0" collapsed="false">
      <c r="B162" s="1" t="s">
        <v>390</v>
      </c>
      <c r="C162" s="1" t="s">
        <v>395</v>
      </c>
      <c r="D162" s="14" t="n">
        <v>46057.6611111111</v>
      </c>
      <c r="E162" s="14" t="n">
        <v>46057.6611111111</v>
      </c>
      <c r="F162" s="14" t="n">
        <v>46057.6736111111</v>
      </c>
      <c r="G162" s="15" t="n">
        <f aca="false">F162-E162</f>
        <v>0.0125</v>
      </c>
      <c r="H162" s="20" t="s">
        <v>248</v>
      </c>
      <c r="I162" s="1" t="s">
        <v>263</v>
      </c>
      <c r="J162" s="20" t="s">
        <v>264</v>
      </c>
      <c r="K162" s="1" t="e">
        <f aca="false">_xlfn.xlookup(J162,REF!$D$2:$D$12,REF!$E$2:$E$12)</f>
        <v>#NAME?</v>
      </c>
      <c r="L162" s="1" t="s">
        <v>392</v>
      </c>
      <c r="M162" s="20" t="s">
        <v>266</v>
      </c>
      <c r="N162" s="20" t="s">
        <v>252</v>
      </c>
      <c r="O162" s="21" t="s">
        <v>393</v>
      </c>
      <c r="P162" s="22" t="str">
        <f aca="false">_xlfn.CONCAT(B162,C162,D162,E162,F162)</f>
        <v>BC Camarao1.3215KTL-H3(MBUS-15)46057.661111111146057.661111111146057.6736111111</v>
      </c>
      <c r="Q162" s="1" t="str">
        <f aca="false">_xlfn.CONCAT(H162,I162,J162)</f>
        <v>DAURFOCOM</v>
      </c>
    </row>
    <row r="163" customFormat="false" ht="15" hidden="false" customHeight="false" outlineLevel="0" collapsed="false">
      <c r="B163" s="1" t="s">
        <v>390</v>
      </c>
      <c r="C163" s="1" t="s">
        <v>396</v>
      </c>
      <c r="D163" s="14" t="n">
        <v>46057.6611111111</v>
      </c>
      <c r="E163" s="14" t="n">
        <v>46057.6611111111</v>
      </c>
      <c r="F163" s="14" t="n">
        <v>46057.6736111111</v>
      </c>
      <c r="G163" s="15" t="n">
        <f aca="false">F163-E163</f>
        <v>0.0125</v>
      </c>
      <c r="H163" s="20" t="s">
        <v>248</v>
      </c>
      <c r="I163" s="1" t="s">
        <v>263</v>
      </c>
      <c r="J163" s="20" t="s">
        <v>264</v>
      </c>
      <c r="K163" s="1" t="e">
        <f aca="false">_xlfn.xlookup(J163,REF!$D$2:$D$12,REF!$E$2:$E$12)</f>
        <v>#NAME?</v>
      </c>
      <c r="L163" s="1" t="s">
        <v>392</v>
      </c>
      <c r="M163" s="20" t="s">
        <v>266</v>
      </c>
      <c r="N163" s="20" t="s">
        <v>252</v>
      </c>
      <c r="O163" s="21" t="s">
        <v>393</v>
      </c>
      <c r="P163" s="22" t="str">
        <f aca="false">_xlfn.CONCAT(B163,C163,D163,E163,F163)</f>
        <v>BC Camarao1.3215KTL-H3(MBUS-12)46057.661111111146057.661111111146057.6736111111</v>
      </c>
      <c r="Q163" s="1" t="str">
        <f aca="false">_xlfn.CONCAT(H163,I163,J163)</f>
        <v>DAURFOCOM</v>
      </c>
    </row>
    <row r="164" customFormat="false" ht="15" hidden="false" customHeight="false" outlineLevel="0" collapsed="false">
      <c r="B164" s="1" t="s">
        <v>390</v>
      </c>
      <c r="C164" s="1" t="s">
        <v>397</v>
      </c>
      <c r="D164" s="14" t="n">
        <v>46057.6611111111</v>
      </c>
      <c r="E164" s="14" t="n">
        <v>46057.6611111111</v>
      </c>
      <c r="F164" s="14" t="n">
        <v>46057.6736111111</v>
      </c>
      <c r="G164" s="15" t="n">
        <f aca="false">F164-E164</f>
        <v>0.0125</v>
      </c>
      <c r="H164" s="20" t="s">
        <v>248</v>
      </c>
      <c r="I164" s="1" t="s">
        <v>263</v>
      </c>
      <c r="J164" s="20" t="s">
        <v>264</v>
      </c>
      <c r="K164" s="1" t="e">
        <f aca="false">_xlfn.xlookup(J164,REF!$D$2:$D$12,REF!$E$2:$E$12)</f>
        <v>#NAME?</v>
      </c>
      <c r="L164" s="1" t="s">
        <v>392</v>
      </c>
      <c r="M164" s="20" t="s">
        <v>266</v>
      </c>
      <c r="N164" s="20" t="s">
        <v>252</v>
      </c>
      <c r="O164" s="21" t="s">
        <v>393</v>
      </c>
      <c r="P164" s="22" t="str">
        <f aca="false">_xlfn.CONCAT(B164,C164,D164,E164,F164)</f>
        <v>BC Camarao1.3215KTL-H3(MBUS-13)46057.661111111146057.661111111146057.6736111111</v>
      </c>
      <c r="Q164" s="1" t="str">
        <f aca="false">_xlfn.CONCAT(H164,I164,J164)</f>
        <v>DAURFOCOM</v>
      </c>
    </row>
    <row r="165" customFormat="false" ht="15" hidden="false" customHeight="false" outlineLevel="0" collapsed="false">
      <c r="B165" s="1" t="s">
        <v>254</v>
      </c>
      <c r="C165" s="1" t="s">
        <v>255</v>
      </c>
      <c r="D165" s="14" t="n">
        <v>46057.9722222222</v>
      </c>
      <c r="E165" s="14" t="n">
        <v>46057.9722222222</v>
      </c>
      <c r="F165" s="14" t="n">
        <v>46058.2986111111</v>
      </c>
      <c r="G165" s="15" t="n">
        <f aca="false">F165-E165</f>
        <v>0.326388888888889</v>
      </c>
      <c r="H165" s="20" t="s">
        <v>248</v>
      </c>
      <c r="J165" s="20" t="s">
        <v>256</v>
      </c>
      <c r="K165" s="1" t="e">
        <f aca="false">_xlfn.xlookup(J165,REF!$D$2:$D$12,REF!$E$2:$E$12)</f>
        <v>#NAME?</v>
      </c>
      <c r="L165" s="1" t="s">
        <v>387</v>
      </c>
      <c r="M165" s="20"/>
      <c r="N165" s="20"/>
      <c r="O165" s="21"/>
      <c r="P165" s="22" t="str">
        <f aca="false">_xlfn.CONCAT(B165,C165,D165,E165,F165)</f>
        <v>BC Aracu5.1Inverter(MBUS-1)46057.972222222246057.972222222246058.2986111111</v>
      </c>
      <c r="Q165" s="1" t="str">
        <f aca="false">_xlfn.CONCAT(H165,I165,J165)</f>
        <v>DAURDE</v>
      </c>
    </row>
    <row r="166" customFormat="false" ht="15" hidden="false" customHeight="false" outlineLevel="0" collapsed="false">
      <c r="B166" s="1" t="s">
        <v>307</v>
      </c>
      <c r="C166" s="1" t="s">
        <v>255</v>
      </c>
      <c r="D166" s="14" t="n">
        <v>46057.9722222222</v>
      </c>
      <c r="E166" s="14" t="n">
        <v>46057.9722222222</v>
      </c>
      <c r="F166" s="14" t="n">
        <v>46058.2986111111</v>
      </c>
      <c r="G166" s="15" t="n">
        <f aca="false">F166-E166</f>
        <v>0.326388888888889</v>
      </c>
      <c r="H166" s="20" t="s">
        <v>248</v>
      </c>
      <c r="J166" s="20" t="s">
        <v>256</v>
      </c>
      <c r="K166" s="1" t="e">
        <f aca="false">_xlfn.xlookup(J166,REF!$D$2:$D$12,REF!$E$2:$E$12)</f>
        <v>#NAME?</v>
      </c>
      <c r="L166" s="1" t="s">
        <v>387</v>
      </c>
      <c r="M166" s="20"/>
      <c r="N166" s="20"/>
      <c r="O166" s="21"/>
      <c r="P166" s="22" t="str">
        <f aca="false">_xlfn.CONCAT(B166,C166,D166,E166,F166)</f>
        <v>BC Aracu5.2Inverter(MBUS-1)46057.972222222246057.972222222246058.2986111111</v>
      </c>
      <c r="Q166" s="1" t="str">
        <f aca="false">_xlfn.CONCAT(H166,I166,J166)</f>
        <v>DAURDE</v>
      </c>
    </row>
    <row r="167" customFormat="false" ht="15" hidden="false" customHeight="false" outlineLevel="0" collapsed="false">
      <c r="B167" s="1" t="s">
        <v>308</v>
      </c>
      <c r="C167" s="1" t="s">
        <v>255</v>
      </c>
      <c r="D167" s="14" t="n">
        <v>46057.9722222222</v>
      </c>
      <c r="E167" s="14" t="n">
        <v>46057.9722222222</v>
      </c>
      <c r="F167" s="14" t="n">
        <v>46058.2986111111</v>
      </c>
      <c r="G167" s="15" t="n">
        <f aca="false">F167-E167</f>
        <v>0.326388888888889</v>
      </c>
      <c r="H167" s="20" t="s">
        <v>248</v>
      </c>
      <c r="J167" s="20" t="s">
        <v>256</v>
      </c>
      <c r="K167" s="1" t="e">
        <f aca="false">_xlfn.xlookup(J167,REF!$D$2:$D$12,REF!$E$2:$E$12)</f>
        <v>#NAME?</v>
      </c>
      <c r="L167" s="1" t="s">
        <v>387</v>
      </c>
      <c r="M167" s="20"/>
      <c r="N167" s="20"/>
      <c r="O167" s="21"/>
      <c r="P167" s="22" t="str">
        <f aca="false">_xlfn.CONCAT(B167,C167,D167,E167,F167)</f>
        <v>BC Aracu5.3Inverter(MBUS-1)46057.972222222246057.972222222246058.2986111111</v>
      </c>
      <c r="Q167" s="1" t="str">
        <f aca="false">_xlfn.CONCAT(H167,I167,J167)</f>
        <v>DAURDE</v>
      </c>
    </row>
    <row r="168" customFormat="false" ht="15" hidden="false" customHeight="false" outlineLevel="0" collapsed="false">
      <c r="B168" s="1" t="s">
        <v>309</v>
      </c>
      <c r="C168" s="1" t="s">
        <v>255</v>
      </c>
      <c r="D168" s="14" t="n">
        <v>46057.9722222222</v>
      </c>
      <c r="E168" s="14" t="n">
        <v>46057.9722222222</v>
      </c>
      <c r="F168" s="14" t="n">
        <v>46058.2986111111</v>
      </c>
      <c r="G168" s="15" t="n">
        <f aca="false">F168-E168</f>
        <v>0.326388888888889</v>
      </c>
      <c r="H168" s="20" t="s">
        <v>248</v>
      </c>
      <c r="J168" s="20" t="s">
        <v>256</v>
      </c>
      <c r="K168" s="1" t="e">
        <f aca="false">_xlfn.xlookup(J168,REF!$D$2:$D$12,REF!$E$2:$E$12)</f>
        <v>#NAME?</v>
      </c>
      <c r="L168" s="1" t="s">
        <v>387</v>
      </c>
      <c r="M168" s="20"/>
      <c r="N168" s="20"/>
      <c r="O168" s="21"/>
      <c r="P168" s="22" t="str">
        <f aca="false">_xlfn.CONCAT(B168,C168,D168,E168,F168)</f>
        <v>BC Aracu5.4Inverter(MBUS-1)46057.972222222246057.972222222246058.2986111111</v>
      </c>
      <c r="Q168" s="1" t="str">
        <f aca="false">_xlfn.CONCAT(H168,I168,J168)</f>
        <v>DAURDE</v>
      </c>
    </row>
    <row r="169" customFormat="false" ht="15" hidden="false" customHeight="false" outlineLevel="0" collapsed="false">
      <c r="B169" s="1" t="s">
        <v>310</v>
      </c>
      <c r="C169" s="1" t="s">
        <v>255</v>
      </c>
      <c r="D169" s="14" t="n">
        <v>46057.9722222222</v>
      </c>
      <c r="E169" s="14" t="n">
        <v>46057.9722222222</v>
      </c>
      <c r="F169" s="14" t="n">
        <v>46058.2986111111</v>
      </c>
      <c r="G169" s="15" t="n">
        <f aca="false">F169-E169</f>
        <v>0.326388888888889</v>
      </c>
      <c r="H169" s="20" t="s">
        <v>248</v>
      </c>
      <c r="J169" s="20" t="s">
        <v>256</v>
      </c>
      <c r="K169" s="1" t="e">
        <f aca="false">_xlfn.xlookup(J169,REF!$D$2:$D$12,REF!$E$2:$E$12)</f>
        <v>#NAME?</v>
      </c>
      <c r="L169" s="1" t="s">
        <v>387</v>
      </c>
      <c r="M169" s="20"/>
      <c r="N169" s="20"/>
      <c r="O169" s="21"/>
      <c r="P169" s="22" t="str">
        <f aca="false">_xlfn.CONCAT(B169,C169,D169,E169,F169)</f>
        <v>BC Aracu5.5Inverter(MBUS-1)46057.972222222246057.972222222246058.2986111111</v>
      </c>
      <c r="Q169" s="1" t="str">
        <f aca="false">_xlfn.CONCAT(H169,I169,J169)</f>
        <v>DAURDE</v>
      </c>
    </row>
    <row r="170" customFormat="false" ht="15" hidden="false" customHeight="false" outlineLevel="0" collapsed="false">
      <c r="G170" s="15" t="n">
        <f aca="false">F170-E170</f>
        <v>0</v>
      </c>
      <c r="H170" s="20"/>
      <c r="J170" s="20" t="s">
        <v>249</v>
      </c>
      <c r="K170" s="1" t="e">
        <f aca="false">_xlfn.xlookup(J170,REF!$D$2:$D$12,REF!$E$2:$E$12)</f>
        <v>#NAME?</v>
      </c>
      <c r="M170" s="20"/>
      <c r="N170" s="20"/>
      <c r="O170" s="21"/>
      <c r="P170" s="22" t="str">
        <f aca="false">_xlfn.CONCAT(B170,C170,D170,E170,F170)</f>
        <v/>
      </c>
      <c r="Q170" s="1" t="str">
        <f aca="false">_xlfn.CONCAT(H170,I170,J170)</f>
        <v>INV</v>
      </c>
    </row>
    <row r="171" customFormat="false" ht="15" hidden="false" customHeight="false" outlineLevel="0" collapsed="false">
      <c r="G171" s="15" t="n">
        <f aca="false">F171-E171</f>
        <v>0</v>
      </c>
      <c r="H171" s="20"/>
      <c r="J171" s="20" t="s">
        <v>249</v>
      </c>
      <c r="K171" s="1" t="e">
        <f aca="false">_xlfn.xlookup(J171,REF!$D$2:$D$12,REF!$E$2:$E$12)</f>
        <v>#NAME?</v>
      </c>
      <c r="M171" s="20"/>
      <c r="N171" s="20"/>
      <c r="O171" s="21"/>
      <c r="P171" s="22" t="str">
        <f aca="false">_xlfn.CONCAT(B171,C171,D171,E171,F171)</f>
        <v/>
      </c>
      <c r="Q171" s="1" t="str">
        <f aca="false">_xlfn.CONCAT(H171,I171,J171)</f>
        <v>INV</v>
      </c>
    </row>
    <row r="172" customFormat="false" ht="15" hidden="false" customHeight="false" outlineLevel="0" collapsed="false">
      <c r="G172" s="15" t="n">
        <f aca="false">F172-E172</f>
        <v>0</v>
      </c>
      <c r="H172" s="20"/>
      <c r="J172" s="20" t="s">
        <v>249</v>
      </c>
      <c r="K172" s="1" t="e">
        <f aca="false">_xlfn.xlookup(J172,REF!$D$2:$D$12,REF!$E$2:$E$12)</f>
        <v>#NAME?</v>
      </c>
      <c r="M172" s="20"/>
      <c r="N172" s="20"/>
      <c r="O172" s="21"/>
      <c r="P172" s="22" t="str">
        <f aca="false">_xlfn.CONCAT(B172,C172,D172,E172,F172)</f>
        <v/>
      </c>
      <c r="Q172" s="1" t="str">
        <f aca="false">_xlfn.CONCAT(H172,I172,J172)</f>
        <v>INV</v>
      </c>
    </row>
    <row r="173" customFormat="false" ht="15" hidden="false" customHeight="false" outlineLevel="0" collapsed="false">
      <c r="G173" s="15" t="n">
        <f aca="false">F173-E173</f>
        <v>0</v>
      </c>
      <c r="H173" s="20"/>
      <c r="J173" s="20" t="s">
        <v>249</v>
      </c>
      <c r="K173" s="1" t="e">
        <f aca="false">_xlfn.xlookup(J173,REF!$D$2:$D$12,REF!$E$2:$E$12)</f>
        <v>#NAME?</v>
      </c>
      <c r="M173" s="20"/>
      <c r="N173" s="20"/>
      <c r="O173" s="21"/>
      <c r="P173" s="22" t="str">
        <f aca="false">_xlfn.CONCAT(B173,C173,D173,E173,F173)</f>
        <v/>
      </c>
      <c r="Q173" s="1" t="str">
        <f aca="false">_xlfn.CONCAT(H173,I173,J173)</f>
        <v>INV</v>
      </c>
    </row>
    <row r="174" customFormat="false" ht="28.35" hidden="false" customHeight="false" outlineLevel="0" collapsed="false">
      <c r="G174" s="15" t="n">
        <f aca="false">F174-E174</f>
        <v>0</v>
      </c>
      <c r="H174" s="20"/>
      <c r="J174" s="20" t="s">
        <v>249</v>
      </c>
      <c r="K174" s="1" t="e">
        <f aca="false">_xlfn.xlookup(J174,REF!$D$2:$D$12,REF!$E$2:$E$12)</f>
        <v>#NAME?</v>
      </c>
      <c r="M174" s="20" t="s">
        <v>288</v>
      </c>
      <c r="N174" s="20" t="s">
        <v>315</v>
      </c>
      <c r="O174" s="21" t="s">
        <v>398</v>
      </c>
      <c r="P174" s="22" t="str">
        <f aca="false">_xlfn.CONCAT(B174,C174,D174,E174,F174)</f>
        <v/>
      </c>
      <c r="Q174" s="1" t="str">
        <f aca="false">_xlfn.CONCAT(H174,I174,J174)</f>
        <v>INV</v>
      </c>
    </row>
    <row r="175" customFormat="false" ht="15" hidden="false" customHeight="false" outlineLevel="0" collapsed="false">
      <c r="G175" s="15" t="n">
        <f aca="false">F175-E175</f>
        <v>0</v>
      </c>
      <c r="H175" s="20"/>
      <c r="J175" s="20" t="s">
        <v>256</v>
      </c>
      <c r="K175" s="1" t="e">
        <f aca="false">_xlfn.xlookup(J175,REF!$D$2:$D$12,REF!$E$2:$E$12)</f>
        <v>#NAME?</v>
      </c>
      <c r="M175" s="20" t="s">
        <v>258</v>
      </c>
      <c r="N175" s="20" t="s">
        <v>379</v>
      </c>
      <c r="O175" s="1" t="s">
        <v>399</v>
      </c>
      <c r="P175" s="22" t="str">
        <f aca="false">_xlfn.CONCAT(B175,C175,D175,E175,F175)</f>
        <v/>
      </c>
      <c r="Q175" s="1" t="str">
        <f aca="false">_xlfn.CONCAT(H175,I175,J175)</f>
        <v>RDE</v>
      </c>
    </row>
    <row r="176" customFormat="false" ht="15" hidden="false" customHeight="false" outlineLevel="0" collapsed="false">
      <c r="G176" s="15" t="n">
        <f aca="false">F176-E176</f>
        <v>0</v>
      </c>
      <c r="H176" s="20"/>
      <c r="J176" s="20" t="s">
        <v>256</v>
      </c>
      <c r="K176" s="1" t="e">
        <f aca="false">_xlfn.xlookup(J176,REF!$D$2:$D$12,REF!$E$2:$E$12)</f>
        <v>#NAME?</v>
      </c>
      <c r="M176" s="20" t="s">
        <v>258</v>
      </c>
      <c r="N176" s="20" t="s">
        <v>379</v>
      </c>
      <c r="O176" s="1" t="s">
        <v>399</v>
      </c>
      <c r="P176" s="22" t="str">
        <f aca="false">_xlfn.CONCAT(B176,C176,D176,E176,F176)</f>
        <v/>
      </c>
      <c r="Q176" s="1" t="str">
        <f aca="false">_xlfn.CONCAT(H176,I176,J176)</f>
        <v>RDE</v>
      </c>
    </row>
    <row r="177" customFormat="false" ht="15" hidden="false" customHeight="false" outlineLevel="0" collapsed="false">
      <c r="G177" s="15" t="n">
        <f aca="false">F177-E177</f>
        <v>0</v>
      </c>
      <c r="H177" s="20"/>
      <c r="J177" s="20" t="s">
        <v>256</v>
      </c>
      <c r="K177" s="1" t="e">
        <f aca="false">_xlfn.xlookup(J177,REF!$D$2:$D$12,REF!$E$2:$E$12)</f>
        <v>#NAME?</v>
      </c>
      <c r="M177" s="20" t="s">
        <v>258</v>
      </c>
      <c r="N177" s="20" t="s">
        <v>379</v>
      </c>
      <c r="O177" s="1" t="s">
        <v>399</v>
      </c>
      <c r="P177" s="22" t="str">
        <f aca="false">_xlfn.CONCAT(B177,C177,D177,E177,F177)</f>
        <v/>
      </c>
      <c r="Q177" s="1" t="str">
        <f aca="false">_xlfn.CONCAT(H177,I177,J177)</f>
        <v>RDE</v>
      </c>
    </row>
    <row r="178" customFormat="false" ht="15" hidden="false" customHeight="false" outlineLevel="0" collapsed="false">
      <c r="G178" s="15" t="n">
        <f aca="false">F178-E178</f>
        <v>0</v>
      </c>
      <c r="H178" s="20"/>
      <c r="J178" s="20" t="s">
        <v>256</v>
      </c>
      <c r="K178" s="1" t="e">
        <f aca="false">_xlfn.xlookup(J178,REF!$D$2:$D$12,REF!$E$2:$E$12)</f>
        <v>#NAME?</v>
      </c>
      <c r="M178" s="20" t="s">
        <v>258</v>
      </c>
      <c r="N178" s="20" t="s">
        <v>379</v>
      </c>
      <c r="O178" s="1" t="s">
        <v>399</v>
      </c>
      <c r="P178" s="22" t="str">
        <f aca="false">_xlfn.CONCAT(B178,C178,D178,E178,F178)</f>
        <v/>
      </c>
      <c r="Q178" s="1" t="str">
        <f aca="false">_xlfn.CONCAT(H178,I178,J178)</f>
        <v>RDE</v>
      </c>
    </row>
    <row r="179" customFormat="false" ht="15" hidden="false" customHeight="false" outlineLevel="0" collapsed="false">
      <c r="G179" s="15" t="n">
        <f aca="false">F179-E179</f>
        <v>0</v>
      </c>
      <c r="H179" s="20"/>
      <c r="J179" s="20" t="s">
        <v>256</v>
      </c>
      <c r="K179" s="1" t="e">
        <f aca="false">_xlfn.xlookup(J179,REF!$D$2:$D$12,REF!$E$2:$E$12)</f>
        <v>#NAME?</v>
      </c>
      <c r="M179" s="20" t="s">
        <v>258</v>
      </c>
      <c r="N179" s="20" t="s">
        <v>379</v>
      </c>
      <c r="O179" s="1" t="s">
        <v>399</v>
      </c>
      <c r="P179" s="22" t="str">
        <f aca="false">_xlfn.CONCAT(B179,C179,D179,E179,F179)</f>
        <v/>
      </c>
      <c r="Q179" s="1" t="str">
        <f aca="false">_xlfn.CONCAT(H179,I179,J179)</f>
        <v>RDE</v>
      </c>
    </row>
    <row r="180" customFormat="false" ht="15" hidden="false" customHeight="false" outlineLevel="0" collapsed="false">
      <c r="G180" s="15" t="n">
        <f aca="false">F180-E180</f>
        <v>0</v>
      </c>
      <c r="H180" s="20"/>
      <c r="J180" s="20" t="s">
        <v>256</v>
      </c>
      <c r="K180" s="1" t="e">
        <f aca="false">_xlfn.xlookup(J180,REF!$D$2:$D$12,REF!$E$2:$E$12)</f>
        <v>#NAME?</v>
      </c>
      <c r="M180" s="20" t="s">
        <v>258</v>
      </c>
      <c r="N180" s="20" t="s">
        <v>379</v>
      </c>
      <c r="O180" s="1" t="s">
        <v>399</v>
      </c>
      <c r="P180" s="22" t="str">
        <f aca="false">_xlfn.CONCAT(B180,C180,D180,E180,F180)</f>
        <v/>
      </c>
      <c r="Q180" s="1" t="str">
        <f aca="false">_xlfn.CONCAT(H180,I180,J180)</f>
        <v>RDE</v>
      </c>
    </row>
    <row r="181" customFormat="false" ht="15" hidden="false" customHeight="false" outlineLevel="0" collapsed="false">
      <c r="G181" s="15" t="n">
        <f aca="false">F181-E181</f>
        <v>0</v>
      </c>
      <c r="H181" s="20"/>
      <c r="J181" s="20" t="s">
        <v>256</v>
      </c>
      <c r="K181" s="1" t="e">
        <f aca="false">_xlfn.xlookup(J181,REF!$D$2:$D$12,REF!$E$2:$E$12)</f>
        <v>#NAME?</v>
      </c>
      <c r="M181" s="20" t="s">
        <v>258</v>
      </c>
      <c r="N181" s="20" t="s">
        <v>379</v>
      </c>
      <c r="O181" s="1" t="s">
        <v>399</v>
      </c>
      <c r="P181" s="22" t="str">
        <f aca="false">_xlfn.CONCAT(B181,C181,D181,E181,F181)</f>
        <v/>
      </c>
      <c r="Q181" s="1" t="str">
        <f aca="false">_xlfn.CONCAT(H181,I181,J181)</f>
        <v>RDE</v>
      </c>
    </row>
    <row r="182" customFormat="false" ht="15" hidden="false" customHeight="false" outlineLevel="0" collapsed="false">
      <c r="G182" s="15" t="n">
        <f aca="false">F182-E182</f>
        <v>0</v>
      </c>
      <c r="H182" s="20"/>
      <c r="J182" s="20" t="s">
        <v>256</v>
      </c>
      <c r="K182" s="1" t="e">
        <f aca="false">_xlfn.xlookup(J182,REF!$D$2:$D$12,REF!$E$2:$E$12)</f>
        <v>#NAME?</v>
      </c>
      <c r="M182" s="20" t="s">
        <v>258</v>
      </c>
      <c r="N182" s="20" t="s">
        <v>379</v>
      </c>
      <c r="O182" s="1" t="s">
        <v>399</v>
      </c>
      <c r="P182" s="22" t="str">
        <f aca="false">_xlfn.CONCAT(B182,C182,D182,E182,F182)</f>
        <v/>
      </c>
      <c r="Q182" s="1" t="str">
        <f aca="false">_xlfn.CONCAT(H182,I182,J182)</f>
        <v>RDE</v>
      </c>
    </row>
    <row r="183" customFormat="false" ht="15" hidden="false" customHeight="false" outlineLevel="0" collapsed="false">
      <c r="G183" s="15" t="n">
        <f aca="false">F183-E183</f>
        <v>0</v>
      </c>
      <c r="H183" s="20"/>
      <c r="J183" s="20" t="s">
        <v>256</v>
      </c>
      <c r="K183" s="1" t="e">
        <f aca="false">_xlfn.xlookup(J183,REF!$D$2:$D$12,REF!$E$2:$E$12)</f>
        <v>#NAME?</v>
      </c>
      <c r="M183" s="20" t="s">
        <v>258</v>
      </c>
      <c r="N183" s="20" t="s">
        <v>379</v>
      </c>
      <c r="O183" s="1" t="s">
        <v>399</v>
      </c>
      <c r="P183" s="22" t="str">
        <f aca="false">_xlfn.CONCAT(B183,C183,D183,E183,F183)</f>
        <v/>
      </c>
      <c r="Q183" s="1" t="str">
        <f aca="false">_xlfn.CONCAT(H183,I183,J183)</f>
        <v>RDE</v>
      </c>
    </row>
    <row r="184" customFormat="false" ht="15" hidden="false" customHeight="false" outlineLevel="0" collapsed="false">
      <c r="G184" s="15" t="n">
        <f aca="false">F184-E184</f>
        <v>0</v>
      </c>
      <c r="H184" s="20"/>
      <c r="J184" s="20" t="s">
        <v>256</v>
      </c>
      <c r="K184" s="1" t="e">
        <f aca="false">_xlfn.xlookup(J184,REF!$D$2:$D$12,REF!$E$2:$E$12)</f>
        <v>#NAME?</v>
      </c>
      <c r="M184" s="20" t="s">
        <v>258</v>
      </c>
      <c r="N184" s="20" t="s">
        <v>379</v>
      </c>
      <c r="O184" s="1" t="s">
        <v>399</v>
      </c>
      <c r="P184" s="22" t="str">
        <f aca="false">_xlfn.CONCAT(B184,C184,D184,E184,F184)</f>
        <v/>
      </c>
      <c r="Q184" s="1" t="str">
        <f aca="false">_xlfn.CONCAT(H184,I184,J184)</f>
        <v>RDE</v>
      </c>
    </row>
    <row r="185" customFormat="false" ht="15" hidden="false" customHeight="false" outlineLevel="0" collapsed="false">
      <c r="G185" s="15" t="n">
        <f aca="false">F185-E185</f>
        <v>0</v>
      </c>
      <c r="H185" s="20"/>
      <c r="J185" s="20" t="s">
        <v>256</v>
      </c>
      <c r="K185" s="1" t="e">
        <f aca="false">_xlfn.xlookup(J185,REF!$D$2:$D$12,REF!$E$2:$E$12)</f>
        <v>#NAME?</v>
      </c>
      <c r="L185" s="1" t="s">
        <v>400</v>
      </c>
      <c r="M185" s="20" t="s">
        <v>258</v>
      </c>
      <c r="N185" s="20" t="s">
        <v>379</v>
      </c>
      <c r="O185" s="1" t="s">
        <v>399</v>
      </c>
      <c r="P185" s="22" t="str">
        <f aca="false">_xlfn.CONCAT(B185,C185,D185,E185,F185)</f>
        <v/>
      </c>
      <c r="Q185" s="1" t="str">
        <f aca="false">_xlfn.CONCAT(H185,I185,J185)</f>
        <v>RDE</v>
      </c>
    </row>
    <row r="186" customFormat="false" ht="15" hidden="false" customHeight="false" outlineLevel="0" collapsed="false">
      <c r="G186" s="15" t="n">
        <f aca="false">F186-E186</f>
        <v>0</v>
      </c>
      <c r="H186" s="20"/>
      <c r="J186" s="20" t="s">
        <v>256</v>
      </c>
      <c r="K186" s="1" t="e">
        <f aca="false">_xlfn.xlookup(J186,REF!$D$2:$D$12,REF!$E$2:$E$12)</f>
        <v>#NAME?</v>
      </c>
      <c r="L186" s="1" t="s">
        <v>400</v>
      </c>
      <c r="M186" s="20" t="s">
        <v>258</v>
      </c>
      <c r="N186" s="20" t="s">
        <v>379</v>
      </c>
      <c r="O186" s="1" t="s">
        <v>399</v>
      </c>
      <c r="P186" s="22" t="str">
        <f aca="false">_xlfn.CONCAT(B186,C186,D186,E186,F186)</f>
        <v/>
      </c>
      <c r="Q186" s="1" t="str">
        <f aca="false">_xlfn.CONCAT(H186,I186,J186)</f>
        <v>RDE</v>
      </c>
    </row>
    <row r="187" customFormat="false" ht="15" hidden="false" customHeight="false" outlineLevel="0" collapsed="false">
      <c r="G187" s="15" t="n">
        <f aca="false">F187-E187</f>
        <v>0</v>
      </c>
      <c r="H187" s="20"/>
      <c r="J187" s="20" t="s">
        <v>256</v>
      </c>
      <c r="K187" s="1" t="e">
        <f aca="false">_xlfn.xlookup(J187,REF!$D$2:$D$12,REF!$E$2:$E$12)</f>
        <v>#NAME?</v>
      </c>
      <c r="L187" s="1" t="s">
        <v>400</v>
      </c>
      <c r="M187" s="20" t="s">
        <v>258</v>
      </c>
      <c r="N187" s="20" t="s">
        <v>379</v>
      </c>
      <c r="O187" s="1" t="s">
        <v>399</v>
      </c>
      <c r="P187" s="22" t="str">
        <f aca="false">_xlfn.CONCAT(B187,C187,D187,E187,F187)</f>
        <v/>
      </c>
      <c r="Q187" s="1" t="str">
        <f aca="false">_xlfn.CONCAT(H187,I187,J187)</f>
        <v>RDE</v>
      </c>
    </row>
    <row r="188" customFormat="false" ht="15" hidden="false" customHeight="false" outlineLevel="0" collapsed="false">
      <c r="G188" s="15" t="n">
        <f aca="false">F188-E188</f>
        <v>0</v>
      </c>
      <c r="H188" s="20"/>
      <c r="I188" s="1" t="s">
        <v>263</v>
      </c>
      <c r="J188" s="20" t="s">
        <v>264</v>
      </c>
      <c r="K188" s="1" t="e">
        <f aca="false">_xlfn.xlookup(J188,REF!$D$2:$D$12,REF!$E$2:$E$12)</f>
        <v>#NAME?</v>
      </c>
      <c r="L188" s="1" t="s">
        <v>401</v>
      </c>
      <c r="M188" s="20" t="s">
        <v>288</v>
      </c>
      <c r="N188" s="20" t="s">
        <v>252</v>
      </c>
      <c r="O188" s="1" t="s">
        <v>402</v>
      </c>
      <c r="P188" s="22" t="str">
        <f aca="false">_xlfn.CONCAT(B188,C188,D189,E188,F188)</f>
        <v/>
      </c>
      <c r="Q188" s="1" t="str">
        <f aca="false">_xlfn.CONCAT(H188,I188,J188)</f>
        <v>RFOCOM</v>
      </c>
    </row>
    <row r="189" customFormat="false" ht="15" hidden="false" customHeight="false" outlineLevel="0" collapsed="false">
      <c r="G189" s="15" t="n">
        <f aca="false">F189-E189</f>
        <v>0</v>
      </c>
      <c r="H189" s="20"/>
      <c r="I189" s="1" t="s">
        <v>263</v>
      </c>
      <c r="J189" s="20" t="s">
        <v>264</v>
      </c>
      <c r="K189" s="1" t="e">
        <f aca="false">_xlfn.xlookup(J189,REF!$D$2:$D$12,REF!$E$2:$E$12)</f>
        <v>#NAME?</v>
      </c>
      <c r="L189" s="1" t="s">
        <v>401</v>
      </c>
      <c r="M189" s="20" t="s">
        <v>288</v>
      </c>
      <c r="N189" s="20" t="s">
        <v>252</v>
      </c>
      <c r="O189" s="1" t="s">
        <v>402</v>
      </c>
      <c r="P189" s="22" t="str">
        <f aca="false">_xlfn.CONCAT(B189,C189,D190,E189,F189)</f>
        <v/>
      </c>
      <c r="Q189" s="1" t="str">
        <f aca="false">_xlfn.CONCAT(H189,I189,J189)</f>
        <v>RFOCOM</v>
      </c>
    </row>
    <row r="190" customFormat="false" ht="15" hidden="false" customHeight="false" outlineLevel="0" collapsed="false">
      <c r="G190" s="15" t="n">
        <f aca="false">F190-E190</f>
        <v>0</v>
      </c>
      <c r="H190" s="20"/>
      <c r="I190" s="1" t="s">
        <v>263</v>
      </c>
      <c r="J190" s="20" t="s">
        <v>264</v>
      </c>
      <c r="K190" s="1" t="e">
        <f aca="false">_xlfn.xlookup(J190,REF!$D$2:$D$12,REF!$E$2:$E$12)</f>
        <v>#NAME?</v>
      </c>
      <c r="L190" s="1" t="s">
        <v>401</v>
      </c>
      <c r="M190" s="20" t="s">
        <v>288</v>
      </c>
      <c r="N190" s="20" t="s">
        <v>252</v>
      </c>
      <c r="O190" s="1" t="s">
        <v>402</v>
      </c>
      <c r="P190" s="22" t="str">
        <f aca="false">_xlfn.CONCAT(B190,C190,D191,E190,F190)</f>
        <v/>
      </c>
      <c r="Q190" s="1" t="str">
        <f aca="false">_xlfn.CONCAT(H190,I190,J190)</f>
        <v>RFOCOM</v>
      </c>
    </row>
    <row r="191" customFormat="false" ht="15" hidden="false" customHeight="false" outlineLevel="0" collapsed="false">
      <c r="G191" s="15" t="n">
        <f aca="false">F191-E191</f>
        <v>0</v>
      </c>
      <c r="H191" s="20"/>
      <c r="I191" s="1" t="s">
        <v>263</v>
      </c>
      <c r="J191" s="20" t="s">
        <v>264</v>
      </c>
      <c r="K191" s="1" t="e">
        <f aca="false">_xlfn.xlookup(J191,REF!$D$2:$D$12,REF!$E$2:$E$12)</f>
        <v>#NAME?</v>
      </c>
      <c r="L191" s="1" t="s">
        <v>401</v>
      </c>
      <c r="M191" s="20" t="s">
        <v>288</v>
      </c>
      <c r="N191" s="20" t="s">
        <v>252</v>
      </c>
      <c r="O191" s="1" t="s">
        <v>402</v>
      </c>
      <c r="P191" s="22" t="str">
        <f aca="false">_xlfn.CONCAT(B191,C191,D192,E191,F191)</f>
        <v/>
      </c>
      <c r="Q191" s="1" t="str">
        <f aca="false">_xlfn.CONCAT(H191,I191,J191)</f>
        <v>RFOCOM</v>
      </c>
    </row>
    <row r="192" customFormat="false" ht="15" hidden="false" customHeight="false" outlineLevel="0" collapsed="false">
      <c r="G192" s="15" t="n">
        <f aca="false">F192-E192</f>
        <v>0</v>
      </c>
      <c r="H192" s="20"/>
      <c r="I192" s="1" t="s">
        <v>263</v>
      </c>
      <c r="J192" s="20" t="s">
        <v>264</v>
      </c>
      <c r="K192" s="1" t="e">
        <f aca="false">_xlfn.xlookup(J192,REF!$D$2:$D$12,REF!$E$2:$E$12)</f>
        <v>#NAME?</v>
      </c>
      <c r="L192" s="1" t="s">
        <v>401</v>
      </c>
      <c r="M192" s="20" t="s">
        <v>288</v>
      </c>
      <c r="N192" s="20" t="s">
        <v>252</v>
      </c>
      <c r="O192" s="1" t="s">
        <v>402</v>
      </c>
      <c r="P192" s="22" t="str">
        <f aca="false">_xlfn.CONCAT(B192,C192,D193,E192,F192)</f>
        <v/>
      </c>
      <c r="Q192" s="1" t="str">
        <f aca="false">_xlfn.CONCAT(H192,I192,J192)</f>
        <v>RFOCOM</v>
      </c>
    </row>
    <row r="193" customFormat="false" ht="15" hidden="false" customHeight="false" outlineLevel="0" collapsed="false">
      <c r="G193" s="15" t="n">
        <f aca="false">F193-E193</f>
        <v>0</v>
      </c>
      <c r="H193" s="20"/>
      <c r="I193" s="1" t="s">
        <v>263</v>
      </c>
      <c r="J193" s="20" t="s">
        <v>264</v>
      </c>
      <c r="K193" s="1" t="e">
        <f aca="false">_xlfn.xlookup(J193,REF!$D$2:$D$12,REF!$E$2:$E$12)</f>
        <v>#NAME?</v>
      </c>
      <c r="L193" s="1" t="s">
        <v>401</v>
      </c>
      <c r="M193" s="20" t="s">
        <v>288</v>
      </c>
      <c r="N193" s="20" t="s">
        <v>252</v>
      </c>
      <c r="O193" s="1" t="s">
        <v>402</v>
      </c>
      <c r="P193" s="22" t="str">
        <f aca="false">_xlfn.CONCAT(B193,C193,D194,E193,F193)</f>
        <v/>
      </c>
      <c r="Q193" s="1" t="str">
        <f aca="false">_xlfn.CONCAT(H193,I193,J193)</f>
        <v>RFOCOM</v>
      </c>
    </row>
    <row r="194" customFormat="false" ht="15" hidden="false" customHeight="false" outlineLevel="0" collapsed="false">
      <c r="G194" s="15" t="n">
        <f aca="false">F194-E194</f>
        <v>0</v>
      </c>
      <c r="H194" s="20"/>
      <c r="I194" s="1" t="s">
        <v>263</v>
      </c>
      <c r="J194" s="20" t="s">
        <v>264</v>
      </c>
      <c r="K194" s="1" t="e">
        <f aca="false">_xlfn.xlookup(J194,REF!$D$2:$D$12,REF!$E$2:$E$12)</f>
        <v>#NAME?</v>
      </c>
      <c r="L194" s="1" t="s">
        <v>401</v>
      </c>
      <c r="M194" s="20" t="s">
        <v>288</v>
      </c>
      <c r="N194" s="20" t="s">
        <v>252</v>
      </c>
      <c r="O194" s="1" t="s">
        <v>402</v>
      </c>
      <c r="P194" s="22" t="str">
        <f aca="false">_xlfn.CONCAT(B194,C194,D195,E194,F194)</f>
        <v/>
      </c>
      <c r="Q194" s="1" t="str">
        <f aca="false">_xlfn.CONCAT(H194,I194,J194)</f>
        <v>RFOCOM</v>
      </c>
    </row>
    <row r="195" customFormat="false" ht="15" hidden="false" customHeight="false" outlineLevel="0" collapsed="false">
      <c r="G195" s="15" t="n">
        <f aca="false">F195-E195</f>
        <v>0</v>
      </c>
      <c r="H195" s="20"/>
      <c r="I195" s="1" t="s">
        <v>263</v>
      </c>
      <c r="J195" s="20" t="s">
        <v>264</v>
      </c>
      <c r="K195" s="1" t="e">
        <f aca="false">_xlfn.xlookup(J195,REF!$D$2:$D$12,REF!$E$2:$E$12)</f>
        <v>#NAME?</v>
      </c>
      <c r="L195" s="1" t="s">
        <v>401</v>
      </c>
      <c r="M195" s="20" t="s">
        <v>288</v>
      </c>
      <c r="N195" s="20" t="s">
        <v>252</v>
      </c>
      <c r="O195" s="1" t="s">
        <v>402</v>
      </c>
      <c r="P195" s="22" t="str">
        <f aca="false">_xlfn.CONCAT(B195,C195,D196,E195,F195)</f>
        <v/>
      </c>
      <c r="Q195" s="1" t="str">
        <f aca="false">_xlfn.CONCAT(H195,I195,J195)</f>
        <v>RFOCOM</v>
      </c>
    </row>
    <row r="196" customFormat="false" ht="15" hidden="false" customHeight="false" outlineLevel="0" collapsed="false">
      <c r="G196" s="15" t="n">
        <f aca="false">F196-E196</f>
        <v>0</v>
      </c>
      <c r="H196" s="20"/>
      <c r="I196" s="1" t="s">
        <v>263</v>
      </c>
      <c r="J196" s="20" t="s">
        <v>264</v>
      </c>
      <c r="K196" s="1" t="e">
        <f aca="false">_xlfn.xlookup(J196,REF!$D$2:$D$12,REF!$E$2:$E$12)</f>
        <v>#NAME?</v>
      </c>
      <c r="L196" s="1" t="s">
        <v>401</v>
      </c>
      <c r="M196" s="20" t="s">
        <v>288</v>
      </c>
      <c r="N196" s="20" t="s">
        <v>252</v>
      </c>
      <c r="O196" s="1" t="s">
        <v>402</v>
      </c>
      <c r="P196" s="22" t="str">
        <f aca="false">_xlfn.CONCAT(B196,C196,D197,E196,F196)</f>
        <v/>
      </c>
      <c r="Q196" s="1" t="str">
        <f aca="false">_xlfn.CONCAT(H196,I196,J196)</f>
        <v>RFOCOM</v>
      </c>
    </row>
    <row r="197" customFormat="false" ht="15" hidden="false" customHeight="false" outlineLevel="0" collapsed="false">
      <c r="G197" s="15" t="n">
        <f aca="false">F197-E197</f>
        <v>0</v>
      </c>
      <c r="H197" s="20"/>
      <c r="I197" s="1" t="s">
        <v>263</v>
      </c>
      <c r="J197" s="20" t="s">
        <v>264</v>
      </c>
      <c r="K197" s="1" t="e">
        <f aca="false">_xlfn.xlookup(J197,REF!$D$2:$D$12,REF!$E$2:$E$12)</f>
        <v>#NAME?</v>
      </c>
      <c r="L197" s="1" t="s">
        <v>401</v>
      </c>
      <c r="M197" s="20" t="s">
        <v>288</v>
      </c>
      <c r="N197" s="20" t="s">
        <v>252</v>
      </c>
      <c r="O197" s="1" t="s">
        <v>402</v>
      </c>
      <c r="P197" s="22" t="str">
        <f aca="false">_xlfn.CONCAT(B197,C197,D198,E197,F197)</f>
        <v/>
      </c>
      <c r="Q197" s="1" t="str">
        <f aca="false">_xlfn.CONCAT(H197,I197,J197)</f>
        <v>RFOCOM</v>
      </c>
    </row>
    <row r="198" customFormat="false" ht="15" hidden="false" customHeight="false" outlineLevel="0" collapsed="false">
      <c r="G198" s="15" t="n">
        <f aca="false">F198-E198</f>
        <v>0</v>
      </c>
      <c r="H198" s="20"/>
      <c r="I198" s="1" t="s">
        <v>263</v>
      </c>
      <c r="J198" s="20" t="s">
        <v>264</v>
      </c>
      <c r="K198" s="1" t="e">
        <f aca="false">_xlfn.xlookup(J198,REF!$D$2:$D$12,REF!$E$2:$E$12)</f>
        <v>#NAME?</v>
      </c>
      <c r="L198" s="1" t="s">
        <v>401</v>
      </c>
      <c r="M198" s="20" t="s">
        <v>288</v>
      </c>
      <c r="N198" s="20" t="s">
        <v>252</v>
      </c>
      <c r="O198" s="1" t="s">
        <v>402</v>
      </c>
      <c r="P198" s="22" t="str">
        <f aca="false">_xlfn.CONCAT(B198,C198,D199,E198,F198)</f>
        <v/>
      </c>
      <c r="Q198" s="1" t="str">
        <f aca="false">_xlfn.CONCAT(H198,I198,J198)</f>
        <v>RFOCOM</v>
      </c>
    </row>
    <row r="199" customFormat="false" ht="15" hidden="false" customHeight="false" outlineLevel="0" collapsed="false">
      <c r="G199" s="15" t="n">
        <f aca="false">F199-E199</f>
        <v>0</v>
      </c>
      <c r="H199" s="20"/>
      <c r="I199" s="1" t="s">
        <v>263</v>
      </c>
      <c r="J199" s="20" t="s">
        <v>264</v>
      </c>
      <c r="K199" s="1" t="e">
        <f aca="false">_xlfn.xlookup(J199,REF!$D$2:$D$12,REF!$E$2:$E$12)</f>
        <v>#NAME?</v>
      </c>
      <c r="L199" s="1" t="s">
        <v>401</v>
      </c>
      <c r="M199" s="20" t="s">
        <v>288</v>
      </c>
      <c r="N199" s="20" t="s">
        <v>252</v>
      </c>
      <c r="O199" s="1" t="s">
        <v>402</v>
      </c>
      <c r="P199" s="22" t="str">
        <f aca="false">_xlfn.CONCAT(B199,C199,D200,E199,F199)</f>
        <v/>
      </c>
      <c r="Q199" s="1" t="str">
        <f aca="false">_xlfn.CONCAT(H199,I199,J199)</f>
        <v>RFOCOM</v>
      </c>
    </row>
    <row r="200" customFormat="false" ht="15" hidden="false" customHeight="false" outlineLevel="0" collapsed="false">
      <c r="G200" s="15" t="n">
        <f aca="false">F200-E200</f>
        <v>0</v>
      </c>
      <c r="H200" s="20"/>
      <c r="I200" s="1" t="s">
        <v>263</v>
      </c>
      <c r="J200" s="20" t="s">
        <v>264</v>
      </c>
      <c r="K200" s="1" t="e">
        <f aca="false">_xlfn.xlookup(J200,REF!$D$2:$D$12,REF!$E$2:$E$12)</f>
        <v>#NAME?</v>
      </c>
      <c r="L200" s="1" t="s">
        <v>401</v>
      </c>
      <c r="M200" s="20" t="s">
        <v>288</v>
      </c>
      <c r="N200" s="20" t="s">
        <v>252</v>
      </c>
      <c r="O200" s="1" t="s">
        <v>402</v>
      </c>
      <c r="P200" s="22" t="str">
        <f aca="false">_xlfn.CONCAT(B200,C200,D201,E200,F200)</f>
        <v/>
      </c>
      <c r="Q200" s="1" t="str">
        <f aca="false">_xlfn.CONCAT(H200,I200,J200)</f>
        <v>RFOCOM</v>
      </c>
    </row>
    <row r="201" customFormat="false" ht="15" hidden="false" customHeight="false" outlineLevel="0" collapsed="false">
      <c r="G201" s="15" t="n">
        <f aca="false">F201-E201</f>
        <v>0</v>
      </c>
      <c r="H201" s="20"/>
      <c r="J201" s="20" t="s">
        <v>256</v>
      </c>
      <c r="K201" s="1" t="e">
        <f aca="false">_xlfn.xlookup(J201,REF!$D$2:$D$12,REF!$E$2:$E$12)</f>
        <v>#NAME?</v>
      </c>
      <c r="L201" s="1" t="s">
        <v>403</v>
      </c>
      <c r="M201" s="20" t="s">
        <v>258</v>
      </c>
      <c r="N201" s="20" t="s">
        <v>379</v>
      </c>
      <c r="O201" s="1" t="s">
        <v>399</v>
      </c>
      <c r="P201" s="22" t="str">
        <f aca="false">_xlfn.CONCAT(B201,C201,D201,E201,F201)</f>
        <v/>
      </c>
      <c r="Q201" s="1" t="str">
        <f aca="false">_xlfn.CONCAT(H201,I201,J201)</f>
        <v>RDE</v>
      </c>
    </row>
    <row r="202" customFormat="false" ht="15" hidden="false" customHeight="false" outlineLevel="0" collapsed="false">
      <c r="G202" s="15" t="n">
        <f aca="false">F202-E202</f>
        <v>0</v>
      </c>
      <c r="H202" s="20"/>
      <c r="J202" s="20" t="s">
        <v>256</v>
      </c>
      <c r="K202" s="1" t="e">
        <f aca="false">_xlfn.xlookup(J202,REF!$D$2:$D$12,REF!$E$2:$E$12)</f>
        <v>#NAME?</v>
      </c>
      <c r="L202" s="1" t="s">
        <v>403</v>
      </c>
      <c r="M202" s="20" t="s">
        <v>258</v>
      </c>
      <c r="N202" s="20" t="s">
        <v>379</v>
      </c>
      <c r="O202" s="1" t="s">
        <v>399</v>
      </c>
      <c r="P202" s="22" t="str">
        <f aca="false">_xlfn.CONCAT(B202,C202,D202,E202,F202)</f>
        <v/>
      </c>
      <c r="Q202" s="1" t="str">
        <f aca="false">_xlfn.CONCAT(H202,I202,J202)</f>
        <v>RDE</v>
      </c>
    </row>
    <row r="203" customFormat="false" ht="15" hidden="false" customHeight="false" outlineLevel="0" collapsed="false">
      <c r="G203" s="15" t="n">
        <f aca="false">F203-E203</f>
        <v>0</v>
      </c>
      <c r="H203" s="20"/>
      <c r="J203" s="20" t="s">
        <v>256</v>
      </c>
      <c r="K203" s="1" t="e">
        <f aca="false">_xlfn.xlookup(J203,REF!$D$2:$D$12,REF!$E$2:$E$12)</f>
        <v>#NAME?</v>
      </c>
      <c r="L203" s="1" t="s">
        <v>403</v>
      </c>
      <c r="M203" s="20" t="s">
        <v>258</v>
      </c>
      <c r="N203" s="20" t="s">
        <v>379</v>
      </c>
      <c r="O203" s="1" t="s">
        <v>399</v>
      </c>
      <c r="P203" s="22" t="str">
        <f aca="false">_xlfn.CONCAT(B203,C203,D203,E203,F203)</f>
        <v/>
      </c>
      <c r="Q203" s="1" t="str">
        <f aca="false">_xlfn.CONCAT(H203,I203,J203)</f>
        <v>RDE</v>
      </c>
    </row>
    <row r="204" customFormat="false" ht="15" hidden="false" customHeight="false" outlineLevel="0" collapsed="false">
      <c r="G204" s="15" t="n">
        <f aca="false">F204-E204</f>
        <v>0</v>
      </c>
      <c r="H204" s="20"/>
      <c r="J204" s="20" t="s">
        <v>256</v>
      </c>
      <c r="K204" s="1" t="e">
        <f aca="false">_xlfn.xlookup(J204,REF!$D$2:$D$12,REF!$E$2:$E$12)</f>
        <v>#NAME?</v>
      </c>
      <c r="L204" s="1" t="s">
        <v>403</v>
      </c>
      <c r="M204" s="20" t="s">
        <v>258</v>
      </c>
      <c r="N204" s="20" t="s">
        <v>379</v>
      </c>
      <c r="O204" s="1" t="s">
        <v>399</v>
      </c>
      <c r="P204" s="22" t="str">
        <f aca="false">_xlfn.CONCAT(B204,C204,D204,E204,F204)</f>
        <v/>
      </c>
      <c r="Q204" s="1" t="str">
        <f aca="false">_xlfn.CONCAT(H204,I204,J204)</f>
        <v>RDE</v>
      </c>
    </row>
    <row r="205" customFormat="false" ht="15" hidden="false" customHeight="false" outlineLevel="0" collapsed="false">
      <c r="G205" s="15" t="n">
        <f aca="false">F205-E205</f>
        <v>0</v>
      </c>
      <c r="H205" s="20"/>
      <c r="J205" s="20" t="s">
        <v>256</v>
      </c>
      <c r="K205" s="1" t="e">
        <f aca="false">_xlfn.xlookup(J205,REF!$D$2:$D$12,REF!$E$2:$E$12)</f>
        <v>#NAME?</v>
      </c>
      <c r="L205" s="1" t="s">
        <v>404</v>
      </c>
      <c r="M205" s="20" t="s">
        <v>258</v>
      </c>
      <c r="N205" s="20" t="s">
        <v>379</v>
      </c>
      <c r="O205" s="1" t="s">
        <v>399</v>
      </c>
      <c r="P205" s="22" t="str">
        <f aca="false">_xlfn.CONCAT(B205,C205,D205,E205,F205)</f>
        <v/>
      </c>
      <c r="Q205" s="1" t="str">
        <f aca="false">_xlfn.CONCAT(H205,I205,J205)</f>
        <v>RDE</v>
      </c>
    </row>
    <row r="206" customFormat="false" ht="15" hidden="false" customHeight="false" outlineLevel="0" collapsed="false">
      <c r="G206" s="15" t="n">
        <f aca="false">F206-E206</f>
        <v>0</v>
      </c>
      <c r="H206" s="20"/>
      <c r="J206" s="20" t="s">
        <v>256</v>
      </c>
      <c r="K206" s="1" t="e">
        <f aca="false">_xlfn.xlookup(J206,REF!$D$2:$D$12,REF!$E$2:$E$12)</f>
        <v>#NAME?</v>
      </c>
      <c r="L206" s="1" t="s">
        <v>404</v>
      </c>
      <c r="M206" s="20" t="s">
        <v>258</v>
      </c>
      <c r="N206" s="20" t="s">
        <v>379</v>
      </c>
      <c r="O206" s="1" t="s">
        <v>399</v>
      </c>
      <c r="P206" s="22" t="str">
        <f aca="false">_xlfn.CONCAT(B206,C206,D206,E206,F206)</f>
        <v/>
      </c>
      <c r="Q206" s="1" t="str">
        <f aca="false">_xlfn.CONCAT(H206,I206,J206)</f>
        <v>RDE</v>
      </c>
    </row>
    <row r="207" customFormat="false" ht="15" hidden="false" customHeight="false" outlineLevel="0" collapsed="false">
      <c r="G207" s="15" t="n">
        <f aca="false">F207-E207</f>
        <v>0</v>
      </c>
      <c r="H207" s="20"/>
      <c r="J207" s="20" t="s">
        <v>256</v>
      </c>
      <c r="K207" s="1" t="e">
        <f aca="false">_xlfn.xlookup(J207,REF!$D$2:$D$12,REF!$E$2:$E$12)</f>
        <v>#NAME?</v>
      </c>
      <c r="L207" s="1" t="s">
        <v>404</v>
      </c>
      <c r="M207" s="20" t="s">
        <v>258</v>
      </c>
      <c r="N207" s="20" t="s">
        <v>379</v>
      </c>
      <c r="O207" s="1" t="s">
        <v>399</v>
      </c>
      <c r="P207" s="22" t="str">
        <f aca="false">_xlfn.CONCAT(B207,C207,D207,E207,F207)</f>
        <v/>
      </c>
      <c r="Q207" s="1" t="str">
        <f aca="false">_xlfn.CONCAT(H207,I207,J207)</f>
        <v>RDE</v>
      </c>
    </row>
    <row r="208" customFormat="false" ht="15" hidden="false" customHeight="false" outlineLevel="0" collapsed="false">
      <c r="G208" s="15" t="n">
        <f aca="false">F208-E208</f>
        <v>0</v>
      </c>
      <c r="H208" s="20"/>
      <c r="J208" s="20" t="s">
        <v>256</v>
      </c>
      <c r="K208" s="1" t="e">
        <f aca="false">_xlfn.xlookup(J208,REF!$D$2:$D$12,REF!$E$2:$E$12)</f>
        <v>#NAME?</v>
      </c>
      <c r="L208" s="1" t="s">
        <v>404</v>
      </c>
      <c r="M208" s="20" t="s">
        <v>258</v>
      </c>
      <c r="N208" s="20" t="s">
        <v>379</v>
      </c>
      <c r="O208" s="1" t="s">
        <v>399</v>
      </c>
      <c r="P208" s="22" t="str">
        <f aca="false">_xlfn.CONCAT(B208,C208,D208,E208,F208)</f>
        <v/>
      </c>
      <c r="Q208" s="1" t="str">
        <f aca="false">_xlfn.CONCAT(H208,I208,J208)</f>
        <v>RDE</v>
      </c>
    </row>
    <row r="209" customFormat="false" ht="15" hidden="false" customHeight="false" outlineLevel="0" collapsed="false">
      <c r="G209" s="15" t="n">
        <f aca="false">F209-E209</f>
        <v>0</v>
      </c>
      <c r="H209" s="20"/>
      <c r="J209" s="20" t="s">
        <v>249</v>
      </c>
      <c r="K209" s="1" t="e">
        <f aca="false">_xlfn.xlookup(J209,REF!$D$2:$D$12,REF!$E$2:$E$12)</f>
        <v>#NAME?</v>
      </c>
      <c r="L209" s="1" t="s">
        <v>405</v>
      </c>
      <c r="M209" s="20" t="s">
        <v>251</v>
      </c>
      <c r="N209" s="20" t="s">
        <v>252</v>
      </c>
      <c r="O209" s="1" t="s">
        <v>406</v>
      </c>
      <c r="P209" s="22" t="str">
        <f aca="false">_xlfn.CONCAT(B209,C209,D209,E209,F209)</f>
        <v/>
      </c>
      <c r="Q209" s="1" t="str">
        <f aca="false">_xlfn.CONCAT(H209,I209,J209)</f>
        <v>INV</v>
      </c>
    </row>
    <row r="210" customFormat="false" ht="15" hidden="false" customHeight="false" outlineLevel="0" collapsed="false">
      <c r="G210" s="15" t="n">
        <f aca="false">F210-E210</f>
        <v>0</v>
      </c>
      <c r="H210" s="20"/>
      <c r="J210" s="20" t="s">
        <v>256</v>
      </c>
      <c r="K210" s="1" t="e">
        <f aca="false">_xlfn.xlookup(J210,REF!$D$2:$D$12,REF!$E$2:$E$12)</f>
        <v>#NAME?</v>
      </c>
      <c r="L210" s="1" t="s">
        <v>400</v>
      </c>
      <c r="M210" s="20" t="s">
        <v>258</v>
      </c>
      <c r="N210" s="20" t="s">
        <v>379</v>
      </c>
      <c r="O210" s="1" t="s">
        <v>399</v>
      </c>
      <c r="P210" s="22" t="str">
        <f aca="false">_xlfn.CONCAT(B210,C210,D210,E210,F210)</f>
        <v/>
      </c>
      <c r="Q210" s="1" t="str">
        <f aca="false">_xlfn.CONCAT(H210,I210,J210)</f>
        <v>RDE</v>
      </c>
    </row>
    <row r="211" customFormat="false" ht="15" hidden="false" customHeight="false" outlineLevel="0" collapsed="false">
      <c r="G211" s="15" t="n">
        <f aca="false">F211-E211</f>
        <v>0</v>
      </c>
      <c r="H211" s="20"/>
      <c r="J211" s="20" t="s">
        <v>256</v>
      </c>
      <c r="K211" s="1" t="e">
        <f aca="false">_xlfn.xlookup(J211,REF!$D$2:$D$12,REF!$E$2:$E$12)</f>
        <v>#NAME?</v>
      </c>
      <c r="L211" s="1" t="s">
        <v>400</v>
      </c>
      <c r="M211" s="20" t="s">
        <v>258</v>
      </c>
      <c r="N211" s="20" t="s">
        <v>379</v>
      </c>
      <c r="O211" s="1" t="s">
        <v>399</v>
      </c>
      <c r="P211" s="22" t="str">
        <f aca="false">_xlfn.CONCAT(B211,C211,D211,E211,F211)</f>
        <v/>
      </c>
      <c r="Q211" s="1" t="str">
        <f aca="false">_xlfn.CONCAT(H211,I211,J211)</f>
        <v>RDE</v>
      </c>
    </row>
    <row r="212" customFormat="false" ht="15" hidden="false" customHeight="false" outlineLevel="0" collapsed="false">
      <c r="G212" s="15" t="n">
        <f aca="false">F212-E212</f>
        <v>0</v>
      </c>
      <c r="H212" s="20"/>
      <c r="J212" s="20" t="s">
        <v>256</v>
      </c>
      <c r="K212" s="1" t="e">
        <f aca="false">_xlfn.xlookup(J212,REF!$D$2:$D$12,REF!$E$2:$E$12)</f>
        <v>#NAME?</v>
      </c>
      <c r="L212" s="1" t="s">
        <v>400</v>
      </c>
      <c r="M212" s="20" t="s">
        <v>258</v>
      </c>
      <c r="N212" s="20" t="s">
        <v>379</v>
      </c>
      <c r="O212" s="1" t="s">
        <v>399</v>
      </c>
      <c r="P212" s="22" t="str">
        <f aca="false">_xlfn.CONCAT(B212,C212,D212,E212,F212)</f>
        <v/>
      </c>
      <c r="Q212" s="1" t="str">
        <f aca="false">_xlfn.CONCAT(H212,I212,J212)</f>
        <v>RDE</v>
      </c>
    </row>
    <row r="213" customFormat="false" ht="15" hidden="false" customHeight="false" outlineLevel="0" collapsed="false">
      <c r="G213" s="15" t="n">
        <f aca="false">F213-E213</f>
        <v>0</v>
      </c>
      <c r="H213" s="20"/>
      <c r="J213" s="20" t="s">
        <v>256</v>
      </c>
      <c r="K213" s="1" t="e">
        <f aca="false">_xlfn.xlookup(J213,REF!$D$2:$D$12,REF!$E$2:$E$12)</f>
        <v>#NAME?</v>
      </c>
      <c r="L213" s="1" t="s">
        <v>400</v>
      </c>
      <c r="M213" s="20" t="s">
        <v>258</v>
      </c>
      <c r="N213" s="20" t="s">
        <v>379</v>
      </c>
      <c r="O213" s="1" t="s">
        <v>399</v>
      </c>
      <c r="P213" s="22" t="str">
        <f aca="false">_xlfn.CONCAT(B213,C213,D213,E213,F213)</f>
        <v/>
      </c>
      <c r="Q213" s="1" t="str">
        <f aca="false">_xlfn.CONCAT(H213,I213,J213)</f>
        <v>RDE</v>
      </c>
    </row>
    <row r="214" customFormat="false" ht="15" hidden="false" customHeight="false" outlineLevel="0" collapsed="false">
      <c r="G214" s="15" t="n">
        <f aca="false">F214-E214</f>
        <v>0</v>
      </c>
      <c r="H214" s="20"/>
      <c r="J214" s="20" t="s">
        <v>256</v>
      </c>
      <c r="K214" s="1" t="e">
        <f aca="false">_xlfn.xlookup(J214,REF!$D$2:$D$12,REF!$E$2:$E$12)</f>
        <v>#NAME?</v>
      </c>
      <c r="L214" s="1" t="s">
        <v>407</v>
      </c>
      <c r="M214" s="20" t="s">
        <v>258</v>
      </c>
      <c r="N214" s="20" t="s">
        <v>379</v>
      </c>
      <c r="O214" s="1" t="s">
        <v>399</v>
      </c>
      <c r="P214" s="22" t="str">
        <f aca="false">_xlfn.CONCAT(B214,C214,D214,E214,F214)</f>
        <v/>
      </c>
      <c r="Q214" s="1" t="str">
        <f aca="false">_xlfn.CONCAT(H214,I214,J214)</f>
        <v>RDE</v>
      </c>
    </row>
    <row r="215" customFormat="false" ht="15" hidden="false" customHeight="false" outlineLevel="0" collapsed="false">
      <c r="G215" s="15" t="n">
        <f aca="false">F215-E215</f>
        <v>0</v>
      </c>
      <c r="H215" s="20"/>
      <c r="J215" s="20" t="s">
        <v>256</v>
      </c>
      <c r="K215" s="1" t="e">
        <f aca="false">_xlfn.xlookup(J215,REF!$D$2:$D$12,REF!$E$2:$E$12)</f>
        <v>#NAME?</v>
      </c>
      <c r="L215" s="1" t="s">
        <v>407</v>
      </c>
      <c r="M215" s="20" t="s">
        <v>258</v>
      </c>
      <c r="N215" s="20" t="s">
        <v>379</v>
      </c>
      <c r="O215" s="1" t="s">
        <v>399</v>
      </c>
      <c r="P215" s="22" t="str">
        <f aca="false">_xlfn.CONCAT(B215,C215,D215,E215,F215)</f>
        <v/>
      </c>
      <c r="Q215" s="1" t="str">
        <f aca="false">_xlfn.CONCAT(H215,I215,J215)</f>
        <v>RDE</v>
      </c>
    </row>
    <row r="216" customFormat="false" ht="15" hidden="false" customHeight="false" outlineLevel="0" collapsed="false">
      <c r="G216" s="15" t="n">
        <f aca="false">F216-E216</f>
        <v>0</v>
      </c>
      <c r="H216" s="20"/>
      <c r="J216" s="20" t="s">
        <v>256</v>
      </c>
      <c r="K216" s="1" t="e">
        <f aca="false">_xlfn.xlookup(J216,REF!$D$2:$D$12,REF!$E$2:$E$12)</f>
        <v>#NAME?</v>
      </c>
      <c r="L216" s="1" t="s">
        <v>407</v>
      </c>
      <c r="M216" s="20" t="s">
        <v>258</v>
      </c>
      <c r="N216" s="20" t="s">
        <v>379</v>
      </c>
      <c r="O216" s="1" t="s">
        <v>399</v>
      </c>
      <c r="P216" s="22" t="str">
        <f aca="false">_xlfn.CONCAT(B216,C216,D216,E216,F216)</f>
        <v/>
      </c>
      <c r="Q216" s="1" t="str">
        <f aca="false">_xlfn.CONCAT(H216,I216,J216)</f>
        <v>RDE</v>
      </c>
    </row>
    <row r="217" customFormat="false" ht="15" hidden="false" customHeight="false" outlineLevel="0" collapsed="false">
      <c r="G217" s="15" t="n">
        <f aca="false">F217-E217</f>
        <v>0</v>
      </c>
      <c r="H217" s="20"/>
      <c r="J217" s="20" t="s">
        <v>256</v>
      </c>
      <c r="K217" s="1" t="e">
        <f aca="false">_xlfn.xlookup(J217,REF!$D$2:$D$12,REF!$E$2:$E$12)</f>
        <v>#NAME?</v>
      </c>
      <c r="L217" s="1" t="s">
        <v>407</v>
      </c>
      <c r="M217" s="20" t="s">
        <v>258</v>
      </c>
      <c r="N217" s="20" t="s">
        <v>379</v>
      </c>
      <c r="O217" s="1" t="s">
        <v>399</v>
      </c>
      <c r="P217" s="22" t="str">
        <f aca="false">_xlfn.CONCAT(B217,C217,D217,E217,F217)</f>
        <v/>
      </c>
      <c r="Q217" s="1" t="str">
        <f aca="false">_xlfn.CONCAT(H217,I217,J217)</f>
        <v>RDE</v>
      </c>
    </row>
    <row r="218" customFormat="false" ht="15" hidden="false" customHeight="false" outlineLevel="0" collapsed="false">
      <c r="G218" s="15" t="n">
        <f aca="false">F218-E218</f>
        <v>0</v>
      </c>
      <c r="H218" s="20"/>
      <c r="J218" s="20" t="s">
        <v>256</v>
      </c>
      <c r="K218" s="1" t="e">
        <f aca="false">_xlfn.xlookup(J218,REF!$D$2:$D$12,REF!$E$2:$E$12)</f>
        <v>#NAME?</v>
      </c>
      <c r="L218" s="1" t="s">
        <v>404</v>
      </c>
      <c r="M218" s="20" t="s">
        <v>258</v>
      </c>
      <c r="N218" s="20" t="s">
        <v>379</v>
      </c>
      <c r="O218" s="1" t="s">
        <v>399</v>
      </c>
      <c r="P218" s="22" t="str">
        <f aca="false">_xlfn.CONCAT(B218,C218,D218,E218,F218)</f>
        <v/>
      </c>
      <c r="Q218" s="1" t="str">
        <f aca="false">_xlfn.CONCAT(H218,I218,J218)</f>
        <v>RDE</v>
      </c>
    </row>
    <row r="219" customFormat="false" ht="15" hidden="false" customHeight="false" outlineLevel="0" collapsed="false">
      <c r="G219" s="15" t="n">
        <f aca="false">F219-E219</f>
        <v>0</v>
      </c>
      <c r="H219" s="20"/>
      <c r="J219" s="20" t="s">
        <v>256</v>
      </c>
      <c r="K219" s="1" t="e">
        <f aca="false">_xlfn.xlookup(J219,REF!$D$2:$D$12,REF!$E$2:$E$12)</f>
        <v>#NAME?</v>
      </c>
      <c r="L219" s="1" t="s">
        <v>404</v>
      </c>
      <c r="M219" s="20" t="s">
        <v>258</v>
      </c>
      <c r="N219" s="20" t="s">
        <v>379</v>
      </c>
      <c r="O219" s="1" t="s">
        <v>399</v>
      </c>
      <c r="P219" s="22" t="str">
        <f aca="false">_xlfn.CONCAT(B219,C219,D219,E219,F219)</f>
        <v/>
      </c>
      <c r="Q219" s="1" t="str">
        <f aca="false">_xlfn.CONCAT(H219,I219,J219)</f>
        <v>RDE</v>
      </c>
    </row>
    <row r="220" customFormat="false" ht="15" hidden="false" customHeight="false" outlineLevel="0" collapsed="false">
      <c r="G220" s="15" t="n">
        <f aca="false">F220-E220</f>
        <v>0</v>
      </c>
      <c r="H220" s="20"/>
      <c r="J220" s="20" t="s">
        <v>256</v>
      </c>
      <c r="K220" s="1" t="e">
        <f aca="false">_xlfn.xlookup(J220,REF!$D$2:$D$12,REF!$E$2:$E$12)</f>
        <v>#NAME?</v>
      </c>
      <c r="L220" s="1" t="s">
        <v>404</v>
      </c>
      <c r="M220" s="20" t="s">
        <v>258</v>
      </c>
      <c r="N220" s="20" t="s">
        <v>379</v>
      </c>
      <c r="O220" s="1" t="s">
        <v>399</v>
      </c>
      <c r="P220" s="22" t="str">
        <f aca="false">_xlfn.CONCAT(B220,C220,D220,E220,F220)</f>
        <v/>
      </c>
      <c r="Q220" s="1" t="str">
        <f aca="false">_xlfn.CONCAT(H220,I220,J220)</f>
        <v>RDE</v>
      </c>
    </row>
    <row r="221" customFormat="false" ht="15" hidden="false" customHeight="false" outlineLevel="0" collapsed="false">
      <c r="G221" s="15" t="n">
        <f aca="false">F221-E221</f>
        <v>0</v>
      </c>
      <c r="H221" s="20"/>
      <c r="J221" s="20" t="s">
        <v>256</v>
      </c>
      <c r="K221" s="1" t="e">
        <f aca="false">_xlfn.xlookup(J221,REF!$D$2:$D$12,REF!$E$2:$E$12)</f>
        <v>#NAME?</v>
      </c>
      <c r="L221" s="1" t="s">
        <v>404</v>
      </c>
      <c r="M221" s="20" t="s">
        <v>258</v>
      </c>
      <c r="N221" s="20" t="s">
        <v>379</v>
      </c>
      <c r="O221" s="1" t="s">
        <v>399</v>
      </c>
      <c r="P221" s="22" t="str">
        <f aca="false">_xlfn.CONCAT(B221,C221,D221,E221,F221)</f>
        <v/>
      </c>
      <c r="Q221" s="1" t="str">
        <f aca="false">_xlfn.CONCAT(H221,I221,J221)</f>
        <v>RDE</v>
      </c>
    </row>
    <row r="222" customFormat="false" ht="15" hidden="false" customHeight="false" outlineLevel="0" collapsed="false">
      <c r="G222" s="15" t="n">
        <f aca="false">F222-E222</f>
        <v>0</v>
      </c>
      <c r="H222" s="20"/>
      <c r="J222" s="20" t="s">
        <v>256</v>
      </c>
      <c r="K222" s="1" t="e">
        <f aca="false">_xlfn.xlookup(J222,REF!$D$2:$D$12,REF!$E$2:$E$12)</f>
        <v>#NAME?</v>
      </c>
      <c r="L222" s="1" t="s">
        <v>404</v>
      </c>
      <c r="M222" s="20" t="s">
        <v>258</v>
      </c>
      <c r="N222" s="20" t="s">
        <v>379</v>
      </c>
      <c r="O222" s="1" t="s">
        <v>399</v>
      </c>
      <c r="P222" s="22" t="str">
        <f aca="false">_xlfn.CONCAT(B222,C222,D222,E222,F222)</f>
        <v/>
      </c>
      <c r="Q222" s="1" t="str">
        <f aca="false">_xlfn.CONCAT(H222,I222,J222)</f>
        <v>RDE</v>
      </c>
    </row>
    <row r="223" customFormat="false" ht="15" hidden="false" customHeight="false" outlineLevel="0" collapsed="false">
      <c r="G223" s="15" t="n">
        <f aca="false">F223-E223</f>
        <v>0</v>
      </c>
      <c r="H223" s="20"/>
      <c r="J223" s="20" t="s">
        <v>256</v>
      </c>
      <c r="K223" s="1" t="e">
        <f aca="false">_xlfn.xlookup(J223,REF!$D$2:$D$12,REF!$E$2:$E$12)</f>
        <v>#NAME?</v>
      </c>
      <c r="L223" s="1" t="s">
        <v>404</v>
      </c>
      <c r="M223" s="20" t="s">
        <v>258</v>
      </c>
      <c r="N223" s="20" t="s">
        <v>379</v>
      </c>
      <c r="O223" s="1" t="s">
        <v>399</v>
      </c>
      <c r="P223" s="22" t="str">
        <f aca="false">_xlfn.CONCAT(B223,C223,D223,E223,F223)</f>
        <v/>
      </c>
      <c r="Q223" s="1" t="str">
        <f aca="false">_xlfn.CONCAT(H223,I223,J223)</f>
        <v>RDE</v>
      </c>
    </row>
    <row r="224" customFormat="false" ht="15" hidden="false" customHeight="false" outlineLevel="0" collapsed="false">
      <c r="G224" s="15" t="n">
        <f aca="false">F224-E224</f>
        <v>0</v>
      </c>
      <c r="H224" s="20"/>
      <c r="J224" s="20" t="s">
        <v>256</v>
      </c>
      <c r="K224" s="1" t="e">
        <f aca="false">_xlfn.xlookup(J224,REF!$D$2:$D$12,REF!$E$2:$E$12)</f>
        <v>#NAME?</v>
      </c>
      <c r="L224" s="1" t="s">
        <v>404</v>
      </c>
      <c r="M224" s="20" t="s">
        <v>258</v>
      </c>
      <c r="N224" s="20" t="s">
        <v>379</v>
      </c>
      <c r="O224" s="1" t="s">
        <v>399</v>
      </c>
      <c r="P224" s="22" t="str">
        <f aca="false">_xlfn.CONCAT(B224,C224,D224,E224,F224)</f>
        <v/>
      </c>
      <c r="Q224" s="1" t="str">
        <f aca="false">_xlfn.CONCAT(H224,I224,J224)</f>
        <v>RDE</v>
      </c>
    </row>
    <row r="225" customFormat="false" ht="15" hidden="false" customHeight="false" outlineLevel="0" collapsed="false">
      <c r="G225" s="15" t="n">
        <f aca="false">F225-E225</f>
        <v>0</v>
      </c>
      <c r="H225" s="20"/>
      <c r="J225" s="20" t="s">
        <v>256</v>
      </c>
      <c r="K225" s="1" t="e">
        <f aca="false">_xlfn.xlookup(J225,REF!$D$2:$D$12,REF!$E$2:$E$12)</f>
        <v>#NAME?</v>
      </c>
      <c r="L225" s="1" t="s">
        <v>404</v>
      </c>
      <c r="M225" s="20" t="s">
        <v>258</v>
      </c>
      <c r="N225" s="20" t="s">
        <v>379</v>
      </c>
      <c r="O225" s="1" t="s">
        <v>399</v>
      </c>
      <c r="P225" s="22" t="str">
        <f aca="false">_xlfn.CONCAT(B225,C225,D225,E225,F225)</f>
        <v/>
      </c>
      <c r="Q225" s="1" t="str">
        <f aca="false">_xlfn.CONCAT(H225,I225,J225)</f>
        <v>RDE</v>
      </c>
    </row>
    <row r="226" customFormat="false" ht="15" hidden="false" customHeight="false" outlineLevel="0" collapsed="false">
      <c r="G226" s="15" t="n">
        <f aca="false">F226-E226</f>
        <v>0</v>
      </c>
      <c r="H226" s="20"/>
      <c r="J226" s="20" t="s">
        <v>256</v>
      </c>
      <c r="K226" s="1" t="e">
        <f aca="false">_xlfn.xlookup(J226,REF!$D$2:$D$12,REF!$E$2:$E$12)</f>
        <v>#NAME?</v>
      </c>
      <c r="L226" s="1" t="s">
        <v>404</v>
      </c>
      <c r="M226" s="20" t="s">
        <v>258</v>
      </c>
      <c r="N226" s="20" t="s">
        <v>379</v>
      </c>
      <c r="O226" s="1" t="s">
        <v>399</v>
      </c>
      <c r="P226" s="22" t="str">
        <f aca="false">_xlfn.CONCAT(B226,C226,D226,E226,F226)</f>
        <v/>
      </c>
      <c r="Q226" s="1" t="str">
        <f aca="false">_xlfn.CONCAT(H226,I226,J226)</f>
        <v>RDE</v>
      </c>
    </row>
    <row r="227" customFormat="false" ht="15" hidden="false" customHeight="false" outlineLevel="0" collapsed="false">
      <c r="G227" s="15" t="n">
        <f aca="false">F227-E227</f>
        <v>0</v>
      </c>
      <c r="H227" s="20"/>
      <c r="J227" s="20" t="s">
        <v>256</v>
      </c>
      <c r="K227" s="1" t="e">
        <f aca="false">_xlfn.xlookup(J227,REF!$D$2:$D$12,REF!$E$2:$E$12)</f>
        <v>#NAME?</v>
      </c>
      <c r="L227" s="1" t="s">
        <v>404</v>
      </c>
      <c r="M227" s="20" t="s">
        <v>258</v>
      </c>
      <c r="N227" s="20" t="s">
        <v>379</v>
      </c>
      <c r="O227" s="1" t="s">
        <v>399</v>
      </c>
      <c r="P227" s="22" t="str">
        <f aca="false">_xlfn.CONCAT(B227,C227,D227,E227,F227)</f>
        <v/>
      </c>
      <c r="Q227" s="1" t="str">
        <f aca="false">_xlfn.CONCAT(H227,I227,J227)</f>
        <v>RDE</v>
      </c>
    </row>
    <row r="228" customFormat="false" ht="15" hidden="false" customHeight="false" outlineLevel="0" collapsed="false">
      <c r="G228" s="15" t="n">
        <f aca="false">F228-E228</f>
        <v>0</v>
      </c>
      <c r="H228" s="20"/>
      <c r="J228" s="20" t="s">
        <v>256</v>
      </c>
      <c r="K228" s="1" t="e">
        <f aca="false">_xlfn.xlookup(J228,REF!$D$2:$D$12,REF!$E$2:$E$12)</f>
        <v>#NAME?</v>
      </c>
      <c r="L228" s="1" t="s">
        <v>404</v>
      </c>
      <c r="M228" s="20" t="s">
        <v>258</v>
      </c>
      <c r="N228" s="20" t="s">
        <v>379</v>
      </c>
      <c r="O228" s="1" t="s">
        <v>399</v>
      </c>
      <c r="P228" s="22" t="str">
        <f aca="false">_xlfn.CONCAT(B228,C228,D228,E228,F228)</f>
        <v/>
      </c>
      <c r="Q228" s="1" t="str">
        <f aca="false">_xlfn.CONCAT(H228,I228,J228)</f>
        <v>RDE</v>
      </c>
    </row>
    <row r="229" customFormat="false" ht="15" hidden="false" customHeight="false" outlineLevel="0" collapsed="false">
      <c r="G229" s="15" t="n">
        <f aca="false">F229-E229</f>
        <v>0</v>
      </c>
      <c r="H229" s="20"/>
      <c r="J229" s="20" t="s">
        <v>256</v>
      </c>
      <c r="K229" s="1" t="e">
        <f aca="false">_xlfn.xlookup(J229,REF!$D$2:$D$12,REF!$E$2:$E$12)</f>
        <v>#NAME?</v>
      </c>
      <c r="L229" s="1" t="s">
        <v>404</v>
      </c>
      <c r="M229" s="20" t="s">
        <v>258</v>
      </c>
      <c r="N229" s="20" t="s">
        <v>379</v>
      </c>
      <c r="O229" s="1" t="s">
        <v>399</v>
      </c>
      <c r="P229" s="22" t="str">
        <f aca="false">_xlfn.CONCAT(B229,C229,D229,E229,F229)</f>
        <v/>
      </c>
      <c r="Q229" s="1" t="str">
        <f aca="false">_xlfn.CONCAT(H229,I229,J229)</f>
        <v>RDE</v>
      </c>
    </row>
    <row r="230" customFormat="false" ht="15" hidden="false" customHeight="false" outlineLevel="0" collapsed="false">
      <c r="G230" s="15" t="n">
        <f aca="false">F230-E230</f>
        <v>0</v>
      </c>
      <c r="H230" s="20"/>
      <c r="J230" s="20" t="s">
        <v>256</v>
      </c>
      <c r="K230" s="1" t="e">
        <f aca="false">_xlfn.xlookup(J230,REF!$D$2:$D$12,REF!$E$2:$E$12)</f>
        <v>#NAME?</v>
      </c>
      <c r="L230" s="1" t="s">
        <v>404</v>
      </c>
      <c r="M230" s="20" t="s">
        <v>258</v>
      </c>
      <c r="N230" s="20" t="s">
        <v>379</v>
      </c>
      <c r="O230" s="1" t="s">
        <v>399</v>
      </c>
      <c r="P230" s="22" t="str">
        <f aca="false">_xlfn.CONCAT(B230,C230,D230,E230,F230)</f>
        <v/>
      </c>
      <c r="Q230" s="1" t="str">
        <f aca="false">_xlfn.CONCAT(H230,I230,J230)</f>
        <v>RDE</v>
      </c>
    </row>
    <row r="231" customFormat="false" ht="15" hidden="false" customHeight="false" outlineLevel="0" collapsed="false">
      <c r="G231" s="15" t="n">
        <f aca="false">F231-E231</f>
        <v>0</v>
      </c>
      <c r="H231" s="20"/>
      <c r="J231" s="20" t="s">
        <v>256</v>
      </c>
      <c r="K231" s="1" t="e">
        <f aca="false">_xlfn.xlookup(J231,REF!$D$2:$D$12,REF!$E$2:$E$12)</f>
        <v>#NAME?</v>
      </c>
      <c r="L231" s="1" t="s">
        <v>404</v>
      </c>
      <c r="M231" s="20" t="s">
        <v>258</v>
      </c>
      <c r="N231" s="20" t="s">
        <v>379</v>
      </c>
      <c r="O231" s="1" t="s">
        <v>399</v>
      </c>
      <c r="P231" s="22" t="str">
        <f aca="false">_xlfn.CONCAT(B231,C231,D231,E231,F231)</f>
        <v/>
      </c>
      <c r="Q231" s="1" t="str">
        <f aca="false">_xlfn.CONCAT(H231,I231,J231)</f>
        <v>RDE</v>
      </c>
    </row>
    <row r="232" customFormat="false" ht="15" hidden="false" customHeight="false" outlineLevel="0" collapsed="false">
      <c r="G232" s="15" t="n">
        <f aca="false">F232-E232</f>
        <v>0</v>
      </c>
      <c r="H232" s="20"/>
      <c r="J232" s="20" t="s">
        <v>256</v>
      </c>
      <c r="K232" s="1" t="e">
        <f aca="false">_xlfn.xlookup(J232,REF!$D$2:$D$12,REF!$E$2:$E$12)</f>
        <v>#NAME?</v>
      </c>
      <c r="L232" s="1" t="s">
        <v>404</v>
      </c>
      <c r="M232" s="20" t="s">
        <v>258</v>
      </c>
      <c r="N232" s="20" t="s">
        <v>379</v>
      </c>
      <c r="O232" s="1" t="s">
        <v>399</v>
      </c>
      <c r="P232" s="22" t="str">
        <f aca="false">_xlfn.CONCAT(B232,C232,D232,E232,F232)</f>
        <v/>
      </c>
      <c r="Q232" s="1" t="str">
        <f aca="false">_xlfn.CONCAT(H232,I232,J232)</f>
        <v>RDE</v>
      </c>
    </row>
    <row r="233" customFormat="false" ht="15" hidden="false" customHeight="false" outlineLevel="0" collapsed="false">
      <c r="G233" s="15" t="n">
        <f aca="false">F233-E233</f>
        <v>0</v>
      </c>
      <c r="H233" s="20"/>
      <c r="J233" s="20" t="s">
        <v>256</v>
      </c>
      <c r="K233" s="1" t="e">
        <f aca="false">_xlfn.xlookup(J233,REF!$D$2:$D$12,REF!$E$2:$E$12)</f>
        <v>#NAME?</v>
      </c>
      <c r="L233" s="1" t="s">
        <v>404</v>
      </c>
      <c r="M233" s="20" t="s">
        <v>258</v>
      </c>
      <c r="N233" s="20" t="s">
        <v>379</v>
      </c>
      <c r="O233" s="1" t="s">
        <v>399</v>
      </c>
      <c r="P233" s="22" t="str">
        <f aca="false">_xlfn.CONCAT(B233,C233,D233,E233,F233)</f>
        <v/>
      </c>
      <c r="Q233" s="1" t="str">
        <f aca="false">_xlfn.CONCAT(H233,I233,J233)</f>
        <v>RDE</v>
      </c>
    </row>
    <row r="234" customFormat="false" ht="15" hidden="false" customHeight="false" outlineLevel="0" collapsed="false">
      <c r="G234" s="15" t="n">
        <f aca="false">F234-E234</f>
        <v>0</v>
      </c>
      <c r="H234" s="20"/>
      <c r="J234" s="20" t="s">
        <v>256</v>
      </c>
      <c r="K234" s="1" t="e">
        <f aca="false">_xlfn.xlookup(J234,REF!$D$2:$D$12,REF!$E$2:$E$12)</f>
        <v>#NAME?</v>
      </c>
      <c r="L234" s="1" t="s">
        <v>404</v>
      </c>
      <c r="M234" s="20" t="s">
        <v>258</v>
      </c>
      <c r="N234" s="20" t="s">
        <v>379</v>
      </c>
      <c r="O234" s="1" t="s">
        <v>399</v>
      </c>
      <c r="P234" s="22" t="str">
        <f aca="false">_xlfn.CONCAT(B234,C234,D234,E234,F234)</f>
        <v/>
      </c>
      <c r="Q234" s="1" t="str">
        <f aca="false">_xlfn.CONCAT(H234,I234,J234)</f>
        <v>RDE</v>
      </c>
    </row>
    <row r="235" customFormat="false" ht="15" hidden="false" customHeight="false" outlineLevel="0" collapsed="false">
      <c r="G235" s="15" t="n">
        <f aca="false">F235-E235</f>
        <v>0</v>
      </c>
      <c r="H235" s="20"/>
      <c r="J235" s="20" t="s">
        <v>256</v>
      </c>
      <c r="K235" s="1" t="e">
        <f aca="false">_xlfn.xlookup(J235,REF!$D$2:$D$12,REF!$E$2:$E$12)</f>
        <v>#NAME?</v>
      </c>
      <c r="L235" s="1" t="s">
        <v>404</v>
      </c>
      <c r="M235" s="20" t="s">
        <v>258</v>
      </c>
      <c r="N235" s="20" t="s">
        <v>379</v>
      </c>
      <c r="O235" s="1" t="s">
        <v>399</v>
      </c>
      <c r="P235" s="22" t="str">
        <f aca="false">_xlfn.CONCAT(B235,C235,D235,E235,F235)</f>
        <v/>
      </c>
      <c r="Q235" s="1" t="str">
        <f aca="false">_xlfn.CONCAT(H235,I235,J235)</f>
        <v>RDE</v>
      </c>
    </row>
    <row r="236" customFormat="false" ht="15" hidden="false" customHeight="false" outlineLevel="0" collapsed="false">
      <c r="G236" s="15" t="n">
        <f aca="false">F236-E236</f>
        <v>0</v>
      </c>
      <c r="H236" s="20"/>
      <c r="J236" s="20" t="s">
        <v>256</v>
      </c>
      <c r="K236" s="1" t="e">
        <f aca="false">_xlfn.xlookup(J236,REF!$D$2:$D$12,REF!$E$2:$E$12)</f>
        <v>#NAME?</v>
      </c>
      <c r="L236" s="1" t="s">
        <v>404</v>
      </c>
      <c r="M236" s="20" t="s">
        <v>258</v>
      </c>
      <c r="N236" s="20" t="s">
        <v>379</v>
      </c>
      <c r="O236" s="1" t="s">
        <v>399</v>
      </c>
      <c r="P236" s="22" t="str">
        <f aca="false">_xlfn.CONCAT(B236,C236,D236,E236,F236)</f>
        <v/>
      </c>
      <c r="Q236" s="1" t="str">
        <f aca="false">_xlfn.CONCAT(H236,I236,J236)</f>
        <v>RDE</v>
      </c>
    </row>
    <row r="237" customFormat="false" ht="15" hidden="false" customHeight="false" outlineLevel="0" collapsed="false">
      <c r="G237" s="15" t="n">
        <f aca="false">F237-E237</f>
        <v>0</v>
      </c>
      <c r="H237" s="20"/>
      <c r="J237" s="20" t="s">
        <v>256</v>
      </c>
      <c r="K237" s="1" t="e">
        <f aca="false">_xlfn.xlookup(J237,REF!$D$2:$D$12,REF!$E$2:$E$12)</f>
        <v>#NAME?</v>
      </c>
      <c r="L237" s="1" t="s">
        <v>404</v>
      </c>
      <c r="M237" s="20" t="s">
        <v>258</v>
      </c>
      <c r="N237" s="20" t="s">
        <v>379</v>
      </c>
      <c r="O237" s="1" t="s">
        <v>399</v>
      </c>
      <c r="P237" s="22" t="str">
        <f aca="false">_xlfn.CONCAT(B237,C237,D237,E237,F237)</f>
        <v/>
      </c>
      <c r="Q237" s="1" t="str">
        <f aca="false">_xlfn.CONCAT(H237,I237,J237)</f>
        <v>RDE</v>
      </c>
    </row>
    <row r="238" customFormat="false" ht="15" hidden="false" customHeight="false" outlineLevel="0" collapsed="false">
      <c r="G238" s="15" t="n">
        <f aca="false">F238-E238</f>
        <v>0</v>
      </c>
      <c r="H238" s="20"/>
      <c r="J238" s="20" t="s">
        <v>256</v>
      </c>
      <c r="K238" s="1" t="e">
        <f aca="false">_xlfn.xlookup(J238,REF!$D$2:$D$12,REF!$E$2:$E$12)</f>
        <v>#NAME?</v>
      </c>
      <c r="L238" s="1" t="s">
        <v>404</v>
      </c>
      <c r="M238" s="20" t="s">
        <v>258</v>
      </c>
      <c r="N238" s="20" t="s">
        <v>379</v>
      </c>
      <c r="O238" s="1" t="s">
        <v>399</v>
      </c>
      <c r="P238" s="22" t="str">
        <f aca="false">_xlfn.CONCAT(B238,C238,D238,E238,F238)</f>
        <v/>
      </c>
      <c r="Q238" s="1" t="str">
        <f aca="false">_xlfn.CONCAT(H238,I238,J238)</f>
        <v>RDE</v>
      </c>
    </row>
    <row r="239" customFormat="false" ht="15" hidden="false" customHeight="false" outlineLevel="0" collapsed="false">
      <c r="G239" s="15" t="n">
        <f aca="false">F239-E239</f>
        <v>0</v>
      </c>
      <c r="H239" s="20"/>
      <c r="J239" s="20" t="s">
        <v>256</v>
      </c>
      <c r="K239" s="1" t="e">
        <f aca="false">_xlfn.xlookup(J239,REF!$D$2:$D$12,REF!$E$2:$E$12)</f>
        <v>#NAME?</v>
      </c>
      <c r="L239" s="1" t="s">
        <v>404</v>
      </c>
      <c r="M239" s="20" t="s">
        <v>258</v>
      </c>
      <c r="N239" s="20" t="s">
        <v>379</v>
      </c>
      <c r="O239" s="1" t="s">
        <v>399</v>
      </c>
      <c r="P239" s="22" t="str">
        <f aca="false">_xlfn.CONCAT(B239,C239,D239,E239,F239)</f>
        <v/>
      </c>
      <c r="Q239" s="1" t="str">
        <f aca="false">_xlfn.CONCAT(H239,I239,J239)</f>
        <v>RDE</v>
      </c>
    </row>
    <row r="240" customFormat="false" ht="15" hidden="false" customHeight="false" outlineLevel="0" collapsed="false">
      <c r="G240" s="15" t="n">
        <f aca="false">F240-E240</f>
        <v>0</v>
      </c>
      <c r="H240" s="20"/>
      <c r="J240" s="20" t="s">
        <v>256</v>
      </c>
      <c r="K240" s="1" t="e">
        <f aca="false">_xlfn.xlookup(J240,REF!$D$2:$D$12,REF!$E$2:$E$12)</f>
        <v>#NAME?</v>
      </c>
      <c r="L240" s="1" t="s">
        <v>404</v>
      </c>
      <c r="M240" s="20" t="s">
        <v>258</v>
      </c>
      <c r="N240" s="20" t="s">
        <v>379</v>
      </c>
      <c r="O240" s="1" t="s">
        <v>399</v>
      </c>
      <c r="P240" s="22" t="str">
        <f aca="false">_xlfn.CONCAT(B240,C240,D240,E240,F240)</f>
        <v/>
      </c>
      <c r="Q240" s="1" t="str">
        <f aca="false">_xlfn.CONCAT(H240,I240,J240)</f>
        <v>RDE</v>
      </c>
    </row>
    <row r="241" customFormat="false" ht="15" hidden="false" customHeight="false" outlineLevel="0" collapsed="false">
      <c r="G241" s="15" t="n">
        <f aca="false">F241-E241</f>
        <v>0</v>
      </c>
      <c r="H241" s="20"/>
      <c r="J241" s="20" t="s">
        <v>256</v>
      </c>
      <c r="K241" s="1" t="e">
        <f aca="false">_xlfn.xlookup(J241,REF!$D$2:$D$12,REF!$E$2:$E$12)</f>
        <v>#NAME?</v>
      </c>
      <c r="L241" s="1" t="s">
        <v>404</v>
      </c>
      <c r="M241" s="20" t="s">
        <v>258</v>
      </c>
      <c r="N241" s="20" t="s">
        <v>379</v>
      </c>
      <c r="O241" s="1" t="s">
        <v>399</v>
      </c>
      <c r="P241" s="22" t="str">
        <f aca="false">_xlfn.CONCAT(B241,C241,D241,E241,F241)</f>
        <v/>
      </c>
      <c r="Q241" s="1" t="str">
        <f aca="false">_xlfn.CONCAT(H241,I241,J241)</f>
        <v>RDE</v>
      </c>
    </row>
    <row r="242" customFormat="false" ht="15" hidden="false" customHeight="false" outlineLevel="0" collapsed="false">
      <c r="G242" s="15" t="n">
        <f aca="false">F242-E242</f>
        <v>0</v>
      </c>
      <c r="H242" s="20"/>
      <c r="J242" s="20" t="s">
        <v>256</v>
      </c>
      <c r="K242" s="1" t="e">
        <f aca="false">_xlfn.xlookup(J242,REF!$D$2:$D$12,REF!$E$2:$E$12)</f>
        <v>#NAME?</v>
      </c>
      <c r="L242" s="1" t="s">
        <v>404</v>
      </c>
      <c r="M242" s="20" t="s">
        <v>258</v>
      </c>
      <c r="N242" s="20" t="s">
        <v>379</v>
      </c>
      <c r="O242" s="1" t="s">
        <v>399</v>
      </c>
      <c r="P242" s="22" t="str">
        <f aca="false">_xlfn.CONCAT(B242,C242,D242,E242,F242)</f>
        <v/>
      </c>
      <c r="Q242" s="1" t="str">
        <f aca="false">_xlfn.CONCAT(H242,I242,J242)</f>
        <v>RDE</v>
      </c>
    </row>
    <row r="243" customFormat="false" ht="15" hidden="false" customHeight="false" outlineLevel="0" collapsed="false">
      <c r="G243" s="15" t="n">
        <f aca="false">F243-E243</f>
        <v>0</v>
      </c>
      <c r="H243" s="20"/>
      <c r="J243" s="20" t="s">
        <v>256</v>
      </c>
      <c r="K243" s="1" t="e">
        <f aca="false">_xlfn.xlookup(J243,REF!$D$2:$D$12,REF!$E$2:$E$12)</f>
        <v>#NAME?</v>
      </c>
      <c r="L243" s="1" t="s">
        <v>408</v>
      </c>
      <c r="M243" s="20" t="s">
        <v>258</v>
      </c>
      <c r="N243" s="20" t="s">
        <v>379</v>
      </c>
      <c r="O243" s="1" t="s">
        <v>409</v>
      </c>
      <c r="P243" s="22" t="str">
        <f aca="false">_xlfn.CONCAT(B243,C243,D243,E243,F243)</f>
        <v/>
      </c>
      <c r="Q243" s="1" t="str">
        <f aca="false">_xlfn.CONCAT(H243,I243,J243)</f>
        <v>RDE</v>
      </c>
    </row>
    <row r="244" customFormat="false" ht="15" hidden="false" customHeight="false" outlineLevel="0" collapsed="false">
      <c r="G244" s="15" t="n">
        <f aca="false">F244-E244</f>
        <v>0</v>
      </c>
      <c r="H244" s="20"/>
      <c r="J244" s="20" t="s">
        <v>256</v>
      </c>
      <c r="K244" s="1" t="e">
        <f aca="false">_xlfn.xlookup(J244,REF!$D$2:$D$12,REF!$E$2:$E$12)</f>
        <v>#NAME?</v>
      </c>
      <c r="L244" s="1" t="s">
        <v>408</v>
      </c>
      <c r="M244" s="20" t="s">
        <v>258</v>
      </c>
      <c r="N244" s="20" t="s">
        <v>379</v>
      </c>
      <c r="O244" s="1" t="s">
        <v>409</v>
      </c>
      <c r="P244" s="22" t="str">
        <f aca="false">_xlfn.CONCAT(B244,C244,D244,E244,F244)</f>
        <v/>
      </c>
      <c r="Q244" s="1" t="str">
        <f aca="false">_xlfn.CONCAT(H244,I244,J244)</f>
        <v>RDE</v>
      </c>
    </row>
    <row r="245" customFormat="false" ht="15" hidden="false" customHeight="false" outlineLevel="0" collapsed="false">
      <c r="G245" s="15" t="n">
        <f aca="false">F245-E245</f>
        <v>0</v>
      </c>
      <c r="H245" s="20"/>
      <c r="J245" s="20" t="s">
        <v>256</v>
      </c>
      <c r="K245" s="1" t="e">
        <f aca="false">_xlfn.xlookup(J245,REF!$D$2:$D$12,REF!$E$2:$E$12)</f>
        <v>#NAME?</v>
      </c>
      <c r="L245" s="1" t="s">
        <v>408</v>
      </c>
      <c r="M245" s="20" t="s">
        <v>258</v>
      </c>
      <c r="N245" s="20" t="s">
        <v>379</v>
      </c>
      <c r="O245" s="1" t="s">
        <v>409</v>
      </c>
      <c r="P245" s="22" t="str">
        <f aca="false">_xlfn.CONCAT(B245,C245,D245,E245,F245)</f>
        <v/>
      </c>
      <c r="Q245" s="1" t="str">
        <f aca="false">_xlfn.CONCAT(H245,I245,J245)</f>
        <v>RDE</v>
      </c>
    </row>
    <row r="246" customFormat="false" ht="15" hidden="false" customHeight="false" outlineLevel="0" collapsed="false">
      <c r="G246" s="15" t="n">
        <f aca="false">F246-E246</f>
        <v>0</v>
      </c>
      <c r="H246" s="20"/>
      <c r="J246" s="20" t="s">
        <v>256</v>
      </c>
      <c r="K246" s="1" t="e">
        <f aca="false">_xlfn.xlookup(J246,REF!$D$2:$D$12,REF!$E$2:$E$12)</f>
        <v>#NAME?</v>
      </c>
      <c r="L246" s="1" t="s">
        <v>408</v>
      </c>
      <c r="M246" s="20" t="s">
        <v>258</v>
      </c>
      <c r="N246" s="20" t="s">
        <v>379</v>
      </c>
      <c r="O246" s="1" t="s">
        <v>409</v>
      </c>
      <c r="P246" s="22" t="str">
        <f aca="false">_xlfn.CONCAT(B246,C246,D246,E246,F246)</f>
        <v/>
      </c>
      <c r="Q246" s="1" t="str">
        <f aca="false">_xlfn.CONCAT(H246,I246,J246)</f>
        <v>RDE</v>
      </c>
    </row>
    <row r="247" customFormat="false" ht="15" hidden="false" customHeight="false" outlineLevel="0" collapsed="false">
      <c r="G247" s="15" t="n">
        <f aca="false">F247-E247</f>
        <v>0</v>
      </c>
      <c r="H247" s="20"/>
      <c r="J247" s="20" t="s">
        <v>256</v>
      </c>
      <c r="K247" s="1" t="e">
        <f aca="false">_xlfn.xlookup(J247,REF!$D$2:$D$12,REF!$E$2:$E$12)</f>
        <v>#NAME?</v>
      </c>
      <c r="L247" s="1" t="s">
        <v>408</v>
      </c>
      <c r="M247" s="20" t="s">
        <v>258</v>
      </c>
      <c r="N247" s="20" t="s">
        <v>379</v>
      </c>
      <c r="O247" s="1" t="s">
        <v>409</v>
      </c>
      <c r="P247" s="22" t="str">
        <f aca="false">_xlfn.CONCAT(B247,C247,D247,E247,F247)</f>
        <v/>
      </c>
      <c r="Q247" s="1" t="str">
        <f aca="false">_xlfn.CONCAT(H247,I247,J247)</f>
        <v>RDE</v>
      </c>
    </row>
    <row r="248" customFormat="false" ht="15" hidden="false" customHeight="false" outlineLevel="0" collapsed="false">
      <c r="G248" s="15" t="n">
        <f aca="false">F248-E248</f>
        <v>0</v>
      </c>
      <c r="H248" s="20"/>
      <c r="J248" s="20" t="s">
        <v>256</v>
      </c>
      <c r="K248" s="1" t="e">
        <f aca="false">_xlfn.xlookup(J248,REF!$D$2:$D$12,REF!$E$2:$E$12)</f>
        <v>#NAME?</v>
      </c>
      <c r="L248" s="1" t="s">
        <v>408</v>
      </c>
      <c r="M248" s="20" t="s">
        <v>258</v>
      </c>
      <c r="N248" s="20" t="s">
        <v>379</v>
      </c>
      <c r="O248" s="1" t="s">
        <v>409</v>
      </c>
      <c r="P248" s="22" t="str">
        <f aca="false">_xlfn.CONCAT(B248,C248,D248,E248,F248)</f>
        <v/>
      </c>
      <c r="Q248" s="1" t="str">
        <f aca="false">_xlfn.CONCAT(H248,I248,J248)</f>
        <v>RDE</v>
      </c>
    </row>
    <row r="249" customFormat="false" ht="15" hidden="false" customHeight="false" outlineLevel="0" collapsed="false">
      <c r="G249" s="15" t="n">
        <f aca="false">F249-E249</f>
        <v>0</v>
      </c>
      <c r="H249" s="20"/>
      <c r="J249" s="20" t="s">
        <v>256</v>
      </c>
      <c r="K249" s="1" t="e">
        <f aca="false">_xlfn.xlookup(J249,REF!$D$2:$D$12,REF!$E$2:$E$12)</f>
        <v>#NAME?</v>
      </c>
      <c r="L249" s="1" t="s">
        <v>408</v>
      </c>
      <c r="M249" s="20" t="s">
        <v>258</v>
      </c>
      <c r="N249" s="20" t="s">
        <v>379</v>
      </c>
      <c r="O249" s="1" t="s">
        <v>409</v>
      </c>
      <c r="P249" s="22" t="str">
        <f aca="false">_xlfn.CONCAT(B249,C249,D249,E249,F249)</f>
        <v/>
      </c>
      <c r="Q249" s="1" t="str">
        <f aca="false">_xlfn.CONCAT(H249,I249,J249)</f>
        <v>RDE</v>
      </c>
    </row>
    <row r="250" customFormat="false" ht="15" hidden="false" customHeight="false" outlineLevel="0" collapsed="false">
      <c r="G250" s="15" t="n">
        <f aca="false">F250-E250</f>
        <v>0</v>
      </c>
      <c r="H250" s="20"/>
      <c r="J250" s="20" t="s">
        <v>256</v>
      </c>
      <c r="K250" s="1" t="e">
        <f aca="false">_xlfn.xlookup(J250,REF!$D$2:$D$12,REF!$E$2:$E$12)</f>
        <v>#NAME?</v>
      </c>
      <c r="L250" s="1" t="s">
        <v>408</v>
      </c>
      <c r="M250" s="20" t="s">
        <v>258</v>
      </c>
      <c r="N250" s="20" t="s">
        <v>379</v>
      </c>
      <c r="O250" s="1" t="s">
        <v>409</v>
      </c>
      <c r="P250" s="22" t="str">
        <f aca="false">_xlfn.CONCAT(B250,C250,D250,E250,F250)</f>
        <v/>
      </c>
      <c r="Q250" s="1" t="str">
        <f aca="false">_xlfn.CONCAT(H250,I250,J250)</f>
        <v>RDE</v>
      </c>
    </row>
    <row r="251" customFormat="false" ht="15" hidden="false" customHeight="false" outlineLevel="0" collapsed="false">
      <c r="B251" s="24"/>
      <c r="G251" s="15" t="n">
        <f aca="false">F251-E251</f>
        <v>0</v>
      </c>
      <c r="H251" s="20"/>
      <c r="J251" s="20" t="s">
        <v>256</v>
      </c>
      <c r="K251" s="1" t="e">
        <f aca="false">_xlfn.xlookup(J251,REF!$D$2:$D$12,REF!$E$2:$E$12)</f>
        <v>#NAME?</v>
      </c>
      <c r="L251" s="1" t="s">
        <v>410</v>
      </c>
      <c r="M251" s="20" t="s">
        <v>258</v>
      </c>
      <c r="N251" s="20" t="s">
        <v>379</v>
      </c>
      <c r="O251" s="24" t="s">
        <v>260</v>
      </c>
      <c r="P251" s="22" t="str">
        <f aca="false">_xlfn.CONCAT(B251,C251,D251,E251,F251)</f>
        <v/>
      </c>
      <c r="Q251" s="1" t="str">
        <f aca="false">_xlfn.CONCAT(H251,I251,J251)</f>
        <v>RDE</v>
      </c>
    </row>
    <row r="252" customFormat="false" ht="15" hidden="false" customHeight="false" outlineLevel="0" collapsed="false">
      <c r="B252" s="24"/>
      <c r="G252" s="15" t="n">
        <f aca="false">F252-E252</f>
        <v>0</v>
      </c>
      <c r="H252" s="20"/>
      <c r="J252" s="20" t="s">
        <v>256</v>
      </c>
      <c r="K252" s="1" t="e">
        <f aca="false">_xlfn.xlookup(J252,REF!$D$2:$D$12,REF!$E$2:$E$12)</f>
        <v>#NAME?</v>
      </c>
      <c r="L252" s="1" t="s">
        <v>410</v>
      </c>
      <c r="M252" s="20" t="s">
        <v>258</v>
      </c>
      <c r="N252" s="20" t="s">
        <v>379</v>
      </c>
      <c r="O252" s="24" t="s">
        <v>260</v>
      </c>
      <c r="P252" s="22" t="str">
        <f aca="false">_xlfn.CONCAT(B252,C252,D253,E252,F252)</f>
        <v/>
      </c>
      <c r="Q252" s="1" t="str">
        <f aca="false">_xlfn.CONCAT(H252,I252,J252)</f>
        <v>RDE</v>
      </c>
    </row>
    <row r="253" customFormat="false" ht="15" hidden="false" customHeight="false" outlineLevel="0" collapsed="false">
      <c r="B253" s="24"/>
      <c r="G253" s="15" t="n">
        <f aca="false">F253-E253</f>
        <v>0</v>
      </c>
      <c r="H253" s="20"/>
      <c r="J253" s="20" t="s">
        <v>256</v>
      </c>
      <c r="K253" s="1" t="e">
        <f aca="false">_xlfn.xlookup(J253,REF!$D$2:$D$12,REF!$E$2:$E$12)</f>
        <v>#NAME?</v>
      </c>
      <c r="L253" s="1" t="s">
        <v>410</v>
      </c>
      <c r="M253" s="20" t="s">
        <v>258</v>
      </c>
      <c r="N253" s="20" t="s">
        <v>379</v>
      </c>
      <c r="O253" s="24" t="s">
        <v>260</v>
      </c>
      <c r="P253" s="22" t="str">
        <f aca="false">_xlfn.CONCAT(B253,C253,D254,E253,F253)</f>
        <v/>
      </c>
      <c r="Q253" s="1" t="str">
        <f aca="false">_xlfn.CONCAT(H253,I253,J253)</f>
        <v>RDE</v>
      </c>
    </row>
    <row r="254" customFormat="false" ht="15" hidden="false" customHeight="false" outlineLevel="0" collapsed="false">
      <c r="B254" s="24"/>
      <c r="G254" s="15" t="n">
        <f aca="false">F254-E254</f>
        <v>0</v>
      </c>
      <c r="H254" s="20"/>
      <c r="J254" s="20" t="s">
        <v>256</v>
      </c>
      <c r="K254" s="1" t="e">
        <f aca="false">_xlfn.xlookup(J254,REF!$D$2:$D$12,REF!$E$2:$E$12)</f>
        <v>#NAME?</v>
      </c>
      <c r="L254" s="1" t="s">
        <v>410</v>
      </c>
      <c r="M254" s="20" t="s">
        <v>258</v>
      </c>
      <c r="N254" s="20" t="s">
        <v>379</v>
      </c>
      <c r="O254" s="24" t="s">
        <v>260</v>
      </c>
      <c r="P254" s="22" t="str">
        <f aca="false">_xlfn.CONCAT(B254,C254,D255,E254,F254)</f>
        <v/>
      </c>
      <c r="Q254" s="1" t="str">
        <f aca="false">_xlfn.CONCAT(H254,I254,J254)</f>
        <v>RDE</v>
      </c>
    </row>
    <row r="255" customFormat="false" ht="15" hidden="false" customHeight="false" outlineLevel="0" collapsed="false">
      <c r="B255" s="24"/>
      <c r="G255" s="15" t="n">
        <f aca="false">F255-E255</f>
        <v>0</v>
      </c>
      <c r="H255" s="20"/>
      <c r="J255" s="20" t="s">
        <v>256</v>
      </c>
      <c r="K255" s="1" t="e">
        <f aca="false">_xlfn.xlookup(J255,REF!$D$2:$D$12,REF!$E$2:$E$12)</f>
        <v>#NAME?</v>
      </c>
      <c r="L255" s="1" t="s">
        <v>410</v>
      </c>
      <c r="M255" s="20" t="s">
        <v>258</v>
      </c>
      <c r="N255" s="20" t="s">
        <v>379</v>
      </c>
      <c r="O255" s="24" t="s">
        <v>260</v>
      </c>
      <c r="P255" s="22" t="str">
        <f aca="false">_xlfn.CONCAT(B255,C255,D256,E255,F255)</f>
        <v/>
      </c>
      <c r="Q255" s="1" t="str">
        <f aca="false">_xlfn.CONCAT(H255,I255,J255)</f>
        <v>RDE</v>
      </c>
    </row>
    <row r="256" customFormat="false" ht="15" hidden="false" customHeight="false" outlineLevel="0" collapsed="false">
      <c r="B256" s="24"/>
      <c r="G256" s="15" t="n">
        <f aca="false">F256-E256</f>
        <v>0</v>
      </c>
      <c r="H256" s="20"/>
      <c r="J256" s="20" t="s">
        <v>256</v>
      </c>
      <c r="K256" s="1" t="e">
        <f aca="false">_xlfn.xlookup(J256,REF!$D$2:$D$12,REF!$E$2:$E$12)</f>
        <v>#NAME?</v>
      </c>
      <c r="L256" s="1" t="s">
        <v>410</v>
      </c>
      <c r="M256" s="20" t="s">
        <v>258</v>
      </c>
      <c r="N256" s="20" t="s">
        <v>379</v>
      </c>
      <c r="O256" s="24" t="s">
        <v>260</v>
      </c>
      <c r="P256" s="22" t="str">
        <f aca="false">_xlfn.CONCAT(B256,C256,D257,E256,F256)</f>
        <v/>
      </c>
      <c r="Q256" s="1" t="str">
        <f aca="false">_xlfn.CONCAT(H256,I256,J256)</f>
        <v>RDE</v>
      </c>
    </row>
    <row r="257" customFormat="false" ht="15" hidden="false" customHeight="false" outlineLevel="0" collapsed="false">
      <c r="B257" s="24"/>
      <c r="G257" s="15" t="n">
        <f aca="false">F257-E257</f>
        <v>0</v>
      </c>
      <c r="H257" s="20"/>
      <c r="J257" s="20" t="s">
        <v>256</v>
      </c>
      <c r="K257" s="1" t="e">
        <f aca="false">_xlfn.xlookup(J257,REF!$D$2:$D$12,REF!$E$2:$E$12)</f>
        <v>#NAME?</v>
      </c>
      <c r="L257" s="1" t="s">
        <v>410</v>
      </c>
      <c r="M257" s="20" t="s">
        <v>258</v>
      </c>
      <c r="N257" s="20" t="s">
        <v>379</v>
      </c>
      <c r="O257" s="24" t="s">
        <v>260</v>
      </c>
      <c r="P257" s="22" t="str">
        <f aca="false">_xlfn.CONCAT(B257,C257,D258,E257,F257)</f>
        <v/>
      </c>
      <c r="Q257" s="1" t="str">
        <f aca="false">_xlfn.CONCAT(H257,I257,J257)</f>
        <v>RDE</v>
      </c>
    </row>
    <row r="258" customFormat="false" ht="15" hidden="false" customHeight="false" outlineLevel="0" collapsed="false">
      <c r="B258" s="24"/>
      <c r="G258" s="15" t="n">
        <f aca="false">F258-E258</f>
        <v>0</v>
      </c>
      <c r="H258" s="20"/>
      <c r="J258" s="20" t="s">
        <v>256</v>
      </c>
      <c r="K258" s="1" t="e">
        <f aca="false">_xlfn.xlookup(J258,REF!$D$2:$D$12,REF!$E$2:$E$12)</f>
        <v>#NAME?</v>
      </c>
      <c r="L258" s="1" t="s">
        <v>410</v>
      </c>
      <c r="M258" s="20" t="s">
        <v>258</v>
      </c>
      <c r="N258" s="20" t="s">
        <v>379</v>
      </c>
      <c r="O258" s="24" t="s">
        <v>260</v>
      </c>
      <c r="P258" s="22" t="str">
        <f aca="false">_xlfn.CONCAT(B258,C258,D259,E258,F258)</f>
        <v/>
      </c>
      <c r="Q258" s="1" t="str">
        <f aca="false">_xlfn.CONCAT(H258,I258,J258)</f>
        <v>RDE</v>
      </c>
    </row>
    <row r="259" customFormat="false" ht="15" hidden="false" customHeight="false" outlineLevel="0" collapsed="false">
      <c r="G259" s="15" t="n">
        <f aca="false">F259-E259</f>
        <v>0</v>
      </c>
      <c r="H259" s="20"/>
      <c r="J259" s="20" t="s">
        <v>256</v>
      </c>
      <c r="K259" s="1" t="e">
        <f aca="false">_xlfn.xlookup(J259,REF!$D$2:$D$12,REF!$E$2:$E$12)</f>
        <v>#NAME?</v>
      </c>
      <c r="L259" s="1" t="s">
        <v>404</v>
      </c>
      <c r="M259" s="20" t="s">
        <v>258</v>
      </c>
      <c r="N259" s="20" t="s">
        <v>379</v>
      </c>
      <c r="O259" s="1" t="s">
        <v>399</v>
      </c>
      <c r="P259" s="22" t="str">
        <f aca="false">_xlfn.CONCAT(B259,C259,D259,E259,F259)</f>
        <v/>
      </c>
      <c r="Q259" s="1" t="str">
        <f aca="false">_xlfn.CONCAT(H259,I259,J259)</f>
        <v>RDE</v>
      </c>
    </row>
    <row r="260" customFormat="false" ht="15" hidden="false" customHeight="false" outlineLevel="0" collapsed="false">
      <c r="G260" s="15" t="n">
        <f aca="false">F260-E260</f>
        <v>0</v>
      </c>
      <c r="H260" s="20"/>
      <c r="J260" s="20" t="s">
        <v>256</v>
      </c>
      <c r="K260" s="1" t="e">
        <f aca="false">_xlfn.xlookup(J260,REF!$D$2:$D$12,REF!$E$2:$E$12)</f>
        <v>#NAME?</v>
      </c>
      <c r="L260" s="1" t="s">
        <v>404</v>
      </c>
      <c r="M260" s="20" t="s">
        <v>258</v>
      </c>
      <c r="N260" s="20" t="s">
        <v>379</v>
      </c>
      <c r="O260" s="1" t="s">
        <v>399</v>
      </c>
      <c r="P260" s="22" t="str">
        <f aca="false">_xlfn.CONCAT(B260,C260,D260,E260,F260)</f>
        <v/>
      </c>
      <c r="Q260" s="1" t="str">
        <f aca="false">_xlfn.CONCAT(H260,I260,J260)</f>
        <v>RDE</v>
      </c>
    </row>
    <row r="261" customFormat="false" ht="15" hidden="false" customHeight="false" outlineLevel="0" collapsed="false">
      <c r="G261" s="15" t="n">
        <f aca="false">F261-E261</f>
        <v>0</v>
      </c>
      <c r="H261" s="20"/>
      <c r="J261" s="20" t="s">
        <v>256</v>
      </c>
      <c r="K261" s="1" t="e">
        <f aca="false">_xlfn.xlookup(J261,REF!$D$2:$D$12,REF!$E$2:$E$12)</f>
        <v>#NAME?</v>
      </c>
      <c r="L261" s="1" t="s">
        <v>404</v>
      </c>
      <c r="M261" s="20" t="s">
        <v>258</v>
      </c>
      <c r="N261" s="20" t="s">
        <v>379</v>
      </c>
      <c r="O261" s="1" t="s">
        <v>399</v>
      </c>
      <c r="P261" s="22" t="str">
        <f aca="false">_xlfn.CONCAT(B261,C261,D261,E261,F261)</f>
        <v/>
      </c>
      <c r="Q261" s="1" t="str">
        <f aca="false">_xlfn.CONCAT(H261,I261,J261)</f>
        <v>RDE</v>
      </c>
    </row>
    <row r="262" customFormat="false" ht="15" hidden="false" customHeight="false" outlineLevel="0" collapsed="false">
      <c r="G262" s="15" t="n">
        <f aca="false">F262-E262</f>
        <v>0</v>
      </c>
      <c r="H262" s="20"/>
      <c r="J262" s="20" t="s">
        <v>256</v>
      </c>
      <c r="K262" s="1" t="e">
        <f aca="false">_xlfn.xlookup(J262,REF!$D$2:$D$12,REF!$E$2:$E$12)</f>
        <v>#NAME?</v>
      </c>
      <c r="L262" s="1" t="s">
        <v>404</v>
      </c>
      <c r="M262" s="20" t="s">
        <v>258</v>
      </c>
      <c r="N262" s="20" t="s">
        <v>379</v>
      </c>
      <c r="O262" s="1" t="s">
        <v>399</v>
      </c>
      <c r="P262" s="22" t="str">
        <f aca="false">_xlfn.CONCAT(B262,C262,D262,E262,F262)</f>
        <v/>
      </c>
      <c r="Q262" s="1" t="str">
        <f aca="false">_xlfn.CONCAT(H262,I262,J262)</f>
        <v>RDE</v>
      </c>
    </row>
    <row r="263" customFormat="false" ht="15" hidden="false" customHeight="false" outlineLevel="0" collapsed="false">
      <c r="G263" s="15" t="n">
        <f aca="false">F263-E263</f>
        <v>0</v>
      </c>
      <c r="H263" s="20"/>
      <c r="J263" s="20" t="s">
        <v>256</v>
      </c>
      <c r="K263" s="1" t="e">
        <f aca="false">_xlfn.xlookup(J263,REF!$D$2:$D$12,REF!$E$2:$E$12)</f>
        <v>#NAME?</v>
      </c>
      <c r="L263" s="1" t="s">
        <v>404</v>
      </c>
      <c r="M263" s="20" t="s">
        <v>258</v>
      </c>
      <c r="N263" s="20" t="s">
        <v>379</v>
      </c>
      <c r="O263" s="1" t="s">
        <v>399</v>
      </c>
      <c r="P263" s="22" t="str">
        <f aca="false">_xlfn.CONCAT(B263,C263,D263,E263,F263)</f>
        <v/>
      </c>
      <c r="Q263" s="1" t="str">
        <f aca="false">_xlfn.CONCAT(H263,I263,J263)</f>
        <v>RDE</v>
      </c>
    </row>
    <row r="264" customFormat="false" ht="15" hidden="false" customHeight="false" outlineLevel="0" collapsed="false">
      <c r="G264" s="15" t="n">
        <f aca="false">F264-E264</f>
        <v>0</v>
      </c>
      <c r="H264" s="20"/>
      <c r="J264" s="20" t="s">
        <v>256</v>
      </c>
      <c r="K264" s="1" t="e">
        <f aca="false">_xlfn.xlookup(J264,REF!$D$2:$D$12,REF!$E$2:$E$12)</f>
        <v>#NAME?</v>
      </c>
      <c r="L264" s="1" t="s">
        <v>404</v>
      </c>
      <c r="M264" s="20" t="s">
        <v>258</v>
      </c>
      <c r="N264" s="20" t="s">
        <v>379</v>
      </c>
      <c r="O264" s="1" t="s">
        <v>399</v>
      </c>
      <c r="P264" s="22" t="str">
        <f aca="false">_xlfn.CONCAT(B264,C264,D264,E264,F264)</f>
        <v/>
      </c>
      <c r="Q264" s="1" t="str">
        <f aca="false">_xlfn.CONCAT(H264,I264,J264)</f>
        <v>RDE</v>
      </c>
    </row>
    <row r="265" customFormat="false" ht="15" hidden="false" customHeight="false" outlineLevel="0" collapsed="false">
      <c r="G265" s="15" t="n">
        <f aca="false">F265-E265</f>
        <v>0</v>
      </c>
      <c r="H265" s="20"/>
      <c r="J265" s="20" t="s">
        <v>256</v>
      </c>
      <c r="K265" s="1" t="e">
        <f aca="false">_xlfn.xlookup(J265,REF!$D$2:$D$12,REF!$E$2:$E$12)</f>
        <v>#NAME?</v>
      </c>
      <c r="L265" s="1" t="s">
        <v>404</v>
      </c>
      <c r="M265" s="20" t="s">
        <v>258</v>
      </c>
      <c r="N265" s="20" t="s">
        <v>379</v>
      </c>
      <c r="O265" s="1" t="s">
        <v>399</v>
      </c>
      <c r="P265" s="22" t="str">
        <f aca="false">_xlfn.CONCAT(B265,C265,D265,E265,F265)</f>
        <v/>
      </c>
      <c r="Q265" s="1" t="str">
        <f aca="false">_xlfn.CONCAT(H265,I265,J265)</f>
        <v>RDE</v>
      </c>
    </row>
    <row r="266" customFormat="false" ht="15" hidden="false" customHeight="false" outlineLevel="0" collapsed="false">
      <c r="G266" s="15" t="n">
        <f aca="false">F266-E266</f>
        <v>0</v>
      </c>
      <c r="H266" s="20"/>
      <c r="J266" s="20" t="s">
        <v>256</v>
      </c>
      <c r="K266" s="1" t="e">
        <f aca="false">_xlfn.xlookup(J266,REF!$D$2:$D$12,REF!$E$2:$E$12)</f>
        <v>#NAME?</v>
      </c>
      <c r="L266" s="1" t="s">
        <v>404</v>
      </c>
      <c r="M266" s="20" t="s">
        <v>258</v>
      </c>
      <c r="N266" s="20" t="s">
        <v>379</v>
      </c>
      <c r="O266" s="1" t="s">
        <v>399</v>
      </c>
      <c r="P266" s="22" t="str">
        <f aca="false">_xlfn.CONCAT(B266,C266,D266,E266,F266)</f>
        <v/>
      </c>
      <c r="Q266" s="1" t="str">
        <f aca="false">_xlfn.CONCAT(H266,I266,J266)</f>
        <v>RDE</v>
      </c>
    </row>
    <row r="267" customFormat="false" ht="15" hidden="false" customHeight="false" outlineLevel="0" collapsed="false">
      <c r="G267" s="15" t="n">
        <f aca="false">F267-E267</f>
        <v>0</v>
      </c>
      <c r="H267" s="20"/>
      <c r="J267" s="20" t="s">
        <v>256</v>
      </c>
      <c r="K267" s="1" t="e">
        <f aca="false">_xlfn.xlookup(J267,REF!$D$2:$D$12,REF!$E$2:$E$12)</f>
        <v>#NAME?</v>
      </c>
      <c r="L267" s="1" t="s">
        <v>404</v>
      </c>
      <c r="M267" s="20" t="s">
        <v>258</v>
      </c>
      <c r="N267" s="20" t="s">
        <v>379</v>
      </c>
      <c r="O267" s="1" t="s">
        <v>399</v>
      </c>
      <c r="P267" s="22" t="str">
        <f aca="false">_xlfn.CONCAT(B267,C267,D267,E267,F267)</f>
        <v/>
      </c>
      <c r="Q267" s="1" t="str">
        <f aca="false">_xlfn.CONCAT(H267,I267,J267)</f>
        <v>RDE</v>
      </c>
    </row>
    <row r="268" customFormat="false" ht="15" hidden="false" customHeight="false" outlineLevel="0" collapsed="false">
      <c r="G268" s="15" t="n">
        <f aca="false">F268-E268</f>
        <v>0</v>
      </c>
      <c r="H268" s="20"/>
      <c r="J268" s="20" t="s">
        <v>256</v>
      </c>
      <c r="K268" s="1" t="e">
        <f aca="false">_xlfn.xlookup(J268,REF!$D$2:$D$12,REF!$E$2:$E$12)</f>
        <v>#NAME?</v>
      </c>
      <c r="L268" s="1" t="s">
        <v>404</v>
      </c>
      <c r="M268" s="20" t="s">
        <v>258</v>
      </c>
      <c r="N268" s="20" t="s">
        <v>379</v>
      </c>
      <c r="O268" s="1" t="s">
        <v>399</v>
      </c>
      <c r="P268" s="22" t="str">
        <f aca="false">_xlfn.CONCAT(B268,C268,D268,E268,F268)</f>
        <v/>
      </c>
      <c r="Q268" s="1" t="str">
        <f aca="false">_xlfn.CONCAT(H268,I268,J268)</f>
        <v>RDE</v>
      </c>
    </row>
    <row r="269" customFormat="false" ht="15" hidden="false" customHeight="false" outlineLevel="0" collapsed="false">
      <c r="G269" s="15" t="n">
        <f aca="false">F269-E269</f>
        <v>0</v>
      </c>
      <c r="H269" s="20"/>
      <c r="J269" s="20" t="s">
        <v>256</v>
      </c>
      <c r="K269" s="1" t="e">
        <f aca="false">_xlfn.xlookup(J269,REF!$D$2:$D$12,REF!$E$2:$E$12)</f>
        <v>#NAME?</v>
      </c>
      <c r="L269" s="1" t="s">
        <v>404</v>
      </c>
      <c r="M269" s="20" t="s">
        <v>258</v>
      </c>
      <c r="N269" s="20" t="s">
        <v>379</v>
      </c>
      <c r="O269" s="1" t="s">
        <v>399</v>
      </c>
      <c r="P269" s="22" t="str">
        <f aca="false">_xlfn.CONCAT(B269,C269,D269,E269,F269)</f>
        <v/>
      </c>
      <c r="Q269" s="1" t="str">
        <f aca="false">_xlfn.CONCAT(H269,I269,J269)</f>
        <v>RDE</v>
      </c>
    </row>
    <row r="270" customFormat="false" ht="15" hidden="false" customHeight="false" outlineLevel="0" collapsed="false">
      <c r="G270" s="15" t="n">
        <f aca="false">F270-E270</f>
        <v>0</v>
      </c>
      <c r="H270" s="20"/>
      <c r="J270" s="20" t="s">
        <v>256</v>
      </c>
      <c r="K270" s="1" t="e">
        <f aca="false">_xlfn.xlookup(J270,REF!$D$2:$D$12,REF!$E$2:$E$12)</f>
        <v>#NAME?</v>
      </c>
      <c r="L270" s="1" t="s">
        <v>404</v>
      </c>
      <c r="M270" s="20" t="s">
        <v>258</v>
      </c>
      <c r="N270" s="20" t="s">
        <v>379</v>
      </c>
      <c r="O270" s="1" t="s">
        <v>399</v>
      </c>
      <c r="P270" s="22" t="str">
        <f aca="false">_xlfn.CONCAT(B270,C270,D270,E270,F270)</f>
        <v/>
      </c>
      <c r="Q270" s="1" t="str">
        <f aca="false">_xlfn.CONCAT(H270,I270,J270)</f>
        <v>RDE</v>
      </c>
    </row>
    <row r="271" customFormat="false" ht="15" hidden="false" customHeight="false" outlineLevel="0" collapsed="false">
      <c r="G271" s="15" t="n">
        <f aca="false">F271-E271</f>
        <v>0</v>
      </c>
      <c r="H271" s="20"/>
      <c r="J271" s="20" t="s">
        <v>256</v>
      </c>
      <c r="K271" s="1" t="e">
        <f aca="false">_xlfn.xlookup(J271,REF!$D$2:$D$12,REF!$E$2:$E$12)</f>
        <v>#NAME?</v>
      </c>
      <c r="L271" s="1" t="s">
        <v>404</v>
      </c>
      <c r="M271" s="20" t="s">
        <v>258</v>
      </c>
      <c r="N271" s="20" t="s">
        <v>379</v>
      </c>
      <c r="O271" s="1" t="s">
        <v>399</v>
      </c>
      <c r="P271" s="22" t="str">
        <f aca="false">_xlfn.CONCAT(B271,C271,D271,E271,F271)</f>
        <v/>
      </c>
      <c r="Q271" s="1" t="str">
        <f aca="false">_xlfn.CONCAT(H271,I271,J271)</f>
        <v>RDE</v>
      </c>
    </row>
    <row r="272" customFormat="false" ht="15" hidden="false" customHeight="false" outlineLevel="0" collapsed="false">
      <c r="G272" s="15" t="n">
        <f aca="false">F272-E272</f>
        <v>0</v>
      </c>
      <c r="H272" s="20"/>
      <c r="J272" s="20" t="s">
        <v>256</v>
      </c>
      <c r="K272" s="1" t="e">
        <f aca="false">_xlfn.xlookup(J272,REF!$D$2:$D$12,REF!$E$2:$E$12)</f>
        <v>#NAME?</v>
      </c>
      <c r="L272" s="1" t="s">
        <v>404</v>
      </c>
      <c r="M272" s="20" t="s">
        <v>258</v>
      </c>
      <c r="N272" s="20" t="s">
        <v>379</v>
      </c>
      <c r="O272" s="1" t="s">
        <v>399</v>
      </c>
      <c r="P272" s="22" t="str">
        <f aca="false">_xlfn.CONCAT(B272,C272,D272,E272,F272)</f>
        <v/>
      </c>
      <c r="Q272" s="1" t="str">
        <f aca="false">_xlfn.CONCAT(H272,I272,J272)</f>
        <v>RDE</v>
      </c>
    </row>
    <row r="273" customFormat="false" ht="15" hidden="false" customHeight="false" outlineLevel="0" collapsed="false">
      <c r="G273" s="15" t="n">
        <f aca="false">F273-E273</f>
        <v>0</v>
      </c>
      <c r="H273" s="20"/>
      <c r="J273" s="20" t="s">
        <v>256</v>
      </c>
      <c r="K273" s="1" t="e">
        <f aca="false">_xlfn.xlookup(J273,REF!$D$2:$D$12,REF!$E$2:$E$12)</f>
        <v>#NAME?</v>
      </c>
      <c r="L273" s="1" t="s">
        <v>404</v>
      </c>
      <c r="M273" s="20" t="s">
        <v>258</v>
      </c>
      <c r="N273" s="20" t="s">
        <v>379</v>
      </c>
      <c r="O273" s="1" t="s">
        <v>399</v>
      </c>
      <c r="P273" s="22" t="str">
        <f aca="false">_xlfn.CONCAT(B273,C273,D273,E273,F273)</f>
        <v/>
      </c>
      <c r="Q273" s="1" t="str">
        <f aca="false">_xlfn.CONCAT(H273,I273,J273)</f>
        <v>RDE</v>
      </c>
    </row>
    <row r="274" customFormat="false" ht="15" hidden="false" customHeight="false" outlineLevel="0" collapsed="false">
      <c r="G274" s="15" t="n">
        <f aca="false">F274-E274</f>
        <v>0</v>
      </c>
      <c r="H274" s="20"/>
      <c r="J274" s="20" t="s">
        <v>256</v>
      </c>
      <c r="K274" s="1" t="e">
        <f aca="false">_xlfn.xlookup(J274,REF!$D$2:$D$12,REF!$E$2:$E$12)</f>
        <v>#NAME?</v>
      </c>
      <c r="L274" s="1" t="s">
        <v>404</v>
      </c>
      <c r="M274" s="20" t="s">
        <v>258</v>
      </c>
      <c r="N274" s="20" t="s">
        <v>379</v>
      </c>
      <c r="O274" s="1" t="s">
        <v>399</v>
      </c>
      <c r="P274" s="22" t="str">
        <f aca="false">_xlfn.CONCAT(B274,C274,D274,E274,F274)</f>
        <v/>
      </c>
      <c r="Q274" s="1" t="str">
        <f aca="false">_xlfn.CONCAT(H274,I274,J274)</f>
        <v>RDE</v>
      </c>
    </row>
    <row r="275" customFormat="false" ht="15" hidden="false" customHeight="false" outlineLevel="0" collapsed="false">
      <c r="G275" s="15" t="n">
        <f aca="false">F275-E275</f>
        <v>0</v>
      </c>
      <c r="H275" s="20"/>
      <c r="J275" s="20" t="s">
        <v>256</v>
      </c>
      <c r="K275" s="1" t="e">
        <f aca="false">_xlfn.xlookup(J275,REF!$D$2:$D$12,REF!$E$2:$E$12)</f>
        <v>#NAME?</v>
      </c>
      <c r="L275" s="1" t="s">
        <v>404</v>
      </c>
      <c r="M275" s="20" t="s">
        <v>258</v>
      </c>
      <c r="N275" s="20" t="s">
        <v>379</v>
      </c>
      <c r="O275" s="1" t="s">
        <v>399</v>
      </c>
      <c r="P275" s="22" t="str">
        <f aca="false">_xlfn.CONCAT(B275,C275,D275,E275,F275)</f>
        <v/>
      </c>
      <c r="Q275" s="1" t="str">
        <f aca="false">_xlfn.CONCAT(H275,I275,J275)</f>
        <v>RDE</v>
      </c>
    </row>
    <row r="276" customFormat="false" ht="15" hidden="false" customHeight="false" outlineLevel="0" collapsed="false">
      <c r="G276" s="15" t="n">
        <f aca="false">F276-E276</f>
        <v>0</v>
      </c>
      <c r="H276" s="20"/>
      <c r="J276" s="20" t="s">
        <v>256</v>
      </c>
      <c r="K276" s="1" t="e">
        <f aca="false">_xlfn.xlookup(J276,REF!$D$2:$D$12,REF!$E$2:$E$12)</f>
        <v>#NAME?</v>
      </c>
      <c r="L276" s="1" t="s">
        <v>404</v>
      </c>
      <c r="M276" s="20" t="s">
        <v>258</v>
      </c>
      <c r="N276" s="20" t="s">
        <v>379</v>
      </c>
      <c r="O276" s="1" t="s">
        <v>399</v>
      </c>
      <c r="P276" s="22" t="str">
        <f aca="false">_xlfn.CONCAT(B276,C276,D276,E276,F276)</f>
        <v/>
      </c>
      <c r="Q276" s="1" t="str">
        <f aca="false">_xlfn.CONCAT(H276,I276,J276)</f>
        <v>RDE</v>
      </c>
    </row>
    <row r="277" customFormat="false" ht="15" hidden="false" customHeight="false" outlineLevel="0" collapsed="false">
      <c r="G277" s="15" t="n">
        <f aca="false">F277-E277</f>
        <v>0</v>
      </c>
      <c r="H277" s="20"/>
      <c r="J277" s="20" t="s">
        <v>256</v>
      </c>
      <c r="K277" s="1" t="e">
        <f aca="false">_xlfn.xlookup(J277,REF!$D$2:$D$12,REF!$E$2:$E$12)</f>
        <v>#NAME?</v>
      </c>
      <c r="L277" s="1" t="s">
        <v>404</v>
      </c>
      <c r="M277" s="20" t="s">
        <v>258</v>
      </c>
      <c r="N277" s="20" t="s">
        <v>379</v>
      </c>
      <c r="O277" s="1" t="s">
        <v>399</v>
      </c>
      <c r="P277" s="22" t="str">
        <f aca="false">_xlfn.CONCAT(B277,C277,D277,E277,F277)</f>
        <v/>
      </c>
      <c r="Q277" s="1" t="str">
        <f aca="false">_xlfn.CONCAT(H277,I277,J277)</f>
        <v>RDE</v>
      </c>
    </row>
    <row r="278" customFormat="false" ht="15" hidden="false" customHeight="false" outlineLevel="0" collapsed="false">
      <c r="G278" s="15" t="n">
        <f aca="false">F278-E278</f>
        <v>0</v>
      </c>
      <c r="H278" s="20"/>
      <c r="J278" s="20" t="s">
        <v>256</v>
      </c>
      <c r="K278" s="1" t="e">
        <f aca="false">_xlfn.xlookup(J278,REF!$D$2:$D$12,REF!$E$2:$E$12)</f>
        <v>#NAME?</v>
      </c>
      <c r="L278" s="1" t="s">
        <v>404</v>
      </c>
      <c r="M278" s="20" t="s">
        <v>258</v>
      </c>
      <c r="N278" s="20" t="s">
        <v>379</v>
      </c>
      <c r="O278" s="1" t="s">
        <v>399</v>
      </c>
      <c r="P278" s="22" t="str">
        <f aca="false">_xlfn.CONCAT(B278,C278,D278,E278,F278)</f>
        <v/>
      </c>
      <c r="Q278" s="1" t="str">
        <f aca="false">_xlfn.CONCAT(H278,I278,J278)</f>
        <v>RDE</v>
      </c>
    </row>
    <row r="279" customFormat="false" ht="15" hidden="false" customHeight="false" outlineLevel="0" collapsed="false">
      <c r="G279" s="15" t="n">
        <f aca="false">F279-E279</f>
        <v>0</v>
      </c>
      <c r="H279" s="20"/>
      <c r="J279" s="20" t="s">
        <v>411</v>
      </c>
      <c r="K279" s="1" t="e">
        <f aca="false">_xlfn.xlookup(J279,REF!$D$2:$D$12,REF!$E$2:$E$12)</f>
        <v>#NAME?</v>
      </c>
      <c r="L279" s="1" t="s">
        <v>412</v>
      </c>
      <c r="M279" s="20" t="s">
        <v>288</v>
      </c>
      <c r="N279" s="20" t="s">
        <v>289</v>
      </c>
      <c r="O279" s="1" t="s">
        <v>413</v>
      </c>
      <c r="P279" s="22" t="str">
        <f aca="false">_xlfn.CONCAT(B279,C279,D279,E279,F279)</f>
        <v/>
      </c>
      <c r="Q279" s="1" t="str">
        <f aca="false">_xlfn.CONCAT(H279,I279,J279)</f>
        <v>PRT</v>
      </c>
    </row>
    <row r="280" customFormat="false" ht="15" hidden="false" customHeight="false" outlineLevel="0" collapsed="false">
      <c r="G280" s="15" t="n">
        <f aca="false">F280-E280</f>
        <v>0</v>
      </c>
      <c r="H280" s="20"/>
      <c r="J280" s="20" t="s">
        <v>411</v>
      </c>
      <c r="K280" s="1" t="e">
        <f aca="false">_xlfn.xlookup(J280,REF!$D$2:$D$12,REF!$E$2:$E$12)</f>
        <v>#NAME?</v>
      </c>
      <c r="L280" s="1" t="s">
        <v>412</v>
      </c>
      <c r="M280" s="20" t="s">
        <v>288</v>
      </c>
      <c r="N280" s="20" t="s">
        <v>289</v>
      </c>
      <c r="O280" s="1" t="s">
        <v>413</v>
      </c>
      <c r="P280" s="22" t="str">
        <f aca="false">_xlfn.CONCAT(B280,C280,D280,E280,F280)</f>
        <v/>
      </c>
      <c r="Q280" s="1" t="str">
        <f aca="false">_xlfn.CONCAT(H280,I280,J280)</f>
        <v>PRT</v>
      </c>
    </row>
    <row r="281" customFormat="false" ht="15" hidden="false" customHeight="false" outlineLevel="0" collapsed="false">
      <c r="G281" s="15" t="n">
        <f aca="false">F281-E281</f>
        <v>0</v>
      </c>
      <c r="H281" s="20"/>
      <c r="J281" s="20" t="s">
        <v>411</v>
      </c>
      <c r="K281" s="1" t="e">
        <f aca="false">_xlfn.xlookup(J281,REF!$D$2:$D$12,REF!$E$2:$E$12)</f>
        <v>#NAME?</v>
      </c>
      <c r="L281" s="1" t="s">
        <v>412</v>
      </c>
      <c r="M281" s="20" t="s">
        <v>288</v>
      </c>
      <c r="N281" s="20" t="s">
        <v>289</v>
      </c>
      <c r="O281" s="1" t="s">
        <v>413</v>
      </c>
      <c r="P281" s="22" t="str">
        <f aca="false">_xlfn.CONCAT(B281,C281,D281,E281,F281)</f>
        <v/>
      </c>
      <c r="Q281" s="1" t="str">
        <f aca="false">_xlfn.CONCAT(H281,I281,J281)</f>
        <v>PRT</v>
      </c>
    </row>
    <row r="282" customFormat="false" ht="15" hidden="false" customHeight="false" outlineLevel="0" collapsed="false">
      <c r="G282" s="15" t="n">
        <f aca="false">F282-E282</f>
        <v>0</v>
      </c>
      <c r="H282" s="20"/>
      <c r="J282" s="20" t="s">
        <v>411</v>
      </c>
      <c r="K282" s="1" t="e">
        <f aca="false">_xlfn.xlookup(J282,REF!$D$2:$D$12,REF!$E$2:$E$12)</f>
        <v>#NAME?</v>
      </c>
      <c r="L282" s="1" t="s">
        <v>412</v>
      </c>
      <c r="M282" s="20" t="s">
        <v>288</v>
      </c>
      <c r="N282" s="20" t="s">
        <v>289</v>
      </c>
      <c r="O282" s="1" t="s">
        <v>413</v>
      </c>
      <c r="P282" s="22" t="str">
        <f aca="false">_xlfn.CONCAT(B282,C282,D282,E282,F282)</f>
        <v/>
      </c>
      <c r="Q282" s="1" t="str">
        <f aca="false">_xlfn.CONCAT(H282,I282,J282)</f>
        <v>PRT</v>
      </c>
    </row>
    <row r="283" customFormat="false" ht="15" hidden="false" customHeight="false" outlineLevel="0" collapsed="false">
      <c r="G283" s="15" t="n">
        <f aca="false">F283-E283</f>
        <v>0</v>
      </c>
      <c r="H283" s="20"/>
      <c r="J283" s="20" t="s">
        <v>411</v>
      </c>
      <c r="K283" s="1" t="e">
        <f aca="false">_xlfn.xlookup(J283,REF!$D$2:$D$12,REF!$E$2:$E$12)</f>
        <v>#NAME?</v>
      </c>
      <c r="L283" s="1" t="s">
        <v>412</v>
      </c>
      <c r="M283" s="20" t="s">
        <v>288</v>
      </c>
      <c r="N283" s="20" t="s">
        <v>289</v>
      </c>
      <c r="O283" s="1" t="s">
        <v>413</v>
      </c>
      <c r="P283" s="22" t="str">
        <f aca="false">_xlfn.CONCAT(B283,C283,D283,E283,F283)</f>
        <v/>
      </c>
      <c r="Q283" s="1" t="str">
        <f aca="false">_xlfn.CONCAT(H283,I283,J283)</f>
        <v>PRT</v>
      </c>
    </row>
    <row r="284" customFormat="false" ht="15" hidden="false" customHeight="false" outlineLevel="0" collapsed="false">
      <c r="G284" s="15" t="n">
        <f aca="false">F284-E284</f>
        <v>0</v>
      </c>
      <c r="H284" s="20"/>
      <c r="J284" s="20" t="s">
        <v>256</v>
      </c>
      <c r="K284" s="1" t="e">
        <f aca="false">_xlfn.xlookup(J284,REF!$D$2:$D$12,REF!$E$2:$E$12)</f>
        <v>#NAME?</v>
      </c>
      <c r="L284" s="1" t="s">
        <v>414</v>
      </c>
      <c r="M284" s="20" t="s">
        <v>258</v>
      </c>
      <c r="N284" s="20" t="s">
        <v>379</v>
      </c>
      <c r="O284" s="1" t="s">
        <v>399</v>
      </c>
      <c r="P284" s="22" t="str">
        <f aca="false">_xlfn.CONCAT(B284,C284,D284,E284,F284)</f>
        <v/>
      </c>
      <c r="Q284" s="1" t="str">
        <f aca="false">_xlfn.CONCAT(H284,I284,J284)</f>
        <v>RDE</v>
      </c>
    </row>
    <row r="285" customFormat="false" ht="15" hidden="false" customHeight="false" outlineLevel="0" collapsed="false">
      <c r="G285" s="15" t="n">
        <f aca="false">F285-E285</f>
        <v>0</v>
      </c>
      <c r="H285" s="20"/>
      <c r="J285" s="20" t="s">
        <v>256</v>
      </c>
      <c r="K285" s="1" t="e">
        <f aca="false">_xlfn.xlookup(J285,REF!$D$2:$D$12,REF!$E$2:$E$12)</f>
        <v>#NAME?</v>
      </c>
      <c r="L285" s="1" t="s">
        <v>414</v>
      </c>
      <c r="M285" s="20" t="s">
        <v>258</v>
      </c>
      <c r="N285" s="20" t="s">
        <v>379</v>
      </c>
      <c r="O285" s="1" t="s">
        <v>399</v>
      </c>
      <c r="P285" s="22" t="str">
        <f aca="false">_xlfn.CONCAT(B285,C285,D285,E285,F285)</f>
        <v/>
      </c>
      <c r="Q285" s="1" t="str">
        <f aca="false">_xlfn.CONCAT(H285,I285,J285)</f>
        <v>RDE</v>
      </c>
    </row>
    <row r="286" customFormat="false" ht="15" hidden="false" customHeight="false" outlineLevel="0" collapsed="false">
      <c r="G286" s="15" t="n">
        <f aca="false">F286-E286</f>
        <v>0</v>
      </c>
      <c r="H286" s="20"/>
      <c r="J286" s="20" t="s">
        <v>256</v>
      </c>
      <c r="K286" s="1" t="e">
        <f aca="false">_xlfn.xlookup(J286,REF!$D$2:$D$12,REF!$E$2:$E$12)</f>
        <v>#NAME?</v>
      </c>
      <c r="L286" s="1" t="s">
        <v>414</v>
      </c>
      <c r="M286" s="20" t="s">
        <v>258</v>
      </c>
      <c r="N286" s="20" t="s">
        <v>379</v>
      </c>
      <c r="O286" s="1" t="s">
        <v>399</v>
      </c>
      <c r="P286" s="22" t="str">
        <f aca="false">_xlfn.CONCAT(B286,C286,D286,E286,F286)</f>
        <v/>
      </c>
      <c r="Q286" s="1" t="str">
        <f aca="false">_xlfn.CONCAT(H286,I286,J286)</f>
        <v>RDE</v>
      </c>
    </row>
    <row r="287" customFormat="false" ht="15" hidden="false" customHeight="false" outlineLevel="0" collapsed="false">
      <c r="G287" s="15" t="n">
        <f aca="false">F287-E287</f>
        <v>0</v>
      </c>
      <c r="H287" s="20"/>
      <c r="J287" s="20" t="s">
        <v>256</v>
      </c>
      <c r="K287" s="1" t="e">
        <f aca="false">_xlfn.xlookup(J287,REF!$D$2:$D$12,REF!$E$2:$E$12)</f>
        <v>#NAME?</v>
      </c>
      <c r="L287" s="1" t="s">
        <v>414</v>
      </c>
      <c r="M287" s="20" t="s">
        <v>258</v>
      </c>
      <c r="N287" s="20" t="s">
        <v>379</v>
      </c>
      <c r="O287" s="1" t="s">
        <v>399</v>
      </c>
      <c r="P287" s="22" t="str">
        <f aca="false">_xlfn.CONCAT(B287,C287,D287,E287,F287)</f>
        <v/>
      </c>
      <c r="Q287" s="1" t="str">
        <f aca="false">_xlfn.CONCAT(H287,I287,J287)</f>
        <v>RDE</v>
      </c>
    </row>
    <row r="288" customFormat="false" ht="15" hidden="false" customHeight="false" outlineLevel="0" collapsed="false">
      <c r="G288" s="15" t="n">
        <f aca="false">F288-E288</f>
        <v>0</v>
      </c>
      <c r="H288" s="20"/>
      <c r="J288" s="20" t="s">
        <v>249</v>
      </c>
      <c r="K288" s="1" t="e">
        <f aca="false">_xlfn.xlookup(J288,REF!$D$2:$D$12,REF!$E$2:$E$12)</f>
        <v>#NAME?</v>
      </c>
      <c r="L288" s="1" t="s">
        <v>415</v>
      </c>
      <c r="M288" s="20" t="s">
        <v>251</v>
      </c>
      <c r="N288" s="20" t="s">
        <v>252</v>
      </c>
      <c r="O288" s="1" t="s">
        <v>406</v>
      </c>
      <c r="P288" s="22" t="str">
        <f aca="false">_xlfn.CONCAT(B288,C288,D288,E288,F288)</f>
        <v/>
      </c>
      <c r="Q288" s="1" t="str">
        <f aca="false">_xlfn.CONCAT(H288,I288,J288)</f>
        <v>INV</v>
      </c>
    </row>
    <row r="289" customFormat="false" ht="15" hidden="false" customHeight="false" outlineLevel="0" collapsed="false">
      <c r="G289" s="15" t="n">
        <f aca="false">F289-E289</f>
        <v>0</v>
      </c>
      <c r="H289" s="20"/>
      <c r="J289" s="20" t="s">
        <v>249</v>
      </c>
      <c r="K289" s="1" t="e">
        <f aca="false">_xlfn.xlookup(J289,REF!$D$2:$D$12,REF!$E$2:$E$12)</f>
        <v>#NAME?</v>
      </c>
      <c r="L289" s="1" t="s">
        <v>415</v>
      </c>
      <c r="M289" s="20" t="s">
        <v>251</v>
      </c>
      <c r="N289" s="20" t="s">
        <v>252</v>
      </c>
      <c r="O289" s="1" t="s">
        <v>406</v>
      </c>
      <c r="P289" s="22" t="str">
        <f aca="false">_xlfn.CONCAT(B289,C289,D289,E289,F289)</f>
        <v/>
      </c>
      <c r="Q289" s="1" t="str">
        <f aca="false">_xlfn.CONCAT(H289,I289,J289)</f>
        <v>INV</v>
      </c>
    </row>
    <row r="290" customFormat="false" ht="15" hidden="false" customHeight="false" outlineLevel="0" collapsed="false">
      <c r="G290" s="15" t="n">
        <f aca="false">F290-E290</f>
        <v>0</v>
      </c>
      <c r="H290" s="20"/>
      <c r="J290" s="20" t="s">
        <v>256</v>
      </c>
      <c r="K290" s="1" t="e">
        <f aca="false">_xlfn.xlookup(J290,REF!$D$2:$D$12,REF!$E$2:$E$12)</f>
        <v>#NAME?</v>
      </c>
      <c r="L290" s="1" t="s">
        <v>257</v>
      </c>
      <c r="M290" s="20" t="s">
        <v>258</v>
      </c>
      <c r="N290" s="20" t="s">
        <v>379</v>
      </c>
      <c r="O290" s="1" t="s">
        <v>399</v>
      </c>
      <c r="P290" s="22" t="str">
        <f aca="false">_xlfn.CONCAT(B290,C290,D290,E290,F290)</f>
        <v/>
      </c>
      <c r="Q290" s="1" t="str">
        <f aca="false">_xlfn.CONCAT(H290,I290,J290)</f>
        <v>RDE</v>
      </c>
    </row>
    <row r="291" customFormat="false" ht="15" hidden="false" customHeight="false" outlineLevel="0" collapsed="false">
      <c r="G291" s="15" t="n">
        <f aca="false">F291-E291</f>
        <v>0</v>
      </c>
      <c r="H291" s="20"/>
      <c r="J291" s="20" t="s">
        <v>256</v>
      </c>
      <c r="K291" s="1" t="e">
        <f aca="false">_xlfn.xlookup(J291,REF!$D$2:$D$12,REF!$E$2:$E$12)</f>
        <v>#NAME?</v>
      </c>
      <c r="L291" s="1" t="s">
        <v>257</v>
      </c>
      <c r="M291" s="20" t="s">
        <v>258</v>
      </c>
      <c r="N291" s="20" t="s">
        <v>379</v>
      </c>
      <c r="O291" s="1" t="s">
        <v>399</v>
      </c>
      <c r="P291" s="22" t="str">
        <f aca="false">_xlfn.CONCAT(B291,C291,D291,E291,F291)</f>
        <v/>
      </c>
      <c r="Q291" s="1" t="str">
        <f aca="false">_xlfn.CONCAT(H291,I291,J291)</f>
        <v>RDE</v>
      </c>
    </row>
    <row r="292" customFormat="false" ht="15" hidden="false" customHeight="false" outlineLevel="0" collapsed="false">
      <c r="G292" s="15" t="n">
        <f aca="false">F292-E292</f>
        <v>0</v>
      </c>
      <c r="H292" s="20"/>
      <c r="J292" s="20" t="s">
        <v>256</v>
      </c>
      <c r="K292" s="1" t="e">
        <f aca="false">_xlfn.xlookup(J292,REF!$D$2:$D$12,REF!$E$2:$E$12)</f>
        <v>#NAME?</v>
      </c>
      <c r="L292" s="1" t="s">
        <v>257</v>
      </c>
      <c r="M292" s="20" t="s">
        <v>258</v>
      </c>
      <c r="N292" s="20" t="s">
        <v>379</v>
      </c>
      <c r="O292" s="1" t="s">
        <v>399</v>
      </c>
      <c r="P292" s="22" t="str">
        <f aca="false">_xlfn.CONCAT(B292,C292,D292,E292,F292)</f>
        <v/>
      </c>
      <c r="Q292" s="1" t="str">
        <f aca="false">_xlfn.CONCAT(H292,I292,J292)</f>
        <v>RDE</v>
      </c>
    </row>
    <row r="293" customFormat="false" ht="15" hidden="false" customHeight="false" outlineLevel="0" collapsed="false">
      <c r="G293" s="15" t="n">
        <f aca="false">F293-E293</f>
        <v>0</v>
      </c>
      <c r="H293" s="20"/>
      <c r="J293" s="20" t="s">
        <v>256</v>
      </c>
      <c r="K293" s="1" t="e">
        <f aca="false">_xlfn.xlookup(J293,REF!$D$2:$D$12,REF!$E$2:$E$12)</f>
        <v>#NAME?</v>
      </c>
      <c r="L293" s="1" t="s">
        <v>257</v>
      </c>
      <c r="M293" s="20" t="s">
        <v>258</v>
      </c>
      <c r="N293" s="20" t="s">
        <v>379</v>
      </c>
      <c r="O293" s="1" t="s">
        <v>399</v>
      </c>
      <c r="P293" s="22" t="str">
        <f aca="false">_xlfn.CONCAT(B293,C293,D293,E293,F293)</f>
        <v/>
      </c>
      <c r="Q293" s="1" t="str">
        <f aca="false">_xlfn.CONCAT(H293,I293,J293)</f>
        <v>RDE</v>
      </c>
    </row>
    <row r="294" customFormat="false" ht="15" hidden="false" customHeight="false" outlineLevel="0" collapsed="false">
      <c r="G294" s="15" t="n">
        <f aca="false">F294-E294</f>
        <v>0</v>
      </c>
      <c r="H294" s="20"/>
      <c r="J294" s="20" t="s">
        <v>256</v>
      </c>
      <c r="K294" s="1" t="e">
        <f aca="false">_xlfn.xlookup(J294,REF!$D$2:$D$12,REF!$E$2:$E$12)</f>
        <v>#NAME?</v>
      </c>
      <c r="L294" s="1" t="s">
        <v>257</v>
      </c>
      <c r="M294" s="20" t="s">
        <v>258</v>
      </c>
      <c r="N294" s="20" t="s">
        <v>379</v>
      </c>
      <c r="O294" s="1" t="s">
        <v>399</v>
      </c>
      <c r="P294" s="22" t="str">
        <f aca="false">_xlfn.CONCAT(B294,C294,D294,E294,F294)</f>
        <v/>
      </c>
      <c r="Q294" s="1" t="str">
        <f aca="false">_xlfn.CONCAT(H294,I294,J294)</f>
        <v>RDE</v>
      </c>
    </row>
    <row r="295" customFormat="false" ht="15" hidden="false" customHeight="false" outlineLevel="0" collapsed="false">
      <c r="G295" s="15" t="n">
        <f aca="false">F295-E295</f>
        <v>0</v>
      </c>
      <c r="H295" s="20"/>
      <c r="J295" s="20" t="s">
        <v>256</v>
      </c>
      <c r="K295" s="1" t="e">
        <f aca="false">_xlfn.xlookup(J295,REF!$D$2:$D$12,REF!$E$2:$E$12)</f>
        <v>#NAME?</v>
      </c>
      <c r="L295" s="1" t="s">
        <v>416</v>
      </c>
      <c r="M295" s="20" t="s">
        <v>258</v>
      </c>
      <c r="N295" s="20" t="s">
        <v>379</v>
      </c>
      <c r="O295" s="1" t="s">
        <v>399</v>
      </c>
      <c r="P295" s="22" t="str">
        <f aca="false">_xlfn.CONCAT(B295,C295,D295,E295,F295)</f>
        <v/>
      </c>
      <c r="Q295" s="1" t="str">
        <f aca="false">_xlfn.CONCAT(H295,I295,J295)</f>
        <v>RDE</v>
      </c>
    </row>
    <row r="296" customFormat="false" ht="15" hidden="false" customHeight="false" outlineLevel="0" collapsed="false">
      <c r="G296" s="15" t="n">
        <f aca="false">F296-E296</f>
        <v>0</v>
      </c>
      <c r="H296" s="20"/>
      <c r="J296" s="20" t="s">
        <v>256</v>
      </c>
      <c r="K296" s="1" t="e">
        <f aca="false">_xlfn.xlookup(J296,REF!$D$2:$D$12,REF!$E$2:$E$12)</f>
        <v>#NAME?</v>
      </c>
      <c r="L296" s="1" t="s">
        <v>416</v>
      </c>
      <c r="M296" s="20" t="s">
        <v>258</v>
      </c>
      <c r="N296" s="20" t="s">
        <v>379</v>
      </c>
      <c r="O296" s="1" t="s">
        <v>399</v>
      </c>
      <c r="P296" s="22" t="str">
        <f aca="false">_xlfn.CONCAT(B296,C296,D296,E296,F296)</f>
        <v/>
      </c>
      <c r="Q296" s="1" t="str">
        <f aca="false">_xlfn.CONCAT(H296,I296,J296)</f>
        <v>RDE</v>
      </c>
    </row>
    <row r="297" customFormat="false" ht="15" hidden="false" customHeight="false" outlineLevel="0" collapsed="false">
      <c r="G297" s="15" t="n">
        <f aca="false">F297-E297</f>
        <v>0</v>
      </c>
      <c r="H297" s="20"/>
      <c r="J297" s="20" t="s">
        <v>256</v>
      </c>
      <c r="K297" s="1" t="e">
        <f aca="false">_xlfn.xlookup(J297,REF!$D$2:$D$12,REF!$E$2:$E$12)</f>
        <v>#NAME?</v>
      </c>
      <c r="L297" s="1" t="s">
        <v>416</v>
      </c>
      <c r="M297" s="20" t="s">
        <v>258</v>
      </c>
      <c r="N297" s="20" t="s">
        <v>379</v>
      </c>
      <c r="O297" s="1" t="s">
        <v>399</v>
      </c>
      <c r="P297" s="22" t="str">
        <f aca="false">_xlfn.CONCAT(B297,C297,D297,E297,F297)</f>
        <v/>
      </c>
      <c r="Q297" s="1" t="str">
        <f aca="false">_xlfn.CONCAT(H297,I297,J297)</f>
        <v>RDE</v>
      </c>
    </row>
    <row r="298" customFormat="false" ht="15" hidden="false" customHeight="false" outlineLevel="0" collapsed="false">
      <c r="G298" s="15" t="n">
        <f aca="false">F298-E298</f>
        <v>0</v>
      </c>
      <c r="H298" s="20"/>
      <c r="J298" s="20" t="s">
        <v>256</v>
      </c>
      <c r="K298" s="1" t="e">
        <f aca="false">_xlfn.xlookup(J298,REF!$D$2:$D$12,REF!$E$2:$E$12)</f>
        <v>#NAME?</v>
      </c>
      <c r="L298" s="1" t="s">
        <v>416</v>
      </c>
      <c r="M298" s="20" t="s">
        <v>258</v>
      </c>
      <c r="N298" s="20" t="s">
        <v>379</v>
      </c>
      <c r="O298" s="1" t="s">
        <v>399</v>
      </c>
      <c r="P298" s="22" t="str">
        <f aca="false">_xlfn.CONCAT(B298,C298,D298,E298,F298)</f>
        <v/>
      </c>
      <c r="Q298" s="1" t="str">
        <f aca="false">_xlfn.CONCAT(H298,I298,J298)</f>
        <v>RDE</v>
      </c>
    </row>
    <row r="299" customFormat="false" ht="15" hidden="false" customHeight="false" outlineLevel="0" collapsed="false">
      <c r="G299" s="15" t="n">
        <f aca="false">F299-E299</f>
        <v>0</v>
      </c>
      <c r="H299" s="20"/>
      <c r="J299" s="20" t="s">
        <v>256</v>
      </c>
      <c r="K299" s="1" t="e">
        <f aca="false">_xlfn.xlookup(J299,REF!$D$2:$D$12,REF!$E$2:$E$12)</f>
        <v>#NAME?</v>
      </c>
      <c r="L299" s="1" t="s">
        <v>414</v>
      </c>
      <c r="M299" s="20" t="s">
        <v>258</v>
      </c>
      <c r="N299" s="20" t="s">
        <v>379</v>
      </c>
      <c r="O299" s="1" t="s">
        <v>399</v>
      </c>
      <c r="P299" s="22" t="str">
        <f aca="false">_xlfn.CONCAT(B299,C299,D299,E299,F299)</f>
        <v/>
      </c>
      <c r="Q299" s="1" t="str">
        <f aca="false">_xlfn.CONCAT(H299,I299,J299)</f>
        <v>RDE</v>
      </c>
    </row>
    <row r="300" customFormat="false" ht="15" hidden="false" customHeight="false" outlineLevel="0" collapsed="false">
      <c r="G300" s="15" t="n">
        <f aca="false">F300-E300</f>
        <v>0</v>
      </c>
      <c r="H300" s="20"/>
      <c r="J300" s="20" t="s">
        <v>256</v>
      </c>
      <c r="K300" s="1" t="e">
        <f aca="false">_xlfn.xlookup(J300,REF!$D$2:$D$12,REF!$E$2:$E$12)</f>
        <v>#NAME?</v>
      </c>
      <c r="L300" s="1" t="s">
        <v>414</v>
      </c>
      <c r="M300" s="20" t="s">
        <v>258</v>
      </c>
      <c r="N300" s="20" t="s">
        <v>379</v>
      </c>
      <c r="O300" s="1" t="s">
        <v>399</v>
      </c>
      <c r="P300" s="22" t="str">
        <f aca="false">_xlfn.CONCAT(B300,C300,D300,E300,F300)</f>
        <v/>
      </c>
      <c r="Q300" s="1" t="str">
        <f aca="false">_xlfn.CONCAT(H300,I300,J300)</f>
        <v>RDE</v>
      </c>
    </row>
    <row r="301" customFormat="false" ht="15" hidden="false" customHeight="false" outlineLevel="0" collapsed="false">
      <c r="G301" s="15" t="n">
        <f aca="false">F301-E301</f>
        <v>0</v>
      </c>
      <c r="H301" s="20"/>
      <c r="J301" s="20" t="s">
        <v>256</v>
      </c>
      <c r="K301" s="1" t="e">
        <f aca="false">_xlfn.xlookup(J301,REF!$D$2:$D$12,REF!$E$2:$E$12)</f>
        <v>#NAME?</v>
      </c>
      <c r="L301" s="1" t="s">
        <v>414</v>
      </c>
      <c r="M301" s="20" t="s">
        <v>258</v>
      </c>
      <c r="N301" s="20" t="s">
        <v>379</v>
      </c>
      <c r="O301" s="1" t="s">
        <v>399</v>
      </c>
      <c r="P301" s="22" t="str">
        <f aca="false">_xlfn.CONCAT(B301,C301,D301,E301,F301)</f>
        <v/>
      </c>
      <c r="Q301" s="1" t="str">
        <f aca="false">_xlfn.CONCAT(H301,I301,J301)</f>
        <v>RDE</v>
      </c>
    </row>
    <row r="302" customFormat="false" ht="15" hidden="false" customHeight="false" outlineLevel="0" collapsed="false">
      <c r="G302" s="15" t="n">
        <f aca="false">F302-E302</f>
        <v>0</v>
      </c>
      <c r="H302" s="20"/>
      <c r="J302" s="20" t="s">
        <v>256</v>
      </c>
      <c r="K302" s="1" t="e">
        <f aca="false">_xlfn.xlookup(J302,REF!$D$2:$D$12,REF!$E$2:$E$12)</f>
        <v>#NAME?</v>
      </c>
      <c r="L302" s="1" t="s">
        <v>414</v>
      </c>
      <c r="M302" s="20" t="s">
        <v>258</v>
      </c>
      <c r="N302" s="20" t="s">
        <v>379</v>
      </c>
      <c r="O302" s="1" t="s">
        <v>399</v>
      </c>
      <c r="P302" s="22" t="str">
        <f aca="false">_xlfn.CONCAT(B302,C302,D302,E302,F302)</f>
        <v/>
      </c>
      <c r="Q302" s="1" t="str">
        <f aca="false">_xlfn.CONCAT(H302,I302,J302)</f>
        <v>RDE</v>
      </c>
    </row>
    <row r="303" customFormat="false" ht="15" hidden="false" customHeight="false" outlineLevel="0" collapsed="false">
      <c r="G303" s="15" t="n">
        <f aca="false">F303-E303</f>
        <v>0</v>
      </c>
      <c r="H303" s="20"/>
      <c r="J303" s="20" t="s">
        <v>256</v>
      </c>
      <c r="K303" s="1" t="e">
        <f aca="false">_xlfn.xlookup(J303,REF!$D$2:$D$12,REF!$E$2:$E$12)</f>
        <v>#NAME?</v>
      </c>
      <c r="L303" s="1" t="s">
        <v>414</v>
      </c>
      <c r="M303" s="20" t="s">
        <v>258</v>
      </c>
      <c r="N303" s="20" t="s">
        <v>379</v>
      </c>
      <c r="O303" s="1" t="s">
        <v>399</v>
      </c>
      <c r="P303" s="22" t="str">
        <f aca="false">_xlfn.CONCAT(B303,C303,D303,E303,F303)</f>
        <v/>
      </c>
      <c r="Q303" s="1" t="str">
        <f aca="false">_xlfn.CONCAT(H303,I303,J303)</f>
        <v>RDE</v>
      </c>
    </row>
    <row r="304" customFormat="false" ht="15" hidden="false" customHeight="false" outlineLevel="0" collapsed="false">
      <c r="G304" s="15" t="n">
        <f aca="false">F304-E304</f>
        <v>0</v>
      </c>
      <c r="H304" s="20"/>
      <c r="J304" s="20" t="s">
        <v>256</v>
      </c>
      <c r="K304" s="1" t="e">
        <f aca="false">_xlfn.xlookup(J304,REF!$D$2:$D$12,REF!$E$2:$E$12)</f>
        <v>#NAME?</v>
      </c>
      <c r="L304" s="1" t="s">
        <v>414</v>
      </c>
      <c r="M304" s="20" t="s">
        <v>258</v>
      </c>
      <c r="N304" s="20" t="s">
        <v>379</v>
      </c>
      <c r="O304" s="1" t="s">
        <v>399</v>
      </c>
      <c r="P304" s="22" t="str">
        <f aca="false">_xlfn.CONCAT(B304,C304,D304,E304,F304)</f>
        <v/>
      </c>
      <c r="Q304" s="1" t="str">
        <f aca="false">_xlfn.CONCAT(H304,I304,J304)</f>
        <v>RDE</v>
      </c>
    </row>
    <row r="305" customFormat="false" ht="15" hidden="false" customHeight="false" outlineLevel="0" collapsed="false">
      <c r="G305" s="15" t="n">
        <f aca="false">F305-E305</f>
        <v>0</v>
      </c>
      <c r="H305" s="20"/>
      <c r="J305" s="20" t="s">
        <v>256</v>
      </c>
      <c r="K305" s="1" t="e">
        <f aca="false">_xlfn.xlookup(J305,REF!$D$2:$D$12,REF!$E$2:$E$12)</f>
        <v>#NAME?</v>
      </c>
      <c r="L305" s="1" t="s">
        <v>414</v>
      </c>
      <c r="M305" s="20" t="s">
        <v>258</v>
      </c>
      <c r="N305" s="20" t="s">
        <v>379</v>
      </c>
      <c r="O305" s="1" t="s">
        <v>399</v>
      </c>
      <c r="P305" s="22" t="str">
        <f aca="false">_xlfn.CONCAT(B305,C305,D305,E305,F305)</f>
        <v/>
      </c>
      <c r="Q305" s="1" t="str">
        <f aca="false">_xlfn.CONCAT(H305,I305,J305)</f>
        <v>RDE</v>
      </c>
    </row>
    <row r="306" customFormat="false" ht="15" hidden="false" customHeight="false" outlineLevel="0" collapsed="false">
      <c r="G306" s="15" t="n">
        <f aca="false">F306-E306</f>
        <v>0</v>
      </c>
      <c r="H306" s="20"/>
      <c r="J306" s="20" t="s">
        <v>256</v>
      </c>
      <c r="K306" s="1" t="e">
        <f aca="false">_xlfn.xlookup(J306,REF!$D$2:$D$12,REF!$E$2:$E$12)</f>
        <v>#NAME?</v>
      </c>
      <c r="L306" s="1" t="s">
        <v>414</v>
      </c>
      <c r="M306" s="20" t="s">
        <v>258</v>
      </c>
      <c r="N306" s="20" t="s">
        <v>379</v>
      </c>
      <c r="O306" s="1" t="s">
        <v>399</v>
      </c>
      <c r="P306" s="22" t="str">
        <f aca="false">_xlfn.CONCAT(B306,C306,D306,E306,F306)</f>
        <v/>
      </c>
      <c r="Q306" s="1" t="str">
        <f aca="false">_xlfn.CONCAT(H306,I306,J306)</f>
        <v>RDE</v>
      </c>
    </row>
    <row r="307" customFormat="false" ht="15" hidden="false" customHeight="false" outlineLevel="0" collapsed="false">
      <c r="G307" s="15" t="n">
        <f aca="false">F307-E307</f>
        <v>0</v>
      </c>
      <c r="H307" s="20"/>
      <c r="J307" s="20" t="s">
        <v>256</v>
      </c>
      <c r="K307" s="1" t="e">
        <f aca="false">_xlfn.xlookup(J307,REF!$D$2:$D$12,REF!$E$2:$E$12)</f>
        <v>#NAME?</v>
      </c>
      <c r="L307" s="1" t="s">
        <v>414</v>
      </c>
      <c r="M307" s="20" t="s">
        <v>258</v>
      </c>
      <c r="N307" s="20" t="s">
        <v>379</v>
      </c>
      <c r="O307" s="1" t="s">
        <v>399</v>
      </c>
      <c r="P307" s="22" t="str">
        <f aca="false">_xlfn.CONCAT(B307,C307,D307,E307,F307)</f>
        <v/>
      </c>
      <c r="Q307" s="1" t="str">
        <f aca="false">_xlfn.CONCAT(H307,I307,J307)</f>
        <v>RDE</v>
      </c>
    </row>
    <row r="308" customFormat="false" ht="15" hidden="false" customHeight="false" outlineLevel="0" collapsed="false">
      <c r="G308" s="15" t="n">
        <f aca="false">F308-E308</f>
        <v>0</v>
      </c>
      <c r="H308" s="20"/>
      <c r="J308" s="20" t="s">
        <v>256</v>
      </c>
      <c r="K308" s="1" t="e">
        <f aca="false">_xlfn.xlookup(J308,REF!$D$2:$D$12,REF!$E$2:$E$12)</f>
        <v>#NAME?</v>
      </c>
      <c r="L308" s="1" t="s">
        <v>414</v>
      </c>
      <c r="M308" s="20" t="s">
        <v>258</v>
      </c>
      <c r="N308" s="20" t="s">
        <v>379</v>
      </c>
      <c r="O308" s="1" t="s">
        <v>399</v>
      </c>
      <c r="P308" s="22" t="str">
        <f aca="false">_xlfn.CONCAT(B308,C308,D308,E308,F308)</f>
        <v/>
      </c>
      <c r="Q308" s="1" t="str">
        <f aca="false">_xlfn.CONCAT(H308,I308,J308)</f>
        <v>RDE</v>
      </c>
    </row>
    <row r="309" customFormat="false" ht="15" hidden="false" customHeight="false" outlineLevel="0" collapsed="false">
      <c r="G309" s="15" t="n">
        <f aca="false">F309-E309</f>
        <v>0</v>
      </c>
      <c r="H309" s="20"/>
      <c r="I309" s="1" t="s">
        <v>263</v>
      </c>
      <c r="J309" s="20" t="s">
        <v>417</v>
      </c>
      <c r="K309" s="1" t="e">
        <f aca="false">_xlfn.xlookup(J309,REF!$D$2:$D$12,REF!$E$2:$E$12)</f>
        <v>#NAME?</v>
      </c>
      <c r="L309" s="1" t="e">
        <f aca="false">_xlfn.xlookup(K309,REF!E:E,REF!F:F)</f>
        <v>#NAME?</v>
      </c>
      <c r="M309" s="20" t="s">
        <v>418</v>
      </c>
      <c r="N309" s="20" t="s">
        <v>252</v>
      </c>
      <c r="O309" s="1" t="s">
        <v>419</v>
      </c>
      <c r="P309" s="22" t="str">
        <f aca="false">_xlfn.CONCAT(B309,C309,D309,E309,F309)</f>
        <v/>
      </c>
      <c r="Q309" s="1" t="str">
        <f aca="false">_xlfn.CONCAT(H309,I309,J309)</f>
        <v>RFOINT</v>
      </c>
    </row>
    <row r="310" customFormat="false" ht="15" hidden="false" customHeight="false" outlineLevel="0" collapsed="false">
      <c r="G310" s="15" t="n">
        <f aca="false">F310-E310</f>
        <v>0</v>
      </c>
      <c r="H310" s="20"/>
      <c r="I310" s="1" t="s">
        <v>263</v>
      </c>
      <c r="J310" s="20" t="s">
        <v>417</v>
      </c>
      <c r="K310" s="1" t="e">
        <f aca="false">_xlfn.xlookup(J310,REF!$D$2:$D$12,REF!$E$2:$E$12)</f>
        <v>#NAME?</v>
      </c>
      <c r="L310" s="1" t="s">
        <v>420</v>
      </c>
      <c r="M310" s="20" t="s">
        <v>418</v>
      </c>
      <c r="N310" s="20" t="s">
        <v>252</v>
      </c>
      <c r="O310" s="1" t="s">
        <v>419</v>
      </c>
      <c r="P310" s="22" t="str">
        <f aca="false">_xlfn.CONCAT(B310,C310,D310,E310,F310)</f>
        <v/>
      </c>
      <c r="Q310" s="1" t="str">
        <f aca="false">_xlfn.CONCAT(H310,I310,J310)</f>
        <v>RFOINT</v>
      </c>
    </row>
    <row r="311" customFormat="false" ht="15" hidden="false" customHeight="false" outlineLevel="0" collapsed="false">
      <c r="G311" s="15" t="n">
        <f aca="false">F311-E311</f>
        <v>0</v>
      </c>
      <c r="H311" s="20"/>
      <c r="I311" s="1" t="s">
        <v>263</v>
      </c>
      <c r="J311" s="20" t="s">
        <v>417</v>
      </c>
      <c r="K311" s="1" t="e">
        <f aca="false">_xlfn.xlookup(J311,REF!$D$2:$D$12,REF!$E$2:$E$12)</f>
        <v>#NAME?</v>
      </c>
      <c r="L311" s="1" t="s">
        <v>420</v>
      </c>
      <c r="M311" s="20" t="s">
        <v>418</v>
      </c>
      <c r="N311" s="20" t="s">
        <v>252</v>
      </c>
      <c r="O311" s="1" t="s">
        <v>419</v>
      </c>
      <c r="P311" s="22" t="str">
        <f aca="false">_xlfn.CONCAT(B311,C311,D311,E311,F311)</f>
        <v/>
      </c>
      <c r="Q311" s="1" t="str">
        <f aca="false">_xlfn.CONCAT(H311,I311,J311)</f>
        <v>RFOINT</v>
      </c>
    </row>
    <row r="312" customFormat="false" ht="15" hidden="false" customHeight="false" outlineLevel="0" collapsed="false">
      <c r="G312" s="15" t="n">
        <f aca="false">F312-E312</f>
        <v>0</v>
      </c>
      <c r="H312" s="20"/>
      <c r="I312" s="1" t="s">
        <v>263</v>
      </c>
      <c r="J312" s="20" t="s">
        <v>417</v>
      </c>
      <c r="K312" s="1" t="e">
        <f aca="false">_xlfn.xlookup(J312,REF!$D$2:$D$12,REF!$E$2:$E$12)</f>
        <v>#NAME?</v>
      </c>
      <c r="L312" s="1" t="s">
        <v>420</v>
      </c>
      <c r="M312" s="20" t="s">
        <v>418</v>
      </c>
      <c r="N312" s="20" t="s">
        <v>252</v>
      </c>
      <c r="O312" s="1" t="s">
        <v>419</v>
      </c>
      <c r="P312" s="22" t="str">
        <f aca="false">_xlfn.CONCAT(B312,C312,D312,E312,F312)</f>
        <v/>
      </c>
      <c r="Q312" s="1" t="str">
        <f aca="false">_xlfn.CONCAT(H312,I312,J312)</f>
        <v>RFOINT</v>
      </c>
    </row>
    <row r="313" customFormat="false" ht="15" hidden="false" customHeight="false" outlineLevel="0" collapsed="false">
      <c r="G313" s="15" t="n">
        <f aca="false">F313-E313</f>
        <v>0</v>
      </c>
      <c r="H313" s="20"/>
      <c r="I313" s="1" t="s">
        <v>263</v>
      </c>
      <c r="J313" s="20" t="s">
        <v>417</v>
      </c>
      <c r="K313" s="1" t="e">
        <f aca="false">_xlfn.xlookup(J313,REF!$D$2:$D$12,REF!$E$2:$E$12)</f>
        <v>#NAME?</v>
      </c>
      <c r="L313" s="1" t="s">
        <v>420</v>
      </c>
      <c r="M313" s="20" t="s">
        <v>418</v>
      </c>
      <c r="N313" s="20" t="s">
        <v>252</v>
      </c>
      <c r="O313" s="1" t="s">
        <v>419</v>
      </c>
      <c r="P313" s="22" t="str">
        <f aca="false">_xlfn.CONCAT(B313,C313,D313,E313,F313)</f>
        <v/>
      </c>
      <c r="Q313" s="1" t="str">
        <f aca="false">_xlfn.CONCAT(H313,I313,J313)</f>
        <v>RFOINT</v>
      </c>
    </row>
    <row r="314" customFormat="false" ht="15" hidden="false" customHeight="false" outlineLevel="0" collapsed="false">
      <c r="G314" s="15" t="n">
        <f aca="false">F314-E314</f>
        <v>0</v>
      </c>
      <c r="H314" s="20"/>
      <c r="I314" s="1" t="s">
        <v>263</v>
      </c>
      <c r="J314" s="20" t="s">
        <v>417</v>
      </c>
      <c r="K314" s="1" t="e">
        <f aca="false">_xlfn.xlookup(J314,REF!$D$2:$D$12,REF!$E$2:$E$12)</f>
        <v>#NAME?</v>
      </c>
      <c r="L314" s="1" t="s">
        <v>420</v>
      </c>
      <c r="M314" s="20" t="s">
        <v>418</v>
      </c>
      <c r="N314" s="20" t="s">
        <v>252</v>
      </c>
      <c r="O314" s="1" t="s">
        <v>419</v>
      </c>
      <c r="P314" s="22" t="str">
        <f aca="false">_xlfn.CONCAT(B314,C314,D314,E314,F314)</f>
        <v/>
      </c>
      <c r="Q314" s="1" t="str">
        <f aca="false">_xlfn.CONCAT(H314,I314,J314)</f>
        <v>RFOINT</v>
      </c>
    </row>
    <row r="315" customFormat="false" ht="15" hidden="false" customHeight="false" outlineLevel="0" collapsed="false">
      <c r="G315" s="15" t="n">
        <f aca="false">F315-E315</f>
        <v>0</v>
      </c>
      <c r="H315" s="20"/>
      <c r="I315" s="1" t="s">
        <v>263</v>
      </c>
      <c r="J315" s="20" t="s">
        <v>417</v>
      </c>
      <c r="K315" s="1" t="e">
        <f aca="false">_xlfn.xlookup(J315,REF!$D$2:$D$12,REF!$E$2:$E$12)</f>
        <v>#NAME?</v>
      </c>
      <c r="L315" s="1" t="s">
        <v>420</v>
      </c>
      <c r="M315" s="20" t="s">
        <v>418</v>
      </c>
      <c r="N315" s="20" t="s">
        <v>252</v>
      </c>
      <c r="O315" s="1" t="s">
        <v>419</v>
      </c>
      <c r="P315" s="22" t="str">
        <f aca="false">_xlfn.CONCAT(B315,C315,D315,E315,F315)</f>
        <v/>
      </c>
      <c r="Q315" s="1" t="str">
        <f aca="false">_xlfn.CONCAT(H315,I315,J315)</f>
        <v>RFOINT</v>
      </c>
    </row>
    <row r="316" customFormat="false" ht="15" hidden="false" customHeight="false" outlineLevel="0" collapsed="false">
      <c r="G316" s="15" t="n">
        <f aca="false">F316-E316</f>
        <v>0</v>
      </c>
      <c r="H316" s="20"/>
      <c r="I316" s="1" t="s">
        <v>263</v>
      </c>
      <c r="J316" s="20" t="s">
        <v>417</v>
      </c>
      <c r="K316" s="1" t="e">
        <f aca="false">_xlfn.xlookup(J316,REF!$D$2:$D$12,REF!$E$2:$E$12)</f>
        <v>#NAME?</v>
      </c>
      <c r="L316" s="1" t="s">
        <v>420</v>
      </c>
      <c r="M316" s="20" t="s">
        <v>418</v>
      </c>
      <c r="N316" s="20" t="s">
        <v>252</v>
      </c>
      <c r="O316" s="1" t="s">
        <v>419</v>
      </c>
      <c r="P316" s="22" t="str">
        <f aca="false">_xlfn.CONCAT(B316,C316,D316,E316,F316)</f>
        <v/>
      </c>
      <c r="Q316" s="1" t="str">
        <f aca="false">_xlfn.CONCAT(H316,I316,J316)</f>
        <v>RFOINT</v>
      </c>
    </row>
    <row r="317" customFormat="false" ht="15" hidden="false" customHeight="false" outlineLevel="0" collapsed="false">
      <c r="G317" s="15" t="n">
        <f aca="false">F317-E317</f>
        <v>0</v>
      </c>
      <c r="H317" s="20"/>
      <c r="I317" s="1" t="s">
        <v>263</v>
      </c>
      <c r="J317" s="20" t="s">
        <v>417</v>
      </c>
      <c r="K317" s="1" t="e">
        <f aca="false">_xlfn.xlookup(J317,REF!$D$2:$D$12,REF!$E$2:$E$12)</f>
        <v>#NAME?</v>
      </c>
      <c r="L317" s="1" t="s">
        <v>420</v>
      </c>
      <c r="M317" s="20" t="s">
        <v>418</v>
      </c>
      <c r="N317" s="20" t="s">
        <v>252</v>
      </c>
      <c r="O317" s="1" t="s">
        <v>419</v>
      </c>
      <c r="P317" s="22" t="str">
        <f aca="false">_xlfn.CONCAT(B317,C317,D317,E317,F317)</f>
        <v/>
      </c>
      <c r="Q317" s="1" t="str">
        <f aca="false">_xlfn.CONCAT(H317,I317,J317)</f>
        <v>RFOINT</v>
      </c>
    </row>
    <row r="318" customFormat="false" ht="15" hidden="false" customHeight="false" outlineLevel="0" collapsed="false">
      <c r="G318" s="15" t="n">
        <f aca="false">F318-E318</f>
        <v>0</v>
      </c>
      <c r="H318" s="20"/>
      <c r="I318" s="1" t="s">
        <v>263</v>
      </c>
      <c r="J318" s="20" t="s">
        <v>417</v>
      </c>
      <c r="K318" s="1" t="e">
        <f aca="false">_xlfn.xlookup(J318,REF!$D$2:$D$12,REF!$E$2:$E$12)</f>
        <v>#NAME?</v>
      </c>
      <c r="L318" s="1" t="s">
        <v>420</v>
      </c>
      <c r="M318" s="20" t="s">
        <v>418</v>
      </c>
      <c r="N318" s="20" t="s">
        <v>252</v>
      </c>
      <c r="O318" s="1" t="s">
        <v>419</v>
      </c>
      <c r="P318" s="22" t="str">
        <f aca="false">_xlfn.CONCAT(B318,C318,D318,E318,F318)</f>
        <v/>
      </c>
      <c r="Q318" s="1" t="str">
        <f aca="false">_xlfn.CONCAT(H318,I318,J318)</f>
        <v>RFOINT</v>
      </c>
    </row>
    <row r="319" customFormat="false" ht="15" hidden="false" customHeight="false" outlineLevel="0" collapsed="false">
      <c r="G319" s="15" t="n">
        <f aca="false">F319-E319</f>
        <v>0</v>
      </c>
      <c r="H319" s="20"/>
      <c r="I319" s="1" t="s">
        <v>263</v>
      </c>
      <c r="J319" s="20" t="s">
        <v>417</v>
      </c>
      <c r="K319" s="1" t="e">
        <f aca="false">_xlfn.xlookup(J319,REF!$D$2:$D$12,REF!$E$2:$E$12)</f>
        <v>#NAME?</v>
      </c>
      <c r="L319" s="1" t="s">
        <v>420</v>
      </c>
      <c r="M319" s="20" t="s">
        <v>418</v>
      </c>
      <c r="N319" s="20" t="s">
        <v>252</v>
      </c>
      <c r="O319" s="1" t="s">
        <v>419</v>
      </c>
      <c r="P319" s="22" t="str">
        <f aca="false">_xlfn.CONCAT(B319,C319,D319,E319,F319)</f>
        <v/>
      </c>
      <c r="Q319" s="1" t="str">
        <f aca="false">_xlfn.CONCAT(H319,I319,J319)</f>
        <v>RFOINT</v>
      </c>
    </row>
    <row r="320" customFormat="false" ht="15" hidden="false" customHeight="false" outlineLevel="0" collapsed="false">
      <c r="G320" s="15" t="n">
        <f aca="false">F320-E320</f>
        <v>0</v>
      </c>
      <c r="H320" s="20"/>
      <c r="I320" s="1" t="s">
        <v>263</v>
      </c>
      <c r="J320" s="20" t="s">
        <v>417</v>
      </c>
      <c r="K320" s="1" t="e">
        <f aca="false">_xlfn.xlookup(J320,REF!$D$2:$D$12,REF!$E$2:$E$12)</f>
        <v>#NAME?</v>
      </c>
      <c r="L320" s="1" t="s">
        <v>420</v>
      </c>
      <c r="M320" s="20" t="s">
        <v>418</v>
      </c>
      <c r="N320" s="20" t="s">
        <v>252</v>
      </c>
      <c r="O320" s="1" t="s">
        <v>419</v>
      </c>
      <c r="P320" s="22" t="str">
        <f aca="false">_xlfn.CONCAT(B320,C320,D320,E320,F320)</f>
        <v/>
      </c>
      <c r="Q320" s="1" t="str">
        <f aca="false">_xlfn.CONCAT(H320,I320,J320)</f>
        <v>RFOINT</v>
      </c>
    </row>
    <row r="321" customFormat="false" ht="15" hidden="false" customHeight="false" outlineLevel="0" collapsed="false">
      <c r="G321" s="15" t="n">
        <f aca="false">F321-E321</f>
        <v>0</v>
      </c>
      <c r="H321" s="20"/>
      <c r="I321" s="1" t="s">
        <v>263</v>
      </c>
      <c r="J321" s="20" t="s">
        <v>417</v>
      </c>
      <c r="K321" s="1" t="e">
        <f aca="false">_xlfn.xlookup(J321,REF!$D$2:$D$12,REF!$E$2:$E$12)</f>
        <v>#NAME?</v>
      </c>
      <c r="L321" s="1" t="s">
        <v>420</v>
      </c>
      <c r="M321" s="20" t="s">
        <v>418</v>
      </c>
      <c r="N321" s="20" t="s">
        <v>252</v>
      </c>
      <c r="O321" s="1" t="s">
        <v>419</v>
      </c>
      <c r="P321" s="22" t="str">
        <f aca="false">_xlfn.CONCAT(B321,C321,D321,E321,F321)</f>
        <v/>
      </c>
      <c r="Q321" s="1" t="str">
        <f aca="false">_xlfn.CONCAT(H321,I321,J321)</f>
        <v>RFOINT</v>
      </c>
    </row>
    <row r="322" customFormat="false" ht="15" hidden="false" customHeight="false" outlineLevel="0" collapsed="false">
      <c r="G322" s="15" t="n">
        <f aca="false">F322-E322</f>
        <v>0</v>
      </c>
      <c r="H322" s="20"/>
      <c r="I322" s="1" t="s">
        <v>263</v>
      </c>
      <c r="J322" s="20" t="s">
        <v>417</v>
      </c>
      <c r="K322" s="1" t="e">
        <f aca="false">_xlfn.xlookup(J322,REF!$D$2:$D$12,REF!$E$2:$E$12)</f>
        <v>#NAME?</v>
      </c>
      <c r="L322" s="1" t="s">
        <v>420</v>
      </c>
      <c r="M322" s="20" t="s">
        <v>418</v>
      </c>
      <c r="N322" s="20" t="s">
        <v>252</v>
      </c>
      <c r="O322" s="1" t="s">
        <v>419</v>
      </c>
      <c r="P322" s="22" t="str">
        <f aca="false">_xlfn.CONCAT(B322,C322,D322,E322,F322)</f>
        <v/>
      </c>
      <c r="Q322" s="1" t="str">
        <f aca="false">_xlfn.CONCAT(H322,I322,J322)</f>
        <v>RFOINT</v>
      </c>
    </row>
    <row r="323" customFormat="false" ht="15" hidden="false" customHeight="false" outlineLevel="0" collapsed="false">
      <c r="G323" s="15" t="n">
        <f aca="false">F323-E323</f>
        <v>0</v>
      </c>
      <c r="H323" s="20"/>
      <c r="I323" s="1" t="s">
        <v>263</v>
      </c>
      <c r="J323" s="20" t="s">
        <v>417</v>
      </c>
      <c r="K323" s="1" t="e">
        <f aca="false">_xlfn.xlookup(J323,REF!$D$2:$D$12,REF!$E$2:$E$12)</f>
        <v>#NAME?</v>
      </c>
      <c r="L323" s="1" t="s">
        <v>420</v>
      </c>
      <c r="M323" s="20" t="s">
        <v>418</v>
      </c>
      <c r="N323" s="20" t="s">
        <v>252</v>
      </c>
      <c r="O323" s="1" t="s">
        <v>419</v>
      </c>
      <c r="P323" s="22" t="str">
        <f aca="false">_xlfn.CONCAT(B323,C323,D323,E323,F323)</f>
        <v/>
      </c>
      <c r="Q323" s="1" t="str">
        <f aca="false">_xlfn.CONCAT(H323,I323,J323)</f>
        <v>RFOINT</v>
      </c>
    </row>
    <row r="324" customFormat="false" ht="15" hidden="false" customHeight="false" outlineLevel="0" collapsed="false">
      <c r="G324" s="15" t="n">
        <f aca="false">F324-E324</f>
        <v>0</v>
      </c>
      <c r="H324" s="20"/>
      <c r="I324" s="1" t="s">
        <v>263</v>
      </c>
      <c r="J324" s="20" t="s">
        <v>417</v>
      </c>
      <c r="K324" s="1" t="e">
        <f aca="false">_xlfn.xlookup(J324,REF!$D$2:$D$12,REF!$E$2:$E$12)</f>
        <v>#NAME?</v>
      </c>
      <c r="L324" s="1" t="s">
        <v>420</v>
      </c>
      <c r="M324" s="20" t="s">
        <v>418</v>
      </c>
      <c r="N324" s="20" t="s">
        <v>252</v>
      </c>
      <c r="O324" s="1" t="s">
        <v>419</v>
      </c>
      <c r="P324" s="22" t="str">
        <f aca="false">_xlfn.CONCAT(B324,C324,D324,E324,F324)</f>
        <v/>
      </c>
      <c r="Q324" s="1" t="str">
        <f aca="false">_xlfn.CONCAT(H324,I324,J324)</f>
        <v>RFOINT</v>
      </c>
      <c r="R324" s="1"/>
    </row>
    <row r="325" customFormat="false" ht="15" hidden="false" customHeight="false" outlineLevel="0" collapsed="false">
      <c r="G325" s="15" t="n">
        <f aca="false">F325-E325</f>
        <v>0</v>
      </c>
      <c r="H325" s="20"/>
      <c r="I325" s="1" t="s">
        <v>263</v>
      </c>
      <c r="J325" s="20" t="s">
        <v>417</v>
      </c>
      <c r="K325" s="1" t="e">
        <f aca="false">_xlfn.xlookup(J325,REF!$D$2:$D$12,REF!$E$2:$E$12)</f>
        <v>#NAME?</v>
      </c>
      <c r="L325" s="1" t="s">
        <v>420</v>
      </c>
      <c r="M325" s="20" t="s">
        <v>418</v>
      </c>
      <c r="N325" s="20" t="s">
        <v>252</v>
      </c>
      <c r="O325" s="1" t="s">
        <v>419</v>
      </c>
      <c r="P325" s="22" t="str">
        <f aca="false">_xlfn.CONCAT(B325,C325,D325,E325,F325)</f>
        <v/>
      </c>
      <c r="Q325" s="1" t="str">
        <f aca="false">_xlfn.CONCAT(H325,I325,J325)</f>
        <v>RFOINT</v>
      </c>
    </row>
    <row r="326" customFormat="false" ht="15" hidden="false" customHeight="false" outlineLevel="0" collapsed="false">
      <c r="G326" s="15" t="n">
        <f aca="false">F326-E326</f>
        <v>0</v>
      </c>
      <c r="H326" s="20"/>
      <c r="I326" s="1" t="s">
        <v>263</v>
      </c>
      <c r="J326" s="20" t="s">
        <v>417</v>
      </c>
      <c r="K326" s="1" t="e">
        <f aca="false">_xlfn.xlookup(J326,REF!$D$2:$D$12,REF!$E$2:$E$12)</f>
        <v>#NAME?</v>
      </c>
      <c r="L326" s="1" t="s">
        <v>420</v>
      </c>
      <c r="M326" s="20" t="s">
        <v>418</v>
      </c>
      <c r="N326" s="20" t="s">
        <v>252</v>
      </c>
      <c r="O326" s="1" t="s">
        <v>419</v>
      </c>
      <c r="P326" s="22" t="str">
        <f aca="false">_xlfn.CONCAT(B326,C326,D326,E326,F326)</f>
        <v/>
      </c>
      <c r="Q326" s="1" t="str">
        <f aca="false">_xlfn.CONCAT(H326,I326,J326)</f>
        <v>RFOINT</v>
      </c>
    </row>
    <row r="327" customFormat="false" ht="15" hidden="false" customHeight="false" outlineLevel="0" collapsed="false">
      <c r="G327" s="15" t="n">
        <f aca="false">F327-E327</f>
        <v>0</v>
      </c>
      <c r="H327" s="20"/>
      <c r="I327" s="1" t="s">
        <v>263</v>
      </c>
      <c r="J327" s="20" t="s">
        <v>417</v>
      </c>
      <c r="K327" s="1" t="e">
        <f aca="false">_xlfn.xlookup(J327,REF!$D$2:$D$12,REF!$E$2:$E$12)</f>
        <v>#NAME?</v>
      </c>
      <c r="L327" s="1" t="s">
        <v>420</v>
      </c>
      <c r="M327" s="20" t="s">
        <v>418</v>
      </c>
      <c r="N327" s="20" t="s">
        <v>252</v>
      </c>
      <c r="O327" s="1" t="s">
        <v>419</v>
      </c>
      <c r="P327" s="22" t="str">
        <f aca="false">_xlfn.CONCAT(B327,C327,D327,E327,F327)</f>
        <v/>
      </c>
      <c r="Q327" s="1" t="str">
        <f aca="false">_xlfn.CONCAT(H327,I327,J327)</f>
        <v>RFOINT</v>
      </c>
    </row>
    <row r="328" customFormat="false" ht="15" hidden="false" customHeight="false" outlineLevel="0" collapsed="false">
      <c r="G328" s="15" t="n">
        <f aca="false">F328-E328</f>
        <v>0</v>
      </c>
      <c r="H328" s="20"/>
      <c r="I328" s="1" t="s">
        <v>263</v>
      </c>
      <c r="J328" s="20" t="s">
        <v>417</v>
      </c>
      <c r="K328" s="1" t="e">
        <f aca="false">_xlfn.xlookup(J328,REF!$D$2:$D$12,REF!$E$2:$E$12)</f>
        <v>#NAME?</v>
      </c>
      <c r="L328" s="1" t="s">
        <v>420</v>
      </c>
      <c r="M328" s="20" t="s">
        <v>418</v>
      </c>
      <c r="N328" s="20" t="s">
        <v>252</v>
      </c>
      <c r="O328" s="1" t="s">
        <v>419</v>
      </c>
      <c r="P328" s="22" t="str">
        <f aca="false">_xlfn.CONCAT(B328,C328,D328,E328,F328)</f>
        <v/>
      </c>
      <c r="Q328" s="1" t="str">
        <f aca="false">_xlfn.CONCAT(H328,I328,J328)</f>
        <v>RFOINT</v>
      </c>
    </row>
    <row r="329" customFormat="false" ht="15" hidden="false" customHeight="false" outlineLevel="0" collapsed="false">
      <c r="G329" s="15" t="n">
        <f aca="false">F329-E329</f>
        <v>0</v>
      </c>
      <c r="H329" s="20"/>
      <c r="I329" s="1" t="s">
        <v>263</v>
      </c>
      <c r="J329" s="20" t="s">
        <v>417</v>
      </c>
      <c r="K329" s="1" t="e">
        <f aca="false">_xlfn.xlookup(J329,REF!$D$2:$D$12,REF!$E$2:$E$12)</f>
        <v>#NAME?</v>
      </c>
      <c r="L329" s="1" t="s">
        <v>420</v>
      </c>
      <c r="M329" s="20" t="s">
        <v>418</v>
      </c>
      <c r="N329" s="20" t="s">
        <v>252</v>
      </c>
      <c r="O329" s="1" t="s">
        <v>419</v>
      </c>
      <c r="P329" s="22" t="str">
        <f aca="false">_xlfn.CONCAT(B329,C329,D329,E329,F329)</f>
        <v/>
      </c>
      <c r="Q329" s="1" t="str">
        <f aca="false">_xlfn.CONCAT(H329,I329,J329)</f>
        <v>RFOINT</v>
      </c>
    </row>
    <row r="330" customFormat="false" ht="15" hidden="false" customHeight="false" outlineLevel="0" collapsed="false">
      <c r="G330" s="15" t="n">
        <f aca="false">F330-E330</f>
        <v>0</v>
      </c>
      <c r="H330" s="20"/>
      <c r="I330" s="1" t="s">
        <v>263</v>
      </c>
      <c r="J330" s="20" t="s">
        <v>417</v>
      </c>
      <c r="K330" s="1" t="e">
        <f aca="false">_xlfn.xlookup(J330,REF!$D$2:$D$12,REF!$E$2:$E$12)</f>
        <v>#NAME?</v>
      </c>
      <c r="L330" s="1" t="s">
        <v>420</v>
      </c>
      <c r="M330" s="20" t="s">
        <v>418</v>
      </c>
      <c r="N330" s="20" t="s">
        <v>252</v>
      </c>
      <c r="O330" s="1" t="s">
        <v>419</v>
      </c>
      <c r="P330" s="22" t="str">
        <f aca="false">_xlfn.CONCAT(B330,C330,D330,E330,F330)</f>
        <v/>
      </c>
      <c r="Q330" s="1" t="str">
        <f aca="false">_xlfn.CONCAT(H330,I330,J330)</f>
        <v>RFOINT</v>
      </c>
    </row>
    <row r="331" customFormat="false" ht="15" hidden="false" customHeight="false" outlineLevel="0" collapsed="false">
      <c r="G331" s="15" t="n">
        <f aca="false">F331-E331</f>
        <v>0</v>
      </c>
      <c r="H331" s="20"/>
      <c r="I331" s="1" t="s">
        <v>263</v>
      </c>
      <c r="J331" s="20" t="s">
        <v>417</v>
      </c>
      <c r="K331" s="1" t="e">
        <f aca="false">_xlfn.xlookup(J331,REF!$D$2:$D$12,REF!$E$2:$E$12)</f>
        <v>#NAME?</v>
      </c>
      <c r="L331" s="1" t="s">
        <v>420</v>
      </c>
      <c r="M331" s="20" t="s">
        <v>418</v>
      </c>
      <c r="N331" s="20" t="s">
        <v>252</v>
      </c>
      <c r="O331" s="1" t="s">
        <v>419</v>
      </c>
      <c r="P331" s="22" t="str">
        <f aca="false">_xlfn.CONCAT(B331,C331,D331,E331,F331)</f>
        <v/>
      </c>
      <c r="Q331" s="1" t="str">
        <f aca="false">_xlfn.CONCAT(H331,I331,J331)</f>
        <v>RFOINT</v>
      </c>
    </row>
    <row r="332" customFormat="false" ht="15" hidden="false" customHeight="false" outlineLevel="0" collapsed="false">
      <c r="G332" s="15" t="n">
        <f aca="false">F332-E332</f>
        <v>0</v>
      </c>
      <c r="H332" s="20"/>
      <c r="I332" s="1" t="s">
        <v>263</v>
      </c>
      <c r="J332" s="20" t="s">
        <v>417</v>
      </c>
      <c r="K332" s="1" t="e">
        <f aca="false">_xlfn.xlookup(J332,REF!$D$2:$D$12,REF!$E$2:$E$12)</f>
        <v>#NAME?</v>
      </c>
      <c r="L332" s="1" t="s">
        <v>420</v>
      </c>
      <c r="M332" s="20" t="s">
        <v>418</v>
      </c>
      <c r="N332" s="20" t="s">
        <v>252</v>
      </c>
      <c r="O332" s="1" t="s">
        <v>419</v>
      </c>
      <c r="P332" s="22" t="str">
        <f aca="false">_xlfn.CONCAT(B332,C332,D332,E332,F332)</f>
        <v/>
      </c>
      <c r="Q332" s="1" t="str">
        <f aca="false">_xlfn.CONCAT(H332,I332,J332)</f>
        <v>RFOINT</v>
      </c>
    </row>
    <row r="333" customFormat="false" ht="15" hidden="false" customHeight="false" outlineLevel="0" collapsed="false">
      <c r="G333" s="15" t="n">
        <f aca="false">F333-E333</f>
        <v>0</v>
      </c>
      <c r="H333" s="20"/>
      <c r="I333" s="1" t="s">
        <v>263</v>
      </c>
      <c r="J333" s="20" t="s">
        <v>417</v>
      </c>
      <c r="K333" s="1" t="e">
        <f aca="false">_xlfn.xlookup(J333,REF!$D$2:$D$12,REF!$E$2:$E$12)</f>
        <v>#NAME?</v>
      </c>
      <c r="L333" s="1" t="s">
        <v>420</v>
      </c>
      <c r="M333" s="20" t="s">
        <v>418</v>
      </c>
      <c r="N333" s="20" t="s">
        <v>252</v>
      </c>
      <c r="O333" s="1" t="s">
        <v>419</v>
      </c>
      <c r="P333" s="22" t="str">
        <f aca="false">_xlfn.CONCAT(B333,C333,D333,E333,F333)</f>
        <v/>
      </c>
      <c r="Q333" s="1" t="str">
        <f aca="false">_xlfn.CONCAT(H333,I333,J333)</f>
        <v>RFOINT</v>
      </c>
    </row>
    <row r="334" customFormat="false" ht="15" hidden="false" customHeight="false" outlineLevel="0" collapsed="false">
      <c r="G334" s="15" t="n">
        <f aca="false">F334-E334</f>
        <v>0</v>
      </c>
      <c r="H334" s="20"/>
      <c r="J334" s="20" t="s">
        <v>256</v>
      </c>
      <c r="K334" s="1" t="e">
        <f aca="false">_xlfn.xlookup(J334,REF!$D$2:$D$12,REF!$E$2:$E$12)</f>
        <v>#NAME?</v>
      </c>
      <c r="L334" s="1" t="s">
        <v>408</v>
      </c>
      <c r="M334" s="20" t="s">
        <v>258</v>
      </c>
      <c r="N334" s="20" t="s">
        <v>379</v>
      </c>
      <c r="O334" s="1" t="s">
        <v>409</v>
      </c>
      <c r="P334" s="22" t="str">
        <f aca="false">_xlfn.CONCAT(B334,C334,D334,E334,F334)</f>
        <v/>
      </c>
      <c r="Q334" s="1" t="str">
        <f aca="false">_xlfn.CONCAT(H334,I334,J334)</f>
        <v>RDE</v>
      </c>
    </row>
    <row r="335" customFormat="false" ht="15" hidden="false" customHeight="false" outlineLevel="0" collapsed="false">
      <c r="G335" s="15" t="n">
        <f aca="false">F335-E335</f>
        <v>0</v>
      </c>
      <c r="H335" s="20"/>
      <c r="J335" s="20" t="s">
        <v>256</v>
      </c>
      <c r="K335" s="1" t="e">
        <f aca="false">_xlfn.xlookup(J335,REF!$D$2:$D$12,REF!$E$2:$E$12)</f>
        <v>#NAME?</v>
      </c>
      <c r="L335" s="1" t="s">
        <v>408</v>
      </c>
      <c r="M335" s="20" t="s">
        <v>258</v>
      </c>
      <c r="N335" s="20" t="s">
        <v>379</v>
      </c>
      <c r="O335" s="1" t="s">
        <v>409</v>
      </c>
      <c r="P335" s="22" t="str">
        <f aca="false">_xlfn.CONCAT(B335,C335,D335,E335,F335)</f>
        <v/>
      </c>
      <c r="Q335" s="1" t="str">
        <f aca="false">_xlfn.CONCAT(H335,I335,J335)</f>
        <v>RDE</v>
      </c>
    </row>
    <row r="336" customFormat="false" ht="15" hidden="false" customHeight="false" outlineLevel="0" collapsed="false">
      <c r="G336" s="15" t="n">
        <f aca="false">F336-E336</f>
        <v>0</v>
      </c>
      <c r="H336" s="20"/>
      <c r="J336" s="20" t="s">
        <v>256</v>
      </c>
      <c r="K336" s="1" t="e">
        <f aca="false">_xlfn.xlookup(J336,REF!$D$2:$D$12,REF!$E$2:$E$12)</f>
        <v>#NAME?</v>
      </c>
      <c r="L336" s="1" t="s">
        <v>408</v>
      </c>
      <c r="M336" s="20" t="s">
        <v>258</v>
      </c>
      <c r="N336" s="20" t="s">
        <v>379</v>
      </c>
      <c r="O336" s="1" t="s">
        <v>409</v>
      </c>
      <c r="P336" s="22" t="str">
        <f aca="false">_xlfn.CONCAT(B336,C336,D336,E336,F336)</f>
        <v/>
      </c>
      <c r="Q336" s="1" t="str">
        <f aca="false">_xlfn.CONCAT(H336,I336,J336)</f>
        <v>RDE</v>
      </c>
    </row>
    <row r="337" customFormat="false" ht="15" hidden="false" customHeight="false" outlineLevel="0" collapsed="false">
      <c r="G337" s="15" t="n">
        <f aca="false">F337-E337</f>
        <v>0</v>
      </c>
      <c r="H337" s="20"/>
      <c r="J337" s="20" t="s">
        <v>256</v>
      </c>
      <c r="K337" s="1" t="e">
        <f aca="false">_xlfn.xlookup(J337,REF!$D$2:$D$12,REF!$E$2:$E$12)</f>
        <v>#NAME?</v>
      </c>
      <c r="L337" s="1" t="s">
        <v>408</v>
      </c>
      <c r="M337" s="20" t="s">
        <v>258</v>
      </c>
      <c r="N337" s="20" t="s">
        <v>379</v>
      </c>
      <c r="O337" s="1" t="s">
        <v>409</v>
      </c>
      <c r="P337" s="22" t="str">
        <f aca="false">_xlfn.CONCAT(B337,C337,D337,E337,F337)</f>
        <v/>
      </c>
      <c r="Q337" s="1" t="str">
        <f aca="false">_xlfn.CONCAT(H337,I337,J337)</f>
        <v>RDE</v>
      </c>
    </row>
    <row r="338" customFormat="false" ht="15" hidden="false" customHeight="false" outlineLevel="0" collapsed="false">
      <c r="G338" s="15" t="n">
        <f aca="false">F338-E338</f>
        <v>0</v>
      </c>
      <c r="H338" s="20"/>
      <c r="J338" s="20" t="s">
        <v>256</v>
      </c>
      <c r="K338" s="1" t="e">
        <f aca="false">_xlfn.xlookup(J338,REF!$D$2:$D$12,REF!$E$2:$E$12)</f>
        <v>#NAME?</v>
      </c>
      <c r="L338" s="1" t="s">
        <v>408</v>
      </c>
      <c r="M338" s="20" t="s">
        <v>258</v>
      </c>
      <c r="N338" s="20" t="s">
        <v>379</v>
      </c>
      <c r="O338" s="1" t="s">
        <v>409</v>
      </c>
      <c r="P338" s="22" t="str">
        <f aca="false">_xlfn.CONCAT(B338,C338,D338,E338,F338)</f>
        <v/>
      </c>
      <c r="Q338" s="1" t="str">
        <f aca="false">_xlfn.CONCAT(H338,I338,J338)</f>
        <v>RDE</v>
      </c>
    </row>
    <row r="339" customFormat="false" ht="15" hidden="false" customHeight="false" outlineLevel="0" collapsed="false">
      <c r="G339" s="15" t="n">
        <f aca="false">F339-E339</f>
        <v>0</v>
      </c>
      <c r="H339" s="20"/>
      <c r="J339" s="20" t="s">
        <v>256</v>
      </c>
      <c r="K339" s="1" t="e">
        <f aca="false">_xlfn.xlookup(J339,REF!$D$2:$D$12,REF!$E$2:$E$12)</f>
        <v>#NAME?</v>
      </c>
      <c r="L339" s="1" t="s">
        <v>408</v>
      </c>
      <c r="M339" s="20" t="s">
        <v>258</v>
      </c>
      <c r="N339" s="20" t="s">
        <v>379</v>
      </c>
      <c r="O339" s="1" t="s">
        <v>409</v>
      </c>
      <c r="P339" s="22" t="str">
        <f aca="false">_xlfn.CONCAT(B339,C339,D339,E339,F339)</f>
        <v/>
      </c>
      <c r="Q339" s="1" t="str">
        <f aca="false">_xlfn.CONCAT(H339,I339,J339)</f>
        <v>RDE</v>
      </c>
    </row>
    <row r="340" customFormat="false" ht="15" hidden="false" customHeight="false" outlineLevel="0" collapsed="false">
      <c r="G340" s="15" t="n">
        <f aca="false">F340-E340</f>
        <v>0</v>
      </c>
      <c r="H340" s="20"/>
      <c r="J340" s="20" t="s">
        <v>256</v>
      </c>
      <c r="K340" s="1" t="e">
        <f aca="false">_xlfn.xlookup(J340,REF!$D$2:$D$12,REF!$E$2:$E$12)</f>
        <v>#NAME?</v>
      </c>
      <c r="L340" s="1" t="s">
        <v>408</v>
      </c>
      <c r="M340" s="20" t="s">
        <v>258</v>
      </c>
      <c r="N340" s="20" t="s">
        <v>379</v>
      </c>
      <c r="O340" s="1" t="s">
        <v>409</v>
      </c>
      <c r="P340" s="22" t="str">
        <f aca="false">_xlfn.CONCAT(B340,C340,D340,E340,F340)</f>
        <v/>
      </c>
      <c r="Q340" s="1" t="str">
        <f aca="false">_xlfn.CONCAT(H340,I340,J340)</f>
        <v>RDE</v>
      </c>
    </row>
    <row r="341" customFormat="false" ht="15" hidden="false" customHeight="false" outlineLevel="0" collapsed="false">
      <c r="G341" s="15" t="n">
        <f aca="false">F341-E341</f>
        <v>0</v>
      </c>
      <c r="H341" s="20"/>
      <c r="J341" s="20" t="s">
        <v>256</v>
      </c>
      <c r="K341" s="1" t="e">
        <f aca="false">_xlfn.xlookup(J341,REF!$D$2:$D$12,REF!$E$2:$E$12)</f>
        <v>#NAME?</v>
      </c>
      <c r="L341" s="1" t="s">
        <v>408</v>
      </c>
      <c r="M341" s="20" t="s">
        <v>258</v>
      </c>
      <c r="N341" s="20" t="s">
        <v>379</v>
      </c>
      <c r="O341" s="1" t="s">
        <v>409</v>
      </c>
      <c r="P341" s="22" t="str">
        <f aca="false">_xlfn.CONCAT(B341,C341,D341,E341,F341)</f>
        <v/>
      </c>
      <c r="Q341" s="1" t="str">
        <f aca="false">_xlfn.CONCAT(H341,I341,J341)</f>
        <v>RDE</v>
      </c>
    </row>
    <row r="342" customFormat="false" ht="15" hidden="false" customHeight="false" outlineLevel="0" collapsed="false">
      <c r="G342" s="15" t="n">
        <f aca="false">F342-E342</f>
        <v>0</v>
      </c>
      <c r="H342" s="20"/>
      <c r="J342" s="20" t="s">
        <v>256</v>
      </c>
      <c r="K342" s="1" t="e">
        <f aca="false">_xlfn.xlookup(J342,REF!$D$2:$D$12,REF!$E$2:$E$12)</f>
        <v>#NAME?</v>
      </c>
      <c r="L342" s="1" t="s">
        <v>408</v>
      </c>
      <c r="M342" s="20" t="s">
        <v>258</v>
      </c>
      <c r="N342" s="20" t="s">
        <v>379</v>
      </c>
      <c r="O342" s="1" t="s">
        <v>409</v>
      </c>
      <c r="P342" s="22" t="str">
        <f aca="false">_xlfn.CONCAT(B342,C342,D342,E342,F342)</f>
        <v/>
      </c>
      <c r="Q342" s="1" t="str">
        <f aca="false">_xlfn.CONCAT(H342,I342,J342)</f>
        <v>RDE</v>
      </c>
    </row>
    <row r="343" customFormat="false" ht="15" hidden="false" customHeight="false" outlineLevel="0" collapsed="false">
      <c r="G343" s="15" t="n">
        <f aca="false">F343-E343</f>
        <v>0</v>
      </c>
      <c r="H343" s="20"/>
      <c r="J343" s="20" t="s">
        <v>256</v>
      </c>
      <c r="K343" s="1" t="e">
        <f aca="false">_xlfn.xlookup(J343,REF!$D$2:$D$12,REF!$E$2:$E$12)</f>
        <v>#NAME?</v>
      </c>
      <c r="L343" s="1" t="s">
        <v>408</v>
      </c>
      <c r="M343" s="20" t="s">
        <v>258</v>
      </c>
      <c r="N343" s="20" t="s">
        <v>379</v>
      </c>
      <c r="O343" s="1" t="s">
        <v>409</v>
      </c>
      <c r="P343" s="22" t="str">
        <f aca="false">_xlfn.CONCAT(B343,C343,D343,E343,F343)</f>
        <v/>
      </c>
      <c r="Q343" s="1" t="str">
        <f aca="false">_xlfn.CONCAT(H343,I343,J343)</f>
        <v>RDE</v>
      </c>
    </row>
    <row r="344" customFormat="false" ht="15" hidden="false" customHeight="false" outlineLevel="0" collapsed="false">
      <c r="G344" s="15" t="n">
        <f aca="false">F344-E344</f>
        <v>0</v>
      </c>
      <c r="H344" s="20"/>
      <c r="J344" s="20" t="s">
        <v>256</v>
      </c>
      <c r="K344" s="1" t="e">
        <f aca="false">_xlfn.xlookup(J344,REF!$D$2:$D$12,REF!$E$2:$E$12)</f>
        <v>#NAME?</v>
      </c>
      <c r="L344" s="1" t="s">
        <v>408</v>
      </c>
      <c r="M344" s="20" t="s">
        <v>258</v>
      </c>
      <c r="N344" s="20" t="s">
        <v>379</v>
      </c>
      <c r="O344" s="1" t="s">
        <v>409</v>
      </c>
      <c r="P344" s="22" t="str">
        <f aca="false">_xlfn.CONCAT(B344,C344,D344,E344,F344)</f>
        <v/>
      </c>
      <c r="Q344" s="1" t="str">
        <f aca="false">_xlfn.CONCAT(H344,I344,J344)</f>
        <v>RDE</v>
      </c>
    </row>
    <row r="345" customFormat="false" ht="15" hidden="false" customHeight="false" outlineLevel="0" collapsed="false">
      <c r="G345" s="15" t="n">
        <f aca="false">F345-E345</f>
        <v>0</v>
      </c>
      <c r="H345" s="20"/>
      <c r="J345" s="20" t="s">
        <v>256</v>
      </c>
      <c r="K345" s="1" t="e">
        <f aca="false">_xlfn.xlookup(J345,REF!$D$2:$D$12,REF!$E$2:$E$12)</f>
        <v>#NAME?</v>
      </c>
      <c r="L345" s="1" t="s">
        <v>408</v>
      </c>
      <c r="M345" s="20" t="s">
        <v>258</v>
      </c>
      <c r="N345" s="20" t="s">
        <v>379</v>
      </c>
      <c r="O345" s="1" t="s">
        <v>409</v>
      </c>
      <c r="P345" s="22" t="str">
        <f aca="false">_xlfn.CONCAT(B345,C345,D345,E345,F345)</f>
        <v/>
      </c>
      <c r="Q345" s="1" t="str">
        <f aca="false">_xlfn.CONCAT(H345,I345,J345)</f>
        <v>RDE</v>
      </c>
    </row>
    <row r="346" customFormat="false" ht="15" hidden="false" customHeight="false" outlineLevel="0" collapsed="false">
      <c r="G346" s="15" t="n">
        <f aca="false">F346-E346</f>
        <v>0</v>
      </c>
      <c r="H346" s="20"/>
      <c r="J346" s="20" t="s">
        <v>256</v>
      </c>
      <c r="K346" s="1" t="e">
        <f aca="false">_xlfn.xlookup(J346,REF!$D$2:$D$12,REF!$E$2:$E$12)</f>
        <v>#NAME?</v>
      </c>
      <c r="L346" s="1" t="s">
        <v>408</v>
      </c>
      <c r="M346" s="20" t="s">
        <v>258</v>
      </c>
      <c r="N346" s="20" t="s">
        <v>379</v>
      </c>
      <c r="O346" s="1" t="s">
        <v>409</v>
      </c>
      <c r="P346" s="22" t="str">
        <f aca="false">_xlfn.CONCAT(B346,C346,D346,E346,F346)</f>
        <v/>
      </c>
      <c r="Q346" s="1" t="str">
        <f aca="false">_xlfn.CONCAT(H346,I346,J346)</f>
        <v>RDE</v>
      </c>
    </row>
    <row r="347" customFormat="false" ht="15" hidden="false" customHeight="false" outlineLevel="0" collapsed="false">
      <c r="G347" s="15" t="n">
        <f aca="false">F347-E347</f>
        <v>0</v>
      </c>
      <c r="H347" s="20"/>
      <c r="J347" s="20" t="s">
        <v>256</v>
      </c>
      <c r="K347" s="1" t="e">
        <f aca="false">_xlfn.xlookup(J347,REF!$D$2:$D$12,REF!$E$2:$E$12)</f>
        <v>#NAME?</v>
      </c>
      <c r="L347" s="1" t="s">
        <v>408</v>
      </c>
      <c r="M347" s="20" t="s">
        <v>258</v>
      </c>
      <c r="N347" s="20" t="s">
        <v>379</v>
      </c>
      <c r="O347" s="1" t="s">
        <v>409</v>
      </c>
      <c r="P347" s="22" t="str">
        <f aca="false">_xlfn.CONCAT(B347,C347,D347,E347,F347)</f>
        <v/>
      </c>
      <c r="Q347" s="1" t="str">
        <f aca="false">_xlfn.CONCAT(H347,I347,J347)</f>
        <v>RDE</v>
      </c>
    </row>
    <row r="348" customFormat="false" ht="15" hidden="false" customHeight="false" outlineLevel="0" collapsed="false">
      <c r="G348" s="15" t="n">
        <f aca="false">F348-E348</f>
        <v>0</v>
      </c>
      <c r="H348" s="20"/>
      <c r="J348" s="20" t="s">
        <v>256</v>
      </c>
      <c r="K348" s="1" t="e">
        <f aca="false">_xlfn.xlookup(J348,REF!$D$2:$D$12,REF!$E$2:$E$12)</f>
        <v>#NAME?</v>
      </c>
      <c r="L348" s="1" t="s">
        <v>408</v>
      </c>
      <c r="M348" s="20" t="s">
        <v>258</v>
      </c>
      <c r="N348" s="20" t="s">
        <v>379</v>
      </c>
      <c r="O348" s="1" t="s">
        <v>409</v>
      </c>
      <c r="P348" s="22" t="str">
        <f aca="false">_xlfn.CONCAT(B348,C348,D348,E348,F348)</f>
        <v/>
      </c>
      <c r="Q348" s="1" t="str">
        <f aca="false">_xlfn.CONCAT(H348,I348,J348)</f>
        <v>RDE</v>
      </c>
    </row>
    <row r="349" customFormat="false" ht="15" hidden="false" customHeight="false" outlineLevel="0" collapsed="false">
      <c r="G349" s="15" t="n">
        <f aca="false">F349-E349</f>
        <v>0</v>
      </c>
      <c r="H349" s="20"/>
      <c r="J349" s="20" t="s">
        <v>256</v>
      </c>
      <c r="K349" s="1" t="e">
        <f aca="false">_xlfn.xlookup(J349,REF!$D$2:$D$12,REF!$E$2:$E$12)</f>
        <v>#NAME?</v>
      </c>
      <c r="L349" s="1" t="s">
        <v>408</v>
      </c>
      <c r="M349" s="20" t="s">
        <v>258</v>
      </c>
      <c r="N349" s="20" t="s">
        <v>379</v>
      </c>
      <c r="O349" s="1" t="s">
        <v>409</v>
      </c>
      <c r="P349" s="22" t="str">
        <f aca="false">_xlfn.CONCAT(B349,C349,D349,E349,F349)</f>
        <v/>
      </c>
      <c r="Q349" s="1" t="str">
        <f aca="false">_xlfn.CONCAT(H349,I349,J349)</f>
        <v>RDE</v>
      </c>
    </row>
    <row r="350" customFormat="false" ht="15" hidden="false" customHeight="false" outlineLevel="0" collapsed="false">
      <c r="G350" s="15" t="n">
        <f aca="false">F350-E350</f>
        <v>0</v>
      </c>
      <c r="H350" s="20"/>
      <c r="J350" s="20" t="s">
        <v>256</v>
      </c>
      <c r="K350" s="1" t="e">
        <f aca="false">_xlfn.xlookup(J350,REF!$D$2:$D$12,REF!$E$2:$E$12)</f>
        <v>#NAME?</v>
      </c>
      <c r="L350" s="1" t="s">
        <v>408</v>
      </c>
      <c r="M350" s="20" t="s">
        <v>258</v>
      </c>
      <c r="N350" s="20" t="s">
        <v>379</v>
      </c>
      <c r="O350" s="1" t="s">
        <v>409</v>
      </c>
      <c r="P350" s="22" t="str">
        <f aca="false">_xlfn.CONCAT(B350,C350,D350,E350,F350)</f>
        <v/>
      </c>
      <c r="Q350" s="1" t="str">
        <f aca="false">_xlfn.CONCAT(H350,I350,J350)</f>
        <v>RDE</v>
      </c>
    </row>
    <row r="351" customFormat="false" ht="15" hidden="false" customHeight="false" outlineLevel="0" collapsed="false">
      <c r="G351" s="15" t="n">
        <f aca="false">F351-E351</f>
        <v>0</v>
      </c>
      <c r="H351" s="20"/>
      <c r="J351" s="20" t="s">
        <v>256</v>
      </c>
      <c r="K351" s="1" t="e">
        <f aca="false">_xlfn.xlookup(J351,REF!$D$2:$D$12,REF!$E$2:$E$12)</f>
        <v>#NAME?</v>
      </c>
      <c r="L351" s="1" t="s">
        <v>408</v>
      </c>
      <c r="M351" s="20" t="s">
        <v>258</v>
      </c>
      <c r="N351" s="20" t="s">
        <v>379</v>
      </c>
      <c r="O351" s="1" t="s">
        <v>409</v>
      </c>
      <c r="P351" s="22" t="str">
        <f aca="false">_xlfn.CONCAT(B351,C351,D351,E351,F351)</f>
        <v/>
      </c>
      <c r="Q351" s="1" t="str">
        <f aca="false">_xlfn.CONCAT(H351,I351,J351)</f>
        <v>RDE</v>
      </c>
    </row>
    <row r="352" customFormat="false" ht="15" hidden="false" customHeight="false" outlineLevel="0" collapsed="false">
      <c r="G352" s="15" t="n">
        <f aca="false">F352-E352</f>
        <v>0</v>
      </c>
      <c r="H352" s="20"/>
      <c r="J352" s="20" t="s">
        <v>256</v>
      </c>
      <c r="K352" s="1" t="e">
        <f aca="false">_xlfn.xlookup(J352,REF!$D$2:$D$12,REF!$E$2:$E$12)</f>
        <v>#NAME?</v>
      </c>
      <c r="L352" s="1" t="s">
        <v>408</v>
      </c>
      <c r="M352" s="20" t="s">
        <v>258</v>
      </c>
      <c r="N352" s="20" t="s">
        <v>379</v>
      </c>
      <c r="O352" s="1" t="s">
        <v>409</v>
      </c>
      <c r="P352" s="22" t="str">
        <f aca="false">_xlfn.CONCAT(B352,C352,D352,E352,F352)</f>
        <v/>
      </c>
      <c r="Q352" s="1" t="str">
        <f aca="false">_xlfn.CONCAT(H352,I352,J352)</f>
        <v>RDE</v>
      </c>
    </row>
    <row r="353" customFormat="false" ht="15" hidden="false" customHeight="false" outlineLevel="0" collapsed="false">
      <c r="G353" s="15" t="n">
        <f aca="false">F353-E353</f>
        <v>0</v>
      </c>
      <c r="H353" s="20"/>
      <c r="J353" s="20" t="s">
        <v>256</v>
      </c>
      <c r="K353" s="1" t="e">
        <f aca="false">_xlfn.xlookup(J353,REF!$D$2:$D$12,REF!$E$2:$E$12)</f>
        <v>#NAME?</v>
      </c>
      <c r="L353" s="1" t="s">
        <v>408</v>
      </c>
      <c r="M353" s="20" t="s">
        <v>258</v>
      </c>
      <c r="N353" s="20" t="s">
        <v>379</v>
      </c>
      <c r="O353" s="1" t="s">
        <v>409</v>
      </c>
      <c r="P353" s="22" t="str">
        <f aca="false">_xlfn.CONCAT(B353,C353,D353,E353,F353)</f>
        <v/>
      </c>
      <c r="Q353" s="1" t="str">
        <f aca="false">_xlfn.CONCAT(H353,I353,J353)</f>
        <v>RDE</v>
      </c>
    </row>
    <row r="354" customFormat="false" ht="15" hidden="false" customHeight="false" outlineLevel="0" collapsed="false">
      <c r="G354" s="15" t="n">
        <f aca="false">F354-E354</f>
        <v>0</v>
      </c>
      <c r="H354" s="20"/>
      <c r="J354" s="20" t="s">
        <v>256</v>
      </c>
      <c r="K354" s="1" t="e">
        <f aca="false">_xlfn.xlookup(J354,REF!$D$2:$D$12,REF!$E$2:$E$12)</f>
        <v>#NAME?</v>
      </c>
      <c r="L354" s="1" t="s">
        <v>257</v>
      </c>
      <c r="M354" s="20" t="s">
        <v>258</v>
      </c>
      <c r="N354" s="20" t="s">
        <v>379</v>
      </c>
      <c r="O354" s="1" t="s">
        <v>399</v>
      </c>
      <c r="P354" s="22" t="str">
        <f aca="false">_xlfn.CONCAT(B354,C354,D354,E354,F354)</f>
        <v/>
      </c>
      <c r="Q354" s="1" t="str">
        <f aca="false">_xlfn.CONCAT(H354,I354,J354)</f>
        <v>RDE</v>
      </c>
    </row>
    <row r="355" customFormat="false" ht="15" hidden="false" customHeight="false" outlineLevel="0" collapsed="false">
      <c r="G355" s="15" t="n">
        <f aca="false">F355-E355</f>
        <v>0</v>
      </c>
      <c r="H355" s="20"/>
      <c r="J355" s="20" t="s">
        <v>256</v>
      </c>
      <c r="K355" s="1" t="e">
        <f aca="false">_xlfn.xlookup(J355,REF!$D$2:$D$12,REF!$E$2:$E$12)</f>
        <v>#NAME?</v>
      </c>
      <c r="L355" s="1" t="s">
        <v>257</v>
      </c>
      <c r="M355" s="20" t="s">
        <v>258</v>
      </c>
      <c r="N355" s="20" t="s">
        <v>379</v>
      </c>
      <c r="O355" s="1" t="s">
        <v>399</v>
      </c>
      <c r="P355" s="22" t="str">
        <f aca="false">_xlfn.CONCAT(B355,C355,D355,E355,F355)</f>
        <v/>
      </c>
      <c r="Q355" s="1" t="str">
        <f aca="false">_xlfn.CONCAT(H355,I355,J355)</f>
        <v>RDE</v>
      </c>
    </row>
    <row r="356" customFormat="false" ht="15" hidden="false" customHeight="false" outlineLevel="0" collapsed="false">
      <c r="G356" s="15" t="n">
        <f aca="false">F356-E356</f>
        <v>0</v>
      </c>
      <c r="H356" s="20"/>
      <c r="J356" s="20" t="s">
        <v>256</v>
      </c>
      <c r="K356" s="1" t="e">
        <f aca="false">_xlfn.xlookup(J356,REF!$D$2:$D$12,REF!$E$2:$E$12)</f>
        <v>#NAME?</v>
      </c>
      <c r="L356" s="1" t="s">
        <v>257</v>
      </c>
      <c r="M356" s="20" t="s">
        <v>258</v>
      </c>
      <c r="N356" s="20" t="s">
        <v>379</v>
      </c>
      <c r="O356" s="1" t="s">
        <v>399</v>
      </c>
      <c r="P356" s="22" t="str">
        <f aca="false">_xlfn.CONCAT(B356,C356,D356,E356,F356)</f>
        <v/>
      </c>
      <c r="Q356" s="1" t="str">
        <f aca="false">_xlfn.CONCAT(H356,I356,J356)</f>
        <v>RDE</v>
      </c>
    </row>
    <row r="357" customFormat="false" ht="15" hidden="false" customHeight="false" outlineLevel="0" collapsed="false">
      <c r="G357" s="15" t="n">
        <f aca="false">F357-E357</f>
        <v>0</v>
      </c>
      <c r="H357" s="20"/>
      <c r="J357" s="20" t="s">
        <v>256</v>
      </c>
      <c r="K357" s="1" t="e">
        <f aca="false">_xlfn.xlookup(J357,REF!$D$2:$D$12,REF!$E$2:$E$12)</f>
        <v>#NAME?</v>
      </c>
      <c r="L357" s="1" t="s">
        <v>257</v>
      </c>
      <c r="M357" s="20" t="s">
        <v>258</v>
      </c>
      <c r="N357" s="20" t="s">
        <v>379</v>
      </c>
      <c r="O357" s="1" t="s">
        <v>399</v>
      </c>
      <c r="P357" s="22" t="str">
        <f aca="false">_xlfn.CONCAT(B357,C357,D357,E357,F357)</f>
        <v/>
      </c>
      <c r="Q357" s="1" t="str">
        <f aca="false">_xlfn.CONCAT(H357,I357,J357)</f>
        <v>RDE</v>
      </c>
    </row>
    <row r="358" customFormat="false" ht="15" hidden="false" customHeight="false" outlineLevel="0" collapsed="false">
      <c r="G358" s="15" t="n">
        <f aca="false">F358-E358</f>
        <v>0</v>
      </c>
      <c r="H358" s="20"/>
      <c r="J358" s="20" t="s">
        <v>256</v>
      </c>
      <c r="K358" s="1" t="e">
        <f aca="false">_xlfn.xlookup(J358,REF!$D$2:$D$12,REF!$E$2:$E$12)</f>
        <v>#NAME?</v>
      </c>
      <c r="L358" s="1" t="s">
        <v>257</v>
      </c>
      <c r="M358" s="20" t="s">
        <v>258</v>
      </c>
      <c r="N358" s="20" t="s">
        <v>379</v>
      </c>
      <c r="O358" s="1" t="s">
        <v>399</v>
      </c>
      <c r="P358" s="22" t="str">
        <f aca="false">_xlfn.CONCAT(B358,C358,D358,E358,F358)</f>
        <v/>
      </c>
      <c r="Q358" s="1" t="str">
        <f aca="false">_xlfn.CONCAT(H358,I358,J358)</f>
        <v>RDE</v>
      </c>
    </row>
    <row r="359" customFormat="false" ht="15" hidden="false" customHeight="false" outlineLevel="0" collapsed="false">
      <c r="G359" s="15" t="n">
        <f aca="false">F359-E359</f>
        <v>0</v>
      </c>
      <c r="H359" s="20"/>
      <c r="J359" s="20" t="s">
        <v>256</v>
      </c>
      <c r="K359" s="1" t="e">
        <f aca="false">_xlfn.xlookup(J359,REF!$D$2:$D$12,REF!$E$2:$E$12)</f>
        <v>#NAME?</v>
      </c>
      <c r="L359" s="1" t="s">
        <v>275</v>
      </c>
      <c r="M359" s="20" t="s">
        <v>258</v>
      </c>
      <c r="N359" s="20" t="s">
        <v>259</v>
      </c>
      <c r="O359" s="1" t="s">
        <v>260</v>
      </c>
      <c r="P359" s="22" t="str">
        <f aca="false">_xlfn.CONCAT(B359,C359,D359,E359,F359)</f>
        <v/>
      </c>
      <c r="Q359" s="1" t="str">
        <f aca="false">_xlfn.CONCAT(H359,I359,J359)</f>
        <v>RDE</v>
      </c>
    </row>
    <row r="360" customFormat="false" ht="15" hidden="false" customHeight="false" outlineLevel="0" collapsed="false">
      <c r="G360" s="15" t="n">
        <f aca="false">F360-E360</f>
        <v>0</v>
      </c>
      <c r="H360" s="20"/>
      <c r="J360" s="20" t="s">
        <v>256</v>
      </c>
      <c r="K360" s="1" t="e">
        <f aca="false">_xlfn.xlookup(J360,REF!$D$2:$D$12,REF!$E$2:$E$12)</f>
        <v>#NAME?</v>
      </c>
      <c r="L360" s="1" t="s">
        <v>275</v>
      </c>
      <c r="M360" s="20" t="s">
        <v>258</v>
      </c>
      <c r="N360" s="20" t="s">
        <v>259</v>
      </c>
      <c r="O360" s="1" t="s">
        <v>260</v>
      </c>
      <c r="P360" s="22" t="str">
        <f aca="false">_xlfn.CONCAT(B360,C360,D360,E360,F360)</f>
        <v/>
      </c>
      <c r="Q360" s="1" t="str">
        <f aca="false">_xlfn.CONCAT(H360,I360,J360)</f>
        <v>RDE</v>
      </c>
    </row>
    <row r="361" customFormat="false" ht="15" hidden="false" customHeight="false" outlineLevel="0" collapsed="false">
      <c r="G361" s="15" t="n">
        <f aca="false">F361-E361</f>
        <v>0</v>
      </c>
      <c r="H361" s="20"/>
      <c r="J361" s="20" t="s">
        <v>256</v>
      </c>
      <c r="K361" s="1" t="e">
        <f aca="false">_xlfn.xlookup(J361,REF!$D$2:$D$12,REF!$E$2:$E$12)</f>
        <v>#NAME?</v>
      </c>
      <c r="L361" s="1" t="s">
        <v>275</v>
      </c>
      <c r="M361" s="20" t="s">
        <v>258</v>
      </c>
      <c r="N361" s="20" t="s">
        <v>259</v>
      </c>
      <c r="O361" s="1" t="s">
        <v>260</v>
      </c>
      <c r="P361" s="22" t="str">
        <f aca="false">_xlfn.CONCAT(B361,C361,D361,E361,F361)</f>
        <v/>
      </c>
      <c r="Q361" s="1" t="str">
        <f aca="false">_xlfn.CONCAT(H361,I361,J361)</f>
        <v>RDE</v>
      </c>
    </row>
    <row r="362" customFormat="false" ht="15" hidden="false" customHeight="false" outlineLevel="0" collapsed="false">
      <c r="G362" s="15" t="n">
        <f aca="false">F362-E362</f>
        <v>0</v>
      </c>
      <c r="H362" s="20"/>
      <c r="J362" s="20" t="s">
        <v>256</v>
      </c>
      <c r="K362" s="1" t="e">
        <f aca="false">_xlfn.xlookup(J362,REF!$D$2:$D$12,REF!$E$2:$E$12)</f>
        <v>#NAME?</v>
      </c>
      <c r="L362" s="1" t="s">
        <v>275</v>
      </c>
      <c r="M362" s="20" t="s">
        <v>258</v>
      </c>
      <c r="N362" s="20" t="s">
        <v>259</v>
      </c>
      <c r="O362" s="1" t="s">
        <v>260</v>
      </c>
      <c r="P362" s="22" t="str">
        <f aca="false">_xlfn.CONCAT(B362,C362,D362,E362,F362)</f>
        <v/>
      </c>
      <c r="Q362" s="1" t="str">
        <f aca="false">_xlfn.CONCAT(H362,I362,J362)</f>
        <v>RDE</v>
      </c>
    </row>
    <row r="363" customFormat="false" ht="15" hidden="false" customHeight="false" outlineLevel="0" collapsed="false">
      <c r="G363" s="15" t="n">
        <f aca="false">F363-E363</f>
        <v>0</v>
      </c>
      <c r="H363" s="20"/>
      <c r="J363" s="20" t="s">
        <v>256</v>
      </c>
      <c r="K363" s="1" t="e">
        <f aca="false">_xlfn.xlookup(J363,REF!$D$2:$D$12,REF!$E$2:$E$12)</f>
        <v>#NAME?</v>
      </c>
      <c r="L363" s="1" t="s">
        <v>275</v>
      </c>
      <c r="M363" s="20" t="s">
        <v>258</v>
      </c>
      <c r="N363" s="20" t="s">
        <v>259</v>
      </c>
      <c r="O363" s="1" t="s">
        <v>260</v>
      </c>
      <c r="P363" s="22" t="str">
        <f aca="false">_xlfn.CONCAT(B363,C363,D363,E363,F363)</f>
        <v/>
      </c>
      <c r="Q363" s="1" t="str">
        <f aca="false">_xlfn.CONCAT(H363,I363,J363)</f>
        <v>RDE</v>
      </c>
    </row>
    <row r="364" customFormat="false" ht="15" hidden="false" customHeight="false" outlineLevel="0" collapsed="false">
      <c r="G364" s="15" t="n">
        <f aca="false">F364-E364</f>
        <v>0</v>
      </c>
      <c r="H364" s="20"/>
      <c r="J364" s="20" t="s">
        <v>256</v>
      </c>
      <c r="K364" s="1" t="e">
        <f aca="false">_xlfn.xlookup(J364,REF!$D$2:$D$12,REF!$E$2:$E$12)</f>
        <v>#NAME?</v>
      </c>
      <c r="L364" s="1" t="s">
        <v>275</v>
      </c>
      <c r="M364" s="20" t="s">
        <v>258</v>
      </c>
      <c r="N364" s="20" t="s">
        <v>259</v>
      </c>
      <c r="O364" s="1" t="s">
        <v>260</v>
      </c>
      <c r="P364" s="22" t="str">
        <f aca="false">_xlfn.CONCAT(B364,C364,D364,E364,F364)</f>
        <v/>
      </c>
      <c r="Q364" s="1" t="str">
        <f aca="false">_xlfn.CONCAT(H364,I364,J364)</f>
        <v>RDE</v>
      </c>
    </row>
    <row r="365" customFormat="false" ht="15" hidden="false" customHeight="false" outlineLevel="0" collapsed="false">
      <c r="G365" s="15" t="n">
        <f aca="false">F365-E365</f>
        <v>0</v>
      </c>
      <c r="H365" s="20"/>
      <c r="J365" s="20" t="s">
        <v>256</v>
      </c>
      <c r="K365" s="1" t="e">
        <f aca="false">_xlfn.xlookup(J365,REF!$D$2:$D$12,REF!$E$2:$E$12)</f>
        <v>#NAME?</v>
      </c>
      <c r="L365" s="1" t="s">
        <v>275</v>
      </c>
      <c r="M365" s="20" t="s">
        <v>258</v>
      </c>
      <c r="N365" s="20" t="s">
        <v>259</v>
      </c>
      <c r="O365" s="1" t="s">
        <v>260</v>
      </c>
      <c r="P365" s="22" t="str">
        <f aca="false">_xlfn.CONCAT(B365,C365,D365,E365,F365)</f>
        <v/>
      </c>
      <c r="Q365" s="1" t="str">
        <f aca="false">_xlfn.CONCAT(H365,I365,J365)</f>
        <v>RDE</v>
      </c>
    </row>
    <row r="366" customFormat="false" ht="15" hidden="false" customHeight="false" outlineLevel="0" collapsed="false">
      <c r="G366" s="15" t="n">
        <f aca="false">F366-E366</f>
        <v>0</v>
      </c>
      <c r="H366" s="20"/>
      <c r="J366" s="20" t="s">
        <v>256</v>
      </c>
      <c r="K366" s="1" t="e">
        <f aca="false">_xlfn.xlookup(J366,REF!$D$2:$D$12,REF!$E$2:$E$12)</f>
        <v>#NAME?</v>
      </c>
      <c r="L366" s="1" t="s">
        <v>421</v>
      </c>
      <c r="M366" s="20" t="s">
        <v>258</v>
      </c>
      <c r="N366" s="20" t="s">
        <v>379</v>
      </c>
      <c r="O366" s="1" t="s">
        <v>399</v>
      </c>
      <c r="P366" s="22" t="str">
        <f aca="false">_xlfn.CONCAT(B366,C366,D366,E366,F366)</f>
        <v/>
      </c>
      <c r="Q366" s="1" t="str">
        <f aca="false">_xlfn.CONCAT(H366,I366,J366)</f>
        <v>RDE</v>
      </c>
    </row>
    <row r="367" customFormat="false" ht="15" hidden="false" customHeight="false" outlineLevel="0" collapsed="false">
      <c r="G367" s="15" t="n">
        <f aca="false">F367-E367</f>
        <v>0</v>
      </c>
      <c r="H367" s="20"/>
      <c r="J367" s="20" t="s">
        <v>256</v>
      </c>
      <c r="K367" s="1" t="e">
        <f aca="false">_xlfn.xlookup(J367,REF!$D$2:$D$12,REF!$E$2:$E$12)</f>
        <v>#NAME?</v>
      </c>
      <c r="L367" s="1" t="s">
        <v>421</v>
      </c>
      <c r="M367" s="20" t="s">
        <v>258</v>
      </c>
      <c r="N367" s="20" t="s">
        <v>379</v>
      </c>
      <c r="O367" s="1" t="s">
        <v>399</v>
      </c>
      <c r="P367" s="22" t="str">
        <f aca="false">_xlfn.CONCAT(B367,C367,D367,E367,F367)</f>
        <v/>
      </c>
      <c r="Q367" s="1" t="str">
        <f aca="false">_xlfn.CONCAT(H367,I367,J367)</f>
        <v>RDE</v>
      </c>
    </row>
    <row r="368" customFormat="false" ht="15" hidden="false" customHeight="false" outlineLevel="0" collapsed="false">
      <c r="B368" s="24"/>
      <c r="G368" s="15" t="n">
        <f aca="false">F368-E368</f>
        <v>0</v>
      </c>
      <c r="H368" s="20"/>
      <c r="J368" s="20" t="s">
        <v>411</v>
      </c>
      <c r="K368" s="1" t="e">
        <f aca="false">_xlfn.xlookup(J368,REF!$D$2:$D$12,REF!$E$2:$E$12)</f>
        <v>#NAME?</v>
      </c>
      <c r="L368" s="1" t="s">
        <v>422</v>
      </c>
      <c r="M368" s="20" t="s">
        <v>288</v>
      </c>
      <c r="N368" s="20" t="s">
        <v>289</v>
      </c>
      <c r="O368" s="1" t="s">
        <v>423</v>
      </c>
      <c r="P368" s="22" t="str">
        <f aca="false">_xlfn.CONCAT(B368,C368,D369,E368,F368)</f>
        <v/>
      </c>
      <c r="Q368" s="1" t="str">
        <f aca="false">_xlfn.CONCAT(H368,I368,J368)</f>
        <v>PRT</v>
      </c>
    </row>
    <row r="369" customFormat="false" ht="15" hidden="false" customHeight="false" outlineLevel="0" collapsed="false">
      <c r="B369" s="24"/>
      <c r="G369" s="15" t="n">
        <f aca="false">F369-E369</f>
        <v>0</v>
      </c>
      <c r="H369" s="20"/>
      <c r="J369" s="20" t="s">
        <v>411</v>
      </c>
      <c r="K369" s="1" t="e">
        <f aca="false">_xlfn.xlookup(J369,REF!$D$2:$D$12,REF!$E$2:$E$12)</f>
        <v>#NAME?</v>
      </c>
      <c r="L369" s="1" t="s">
        <v>422</v>
      </c>
      <c r="M369" s="20" t="s">
        <v>288</v>
      </c>
      <c r="N369" s="20" t="s">
        <v>289</v>
      </c>
      <c r="O369" s="1" t="s">
        <v>423</v>
      </c>
      <c r="P369" s="22" t="str">
        <f aca="false">_xlfn.CONCAT(B369,C369,D370,E369,F369)</f>
        <v/>
      </c>
      <c r="Q369" s="1" t="str">
        <f aca="false">_xlfn.CONCAT(H369,I369,J369)</f>
        <v>PRT</v>
      </c>
    </row>
    <row r="370" customFormat="false" ht="15" hidden="false" customHeight="false" outlineLevel="0" collapsed="false">
      <c r="B370" s="24"/>
      <c r="G370" s="15" t="n">
        <f aca="false">F370-E370</f>
        <v>0</v>
      </c>
      <c r="H370" s="20"/>
      <c r="J370" s="20" t="s">
        <v>411</v>
      </c>
      <c r="K370" s="1" t="e">
        <f aca="false">_xlfn.xlookup(J370,REF!$D$2:$D$12,REF!$E$2:$E$12)</f>
        <v>#NAME?</v>
      </c>
      <c r="L370" s="1" t="s">
        <v>422</v>
      </c>
      <c r="M370" s="20" t="s">
        <v>288</v>
      </c>
      <c r="N370" s="20" t="s">
        <v>289</v>
      </c>
      <c r="O370" s="1" t="s">
        <v>423</v>
      </c>
      <c r="P370" s="22" t="str">
        <f aca="false">_xlfn.CONCAT(B370,C370,D371,E370,F370)</f>
        <v/>
      </c>
      <c r="Q370" s="1" t="str">
        <f aca="false">_xlfn.CONCAT(H370,I370,J370)</f>
        <v>PRT</v>
      </c>
    </row>
    <row r="371" customFormat="false" ht="15" hidden="false" customHeight="false" outlineLevel="0" collapsed="false">
      <c r="B371" s="24"/>
      <c r="G371" s="15" t="n">
        <f aca="false">F371-E371</f>
        <v>0</v>
      </c>
      <c r="H371" s="20"/>
      <c r="J371" s="20" t="s">
        <v>411</v>
      </c>
      <c r="K371" s="1" t="e">
        <f aca="false">_xlfn.xlookup(J371,REF!$D$2:$D$12,REF!$E$2:$E$12)</f>
        <v>#NAME?</v>
      </c>
      <c r="L371" s="1" t="s">
        <v>422</v>
      </c>
      <c r="M371" s="20" t="s">
        <v>288</v>
      </c>
      <c r="N371" s="20" t="s">
        <v>289</v>
      </c>
      <c r="O371" s="1" t="s">
        <v>423</v>
      </c>
      <c r="P371" s="22" t="str">
        <f aca="false">_xlfn.CONCAT(B371,C371,D372,E371,F371)</f>
        <v/>
      </c>
      <c r="Q371" s="1" t="str">
        <f aca="false">_xlfn.CONCAT(H371,I371,J371)</f>
        <v>PRT</v>
      </c>
    </row>
    <row r="372" customFormat="false" ht="15" hidden="false" customHeight="false" outlineLevel="0" collapsed="false">
      <c r="B372" s="24"/>
      <c r="G372" s="15" t="n">
        <f aca="false">F372-E372</f>
        <v>0</v>
      </c>
      <c r="H372" s="20"/>
      <c r="J372" s="20" t="s">
        <v>411</v>
      </c>
      <c r="K372" s="1" t="e">
        <f aca="false">_xlfn.xlookup(J372,REF!$D$2:$D$12,REF!$E$2:$E$12)</f>
        <v>#NAME?</v>
      </c>
      <c r="L372" s="1" t="s">
        <v>422</v>
      </c>
      <c r="M372" s="20" t="s">
        <v>288</v>
      </c>
      <c r="N372" s="20" t="s">
        <v>289</v>
      </c>
      <c r="O372" s="1" t="s">
        <v>423</v>
      </c>
      <c r="P372" s="22" t="str">
        <f aca="false">_xlfn.CONCAT(B372,C372,D373,E372,F372)</f>
        <v/>
      </c>
      <c r="Q372" s="1" t="str">
        <f aca="false">_xlfn.CONCAT(H372,I372,J372)</f>
        <v>PRT</v>
      </c>
    </row>
    <row r="373" customFormat="false" ht="15" hidden="false" customHeight="false" outlineLevel="0" collapsed="false">
      <c r="B373" s="24"/>
      <c r="G373" s="15" t="n">
        <f aca="false">F373-E373</f>
        <v>0</v>
      </c>
      <c r="H373" s="20"/>
      <c r="J373" s="20" t="s">
        <v>411</v>
      </c>
      <c r="K373" s="1" t="e">
        <f aca="false">_xlfn.xlookup(J373,REF!$D$2:$D$12,REF!$E$2:$E$12)</f>
        <v>#NAME?</v>
      </c>
      <c r="L373" s="1" t="s">
        <v>422</v>
      </c>
      <c r="M373" s="20" t="s">
        <v>288</v>
      </c>
      <c r="N373" s="20" t="s">
        <v>289</v>
      </c>
      <c r="O373" s="1" t="s">
        <v>423</v>
      </c>
      <c r="P373" s="22" t="str">
        <f aca="false">_xlfn.CONCAT(B373,C373,D374,E373,F373)</f>
        <v/>
      </c>
      <c r="Q373" s="1" t="str">
        <f aca="false">_xlfn.CONCAT(H373,I373,J373)</f>
        <v>PRT</v>
      </c>
    </row>
    <row r="374" customFormat="false" ht="15" hidden="false" customHeight="false" outlineLevel="0" collapsed="false">
      <c r="B374" s="24"/>
      <c r="G374" s="15" t="n">
        <f aca="false">F374-E374</f>
        <v>0</v>
      </c>
      <c r="H374" s="20"/>
      <c r="J374" s="20" t="s">
        <v>411</v>
      </c>
      <c r="K374" s="1" t="e">
        <f aca="false">_xlfn.xlookup(J374,REF!$D$2:$D$12,REF!$E$2:$E$12)</f>
        <v>#NAME?</v>
      </c>
      <c r="L374" s="1" t="s">
        <v>422</v>
      </c>
      <c r="M374" s="20" t="s">
        <v>288</v>
      </c>
      <c r="N374" s="20" t="s">
        <v>289</v>
      </c>
      <c r="O374" s="1" t="s">
        <v>423</v>
      </c>
      <c r="P374" s="22" t="str">
        <f aca="false">_xlfn.CONCAT(B374,C374,D375,E374,F374)</f>
        <v/>
      </c>
      <c r="Q374" s="1" t="str">
        <f aca="false">_xlfn.CONCAT(H374,I374,J374)</f>
        <v>PRT</v>
      </c>
    </row>
    <row r="375" customFormat="false" ht="15" hidden="false" customHeight="false" outlineLevel="0" collapsed="false">
      <c r="B375" s="24"/>
      <c r="G375" s="15" t="n">
        <f aca="false">F375-E375</f>
        <v>0</v>
      </c>
      <c r="H375" s="20"/>
      <c r="J375" s="20" t="s">
        <v>411</v>
      </c>
      <c r="K375" s="1" t="e">
        <f aca="false">_xlfn.xlookup(J375,REF!$D$2:$D$12,REF!$E$2:$E$12)</f>
        <v>#NAME?</v>
      </c>
      <c r="L375" s="1" t="s">
        <v>422</v>
      </c>
      <c r="M375" s="20" t="s">
        <v>288</v>
      </c>
      <c r="N375" s="20" t="s">
        <v>289</v>
      </c>
      <c r="O375" s="1" t="s">
        <v>423</v>
      </c>
      <c r="P375" s="22" t="str">
        <f aca="false">_xlfn.CONCAT(B375,C375,D376,E375,F375)</f>
        <v/>
      </c>
      <c r="Q375" s="1" t="str">
        <f aca="false">_xlfn.CONCAT(H375,I375,J375)</f>
        <v>PRT</v>
      </c>
    </row>
    <row r="376" customFormat="false" ht="15" hidden="false" customHeight="false" outlineLevel="0" collapsed="false">
      <c r="G376" s="15" t="n">
        <f aca="false">F376-E376</f>
        <v>0</v>
      </c>
      <c r="H376" s="20"/>
      <c r="I376" s="1" t="s">
        <v>263</v>
      </c>
      <c r="J376" s="20" t="s">
        <v>264</v>
      </c>
      <c r="K376" s="1" t="e">
        <f aca="false">_xlfn.xlookup(J376,REF!$D$2:$D$12,REF!$E$2:$E$12)</f>
        <v>#NAME?</v>
      </c>
      <c r="L376" s="1" t="s">
        <v>424</v>
      </c>
      <c r="M376" s="20" t="s">
        <v>266</v>
      </c>
      <c r="N376" s="20" t="s">
        <v>252</v>
      </c>
      <c r="O376" s="1" t="s">
        <v>425</v>
      </c>
      <c r="P376" s="22" t="str">
        <f aca="false">_xlfn.CONCAT(B376,C376,D376,E376,F376)</f>
        <v/>
      </c>
      <c r="Q376" s="1" t="str">
        <f aca="false">_xlfn.CONCAT(H376,I376,J376)</f>
        <v>RFOCOM</v>
      </c>
    </row>
    <row r="377" customFormat="false" ht="15" hidden="false" customHeight="false" outlineLevel="0" collapsed="false">
      <c r="G377" s="15" t="n">
        <f aca="false">F377-E377</f>
        <v>0</v>
      </c>
      <c r="H377" s="20"/>
      <c r="J377" s="20" t="s">
        <v>256</v>
      </c>
      <c r="K377" s="1" t="e">
        <f aca="false">_xlfn.xlookup(J377,REF!$D$2:$D$12,REF!$E$2:$E$12)</f>
        <v>#NAME?</v>
      </c>
      <c r="L377" s="1" t="s">
        <v>426</v>
      </c>
      <c r="M377" s="20" t="s">
        <v>258</v>
      </c>
      <c r="N377" s="20" t="s">
        <v>259</v>
      </c>
      <c r="O377" s="1" t="s">
        <v>399</v>
      </c>
      <c r="P377" s="22" t="str">
        <f aca="false">_xlfn.CONCAT(B377,C377,D377,E377,F377)</f>
        <v/>
      </c>
      <c r="Q377" s="1" t="str">
        <f aca="false">_xlfn.CONCAT(H377,I377,J377)</f>
        <v>RDE</v>
      </c>
    </row>
    <row r="378" customFormat="false" ht="15" hidden="false" customHeight="false" outlineLevel="0" collapsed="false">
      <c r="G378" s="15" t="n">
        <f aca="false">F378-E378</f>
        <v>0</v>
      </c>
      <c r="H378" s="20"/>
      <c r="J378" s="20" t="s">
        <v>256</v>
      </c>
      <c r="K378" s="1" t="e">
        <f aca="false">_xlfn.xlookup(J378,REF!$D$2:$D$12,REF!$E$2:$E$12)</f>
        <v>#NAME?</v>
      </c>
      <c r="L378" s="1" t="s">
        <v>426</v>
      </c>
      <c r="M378" s="20" t="s">
        <v>258</v>
      </c>
      <c r="N378" s="20" t="s">
        <v>259</v>
      </c>
      <c r="O378" s="1" t="s">
        <v>399</v>
      </c>
      <c r="P378" s="22" t="str">
        <f aca="false">_xlfn.CONCAT(B378,C378,D378,E378,F378)</f>
        <v/>
      </c>
      <c r="Q378" s="1" t="str">
        <f aca="false">_xlfn.CONCAT(H378,I378,J378)</f>
        <v>RDE</v>
      </c>
    </row>
    <row r="379" customFormat="false" ht="15" hidden="false" customHeight="false" outlineLevel="0" collapsed="false">
      <c r="G379" s="15" t="n">
        <f aca="false">F379-E379</f>
        <v>0</v>
      </c>
      <c r="H379" s="20"/>
      <c r="J379" s="20" t="s">
        <v>256</v>
      </c>
      <c r="K379" s="1" t="e">
        <f aca="false">_xlfn.xlookup(J379,REF!$D$2:$D$12,REF!$E$2:$E$12)</f>
        <v>#NAME?</v>
      </c>
      <c r="L379" s="1" t="s">
        <v>426</v>
      </c>
      <c r="M379" s="20" t="s">
        <v>258</v>
      </c>
      <c r="N379" s="20" t="s">
        <v>259</v>
      </c>
      <c r="O379" s="1" t="s">
        <v>399</v>
      </c>
      <c r="P379" s="22" t="str">
        <f aca="false">_xlfn.CONCAT(B379,C379,D379,E379,F379)</f>
        <v/>
      </c>
      <c r="Q379" s="1" t="str">
        <f aca="false">_xlfn.CONCAT(H379,I379,J379)</f>
        <v>RDE</v>
      </c>
    </row>
    <row r="380" customFormat="false" ht="15" hidden="false" customHeight="false" outlineLevel="0" collapsed="false">
      <c r="G380" s="15" t="n">
        <f aca="false">F380-E380</f>
        <v>0</v>
      </c>
      <c r="H380" s="20"/>
      <c r="J380" s="20" t="s">
        <v>256</v>
      </c>
      <c r="K380" s="1" t="e">
        <f aca="false">_xlfn.xlookup(J380,REF!$D$2:$D$12,REF!$E$2:$E$12)</f>
        <v>#NAME?</v>
      </c>
      <c r="L380" s="1" t="s">
        <v>426</v>
      </c>
      <c r="M380" s="20" t="s">
        <v>258</v>
      </c>
      <c r="N380" s="20" t="s">
        <v>259</v>
      </c>
      <c r="O380" s="1" t="s">
        <v>399</v>
      </c>
      <c r="P380" s="22" t="str">
        <f aca="false">_xlfn.CONCAT(B380,C380,D380,E380,F380)</f>
        <v/>
      </c>
      <c r="Q380" s="1" t="str">
        <f aca="false">_xlfn.CONCAT(H380,I380,J380)</f>
        <v>RDE</v>
      </c>
    </row>
    <row r="381" customFormat="false" ht="15" hidden="false" customHeight="false" outlineLevel="0" collapsed="false">
      <c r="G381" s="15" t="n">
        <f aca="false">F381-E381</f>
        <v>0</v>
      </c>
      <c r="H381" s="20"/>
      <c r="J381" s="20" t="s">
        <v>256</v>
      </c>
      <c r="K381" s="1" t="e">
        <f aca="false">_xlfn.xlookup(J381,REF!$D$2:$D$12,REF!$E$2:$E$12)</f>
        <v>#NAME?</v>
      </c>
      <c r="L381" s="1" t="s">
        <v>426</v>
      </c>
      <c r="M381" s="20" t="s">
        <v>258</v>
      </c>
      <c r="N381" s="20" t="s">
        <v>259</v>
      </c>
      <c r="O381" s="1" t="s">
        <v>399</v>
      </c>
      <c r="P381" s="22" t="str">
        <f aca="false">_xlfn.CONCAT(B381,C381,D381,E381,F381)</f>
        <v/>
      </c>
      <c r="Q381" s="1" t="str">
        <f aca="false">_xlfn.CONCAT(H381,I381,J381)</f>
        <v>RDE</v>
      </c>
    </row>
    <row r="382" customFormat="false" ht="15" hidden="false" customHeight="false" outlineLevel="0" collapsed="false">
      <c r="G382" s="15" t="n">
        <f aca="false">F382-E382</f>
        <v>0</v>
      </c>
      <c r="H382" s="20"/>
      <c r="J382" s="20" t="s">
        <v>249</v>
      </c>
      <c r="K382" s="1" t="e">
        <f aca="false">_xlfn.xlookup(J382,REF!$D$2:$D$12,REF!$E$2:$E$12)</f>
        <v>#NAME?</v>
      </c>
      <c r="L382" s="1" t="s">
        <v>427</v>
      </c>
      <c r="M382" s="20" t="s">
        <v>288</v>
      </c>
      <c r="N382" s="20" t="s">
        <v>289</v>
      </c>
      <c r="O382" s="1" t="s">
        <v>428</v>
      </c>
      <c r="P382" s="22" t="str">
        <f aca="false">_xlfn.CONCAT(B382,C382,D382,E382,F382)</f>
        <v/>
      </c>
      <c r="Q382" s="1" t="str">
        <f aca="false">_xlfn.CONCAT(H382,I382,J382)</f>
        <v>INV</v>
      </c>
    </row>
    <row r="383" customFormat="false" ht="15" hidden="false" customHeight="false" outlineLevel="0" collapsed="false">
      <c r="G383" s="15" t="n">
        <f aca="false">F383-E383</f>
        <v>0</v>
      </c>
      <c r="H383" s="20"/>
      <c r="J383" s="20" t="s">
        <v>256</v>
      </c>
      <c r="K383" s="1" t="e">
        <f aca="false">_xlfn.xlookup(J383,REF!$D$2:$D$12,REF!$E$2:$E$12)</f>
        <v>#NAME?</v>
      </c>
      <c r="L383" s="1" t="s">
        <v>429</v>
      </c>
      <c r="M383" s="20" t="s">
        <v>258</v>
      </c>
      <c r="N383" s="20" t="s">
        <v>379</v>
      </c>
      <c r="O383" s="1" t="s">
        <v>399</v>
      </c>
      <c r="P383" s="22" t="str">
        <f aca="false">_xlfn.CONCAT(B383,C383,D383,E383,F383)</f>
        <v/>
      </c>
      <c r="Q383" s="1" t="str">
        <f aca="false">_xlfn.CONCAT(H383,I383,J383)</f>
        <v>RDE</v>
      </c>
    </row>
    <row r="384" customFormat="false" ht="15" hidden="false" customHeight="false" outlineLevel="0" collapsed="false">
      <c r="G384" s="15" t="n">
        <f aca="false">F384-E384</f>
        <v>0</v>
      </c>
      <c r="H384" s="20"/>
      <c r="J384" s="20" t="s">
        <v>256</v>
      </c>
      <c r="K384" s="1" t="e">
        <f aca="false">_xlfn.xlookup(J384,REF!$D$2:$D$12,REF!$E$2:$E$12)</f>
        <v>#NAME?</v>
      </c>
      <c r="L384" s="1" t="s">
        <v>429</v>
      </c>
      <c r="M384" s="20" t="s">
        <v>258</v>
      </c>
      <c r="N384" s="20" t="s">
        <v>379</v>
      </c>
      <c r="O384" s="1" t="s">
        <v>399</v>
      </c>
      <c r="P384" s="22" t="str">
        <f aca="false">_xlfn.CONCAT(B384,C384,D384,E384,F384)</f>
        <v/>
      </c>
      <c r="Q384" s="1" t="str">
        <f aca="false">_xlfn.CONCAT(H384,I384,J384)</f>
        <v>RDE</v>
      </c>
    </row>
    <row r="385" customFormat="false" ht="15" hidden="false" customHeight="false" outlineLevel="0" collapsed="false">
      <c r="G385" s="15" t="n">
        <f aca="false">F385-E385</f>
        <v>0</v>
      </c>
      <c r="H385" s="20"/>
      <c r="J385" s="20" t="s">
        <v>256</v>
      </c>
      <c r="K385" s="1" t="e">
        <f aca="false">_xlfn.xlookup(J385,REF!$D$2:$D$12,REF!$E$2:$E$12)</f>
        <v>#NAME?</v>
      </c>
      <c r="L385" s="1" t="s">
        <v>429</v>
      </c>
      <c r="M385" s="20" t="s">
        <v>258</v>
      </c>
      <c r="N385" s="20" t="s">
        <v>379</v>
      </c>
      <c r="O385" s="1" t="s">
        <v>399</v>
      </c>
      <c r="P385" s="22" t="str">
        <f aca="false">_xlfn.CONCAT(B385,C385,D385,E385,F385)</f>
        <v/>
      </c>
      <c r="Q385" s="1" t="str">
        <f aca="false">_xlfn.CONCAT(H385,I385,J385)</f>
        <v>RDE</v>
      </c>
    </row>
    <row r="386" customFormat="false" ht="15" hidden="false" customHeight="false" outlineLevel="0" collapsed="false">
      <c r="G386" s="15" t="n">
        <f aca="false">F386-E386</f>
        <v>0</v>
      </c>
      <c r="H386" s="20"/>
      <c r="J386" s="20" t="s">
        <v>256</v>
      </c>
      <c r="K386" s="1" t="e">
        <f aca="false">_xlfn.xlookup(J386,REF!$D$2:$D$12,REF!$E$2:$E$12)</f>
        <v>#NAME?</v>
      </c>
      <c r="L386" s="1" t="s">
        <v>429</v>
      </c>
      <c r="M386" s="20" t="s">
        <v>258</v>
      </c>
      <c r="N386" s="20" t="s">
        <v>379</v>
      </c>
      <c r="O386" s="1" t="s">
        <v>399</v>
      </c>
      <c r="P386" s="22" t="str">
        <f aca="false">_xlfn.CONCAT(B386,C386,D386,E386,F386)</f>
        <v/>
      </c>
      <c r="Q386" s="1" t="str">
        <f aca="false">_xlfn.CONCAT(H386,I386,J386)</f>
        <v>RDE</v>
      </c>
    </row>
    <row r="387" customFormat="false" ht="15" hidden="false" customHeight="false" outlineLevel="0" collapsed="false">
      <c r="G387" s="15" t="n">
        <f aca="false">F387-E387</f>
        <v>0</v>
      </c>
      <c r="H387" s="20"/>
      <c r="J387" s="20" t="s">
        <v>256</v>
      </c>
      <c r="K387" s="1" t="e">
        <f aca="false">_xlfn.xlookup(J387,REF!$D$2:$D$12,REF!$E$2:$E$12)</f>
        <v>#NAME?</v>
      </c>
      <c r="L387" s="1" t="s">
        <v>429</v>
      </c>
      <c r="M387" s="20" t="s">
        <v>258</v>
      </c>
      <c r="N387" s="20" t="s">
        <v>379</v>
      </c>
      <c r="O387" s="1" t="s">
        <v>399</v>
      </c>
      <c r="P387" s="22" t="str">
        <f aca="false">_xlfn.CONCAT(B387,C387,D387,E387,F387)</f>
        <v/>
      </c>
      <c r="Q387" s="1" t="str">
        <f aca="false">_xlfn.CONCAT(H387,I387,J387)</f>
        <v>RDE</v>
      </c>
    </row>
    <row r="388" customFormat="false" ht="15" hidden="false" customHeight="false" outlineLevel="0" collapsed="false">
      <c r="G388" s="15" t="n">
        <f aca="false">F388-E388</f>
        <v>0</v>
      </c>
      <c r="H388" s="20"/>
      <c r="J388" s="20" t="s">
        <v>256</v>
      </c>
      <c r="K388" s="1" t="e">
        <f aca="false">_xlfn.xlookup(J388,REF!$D$2:$D$12,REF!$E$2:$E$12)</f>
        <v>#NAME?</v>
      </c>
      <c r="L388" s="1" t="s">
        <v>429</v>
      </c>
      <c r="M388" s="20" t="s">
        <v>258</v>
      </c>
      <c r="N388" s="20" t="s">
        <v>379</v>
      </c>
      <c r="O388" s="1" t="s">
        <v>399</v>
      </c>
      <c r="P388" s="22" t="str">
        <f aca="false">_xlfn.CONCAT(B388,C388,D388,E388,F388)</f>
        <v/>
      </c>
      <c r="Q388" s="1" t="str">
        <f aca="false">_xlfn.CONCAT(H388,I388,J388)</f>
        <v>RDE</v>
      </c>
    </row>
    <row r="389" customFormat="false" ht="15" hidden="false" customHeight="false" outlineLevel="0" collapsed="false">
      <c r="G389" s="15" t="n">
        <f aca="false">F389-E389</f>
        <v>0</v>
      </c>
      <c r="H389" s="20"/>
      <c r="J389" s="20" t="s">
        <v>256</v>
      </c>
      <c r="K389" s="1" t="e">
        <f aca="false">_xlfn.xlookup(J389,REF!$D$2:$D$12,REF!$E$2:$E$12)</f>
        <v>#NAME?</v>
      </c>
      <c r="L389" s="1" t="s">
        <v>429</v>
      </c>
      <c r="M389" s="20" t="s">
        <v>258</v>
      </c>
      <c r="N389" s="20" t="s">
        <v>379</v>
      </c>
      <c r="O389" s="1" t="s">
        <v>399</v>
      </c>
      <c r="P389" s="22" t="str">
        <f aca="false">_xlfn.CONCAT(B389,C389,D389,E389,F389)</f>
        <v/>
      </c>
      <c r="Q389" s="1" t="str">
        <f aca="false">_xlfn.CONCAT(H389,I389,J389)</f>
        <v>RDE</v>
      </c>
    </row>
    <row r="390" customFormat="false" ht="15" hidden="false" customHeight="false" outlineLevel="0" collapsed="false">
      <c r="G390" s="15" t="n">
        <f aca="false">F390-E390</f>
        <v>0</v>
      </c>
      <c r="H390" s="20"/>
      <c r="J390" s="20" t="s">
        <v>256</v>
      </c>
      <c r="K390" s="1" t="e">
        <f aca="false">_xlfn.xlookup(J390,REF!$D$2:$D$12,REF!$E$2:$E$12)</f>
        <v>#NAME?</v>
      </c>
      <c r="L390" s="1" t="s">
        <v>429</v>
      </c>
      <c r="M390" s="20" t="s">
        <v>258</v>
      </c>
      <c r="N390" s="20" t="s">
        <v>379</v>
      </c>
      <c r="O390" s="1" t="s">
        <v>399</v>
      </c>
      <c r="P390" s="22" t="str">
        <f aca="false">_xlfn.CONCAT(B390,C390,D390,E390,F390)</f>
        <v/>
      </c>
      <c r="Q390" s="1" t="str">
        <f aca="false">_xlfn.CONCAT(H390,I390,J390)</f>
        <v>RDE</v>
      </c>
    </row>
    <row r="391" customFormat="false" ht="15" hidden="false" customHeight="false" outlineLevel="0" collapsed="false">
      <c r="G391" s="15" t="n">
        <f aca="false">F391-E391</f>
        <v>0</v>
      </c>
      <c r="H391" s="20"/>
      <c r="J391" s="20" t="s">
        <v>256</v>
      </c>
      <c r="K391" s="1" t="e">
        <f aca="false">_xlfn.xlookup(J391,REF!$D$2:$D$12,REF!$E$2:$E$12)</f>
        <v>#NAME?</v>
      </c>
      <c r="L391" s="1" t="s">
        <v>429</v>
      </c>
      <c r="M391" s="20" t="s">
        <v>258</v>
      </c>
      <c r="N391" s="20" t="s">
        <v>379</v>
      </c>
      <c r="O391" s="1" t="s">
        <v>399</v>
      </c>
      <c r="P391" s="22" t="str">
        <f aca="false">_xlfn.CONCAT(B391,C391,D391,E391,F391)</f>
        <v/>
      </c>
      <c r="Q391" s="1" t="str">
        <f aca="false">_xlfn.CONCAT(H391,I391,J391)</f>
        <v>RDE</v>
      </c>
    </row>
    <row r="392" customFormat="false" ht="15" hidden="false" customHeight="false" outlineLevel="0" collapsed="false">
      <c r="G392" s="15" t="n">
        <f aca="false">F392-E392</f>
        <v>0</v>
      </c>
      <c r="H392" s="20"/>
      <c r="J392" s="20" t="s">
        <v>256</v>
      </c>
      <c r="K392" s="1" t="e">
        <f aca="false">_xlfn.xlookup(J392,REF!$D$2:$D$12,REF!$E$2:$E$12)</f>
        <v>#NAME?</v>
      </c>
      <c r="L392" s="1" t="s">
        <v>429</v>
      </c>
      <c r="M392" s="20" t="s">
        <v>258</v>
      </c>
      <c r="N392" s="20" t="s">
        <v>379</v>
      </c>
      <c r="O392" s="1" t="s">
        <v>399</v>
      </c>
      <c r="P392" s="22" t="str">
        <f aca="false">_xlfn.CONCAT(B392,C392,D392,E392,F392)</f>
        <v/>
      </c>
      <c r="Q392" s="1" t="str">
        <f aca="false">_xlfn.CONCAT(H392,I392,J392)</f>
        <v>RDE</v>
      </c>
    </row>
    <row r="393" customFormat="false" ht="15" hidden="false" customHeight="false" outlineLevel="0" collapsed="false">
      <c r="G393" s="15" t="n">
        <f aca="false">F393-E393</f>
        <v>0</v>
      </c>
      <c r="H393" s="20"/>
      <c r="J393" s="20" t="s">
        <v>256</v>
      </c>
      <c r="K393" s="1" t="e">
        <f aca="false">_xlfn.xlookup(J393,REF!$D$2:$D$12,REF!$E$2:$E$12)</f>
        <v>#NAME?</v>
      </c>
      <c r="L393" s="1" t="s">
        <v>429</v>
      </c>
      <c r="M393" s="20" t="s">
        <v>258</v>
      </c>
      <c r="N393" s="20" t="s">
        <v>379</v>
      </c>
      <c r="O393" s="1" t="s">
        <v>399</v>
      </c>
      <c r="P393" s="22" t="str">
        <f aca="false">_xlfn.CONCAT(B393,C393,D393,E393,F393)</f>
        <v/>
      </c>
      <c r="Q393" s="1" t="str">
        <f aca="false">_xlfn.CONCAT(H393,I393,J393)</f>
        <v>RDE</v>
      </c>
    </row>
    <row r="394" customFormat="false" ht="15" hidden="false" customHeight="false" outlineLevel="0" collapsed="false">
      <c r="G394" s="15" t="n">
        <f aca="false">F394-E394</f>
        <v>0</v>
      </c>
      <c r="H394" s="20"/>
      <c r="J394" s="20" t="s">
        <v>256</v>
      </c>
      <c r="K394" s="1" t="e">
        <f aca="false">_xlfn.xlookup(J394,REF!$D$2:$D$12,REF!$E$2:$E$12)</f>
        <v>#NAME?</v>
      </c>
      <c r="L394" s="1" t="s">
        <v>429</v>
      </c>
      <c r="M394" s="20" t="s">
        <v>258</v>
      </c>
      <c r="N394" s="20" t="s">
        <v>379</v>
      </c>
      <c r="O394" s="1" t="s">
        <v>399</v>
      </c>
      <c r="P394" s="22" t="str">
        <f aca="false">_xlfn.CONCAT(B394,C394,D394,E394,F394)</f>
        <v/>
      </c>
      <c r="Q394" s="1" t="str">
        <f aca="false">_xlfn.CONCAT(H394,I394,J394)</f>
        <v>RDE</v>
      </c>
    </row>
    <row r="395" customFormat="false" ht="15" hidden="false" customHeight="false" outlineLevel="0" collapsed="false">
      <c r="G395" s="15" t="n">
        <f aca="false">F395-E395</f>
        <v>0</v>
      </c>
      <c r="H395" s="20"/>
      <c r="J395" s="20" t="s">
        <v>256</v>
      </c>
      <c r="K395" s="1" t="e">
        <f aca="false">_xlfn.xlookup(J395,REF!$D$2:$D$12,REF!$E$2:$E$12)</f>
        <v>#NAME?</v>
      </c>
      <c r="L395" s="1" t="s">
        <v>429</v>
      </c>
      <c r="M395" s="20" t="s">
        <v>258</v>
      </c>
      <c r="N395" s="20" t="s">
        <v>379</v>
      </c>
      <c r="O395" s="1" t="s">
        <v>399</v>
      </c>
      <c r="P395" s="22" t="str">
        <f aca="false">_xlfn.CONCAT(B395,C395,D395,E395,F395)</f>
        <v/>
      </c>
      <c r="Q395" s="1" t="str">
        <f aca="false">_xlfn.CONCAT(H395,I395,J395)</f>
        <v>RDE</v>
      </c>
    </row>
    <row r="396" customFormat="false" ht="15" hidden="false" customHeight="false" outlineLevel="0" collapsed="false">
      <c r="G396" s="15" t="n">
        <f aca="false">F396-E396</f>
        <v>0</v>
      </c>
      <c r="H396" s="20"/>
      <c r="J396" s="20" t="s">
        <v>256</v>
      </c>
      <c r="K396" s="1" t="e">
        <f aca="false">_xlfn.xlookup(J396,REF!$D$2:$D$12,REF!$E$2:$E$12)</f>
        <v>#NAME?</v>
      </c>
      <c r="L396" s="1" t="s">
        <v>429</v>
      </c>
      <c r="M396" s="20" t="s">
        <v>258</v>
      </c>
      <c r="N396" s="20" t="s">
        <v>379</v>
      </c>
      <c r="O396" s="1" t="s">
        <v>399</v>
      </c>
      <c r="P396" s="22" t="str">
        <f aca="false">_xlfn.CONCAT(B396,C396,D396,E396,F396)</f>
        <v/>
      </c>
      <c r="Q396" s="1" t="str">
        <f aca="false">_xlfn.CONCAT(H396,I396,J396)</f>
        <v>RDE</v>
      </c>
    </row>
    <row r="397" customFormat="false" ht="15" hidden="false" customHeight="false" outlineLevel="0" collapsed="false">
      <c r="G397" s="15" t="n">
        <f aca="false">F397-E397</f>
        <v>0</v>
      </c>
      <c r="H397" s="20"/>
      <c r="J397" s="20" t="s">
        <v>256</v>
      </c>
      <c r="K397" s="1" t="e">
        <f aca="false">_xlfn.xlookup(J397,REF!$D$2:$D$12,REF!$E$2:$E$12)</f>
        <v>#NAME?</v>
      </c>
      <c r="L397" s="1" t="s">
        <v>429</v>
      </c>
      <c r="M397" s="20" t="s">
        <v>258</v>
      </c>
      <c r="N397" s="20" t="s">
        <v>379</v>
      </c>
      <c r="O397" s="1" t="s">
        <v>399</v>
      </c>
      <c r="P397" s="22" t="str">
        <f aca="false">_xlfn.CONCAT(B397,C397,D397,E397,F397)</f>
        <v/>
      </c>
      <c r="Q397" s="1" t="str">
        <f aca="false">_xlfn.CONCAT(H397,I397,J397)</f>
        <v>RDE</v>
      </c>
    </row>
    <row r="398" customFormat="false" ht="15" hidden="false" customHeight="false" outlineLevel="0" collapsed="false">
      <c r="G398" s="15" t="n">
        <f aca="false">F398-E398</f>
        <v>0</v>
      </c>
      <c r="H398" s="20"/>
      <c r="J398" s="20" t="s">
        <v>256</v>
      </c>
      <c r="K398" s="1" t="s">
        <v>430</v>
      </c>
      <c r="L398" s="1" t="s">
        <v>429</v>
      </c>
      <c r="M398" s="20" t="s">
        <v>258</v>
      </c>
      <c r="N398" s="20" t="s">
        <v>379</v>
      </c>
      <c r="O398" s="1" t="s">
        <v>399</v>
      </c>
      <c r="P398" s="22" t="str">
        <f aca="false">_xlfn.CONCAT(B398,C398,D398,E398,F398)</f>
        <v/>
      </c>
      <c r="Q398" s="1" t="str">
        <f aca="false">_xlfn.CONCAT(H398,I398,J398)</f>
        <v>RDE</v>
      </c>
    </row>
    <row r="399" customFormat="false" ht="15" hidden="false" customHeight="false" outlineLevel="0" collapsed="false">
      <c r="G399" s="15" t="n">
        <f aca="false">F399-E399</f>
        <v>0</v>
      </c>
      <c r="H399" s="20"/>
      <c r="J399" s="20" t="s">
        <v>256</v>
      </c>
      <c r="K399" s="1" t="s">
        <v>430</v>
      </c>
      <c r="L399" s="1" t="s">
        <v>429</v>
      </c>
      <c r="M399" s="20" t="s">
        <v>258</v>
      </c>
      <c r="N399" s="20" t="s">
        <v>379</v>
      </c>
      <c r="O399" s="1" t="s">
        <v>399</v>
      </c>
      <c r="P399" s="22" t="str">
        <f aca="false">_xlfn.CONCAT(B399,C399,D399,E399,F399)</f>
        <v/>
      </c>
      <c r="Q399" s="1" t="str">
        <f aca="false">_xlfn.CONCAT(H399,I399,J399)</f>
        <v>RDE</v>
      </c>
    </row>
    <row r="400" customFormat="false" ht="15" hidden="false" customHeight="false" outlineLevel="0" collapsed="false">
      <c r="G400" s="15" t="n">
        <f aca="false">F400-E400</f>
        <v>0</v>
      </c>
      <c r="H400" s="20"/>
      <c r="J400" s="20" t="s">
        <v>256</v>
      </c>
      <c r="K400" s="1" t="s">
        <v>430</v>
      </c>
      <c r="L400" s="1" t="s">
        <v>429</v>
      </c>
      <c r="M400" s="20" t="s">
        <v>258</v>
      </c>
      <c r="N400" s="20" t="s">
        <v>379</v>
      </c>
      <c r="O400" s="1" t="s">
        <v>399</v>
      </c>
      <c r="P400" s="22" t="str">
        <f aca="false">_xlfn.CONCAT(B400,C400,D400,E400,F400)</f>
        <v/>
      </c>
      <c r="Q400" s="1" t="str">
        <f aca="false">_xlfn.CONCAT(H400,I400,J400)</f>
        <v>RDE</v>
      </c>
    </row>
    <row r="401" customFormat="false" ht="15" hidden="false" customHeight="false" outlineLevel="0" collapsed="false">
      <c r="G401" s="15" t="n">
        <f aca="false">F401-E401</f>
        <v>0</v>
      </c>
      <c r="H401" s="20"/>
      <c r="J401" s="20" t="s">
        <v>256</v>
      </c>
      <c r="K401" s="1" t="s">
        <v>430</v>
      </c>
      <c r="L401" s="1" t="s">
        <v>429</v>
      </c>
      <c r="M401" s="20" t="s">
        <v>258</v>
      </c>
      <c r="N401" s="20" t="s">
        <v>379</v>
      </c>
      <c r="O401" s="1" t="s">
        <v>399</v>
      </c>
      <c r="P401" s="22" t="str">
        <f aca="false">_xlfn.CONCAT(B401,C401,D401,E401,F401)</f>
        <v/>
      </c>
      <c r="Q401" s="1" t="str">
        <f aca="false">_xlfn.CONCAT(H401,I401,J401)</f>
        <v>RDE</v>
      </c>
    </row>
    <row r="402" customFormat="false" ht="15" hidden="false" customHeight="false" outlineLevel="0" collapsed="false">
      <c r="G402" s="15" t="n">
        <f aca="false">F402-E402</f>
        <v>0</v>
      </c>
      <c r="H402" s="20"/>
      <c r="J402" s="20" t="s">
        <v>256</v>
      </c>
      <c r="K402" s="1" t="s">
        <v>430</v>
      </c>
      <c r="L402" s="1" t="s">
        <v>429</v>
      </c>
      <c r="M402" s="20" t="s">
        <v>258</v>
      </c>
      <c r="N402" s="20" t="s">
        <v>379</v>
      </c>
      <c r="O402" s="1" t="s">
        <v>399</v>
      </c>
      <c r="P402" s="22" t="str">
        <f aca="false">_xlfn.CONCAT(B402,C402,D402,E402,F402)</f>
        <v/>
      </c>
      <c r="Q402" s="1" t="str">
        <f aca="false">_xlfn.CONCAT(H402,I402,J402)</f>
        <v>RDE</v>
      </c>
    </row>
    <row r="403" customFormat="false" ht="15" hidden="false" customHeight="false" outlineLevel="0" collapsed="false">
      <c r="G403" s="15" t="n">
        <f aca="false">F403-E403</f>
        <v>0</v>
      </c>
      <c r="H403" s="20"/>
      <c r="J403" s="20" t="s">
        <v>256</v>
      </c>
      <c r="K403" s="1" t="s">
        <v>430</v>
      </c>
      <c r="L403" s="1" t="s">
        <v>257</v>
      </c>
      <c r="M403" s="20" t="s">
        <v>258</v>
      </c>
      <c r="N403" s="20" t="s">
        <v>379</v>
      </c>
      <c r="O403" s="1" t="s">
        <v>399</v>
      </c>
      <c r="P403" s="22" t="str">
        <f aca="false">_xlfn.CONCAT(B403,C403,D403,E403,F403)</f>
        <v/>
      </c>
      <c r="Q403" s="1" t="str">
        <f aca="false">_xlfn.CONCAT(H403,I403,J403)</f>
        <v>RDE</v>
      </c>
    </row>
    <row r="404" customFormat="false" ht="15" hidden="false" customHeight="false" outlineLevel="0" collapsed="false">
      <c r="G404" s="15" t="n">
        <f aca="false">F404-E404</f>
        <v>0</v>
      </c>
      <c r="H404" s="20"/>
      <c r="J404" s="20" t="s">
        <v>256</v>
      </c>
      <c r="K404" s="1" t="s">
        <v>430</v>
      </c>
      <c r="L404" s="1" t="s">
        <v>257</v>
      </c>
      <c r="M404" s="20" t="s">
        <v>258</v>
      </c>
      <c r="N404" s="20" t="s">
        <v>379</v>
      </c>
      <c r="O404" s="1" t="s">
        <v>399</v>
      </c>
      <c r="P404" s="22" t="str">
        <f aca="false">_xlfn.CONCAT(B404,C404,D404,E404,F404)</f>
        <v/>
      </c>
      <c r="Q404" s="1" t="str">
        <f aca="false">_xlfn.CONCAT(H404,I404,J404)</f>
        <v>RDE</v>
      </c>
    </row>
    <row r="405" customFormat="false" ht="15" hidden="false" customHeight="false" outlineLevel="0" collapsed="false">
      <c r="G405" s="15" t="n">
        <f aca="false">F405-E405</f>
        <v>0</v>
      </c>
      <c r="H405" s="20"/>
      <c r="J405" s="20" t="s">
        <v>256</v>
      </c>
      <c r="K405" s="1" t="s">
        <v>430</v>
      </c>
      <c r="L405" s="1" t="s">
        <v>257</v>
      </c>
      <c r="M405" s="20" t="s">
        <v>258</v>
      </c>
      <c r="N405" s="20" t="s">
        <v>379</v>
      </c>
      <c r="O405" s="1" t="s">
        <v>399</v>
      </c>
      <c r="P405" s="22" t="str">
        <f aca="false">_xlfn.CONCAT(B405,C405,D405,E405,F405)</f>
        <v/>
      </c>
      <c r="Q405" s="1" t="str">
        <f aca="false">_xlfn.CONCAT(H405,I405,J405)</f>
        <v>RDE</v>
      </c>
    </row>
    <row r="406" customFormat="false" ht="15" hidden="false" customHeight="false" outlineLevel="0" collapsed="false">
      <c r="G406" s="15" t="n">
        <f aca="false">F406-E406</f>
        <v>0</v>
      </c>
      <c r="H406" s="20"/>
      <c r="J406" s="20" t="s">
        <v>256</v>
      </c>
      <c r="K406" s="1" t="s">
        <v>430</v>
      </c>
      <c r="L406" s="1" t="s">
        <v>257</v>
      </c>
      <c r="M406" s="20" t="s">
        <v>258</v>
      </c>
      <c r="N406" s="20" t="s">
        <v>379</v>
      </c>
      <c r="O406" s="1" t="s">
        <v>399</v>
      </c>
      <c r="P406" s="22" t="str">
        <f aca="false">_xlfn.CONCAT(B406,C406,D406,E406,F406)</f>
        <v/>
      </c>
      <c r="Q406" s="1" t="str">
        <f aca="false">_xlfn.CONCAT(H406,I406,J406)</f>
        <v>RDE</v>
      </c>
    </row>
    <row r="407" customFormat="false" ht="15" hidden="false" customHeight="false" outlineLevel="0" collapsed="false">
      <c r="G407" s="15" t="n">
        <f aca="false">F407-E407</f>
        <v>0</v>
      </c>
      <c r="H407" s="20"/>
      <c r="J407" s="20" t="s">
        <v>256</v>
      </c>
      <c r="K407" s="1" t="s">
        <v>430</v>
      </c>
      <c r="L407" s="1" t="s">
        <v>257</v>
      </c>
      <c r="M407" s="20" t="s">
        <v>258</v>
      </c>
      <c r="N407" s="20" t="s">
        <v>379</v>
      </c>
      <c r="O407" s="1" t="s">
        <v>399</v>
      </c>
      <c r="P407" s="22" t="str">
        <f aca="false">_xlfn.CONCAT(B407,C407,D407,E407,F407)</f>
        <v/>
      </c>
      <c r="Q407" s="1" t="str">
        <f aca="false">_xlfn.CONCAT(H407,I407,J407)</f>
        <v>RDE</v>
      </c>
    </row>
    <row r="408" customFormat="false" ht="15" hidden="false" customHeight="false" outlineLevel="0" collapsed="false">
      <c r="G408" s="15" t="n">
        <f aca="false">F408-E408</f>
        <v>0</v>
      </c>
      <c r="H408" s="20"/>
      <c r="J408" s="20" t="s">
        <v>256</v>
      </c>
      <c r="K408" s="1" t="s">
        <v>430</v>
      </c>
      <c r="L408" s="1" t="s">
        <v>431</v>
      </c>
      <c r="M408" s="20" t="s">
        <v>258</v>
      </c>
      <c r="N408" s="20" t="s">
        <v>379</v>
      </c>
      <c r="O408" s="1" t="s">
        <v>399</v>
      </c>
      <c r="P408" s="22" t="str">
        <f aca="false">_xlfn.CONCAT(B408,C408,D408,E408,F408)</f>
        <v/>
      </c>
      <c r="Q408" s="1" t="str">
        <f aca="false">_xlfn.CONCAT(H408,I408,J408)</f>
        <v>RDE</v>
      </c>
    </row>
    <row r="409" customFormat="false" ht="15" hidden="false" customHeight="false" outlineLevel="0" collapsed="false">
      <c r="G409" s="15" t="n">
        <f aca="false">F409-E409</f>
        <v>0</v>
      </c>
      <c r="H409" s="20"/>
      <c r="J409" s="20" t="s">
        <v>256</v>
      </c>
      <c r="K409" s="1" t="s">
        <v>430</v>
      </c>
      <c r="L409" s="1" t="s">
        <v>431</v>
      </c>
      <c r="M409" s="20" t="s">
        <v>258</v>
      </c>
      <c r="N409" s="20" t="s">
        <v>379</v>
      </c>
      <c r="O409" s="1" t="s">
        <v>399</v>
      </c>
      <c r="P409" s="22" t="str">
        <f aca="false">_xlfn.CONCAT(B409,C409,D409,E409,F409)</f>
        <v/>
      </c>
      <c r="Q409" s="1" t="str">
        <f aca="false">_xlfn.CONCAT(H409,I409,J409)</f>
        <v>RDE</v>
      </c>
    </row>
    <row r="410" customFormat="false" ht="15" hidden="false" customHeight="false" outlineLevel="0" collapsed="false">
      <c r="G410" s="15" t="n">
        <f aca="false">F410-E410</f>
        <v>0</v>
      </c>
      <c r="H410" s="20"/>
      <c r="J410" s="20" t="s">
        <v>256</v>
      </c>
      <c r="K410" s="1" t="s">
        <v>430</v>
      </c>
      <c r="L410" s="1" t="s">
        <v>431</v>
      </c>
      <c r="M410" s="20" t="s">
        <v>258</v>
      </c>
      <c r="N410" s="20" t="s">
        <v>379</v>
      </c>
      <c r="O410" s="1" t="s">
        <v>399</v>
      </c>
      <c r="P410" s="22" t="str">
        <f aca="false">_xlfn.CONCAT(B410,C410,D410,E410,F410)</f>
        <v/>
      </c>
      <c r="Q410" s="1" t="str">
        <f aca="false">_xlfn.CONCAT(H410,I410,J410)</f>
        <v>RDE</v>
      </c>
    </row>
    <row r="411" customFormat="false" ht="15" hidden="false" customHeight="false" outlineLevel="0" collapsed="false">
      <c r="G411" s="15" t="n">
        <f aca="false">F411-E411</f>
        <v>0</v>
      </c>
      <c r="H411" s="20"/>
      <c r="J411" s="20" t="s">
        <v>256</v>
      </c>
      <c r="K411" s="1" t="s">
        <v>430</v>
      </c>
      <c r="L411" s="1" t="s">
        <v>431</v>
      </c>
      <c r="M411" s="20" t="s">
        <v>258</v>
      </c>
      <c r="N411" s="20" t="s">
        <v>379</v>
      </c>
      <c r="O411" s="1" t="s">
        <v>399</v>
      </c>
      <c r="P411" s="22" t="str">
        <f aca="false">_xlfn.CONCAT(B411,C411,D411,E411,F411)</f>
        <v/>
      </c>
      <c r="Q411" s="1" t="str">
        <f aca="false">_xlfn.CONCAT(H411,I411,J411)</f>
        <v>RDE</v>
      </c>
    </row>
    <row r="412" customFormat="false" ht="15" hidden="false" customHeight="false" outlineLevel="0" collapsed="false">
      <c r="G412" s="15" t="n">
        <f aca="false">F412-E412</f>
        <v>0</v>
      </c>
      <c r="H412" s="20"/>
      <c r="J412" s="20" t="s">
        <v>256</v>
      </c>
      <c r="K412" s="1" t="s">
        <v>430</v>
      </c>
      <c r="L412" s="1" t="s">
        <v>431</v>
      </c>
      <c r="M412" s="20" t="s">
        <v>258</v>
      </c>
      <c r="N412" s="20" t="s">
        <v>379</v>
      </c>
      <c r="O412" s="1" t="s">
        <v>399</v>
      </c>
      <c r="P412" s="22" t="str">
        <f aca="false">_xlfn.CONCAT(B412,C412,D412,E412,F412)</f>
        <v/>
      </c>
      <c r="Q412" s="1" t="str">
        <f aca="false">_xlfn.CONCAT(H412,I412,J412)</f>
        <v>RDE</v>
      </c>
    </row>
    <row r="413" customFormat="false" ht="15" hidden="false" customHeight="false" outlineLevel="0" collapsed="false">
      <c r="G413" s="15" t="n">
        <f aca="false">F413-E413</f>
        <v>0</v>
      </c>
      <c r="H413" s="20"/>
      <c r="J413" s="20" t="s">
        <v>256</v>
      </c>
      <c r="K413" s="1" t="s">
        <v>430</v>
      </c>
      <c r="L413" s="1" t="s">
        <v>431</v>
      </c>
      <c r="M413" s="20" t="s">
        <v>258</v>
      </c>
      <c r="N413" s="20" t="s">
        <v>379</v>
      </c>
      <c r="O413" s="1" t="s">
        <v>399</v>
      </c>
      <c r="P413" s="22" t="str">
        <f aca="false">_xlfn.CONCAT(B413,C413,D413,E413,F413)</f>
        <v/>
      </c>
      <c r="Q413" s="1" t="str">
        <f aca="false">_xlfn.CONCAT(H413,I413,J413)</f>
        <v>RDE</v>
      </c>
    </row>
    <row r="414" customFormat="false" ht="15" hidden="false" customHeight="false" outlineLevel="0" collapsed="false">
      <c r="G414" s="15" t="n">
        <f aca="false">F414-E414</f>
        <v>0</v>
      </c>
      <c r="H414" s="20"/>
      <c r="J414" s="20" t="s">
        <v>256</v>
      </c>
      <c r="K414" s="1" t="s">
        <v>430</v>
      </c>
      <c r="L414" s="1" t="s">
        <v>431</v>
      </c>
      <c r="M414" s="20" t="s">
        <v>258</v>
      </c>
      <c r="N414" s="20" t="s">
        <v>379</v>
      </c>
      <c r="O414" s="1" t="s">
        <v>399</v>
      </c>
      <c r="P414" s="22" t="str">
        <f aca="false">_xlfn.CONCAT(B414,C414,D414,E414,F414)</f>
        <v/>
      </c>
      <c r="Q414" s="1" t="str">
        <f aca="false">_xlfn.CONCAT(H414,I414,J414)</f>
        <v>RDE</v>
      </c>
    </row>
    <row r="415" customFormat="false" ht="15" hidden="false" customHeight="false" outlineLevel="0" collapsed="false">
      <c r="G415" s="15" t="n">
        <f aca="false">F415-E415</f>
        <v>0</v>
      </c>
      <c r="H415" s="20"/>
      <c r="J415" s="20" t="s">
        <v>256</v>
      </c>
      <c r="K415" s="1" t="s">
        <v>430</v>
      </c>
      <c r="L415" s="1" t="s">
        <v>431</v>
      </c>
      <c r="M415" s="20" t="s">
        <v>258</v>
      </c>
      <c r="N415" s="20" t="s">
        <v>379</v>
      </c>
      <c r="O415" s="1" t="s">
        <v>399</v>
      </c>
      <c r="P415" s="22" t="str">
        <f aca="false">_xlfn.CONCAT(B415,C415,D415,E415,F415)</f>
        <v/>
      </c>
      <c r="Q415" s="1" t="str">
        <f aca="false">_xlfn.CONCAT(H415,I415,J415)</f>
        <v>RDE</v>
      </c>
    </row>
    <row r="416" customFormat="false" ht="15" hidden="false" customHeight="false" outlineLevel="0" collapsed="false">
      <c r="G416" s="15" t="n">
        <f aca="false">F416-E416</f>
        <v>0</v>
      </c>
      <c r="H416" s="20"/>
      <c r="J416" s="20" t="s">
        <v>256</v>
      </c>
      <c r="K416" s="1" t="s">
        <v>430</v>
      </c>
      <c r="L416" s="1" t="s">
        <v>431</v>
      </c>
      <c r="M416" s="20" t="s">
        <v>258</v>
      </c>
      <c r="N416" s="20" t="s">
        <v>379</v>
      </c>
      <c r="O416" s="1" t="s">
        <v>399</v>
      </c>
      <c r="P416" s="22" t="str">
        <f aca="false">_xlfn.CONCAT(B416,C416,D416,E416,F416)</f>
        <v/>
      </c>
      <c r="Q416" s="1" t="str">
        <f aca="false">_xlfn.CONCAT(H416,I416,J416)</f>
        <v>RDE</v>
      </c>
    </row>
    <row r="417" customFormat="false" ht="15" hidden="false" customHeight="false" outlineLevel="0" collapsed="false">
      <c r="G417" s="15" t="n">
        <f aca="false">F417-E417</f>
        <v>0</v>
      </c>
      <c r="H417" s="20"/>
      <c r="J417" s="20" t="s">
        <v>256</v>
      </c>
      <c r="K417" s="1" t="s">
        <v>430</v>
      </c>
      <c r="L417" s="1" t="s">
        <v>431</v>
      </c>
      <c r="M417" s="20" t="s">
        <v>258</v>
      </c>
      <c r="N417" s="20" t="s">
        <v>379</v>
      </c>
      <c r="O417" s="1" t="s">
        <v>399</v>
      </c>
      <c r="P417" s="22" t="str">
        <f aca="false">_xlfn.CONCAT(B417,C417,D417,E417,F417)</f>
        <v/>
      </c>
      <c r="Q417" s="1" t="str">
        <f aca="false">_xlfn.CONCAT(H417,I417,J417)</f>
        <v>RDE</v>
      </c>
    </row>
    <row r="418" customFormat="false" ht="15" hidden="false" customHeight="false" outlineLevel="0" collapsed="false">
      <c r="G418" s="15" t="n">
        <f aca="false">F418-E418</f>
        <v>0</v>
      </c>
      <c r="H418" s="20"/>
      <c r="J418" s="20" t="s">
        <v>256</v>
      </c>
      <c r="K418" s="1" t="s">
        <v>430</v>
      </c>
      <c r="L418" s="1" t="s">
        <v>431</v>
      </c>
      <c r="M418" s="20" t="s">
        <v>258</v>
      </c>
      <c r="N418" s="20" t="s">
        <v>379</v>
      </c>
      <c r="O418" s="1" t="s">
        <v>399</v>
      </c>
      <c r="P418" s="22" t="str">
        <f aca="false">_xlfn.CONCAT(B418,C418,D418,E418,F418)</f>
        <v/>
      </c>
      <c r="Q418" s="1" t="str">
        <f aca="false">_xlfn.CONCAT(H418,I418,J418)</f>
        <v>RDE</v>
      </c>
    </row>
    <row r="419" customFormat="false" ht="15" hidden="false" customHeight="false" outlineLevel="0" collapsed="false">
      <c r="G419" s="15" t="n">
        <f aca="false">F419-E419</f>
        <v>0</v>
      </c>
      <c r="H419" s="20"/>
      <c r="J419" s="20" t="s">
        <v>256</v>
      </c>
      <c r="K419" s="1" t="s">
        <v>430</v>
      </c>
      <c r="L419" s="1" t="s">
        <v>431</v>
      </c>
      <c r="M419" s="20" t="s">
        <v>258</v>
      </c>
      <c r="N419" s="20" t="s">
        <v>379</v>
      </c>
      <c r="O419" s="1" t="s">
        <v>399</v>
      </c>
      <c r="P419" s="22" t="str">
        <f aca="false">_xlfn.CONCAT(B419,C419,D419,E419,F419)</f>
        <v/>
      </c>
      <c r="Q419" s="1" t="str">
        <f aca="false">_xlfn.CONCAT(H419,I419,J419)</f>
        <v>RDE</v>
      </c>
    </row>
    <row r="420" customFormat="false" ht="15" hidden="false" customHeight="false" outlineLevel="0" collapsed="false">
      <c r="G420" s="15" t="n">
        <f aca="false">F420-E420</f>
        <v>0</v>
      </c>
      <c r="H420" s="20"/>
      <c r="J420" s="20" t="s">
        <v>256</v>
      </c>
      <c r="K420" s="1" t="s">
        <v>430</v>
      </c>
      <c r="L420" s="1" t="s">
        <v>431</v>
      </c>
      <c r="M420" s="20" t="s">
        <v>258</v>
      </c>
      <c r="N420" s="20" t="s">
        <v>379</v>
      </c>
      <c r="O420" s="1" t="s">
        <v>399</v>
      </c>
      <c r="P420" s="22" t="str">
        <f aca="false">_xlfn.CONCAT(B420,C420,D420,E420,F420)</f>
        <v/>
      </c>
      <c r="Q420" s="1" t="str">
        <f aca="false">_xlfn.CONCAT(H420,I420,J420)</f>
        <v>RDE</v>
      </c>
    </row>
    <row r="421" customFormat="false" ht="15" hidden="false" customHeight="false" outlineLevel="0" collapsed="false">
      <c r="G421" s="15" t="n">
        <f aca="false">F421-E421</f>
        <v>0</v>
      </c>
      <c r="H421" s="20"/>
      <c r="J421" s="20" t="s">
        <v>256</v>
      </c>
      <c r="K421" s="1" t="s">
        <v>430</v>
      </c>
      <c r="L421" s="1" t="s">
        <v>431</v>
      </c>
      <c r="M421" s="20" t="s">
        <v>258</v>
      </c>
      <c r="N421" s="20" t="s">
        <v>379</v>
      </c>
      <c r="O421" s="1" t="s">
        <v>399</v>
      </c>
      <c r="P421" s="22" t="str">
        <f aca="false">_xlfn.CONCAT(B421,C421,D421,E421,F421)</f>
        <v/>
      </c>
      <c r="Q421" s="1" t="str">
        <f aca="false">_xlfn.CONCAT(H421,I421,J421)</f>
        <v>RDE</v>
      </c>
    </row>
    <row r="422" customFormat="false" ht="15" hidden="false" customHeight="false" outlineLevel="0" collapsed="false">
      <c r="G422" s="15" t="n">
        <f aca="false">F422-E422</f>
        <v>0</v>
      </c>
      <c r="H422" s="20"/>
      <c r="J422" s="20" t="s">
        <v>256</v>
      </c>
      <c r="K422" s="1" t="s">
        <v>430</v>
      </c>
      <c r="L422" s="1" t="s">
        <v>431</v>
      </c>
      <c r="M422" s="20" t="s">
        <v>258</v>
      </c>
      <c r="N422" s="20" t="s">
        <v>379</v>
      </c>
      <c r="O422" s="1" t="s">
        <v>399</v>
      </c>
      <c r="P422" s="22" t="str">
        <f aca="false">_xlfn.CONCAT(B422,C422,D422,E422,F422)</f>
        <v/>
      </c>
      <c r="Q422" s="1" t="str">
        <f aca="false">_xlfn.CONCAT(H422,I422,J422)</f>
        <v>RDE</v>
      </c>
    </row>
    <row r="423" customFormat="false" ht="15" hidden="false" customHeight="false" outlineLevel="0" collapsed="false">
      <c r="G423" s="15" t="n">
        <f aca="false">F423-E423</f>
        <v>0</v>
      </c>
      <c r="H423" s="20"/>
      <c r="J423" s="20" t="s">
        <v>256</v>
      </c>
      <c r="K423" s="1" t="s">
        <v>430</v>
      </c>
      <c r="L423" s="1" t="s">
        <v>431</v>
      </c>
      <c r="M423" s="20" t="s">
        <v>258</v>
      </c>
      <c r="N423" s="20" t="s">
        <v>379</v>
      </c>
      <c r="O423" s="1" t="s">
        <v>399</v>
      </c>
      <c r="P423" s="22" t="str">
        <f aca="false">_xlfn.CONCAT(B423,C423,D423,E423,F423)</f>
        <v/>
      </c>
      <c r="Q423" s="1" t="str">
        <f aca="false">_xlfn.CONCAT(H423,I423,J423)</f>
        <v>RDE</v>
      </c>
    </row>
    <row r="424" customFormat="false" ht="15" hidden="false" customHeight="false" outlineLevel="0" collapsed="false">
      <c r="G424" s="15" t="n">
        <f aca="false">F424-E424</f>
        <v>0</v>
      </c>
      <c r="H424" s="20"/>
      <c r="J424" s="20" t="s">
        <v>256</v>
      </c>
      <c r="K424" s="1" t="s">
        <v>430</v>
      </c>
      <c r="L424" s="1" t="s">
        <v>431</v>
      </c>
      <c r="M424" s="20" t="s">
        <v>258</v>
      </c>
      <c r="N424" s="20" t="s">
        <v>379</v>
      </c>
      <c r="O424" s="1" t="s">
        <v>399</v>
      </c>
      <c r="P424" s="22" t="str">
        <f aca="false">_xlfn.CONCAT(B424,C424,D424,E424,F424)</f>
        <v/>
      </c>
      <c r="Q424" s="1" t="str">
        <f aca="false">_xlfn.CONCAT(H424,I424,J424)</f>
        <v>RDE</v>
      </c>
    </row>
    <row r="425" customFormat="false" ht="15" hidden="false" customHeight="false" outlineLevel="0" collapsed="false">
      <c r="G425" s="15" t="n">
        <f aca="false">F425-E425</f>
        <v>0</v>
      </c>
      <c r="H425" s="20"/>
      <c r="J425" s="20" t="s">
        <v>256</v>
      </c>
      <c r="K425" s="1" t="s">
        <v>430</v>
      </c>
      <c r="L425" s="1" t="s">
        <v>431</v>
      </c>
      <c r="M425" s="20" t="s">
        <v>258</v>
      </c>
      <c r="N425" s="20" t="s">
        <v>379</v>
      </c>
      <c r="O425" s="1" t="s">
        <v>399</v>
      </c>
      <c r="P425" s="22" t="str">
        <f aca="false">_xlfn.CONCAT(B425,C425,D425,E425,F425)</f>
        <v/>
      </c>
      <c r="Q425" s="1" t="str">
        <f aca="false">_xlfn.CONCAT(H425,I425,J425)</f>
        <v>RDE</v>
      </c>
    </row>
    <row r="426" customFormat="false" ht="15" hidden="false" customHeight="false" outlineLevel="0" collapsed="false">
      <c r="G426" s="15" t="n">
        <f aca="false">F426-E426</f>
        <v>0</v>
      </c>
      <c r="H426" s="20"/>
      <c r="J426" s="20" t="s">
        <v>256</v>
      </c>
      <c r="K426" s="1" t="s">
        <v>430</v>
      </c>
      <c r="L426" s="1" t="s">
        <v>431</v>
      </c>
      <c r="M426" s="20" t="s">
        <v>258</v>
      </c>
      <c r="N426" s="20" t="s">
        <v>379</v>
      </c>
      <c r="O426" s="1" t="s">
        <v>399</v>
      </c>
      <c r="P426" s="22" t="str">
        <f aca="false">_xlfn.CONCAT(B426,C426,D426,E426,F426)</f>
        <v/>
      </c>
      <c r="Q426" s="1" t="str">
        <f aca="false">_xlfn.CONCAT(H426,I426,J426)</f>
        <v>RDE</v>
      </c>
    </row>
    <row r="427" customFormat="false" ht="15" hidden="false" customHeight="false" outlineLevel="0" collapsed="false">
      <c r="G427" s="15" t="n">
        <f aca="false">F427-E427</f>
        <v>0</v>
      </c>
      <c r="H427" s="20"/>
      <c r="J427" s="20" t="s">
        <v>256</v>
      </c>
      <c r="K427" s="1" t="s">
        <v>430</v>
      </c>
      <c r="L427" s="1" t="s">
        <v>431</v>
      </c>
      <c r="M427" s="20" t="s">
        <v>258</v>
      </c>
      <c r="N427" s="20" t="s">
        <v>379</v>
      </c>
      <c r="O427" s="1" t="s">
        <v>399</v>
      </c>
      <c r="P427" s="22" t="str">
        <f aca="false">_xlfn.CONCAT(B427,C427,D427,E427,F427)</f>
        <v/>
      </c>
      <c r="Q427" s="1" t="str">
        <f aca="false">_xlfn.CONCAT(H427,I427,J427)</f>
        <v>RDE</v>
      </c>
    </row>
    <row r="428" customFormat="false" ht="15" hidden="false" customHeight="false" outlineLevel="0" collapsed="false">
      <c r="G428" s="15" t="n">
        <f aca="false">F428-E428</f>
        <v>0</v>
      </c>
      <c r="H428" s="20"/>
      <c r="I428" s="1" t="s">
        <v>263</v>
      </c>
      <c r="J428" s="20" t="s">
        <v>264</v>
      </c>
      <c r="K428" s="1" t="e">
        <f aca="false">_xlfn.xlookup(J428,REF!$D$2:$D$12,REF!$E$2:$E$12)</f>
        <v>#NAME?</v>
      </c>
      <c r="L428" s="1" t="s">
        <v>432</v>
      </c>
      <c r="M428" s="20" t="s">
        <v>266</v>
      </c>
      <c r="N428" s="20" t="s">
        <v>252</v>
      </c>
      <c r="O428" s="1" t="s">
        <v>433</v>
      </c>
      <c r="P428" s="22" t="str">
        <f aca="false">_xlfn.CONCAT(B428,C428,D429,E428,F428)</f>
        <v/>
      </c>
      <c r="Q428" s="1" t="str">
        <f aca="false">_xlfn.CONCAT(H428,I428,J428)</f>
        <v>RFOCOM</v>
      </c>
    </row>
    <row r="429" customFormat="false" ht="15" hidden="false" customHeight="false" outlineLevel="0" collapsed="false">
      <c r="G429" s="15" t="n">
        <f aca="false">F429-E429</f>
        <v>0</v>
      </c>
      <c r="H429" s="20"/>
      <c r="I429" s="1" t="s">
        <v>263</v>
      </c>
      <c r="J429" s="20" t="s">
        <v>264</v>
      </c>
      <c r="K429" s="1" t="e">
        <f aca="false">_xlfn.xlookup(J429,REF!$D$2:$D$12,REF!$E$2:$E$12)</f>
        <v>#NAME?</v>
      </c>
      <c r="L429" s="1" t="s">
        <v>432</v>
      </c>
      <c r="M429" s="20" t="s">
        <v>266</v>
      </c>
      <c r="N429" s="20" t="s">
        <v>252</v>
      </c>
      <c r="O429" s="1" t="s">
        <v>433</v>
      </c>
      <c r="P429" s="22" t="str">
        <f aca="false">_xlfn.CONCAT(B429,C429,D430,E429,F429)</f>
        <v/>
      </c>
      <c r="Q429" s="1" t="str">
        <f aca="false">_xlfn.CONCAT(H429,I429,J429)</f>
        <v>RFOCOM</v>
      </c>
    </row>
    <row r="430" customFormat="false" ht="15" hidden="false" customHeight="false" outlineLevel="0" collapsed="false">
      <c r="G430" s="15" t="n">
        <f aca="false">F430-E430</f>
        <v>0</v>
      </c>
      <c r="H430" s="20"/>
      <c r="I430" s="1" t="s">
        <v>263</v>
      </c>
      <c r="J430" s="20" t="s">
        <v>264</v>
      </c>
      <c r="K430" s="1" t="e">
        <f aca="false">_xlfn.xlookup(J430,REF!$D$2:$D$12,REF!$E$2:$E$12)</f>
        <v>#NAME?</v>
      </c>
      <c r="L430" s="1" t="s">
        <v>432</v>
      </c>
      <c r="M430" s="20" t="s">
        <v>266</v>
      </c>
      <c r="N430" s="20" t="s">
        <v>252</v>
      </c>
      <c r="O430" s="1" t="s">
        <v>433</v>
      </c>
      <c r="P430" s="22" t="str">
        <f aca="false">_xlfn.CONCAT(B430,C430,D431,E430,F430)</f>
        <v/>
      </c>
      <c r="Q430" s="1" t="str">
        <f aca="false">_xlfn.CONCAT(H430,I430,J430)</f>
        <v>RFOCOM</v>
      </c>
    </row>
    <row r="431" customFormat="false" ht="15" hidden="false" customHeight="false" outlineLevel="0" collapsed="false">
      <c r="G431" s="15" t="n">
        <f aca="false">F431-E431</f>
        <v>0</v>
      </c>
      <c r="H431" s="20"/>
      <c r="I431" s="1" t="s">
        <v>263</v>
      </c>
      <c r="J431" s="20" t="s">
        <v>264</v>
      </c>
      <c r="K431" s="1" t="e">
        <f aca="false">_xlfn.xlookup(J431,REF!$D$2:$D$12,REF!$E$2:$E$12)</f>
        <v>#NAME?</v>
      </c>
      <c r="L431" s="1" t="s">
        <v>432</v>
      </c>
      <c r="M431" s="20" t="s">
        <v>266</v>
      </c>
      <c r="N431" s="20" t="s">
        <v>252</v>
      </c>
      <c r="O431" s="1" t="s">
        <v>433</v>
      </c>
      <c r="P431" s="22" t="str">
        <f aca="false">_xlfn.CONCAT(B431,C431,D432,E431,F431)</f>
        <v/>
      </c>
      <c r="Q431" s="1" t="str">
        <f aca="false">_xlfn.CONCAT(H431,I431,J431)</f>
        <v>RFOCOM</v>
      </c>
    </row>
    <row r="432" customFormat="false" ht="15" hidden="false" customHeight="false" outlineLevel="0" collapsed="false">
      <c r="G432" s="15" t="n">
        <f aca="false">F432-E432</f>
        <v>0</v>
      </c>
      <c r="H432" s="20"/>
      <c r="I432" s="1" t="s">
        <v>263</v>
      </c>
      <c r="J432" s="20" t="s">
        <v>264</v>
      </c>
      <c r="K432" s="1" t="e">
        <f aca="false">_xlfn.xlookup(J432,REF!$D$2:$D$12,REF!$E$2:$E$12)</f>
        <v>#NAME?</v>
      </c>
      <c r="L432" s="1" t="s">
        <v>424</v>
      </c>
      <c r="M432" s="20" t="s">
        <v>266</v>
      </c>
      <c r="N432" s="20" t="s">
        <v>252</v>
      </c>
      <c r="O432" s="1" t="s">
        <v>434</v>
      </c>
      <c r="P432" s="22" t="str">
        <f aca="false">_xlfn.CONCAT(B432,C432,D432,E432,F432)</f>
        <v/>
      </c>
      <c r="Q432" s="1" t="str">
        <f aca="false">_xlfn.CONCAT(H432,I432,J432)</f>
        <v>RFOCOM</v>
      </c>
    </row>
    <row r="433" customFormat="false" ht="15" hidden="false" customHeight="false" outlineLevel="0" collapsed="false">
      <c r="G433" s="15" t="n">
        <f aca="false">F433-E433</f>
        <v>0</v>
      </c>
      <c r="H433" s="20"/>
      <c r="I433" s="1" t="s">
        <v>263</v>
      </c>
      <c r="J433" s="20" t="s">
        <v>264</v>
      </c>
      <c r="K433" s="1" t="e">
        <f aca="false">_xlfn.xlookup(J433,REF!$D$2:$D$12,REF!$E$2:$E$12)</f>
        <v>#NAME?</v>
      </c>
      <c r="L433" s="1" t="s">
        <v>424</v>
      </c>
      <c r="M433" s="20" t="s">
        <v>266</v>
      </c>
      <c r="N433" s="20" t="s">
        <v>252</v>
      </c>
      <c r="O433" s="1" t="s">
        <v>434</v>
      </c>
      <c r="P433" s="22" t="str">
        <f aca="false">_xlfn.CONCAT(B433,C433,D433,E433,F433)</f>
        <v/>
      </c>
      <c r="Q433" s="1" t="str">
        <f aca="false">_xlfn.CONCAT(H433,I433,J433)</f>
        <v>RFOCOM</v>
      </c>
    </row>
    <row r="434" customFormat="false" ht="15" hidden="false" customHeight="false" outlineLevel="0" collapsed="false">
      <c r="G434" s="15" t="n">
        <f aca="false">F434-E434</f>
        <v>0</v>
      </c>
      <c r="H434" s="20"/>
      <c r="I434" s="1" t="s">
        <v>263</v>
      </c>
      <c r="J434" s="20" t="s">
        <v>264</v>
      </c>
      <c r="K434" s="1" t="e">
        <f aca="false">_xlfn.xlookup(J434,REF!$D$2:$D$12,REF!$E$2:$E$12)</f>
        <v>#NAME?</v>
      </c>
      <c r="L434" s="1" t="s">
        <v>424</v>
      </c>
      <c r="M434" s="20" t="s">
        <v>266</v>
      </c>
      <c r="N434" s="20" t="s">
        <v>252</v>
      </c>
      <c r="O434" s="1" t="s">
        <v>434</v>
      </c>
      <c r="P434" s="22" t="str">
        <f aca="false">_xlfn.CONCAT(B434,C434,D434,E434,F434)</f>
        <v/>
      </c>
      <c r="Q434" s="1" t="str">
        <f aca="false">_xlfn.CONCAT(H434,I434,J434)</f>
        <v>RFOCOM</v>
      </c>
    </row>
    <row r="435" customFormat="false" ht="15" hidden="false" customHeight="false" outlineLevel="0" collapsed="false">
      <c r="G435" s="15" t="n">
        <f aca="false">F435-E435</f>
        <v>0</v>
      </c>
      <c r="H435" s="20"/>
      <c r="I435" s="1" t="s">
        <v>263</v>
      </c>
      <c r="J435" s="20" t="s">
        <v>264</v>
      </c>
      <c r="K435" s="1" t="e">
        <f aca="false">_xlfn.xlookup(J435,REF!$D$2:$D$12,REF!$E$2:$E$12)</f>
        <v>#NAME?</v>
      </c>
      <c r="L435" s="1" t="s">
        <v>424</v>
      </c>
      <c r="M435" s="20" t="s">
        <v>266</v>
      </c>
      <c r="N435" s="20" t="s">
        <v>252</v>
      </c>
      <c r="O435" s="1" t="s">
        <v>434</v>
      </c>
      <c r="P435" s="22" t="str">
        <f aca="false">_xlfn.CONCAT(B435,C435,D435,E435,F435)</f>
        <v/>
      </c>
      <c r="Q435" s="1" t="str">
        <f aca="false">_xlfn.CONCAT(H435,I435,J435)</f>
        <v>RFOCOM</v>
      </c>
    </row>
    <row r="436" customFormat="false" ht="15" hidden="false" customHeight="false" outlineLevel="0" collapsed="false">
      <c r="G436" s="15" t="n">
        <f aca="false">F436-E436</f>
        <v>0</v>
      </c>
      <c r="H436" s="20"/>
      <c r="I436" s="1" t="s">
        <v>263</v>
      </c>
      <c r="J436" s="20" t="s">
        <v>264</v>
      </c>
      <c r="K436" s="1" t="e">
        <f aca="false">_xlfn.xlookup(J436,REF!$D$2:$D$12,REF!$E$2:$E$12)</f>
        <v>#NAME?</v>
      </c>
      <c r="L436" s="1" t="s">
        <v>424</v>
      </c>
      <c r="M436" s="20" t="s">
        <v>266</v>
      </c>
      <c r="N436" s="20" t="s">
        <v>252</v>
      </c>
      <c r="O436" s="1" t="s">
        <v>434</v>
      </c>
      <c r="P436" s="22" t="str">
        <f aca="false">_xlfn.CONCAT(B436,C436,D436,E436,F436)</f>
        <v/>
      </c>
      <c r="Q436" s="1" t="str">
        <f aca="false">_xlfn.CONCAT(H436,I436,J436)</f>
        <v>RFOCOM</v>
      </c>
    </row>
    <row r="437" customFormat="false" ht="15" hidden="false" customHeight="false" outlineLevel="0" collapsed="false">
      <c r="G437" s="15" t="n">
        <f aca="false">F437-E437</f>
        <v>0</v>
      </c>
      <c r="H437" s="20"/>
      <c r="I437" s="1" t="s">
        <v>263</v>
      </c>
      <c r="J437" s="20" t="s">
        <v>264</v>
      </c>
      <c r="K437" s="1" t="e">
        <f aca="false">_xlfn.xlookup(J437,REF!$D$2:$D$12,REF!$E$2:$E$12)</f>
        <v>#NAME?</v>
      </c>
      <c r="L437" s="1" t="s">
        <v>424</v>
      </c>
      <c r="M437" s="20" t="s">
        <v>266</v>
      </c>
      <c r="N437" s="20" t="s">
        <v>252</v>
      </c>
      <c r="O437" s="1" t="s">
        <v>434</v>
      </c>
      <c r="P437" s="22" t="str">
        <f aca="false">_xlfn.CONCAT(B437,C437,D437,E437,F437)</f>
        <v/>
      </c>
      <c r="Q437" s="1" t="str">
        <f aca="false">_xlfn.CONCAT(H437,I437,J437)</f>
        <v>RFOCOM</v>
      </c>
    </row>
    <row r="438" customFormat="false" ht="15" hidden="false" customHeight="false" outlineLevel="0" collapsed="false">
      <c r="G438" s="15" t="n">
        <f aca="false">F438-E438</f>
        <v>0</v>
      </c>
      <c r="H438" s="20"/>
      <c r="I438" s="1" t="s">
        <v>263</v>
      </c>
      <c r="J438" s="20" t="s">
        <v>264</v>
      </c>
      <c r="K438" s="1" t="e">
        <f aca="false">_xlfn.xlookup(J438,REF!$D$2:$D$12,REF!$E$2:$E$12)</f>
        <v>#NAME?</v>
      </c>
      <c r="L438" s="1" t="s">
        <v>424</v>
      </c>
      <c r="M438" s="20" t="s">
        <v>266</v>
      </c>
      <c r="N438" s="20" t="s">
        <v>252</v>
      </c>
      <c r="O438" s="1" t="s">
        <v>434</v>
      </c>
      <c r="P438" s="22" t="str">
        <f aca="false">_xlfn.CONCAT(B438,C438,D438,E438,F438)</f>
        <v/>
      </c>
      <c r="Q438" s="1" t="str">
        <f aca="false">_xlfn.CONCAT(H438,I438,J438)</f>
        <v>RFOCOM</v>
      </c>
    </row>
    <row r="439" customFormat="false" ht="15" hidden="false" customHeight="false" outlineLevel="0" collapsed="false">
      <c r="G439" s="15" t="n">
        <f aca="false">F439-E439</f>
        <v>0</v>
      </c>
      <c r="H439" s="20"/>
      <c r="I439" s="1" t="s">
        <v>263</v>
      </c>
      <c r="J439" s="20" t="s">
        <v>264</v>
      </c>
      <c r="K439" s="1" t="e">
        <f aca="false">_xlfn.xlookup(J439,REF!$D$2:$D$12,REF!$E$2:$E$12)</f>
        <v>#NAME?</v>
      </c>
      <c r="L439" s="1" t="s">
        <v>424</v>
      </c>
      <c r="M439" s="20" t="s">
        <v>266</v>
      </c>
      <c r="N439" s="20" t="s">
        <v>252</v>
      </c>
      <c r="O439" s="1" t="s">
        <v>434</v>
      </c>
      <c r="P439" s="22" t="str">
        <f aca="false">_xlfn.CONCAT(B439,C439,D439,E439,F439)</f>
        <v/>
      </c>
      <c r="Q439" s="1" t="str">
        <f aca="false">_xlfn.CONCAT(H439,I439,J439)</f>
        <v>RFOCOM</v>
      </c>
    </row>
    <row r="440" customFormat="false" ht="15" hidden="false" customHeight="false" outlineLevel="0" collapsed="false">
      <c r="G440" s="15" t="n">
        <f aca="false">F440-E440</f>
        <v>0</v>
      </c>
      <c r="H440" s="20"/>
      <c r="I440" s="1" t="s">
        <v>263</v>
      </c>
      <c r="J440" s="20" t="s">
        <v>264</v>
      </c>
      <c r="K440" s="1" t="e">
        <f aca="false">_xlfn.xlookup(J440,REF!$D$2:$D$12,REF!$E$2:$E$12)</f>
        <v>#NAME?</v>
      </c>
      <c r="L440" s="1" t="s">
        <v>424</v>
      </c>
      <c r="M440" s="20" t="s">
        <v>266</v>
      </c>
      <c r="N440" s="20" t="s">
        <v>252</v>
      </c>
      <c r="O440" s="1" t="s">
        <v>434</v>
      </c>
      <c r="P440" s="22" t="str">
        <f aca="false">_xlfn.CONCAT(B440,C440,D440,E440,F440)</f>
        <v/>
      </c>
      <c r="Q440" s="1" t="str">
        <f aca="false">_xlfn.CONCAT(H440,I440,J440)</f>
        <v>RFOCOM</v>
      </c>
    </row>
    <row r="441" customFormat="false" ht="15" hidden="false" customHeight="false" outlineLevel="0" collapsed="false">
      <c r="G441" s="15" t="n">
        <f aca="false">F441-E441</f>
        <v>0</v>
      </c>
      <c r="H441" s="20"/>
      <c r="I441" s="1" t="s">
        <v>263</v>
      </c>
      <c r="J441" s="20" t="s">
        <v>264</v>
      </c>
      <c r="K441" s="1" t="e">
        <f aca="false">_xlfn.xlookup(J441,REF!$D$2:$D$12,REF!$E$2:$E$12)</f>
        <v>#NAME?</v>
      </c>
      <c r="L441" s="1" t="s">
        <v>424</v>
      </c>
      <c r="M441" s="20" t="s">
        <v>266</v>
      </c>
      <c r="N441" s="20" t="s">
        <v>252</v>
      </c>
      <c r="O441" s="1" t="s">
        <v>434</v>
      </c>
      <c r="P441" s="22" t="str">
        <f aca="false">_xlfn.CONCAT(B441,C441,D441,E441,F441)</f>
        <v/>
      </c>
      <c r="Q441" s="1" t="str">
        <f aca="false">_xlfn.CONCAT(H441,I441,J441)</f>
        <v>RFOCOM</v>
      </c>
    </row>
    <row r="442" customFormat="false" ht="15" hidden="false" customHeight="false" outlineLevel="0" collapsed="false">
      <c r="G442" s="15" t="n">
        <f aca="false">F442-E442</f>
        <v>0</v>
      </c>
      <c r="H442" s="20"/>
      <c r="I442" s="1" t="s">
        <v>263</v>
      </c>
      <c r="J442" s="20" t="s">
        <v>264</v>
      </c>
      <c r="K442" s="1" t="e">
        <f aca="false">_xlfn.xlookup(J442,REF!$D$2:$D$12,REF!$E$2:$E$12)</f>
        <v>#NAME?</v>
      </c>
      <c r="L442" s="1" t="s">
        <v>424</v>
      </c>
      <c r="M442" s="20" t="s">
        <v>266</v>
      </c>
      <c r="N442" s="20" t="s">
        <v>252</v>
      </c>
      <c r="O442" s="1" t="s">
        <v>434</v>
      </c>
      <c r="P442" s="22" t="str">
        <f aca="false">_xlfn.CONCAT(B442,C442,D442,E442,F442)</f>
        <v/>
      </c>
      <c r="Q442" s="1" t="str">
        <f aca="false">_xlfn.CONCAT(H442,I442,J442)</f>
        <v>RFOCOM</v>
      </c>
    </row>
    <row r="443" customFormat="false" ht="15" hidden="false" customHeight="false" outlineLevel="0" collapsed="false">
      <c r="G443" s="15" t="n">
        <f aca="false">F443-E443</f>
        <v>0</v>
      </c>
      <c r="H443" s="20"/>
      <c r="I443" s="1" t="s">
        <v>263</v>
      </c>
      <c r="J443" s="20" t="s">
        <v>264</v>
      </c>
      <c r="K443" s="1" t="e">
        <f aca="false">_xlfn.xlookup(J443,REF!$D$2:$D$12,REF!$E$2:$E$12)</f>
        <v>#NAME?</v>
      </c>
      <c r="L443" s="1" t="s">
        <v>424</v>
      </c>
      <c r="M443" s="20" t="s">
        <v>266</v>
      </c>
      <c r="N443" s="20" t="s">
        <v>252</v>
      </c>
      <c r="O443" s="1" t="s">
        <v>434</v>
      </c>
      <c r="P443" s="22" t="str">
        <f aca="false">_xlfn.CONCAT(B443,C443,D443,E443,F443)</f>
        <v/>
      </c>
      <c r="Q443" s="1" t="str">
        <f aca="false">_xlfn.CONCAT(H443,I443,J443)</f>
        <v>RFOCOM</v>
      </c>
    </row>
    <row r="444" customFormat="false" ht="15" hidden="false" customHeight="false" outlineLevel="0" collapsed="false">
      <c r="G444" s="15" t="n">
        <f aca="false">F444-E444</f>
        <v>0</v>
      </c>
      <c r="H444" s="20"/>
      <c r="I444" s="1" t="s">
        <v>263</v>
      </c>
      <c r="J444" s="20" t="s">
        <v>264</v>
      </c>
      <c r="K444" s="1" t="e">
        <f aca="false">_xlfn.xlookup(J444,REF!$D$2:$D$12,REF!$E$2:$E$12)</f>
        <v>#NAME?</v>
      </c>
      <c r="L444" s="1" t="s">
        <v>424</v>
      </c>
      <c r="M444" s="20" t="s">
        <v>266</v>
      </c>
      <c r="N444" s="20" t="s">
        <v>252</v>
      </c>
      <c r="O444" s="1" t="s">
        <v>434</v>
      </c>
      <c r="P444" s="22" t="str">
        <f aca="false">_xlfn.CONCAT(B444,C444,D444,E444,F444)</f>
        <v/>
      </c>
      <c r="Q444" s="1" t="str">
        <f aca="false">_xlfn.CONCAT(H444,I444,J444)</f>
        <v>RFOCOM</v>
      </c>
    </row>
    <row r="445" customFormat="false" ht="15" hidden="false" customHeight="false" outlineLevel="0" collapsed="false">
      <c r="G445" s="15" t="n">
        <f aca="false">F445-E445</f>
        <v>0</v>
      </c>
      <c r="H445" s="20"/>
      <c r="I445" s="1" t="s">
        <v>263</v>
      </c>
      <c r="J445" s="20" t="s">
        <v>264</v>
      </c>
      <c r="K445" s="1" t="e">
        <f aca="false">_xlfn.xlookup(J445,REF!$D$2:$D$12,REF!$E$2:$E$12)</f>
        <v>#NAME?</v>
      </c>
      <c r="L445" s="1" t="s">
        <v>424</v>
      </c>
      <c r="M445" s="20" t="s">
        <v>266</v>
      </c>
      <c r="N445" s="20" t="s">
        <v>252</v>
      </c>
      <c r="O445" s="1" t="s">
        <v>434</v>
      </c>
      <c r="P445" s="22" t="str">
        <f aca="false">_xlfn.CONCAT(B445,C445,D445,E445,F445)</f>
        <v/>
      </c>
      <c r="Q445" s="1" t="str">
        <f aca="false">_xlfn.CONCAT(H445,I445,J445)</f>
        <v>RFOCOM</v>
      </c>
    </row>
    <row r="446" customFormat="false" ht="15" hidden="false" customHeight="false" outlineLevel="0" collapsed="false">
      <c r="G446" s="15" t="n">
        <f aca="false">F446-E446</f>
        <v>0</v>
      </c>
      <c r="H446" s="20"/>
      <c r="I446" s="1" t="s">
        <v>263</v>
      </c>
      <c r="J446" s="20" t="s">
        <v>264</v>
      </c>
      <c r="K446" s="1" t="e">
        <f aca="false">_xlfn.xlookup(J446,REF!$D$2:$D$12,REF!$E$2:$E$12)</f>
        <v>#NAME?</v>
      </c>
      <c r="L446" s="1" t="s">
        <v>424</v>
      </c>
      <c r="M446" s="20" t="s">
        <v>266</v>
      </c>
      <c r="N446" s="20" t="s">
        <v>252</v>
      </c>
      <c r="O446" s="1" t="s">
        <v>434</v>
      </c>
      <c r="P446" s="22" t="str">
        <f aca="false">_xlfn.CONCAT(B446,C446,D446,E446,F446)</f>
        <v/>
      </c>
      <c r="Q446" s="1" t="str">
        <f aca="false">_xlfn.CONCAT(H446,I446,J446)</f>
        <v>RFOCOM</v>
      </c>
    </row>
    <row r="447" customFormat="false" ht="15" hidden="false" customHeight="false" outlineLevel="0" collapsed="false">
      <c r="G447" s="15" t="n">
        <f aca="false">F447-E447</f>
        <v>0</v>
      </c>
      <c r="H447" s="20"/>
      <c r="I447" s="1" t="s">
        <v>263</v>
      </c>
      <c r="J447" s="20" t="s">
        <v>264</v>
      </c>
      <c r="K447" s="1" t="e">
        <f aca="false">_xlfn.xlookup(J447,REF!$D$2:$D$12,REF!$E$2:$E$12)</f>
        <v>#NAME?</v>
      </c>
      <c r="L447" s="1" t="s">
        <v>424</v>
      </c>
      <c r="M447" s="20" t="s">
        <v>266</v>
      </c>
      <c r="N447" s="20" t="s">
        <v>252</v>
      </c>
      <c r="O447" s="1" t="s">
        <v>434</v>
      </c>
      <c r="P447" s="22" t="str">
        <f aca="false">_xlfn.CONCAT(B447,C447,D447,E447,F447)</f>
        <v/>
      </c>
      <c r="Q447" s="1" t="str">
        <f aca="false">_xlfn.CONCAT(H447,I447,J447)</f>
        <v>RFOCOM</v>
      </c>
    </row>
    <row r="448" customFormat="false" ht="15" hidden="false" customHeight="false" outlineLevel="0" collapsed="false">
      <c r="G448" s="15" t="n">
        <f aca="false">F448-E448</f>
        <v>0</v>
      </c>
      <c r="H448" s="20"/>
      <c r="I448" s="1" t="s">
        <v>263</v>
      </c>
      <c r="J448" s="20" t="s">
        <v>264</v>
      </c>
      <c r="K448" s="1" t="e">
        <f aca="false">_xlfn.xlookup(J448,REF!$D$2:$D$12,REF!$E$2:$E$12)</f>
        <v>#NAME?</v>
      </c>
      <c r="L448" s="1" t="s">
        <v>424</v>
      </c>
      <c r="M448" s="20" t="s">
        <v>266</v>
      </c>
      <c r="N448" s="20" t="s">
        <v>252</v>
      </c>
      <c r="O448" s="1" t="s">
        <v>434</v>
      </c>
      <c r="P448" s="22" t="str">
        <f aca="false">_xlfn.CONCAT(B448,C448,D448,E448,F448)</f>
        <v/>
      </c>
      <c r="Q448" s="1" t="str">
        <f aca="false">_xlfn.CONCAT(H448,I448,J448)</f>
        <v>RFOCOM</v>
      </c>
    </row>
    <row r="449" customFormat="false" ht="15" hidden="false" customHeight="false" outlineLevel="0" collapsed="false">
      <c r="G449" s="15" t="n">
        <f aca="false">F449-E449</f>
        <v>0</v>
      </c>
      <c r="H449" s="20"/>
      <c r="I449" s="1" t="s">
        <v>263</v>
      </c>
      <c r="J449" s="20" t="s">
        <v>264</v>
      </c>
      <c r="K449" s="1" t="e">
        <f aca="false">_xlfn.xlookup(J449,REF!$D$2:$D$12,REF!$E$2:$E$12)</f>
        <v>#NAME?</v>
      </c>
      <c r="L449" s="1" t="s">
        <v>424</v>
      </c>
      <c r="M449" s="20" t="s">
        <v>266</v>
      </c>
      <c r="N449" s="20" t="s">
        <v>252</v>
      </c>
      <c r="O449" s="1" t="s">
        <v>434</v>
      </c>
      <c r="P449" s="22" t="str">
        <f aca="false">_xlfn.CONCAT(B449,C449,D449,E449,F449)</f>
        <v/>
      </c>
      <c r="Q449" s="1" t="str">
        <f aca="false">_xlfn.CONCAT(H449,I449,J449)</f>
        <v>RFOCOM</v>
      </c>
    </row>
    <row r="450" customFormat="false" ht="15" hidden="false" customHeight="false" outlineLevel="0" collapsed="false">
      <c r="G450" s="15" t="n">
        <f aca="false">F450-E450</f>
        <v>0</v>
      </c>
      <c r="H450" s="20"/>
      <c r="J450" s="20" t="s">
        <v>256</v>
      </c>
      <c r="K450" s="1" t="s">
        <v>430</v>
      </c>
      <c r="L450" s="1" t="s">
        <v>435</v>
      </c>
      <c r="M450" s="20" t="s">
        <v>258</v>
      </c>
      <c r="N450" s="20" t="s">
        <v>379</v>
      </c>
      <c r="O450" s="1" t="s">
        <v>399</v>
      </c>
      <c r="P450" s="22" t="str">
        <f aca="false">_xlfn.CONCAT(B450,C450,D451,E450,F450)</f>
        <v/>
      </c>
      <c r="Q450" s="1" t="str">
        <f aca="false">_xlfn.CONCAT(H450,I450,J450)</f>
        <v>RDE</v>
      </c>
    </row>
    <row r="451" customFormat="false" ht="15" hidden="false" customHeight="false" outlineLevel="0" collapsed="false">
      <c r="G451" s="15" t="n">
        <f aca="false">F451-E451</f>
        <v>0</v>
      </c>
      <c r="H451" s="20"/>
      <c r="J451" s="20" t="s">
        <v>256</v>
      </c>
      <c r="K451" s="1" t="s">
        <v>430</v>
      </c>
      <c r="L451" s="1" t="s">
        <v>435</v>
      </c>
      <c r="M451" s="20" t="s">
        <v>258</v>
      </c>
      <c r="N451" s="20" t="s">
        <v>379</v>
      </c>
      <c r="O451" s="1" t="s">
        <v>399</v>
      </c>
      <c r="P451" s="22" t="str">
        <f aca="false">_xlfn.CONCAT(B451,C451,D452,E451,F451)</f>
        <v/>
      </c>
      <c r="Q451" s="1" t="str">
        <f aca="false">_xlfn.CONCAT(H451,I451,J451)</f>
        <v>RDE</v>
      </c>
    </row>
    <row r="452" customFormat="false" ht="15" hidden="false" customHeight="false" outlineLevel="0" collapsed="false">
      <c r="G452" s="15" t="n">
        <f aca="false">F452-E452</f>
        <v>0</v>
      </c>
      <c r="H452" s="20"/>
      <c r="J452" s="20" t="s">
        <v>256</v>
      </c>
      <c r="K452" s="1" t="s">
        <v>430</v>
      </c>
      <c r="L452" s="1" t="s">
        <v>435</v>
      </c>
      <c r="M452" s="20" t="s">
        <v>258</v>
      </c>
      <c r="N452" s="20" t="s">
        <v>379</v>
      </c>
      <c r="O452" s="1" t="s">
        <v>399</v>
      </c>
      <c r="P452" s="22" t="str">
        <f aca="false">_xlfn.CONCAT(B452,C452,D453,E452,F452)</f>
        <v/>
      </c>
      <c r="Q452" s="1" t="str">
        <f aca="false">_xlfn.CONCAT(H452,I452,J452)</f>
        <v>RDE</v>
      </c>
    </row>
    <row r="453" customFormat="false" ht="15" hidden="false" customHeight="false" outlineLevel="0" collapsed="false">
      <c r="G453" s="15" t="n">
        <f aca="false">F453-E453</f>
        <v>0</v>
      </c>
      <c r="H453" s="20"/>
      <c r="J453" s="20" t="s">
        <v>256</v>
      </c>
      <c r="K453" s="1" t="s">
        <v>430</v>
      </c>
      <c r="L453" s="1" t="s">
        <v>435</v>
      </c>
      <c r="M453" s="20" t="s">
        <v>258</v>
      </c>
      <c r="N453" s="20" t="s">
        <v>379</v>
      </c>
      <c r="O453" s="1" t="s">
        <v>399</v>
      </c>
      <c r="P453" s="22" t="str">
        <f aca="false">_xlfn.CONCAT(B453,C453,D454,E453,F453)</f>
        <v/>
      </c>
      <c r="Q453" s="1" t="str">
        <f aca="false">_xlfn.CONCAT(H453,I453,J453)</f>
        <v>RDE</v>
      </c>
    </row>
    <row r="454" customFormat="false" ht="41.75" hidden="false" customHeight="false" outlineLevel="0" collapsed="false">
      <c r="B454" s="24"/>
      <c r="G454" s="15" t="n">
        <f aca="false">F454-E454</f>
        <v>0</v>
      </c>
      <c r="H454" s="20"/>
      <c r="J454" s="20" t="s">
        <v>256</v>
      </c>
      <c r="K454" s="1" t="s">
        <v>430</v>
      </c>
      <c r="L454" s="1" t="s">
        <v>436</v>
      </c>
      <c r="M454" s="20" t="s">
        <v>258</v>
      </c>
      <c r="N454" s="20" t="s">
        <v>379</v>
      </c>
      <c r="O454" s="21" t="s">
        <v>437</v>
      </c>
      <c r="P454" s="22" t="str">
        <f aca="false">_xlfn.CONCAT(B454,C454,D455,E454,F454)</f>
        <v/>
      </c>
      <c r="Q454" s="1" t="str">
        <f aca="false">_xlfn.CONCAT(H454,I454,J454)</f>
        <v>RDE</v>
      </c>
    </row>
    <row r="455" customFormat="false" ht="41.75" hidden="false" customHeight="false" outlineLevel="0" collapsed="false">
      <c r="B455" s="24"/>
      <c r="G455" s="15" t="n">
        <f aca="false">F455-E455</f>
        <v>0</v>
      </c>
      <c r="H455" s="20"/>
      <c r="J455" s="20" t="s">
        <v>256</v>
      </c>
      <c r="K455" s="1" t="s">
        <v>430</v>
      </c>
      <c r="L455" s="1" t="s">
        <v>436</v>
      </c>
      <c r="M455" s="20" t="s">
        <v>258</v>
      </c>
      <c r="N455" s="20" t="s">
        <v>379</v>
      </c>
      <c r="O455" s="21" t="s">
        <v>437</v>
      </c>
      <c r="P455" s="22" t="str">
        <f aca="false">_xlfn.CONCAT(B455,C455,D456,E455,F455)</f>
        <v/>
      </c>
      <c r="Q455" s="1" t="str">
        <f aca="false">_xlfn.CONCAT(H455,I455,J455)</f>
        <v>RDE</v>
      </c>
    </row>
    <row r="456" customFormat="false" ht="41.75" hidden="false" customHeight="false" outlineLevel="0" collapsed="false">
      <c r="B456" s="24"/>
      <c r="G456" s="15" t="n">
        <f aca="false">F456-E456</f>
        <v>0</v>
      </c>
      <c r="H456" s="20"/>
      <c r="J456" s="20" t="s">
        <v>256</v>
      </c>
      <c r="K456" s="1" t="s">
        <v>430</v>
      </c>
      <c r="L456" s="1" t="s">
        <v>436</v>
      </c>
      <c r="M456" s="20" t="s">
        <v>258</v>
      </c>
      <c r="N456" s="20" t="s">
        <v>379</v>
      </c>
      <c r="O456" s="21" t="s">
        <v>437</v>
      </c>
      <c r="P456" s="22" t="str">
        <f aca="false">_xlfn.CONCAT(B456,C456,D457,E456,F456)</f>
        <v/>
      </c>
      <c r="Q456" s="1" t="str">
        <f aca="false">_xlfn.CONCAT(H456,I456,J456)</f>
        <v>RDE</v>
      </c>
    </row>
    <row r="457" customFormat="false" ht="41.75" hidden="false" customHeight="false" outlineLevel="0" collapsed="false">
      <c r="B457" s="24"/>
      <c r="G457" s="15" t="n">
        <f aca="false">F457-E457</f>
        <v>0</v>
      </c>
      <c r="H457" s="20"/>
      <c r="J457" s="20" t="s">
        <v>256</v>
      </c>
      <c r="K457" s="1" t="s">
        <v>430</v>
      </c>
      <c r="L457" s="1" t="s">
        <v>436</v>
      </c>
      <c r="M457" s="20" t="s">
        <v>258</v>
      </c>
      <c r="N457" s="20" t="s">
        <v>379</v>
      </c>
      <c r="O457" s="21" t="s">
        <v>437</v>
      </c>
      <c r="P457" s="22" t="str">
        <f aca="false">_xlfn.CONCAT(B457,C457,D458,E457,F457)</f>
        <v/>
      </c>
      <c r="Q457" s="1" t="str">
        <f aca="false">_xlfn.CONCAT(H457,I457,J457)</f>
        <v>RDE</v>
      </c>
    </row>
    <row r="458" customFormat="false" ht="41.75" hidden="false" customHeight="false" outlineLevel="0" collapsed="false">
      <c r="B458" s="24"/>
      <c r="G458" s="15" t="n">
        <f aca="false">F458-E458</f>
        <v>0</v>
      </c>
      <c r="H458" s="20"/>
      <c r="J458" s="20" t="s">
        <v>256</v>
      </c>
      <c r="K458" s="1" t="s">
        <v>430</v>
      </c>
      <c r="L458" s="1" t="s">
        <v>436</v>
      </c>
      <c r="M458" s="20" t="s">
        <v>258</v>
      </c>
      <c r="N458" s="20" t="s">
        <v>379</v>
      </c>
      <c r="O458" s="21" t="s">
        <v>437</v>
      </c>
      <c r="P458" s="22" t="str">
        <f aca="false">_xlfn.CONCAT(B458,C458,D459,E458,F458)</f>
        <v/>
      </c>
      <c r="Q458" s="1" t="str">
        <f aca="false">_xlfn.CONCAT(H458,I458,J458)</f>
        <v>RDE</v>
      </c>
    </row>
    <row r="459" customFormat="false" ht="15" hidden="false" customHeight="false" outlineLevel="0" collapsed="false">
      <c r="G459" s="15" t="n">
        <f aca="false">F459-E459</f>
        <v>0</v>
      </c>
      <c r="H459" s="20"/>
      <c r="J459" s="20" t="s">
        <v>256</v>
      </c>
      <c r="K459" s="1" t="s">
        <v>430</v>
      </c>
      <c r="L459" s="1" t="s">
        <v>438</v>
      </c>
      <c r="M459" s="20" t="s">
        <v>258</v>
      </c>
      <c r="N459" s="20" t="s">
        <v>379</v>
      </c>
      <c r="O459" s="1" t="s">
        <v>399</v>
      </c>
      <c r="P459" s="22" t="str">
        <f aca="false">_xlfn.CONCAT(B459,C459,D459,E459,F459)</f>
        <v/>
      </c>
      <c r="Q459" s="1" t="str">
        <f aca="false">_xlfn.CONCAT(H459,I459,J459)</f>
        <v>RDE</v>
      </c>
    </row>
    <row r="460" customFormat="false" ht="15" hidden="false" customHeight="false" outlineLevel="0" collapsed="false">
      <c r="G460" s="15" t="n">
        <f aca="false">F460-E460</f>
        <v>0</v>
      </c>
      <c r="H460" s="20"/>
      <c r="J460" s="20" t="s">
        <v>256</v>
      </c>
      <c r="K460" s="1" t="s">
        <v>430</v>
      </c>
      <c r="L460" s="1" t="s">
        <v>438</v>
      </c>
      <c r="M460" s="20" t="s">
        <v>258</v>
      </c>
      <c r="N460" s="20" t="s">
        <v>379</v>
      </c>
      <c r="O460" s="1" t="s">
        <v>399</v>
      </c>
      <c r="P460" s="22" t="str">
        <f aca="false">_xlfn.CONCAT(B460,C460,D460,E460,F460)</f>
        <v/>
      </c>
      <c r="Q460" s="1" t="str">
        <f aca="false">_xlfn.CONCAT(H460,I460,J460)</f>
        <v>RDE</v>
      </c>
    </row>
    <row r="461" customFormat="false" ht="15" hidden="false" customHeight="false" outlineLevel="0" collapsed="false">
      <c r="G461" s="15" t="n">
        <f aca="false">F461-E461</f>
        <v>0</v>
      </c>
      <c r="H461" s="20"/>
      <c r="J461" s="20" t="s">
        <v>256</v>
      </c>
      <c r="K461" s="1" t="s">
        <v>430</v>
      </c>
      <c r="L461" s="1" t="s">
        <v>438</v>
      </c>
      <c r="M461" s="20" t="s">
        <v>258</v>
      </c>
      <c r="N461" s="20" t="s">
        <v>379</v>
      </c>
      <c r="O461" s="1" t="s">
        <v>399</v>
      </c>
      <c r="P461" s="22" t="str">
        <f aca="false">_xlfn.CONCAT(B461,C461,D461,E461,F461)</f>
        <v/>
      </c>
      <c r="Q461" s="1" t="str">
        <f aca="false">_xlfn.CONCAT(H461,I461,J461)</f>
        <v>RDE</v>
      </c>
    </row>
    <row r="462" customFormat="false" ht="15" hidden="false" customHeight="false" outlineLevel="0" collapsed="false">
      <c r="G462" s="15" t="n">
        <f aca="false">F462-E462</f>
        <v>0</v>
      </c>
      <c r="H462" s="20"/>
      <c r="J462" s="20" t="s">
        <v>256</v>
      </c>
      <c r="K462" s="1" t="s">
        <v>430</v>
      </c>
      <c r="L462" s="1" t="s">
        <v>438</v>
      </c>
      <c r="M462" s="20" t="s">
        <v>258</v>
      </c>
      <c r="N462" s="20" t="s">
        <v>379</v>
      </c>
      <c r="O462" s="1" t="s">
        <v>399</v>
      </c>
      <c r="P462" s="22" t="str">
        <f aca="false">_xlfn.CONCAT(B462,C462,D462,E462,F462)</f>
        <v/>
      </c>
      <c r="Q462" s="1" t="str">
        <f aca="false">_xlfn.CONCAT(H462,I462,J462)</f>
        <v>RDE</v>
      </c>
    </row>
    <row r="463" customFormat="false" ht="15" hidden="false" customHeight="false" outlineLevel="0" collapsed="false">
      <c r="G463" s="15" t="n">
        <f aca="false">F463-E463</f>
        <v>0</v>
      </c>
      <c r="H463" s="20"/>
      <c r="J463" s="20" t="s">
        <v>256</v>
      </c>
      <c r="K463" s="1" t="s">
        <v>430</v>
      </c>
      <c r="L463" s="1" t="s">
        <v>438</v>
      </c>
      <c r="M463" s="20" t="s">
        <v>258</v>
      </c>
      <c r="N463" s="20" t="s">
        <v>379</v>
      </c>
      <c r="O463" s="1" t="s">
        <v>399</v>
      </c>
      <c r="P463" s="22" t="str">
        <f aca="false">_xlfn.CONCAT(B463,C463,D463,E463,F463)</f>
        <v/>
      </c>
      <c r="Q463" s="1" t="str">
        <f aca="false">_xlfn.CONCAT(H463,I463,J463)</f>
        <v>RDE</v>
      </c>
    </row>
    <row r="464" customFormat="false" ht="15" hidden="false" customHeight="false" outlineLevel="0" collapsed="false">
      <c r="G464" s="15" t="n">
        <f aca="false">F464-E464</f>
        <v>0</v>
      </c>
      <c r="H464" s="20"/>
      <c r="J464" s="20" t="s">
        <v>256</v>
      </c>
      <c r="K464" s="1" t="s">
        <v>430</v>
      </c>
      <c r="L464" s="1" t="s">
        <v>438</v>
      </c>
      <c r="M464" s="20" t="s">
        <v>258</v>
      </c>
      <c r="N464" s="20" t="s">
        <v>379</v>
      </c>
      <c r="O464" s="1" t="s">
        <v>399</v>
      </c>
      <c r="P464" s="22" t="str">
        <f aca="false">_xlfn.CONCAT(B464,C464,D464,E464,F464)</f>
        <v/>
      </c>
      <c r="Q464" s="1" t="str">
        <f aca="false">_xlfn.CONCAT(H464,I464,J464)</f>
        <v>RDE</v>
      </c>
    </row>
    <row r="465" customFormat="false" ht="15" hidden="false" customHeight="false" outlineLevel="0" collapsed="false">
      <c r="G465" s="15" t="n">
        <f aca="false">F465-E465</f>
        <v>0</v>
      </c>
      <c r="H465" s="20"/>
      <c r="J465" s="20" t="s">
        <v>256</v>
      </c>
      <c r="K465" s="1" t="s">
        <v>430</v>
      </c>
      <c r="L465" s="1" t="s">
        <v>438</v>
      </c>
      <c r="M465" s="20" t="s">
        <v>258</v>
      </c>
      <c r="N465" s="20" t="s">
        <v>379</v>
      </c>
      <c r="O465" s="1" t="s">
        <v>399</v>
      </c>
      <c r="P465" s="22" t="str">
        <f aca="false">_xlfn.CONCAT(B465,C465,D465,E465,F465)</f>
        <v/>
      </c>
      <c r="Q465" s="1" t="str">
        <f aca="false">_xlfn.CONCAT(H465,I465,J465)</f>
        <v>RDE</v>
      </c>
    </row>
    <row r="466" customFormat="false" ht="15" hidden="false" customHeight="false" outlineLevel="0" collapsed="false">
      <c r="G466" s="15" t="n">
        <f aca="false">F466-E466</f>
        <v>0</v>
      </c>
      <c r="H466" s="20"/>
      <c r="J466" s="20" t="s">
        <v>256</v>
      </c>
      <c r="K466" s="1" t="s">
        <v>430</v>
      </c>
      <c r="L466" s="1" t="s">
        <v>438</v>
      </c>
      <c r="M466" s="20" t="s">
        <v>258</v>
      </c>
      <c r="N466" s="20" t="s">
        <v>379</v>
      </c>
      <c r="O466" s="1" t="s">
        <v>399</v>
      </c>
      <c r="P466" s="22" t="str">
        <f aca="false">_xlfn.CONCAT(B466,C466,D466,E466,F466)</f>
        <v/>
      </c>
      <c r="Q466" s="1" t="str">
        <f aca="false">_xlfn.CONCAT(H466,I466,J466)</f>
        <v>RDE</v>
      </c>
    </row>
    <row r="467" customFormat="false" ht="15" hidden="false" customHeight="false" outlineLevel="0" collapsed="false">
      <c r="G467" s="15" t="n">
        <f aca="false">F467-E467</f>
        <v>0</v>
      </c>
      <c r="H467" s="20"/>
      <c r="J467" s="20" t="s">
        <v>256</v>
      </c>
      <c r="K467" s="1" t="s">
        <v>430</v>
      </c>
      <c r="L467" s="1" t="s">
        <v>438</v>
      </c>
      <c r="M467" s="20" t="s">
        <v>258</v>
      </c>
      <c r="N467" s="20" t="s">
        <v>379</v>
      </c>
      <c r="O467" s="1" t="s">
        <v>399</v>
      </c>
      <c r="P467" s="22" t="str">
        <f aca="false">_xlfn.CONCAT(B467,C467,D467,E467,F467)</f>
        <v/>
      </c>
      <c r="Q467" s="1" t="str">
        <f aca="false">_xlfn.CONCAT(H467,I467,J467)</f>
        <v>RDE</v>
      </c>
    </row>
    <row r="468" customFormat="false" ht="15" hidden="false" customHeight="false" outlineLevel="0" collapsed="false">
      <c r="G468" s="15" t="n">
        <f aca="false">F468-E468</f>
        <v>0</v>
      </c>
      <c r="H468" s="20"/>
      <c r="J468" s="20" t="s">
        <v>256</v>
      </c>
      <c r="K468" s="1" t="s">
        <v>430</v>
      </c>
      <c r="L468" s="1" t="s">
        <v>438</v>
      </c>
      <c r="M468" s="20" t="s">
        <v>258</v>
      </c>
      <c r="N468" s="20" t="s">
        <v>379</v>
      </c>
      <c r="O468" s="1" t="s">
        <v>399</v>
      </c>
      <c r="P468" s="22" t="str">
        <f aca="false">_xlfn.CONCAT(B468,C468,D468,E468,F468)</f>
        <v/>
      </c>
      <c r="Q468" s="1" t="str">
        <f aca="false">_xlfn.CONCAT(H468,I468,J468)</f>
        <v>RDE</v>
      </c>
    </row>
    <row r="469" customFormat="false" ht="15" hidden="false" customHeight="false" outlineLevel="0" collapsed="false">
      <c r="G469" s="15" t="n">
        <f aca="false">F469-E469</f>
        <v>0</v>
      </c>
      <c r="H469" s="20"/>
      <c r="J469" s="20" t="s">
        <v>256</v>
      </c>
      <c r="K469" s="1" t="s">
        <v>430</v>
      </c>
      <c r="L469" s="1" t="s">
        <v>438</v>
      </c>
      <c r="M469" s="20" t="s">
        <v>258</v>
      </c>
      <c r="N469" s="20" t="s">
        <v>379</v>
      </c>
      <c r="O469" s="1" t="s">
        <v>399</v>
      </c>
      <c r="P469" s="22" t="str">
        <f aca="false">_xlfn.CONCAT(B469,C469,D469,E469,F469)</f>
        <v/>
      </c>
      <c r="Q469" s="1" t="str">
        <f aca="false">_xlfn.CONCAT(H469,I469,J469)</f>
        <v>RDE</v>
      </c>
    </row>
    <row r="470" customFormat="false" ht="15" hidden="false" customHeight="false" outlineLevel="0" collapsed="false">
      <c r="G470" s="15" t="n">
        <f aca="false">F470-E470</f>
        <v>0</v>
      </c>
      <c r="H470" s="20"/>
      <c r="J470" s="20" t="s">
        <v>256</v>
      </c>
      <c r="K470" s="1" t="s">
        <v>430</v>
      </c>
      <c r="L470" s="1" t="s">
        <v>438</v>
      </c>
      <c r="M470" s="20" t="s">
        <v>258</v>
      </c>
      <c r="N470" s="20" t="s">
        <v>379</v>
      </c>
      <c r="O470" s="1" t="s">
        <v>399</v>
      </c>
      <c r="P470" s="22" t="str">
        <f aca="false">_xlfn.CONCAT(B470,C470,D470,E470,F470)</f>
        <v/>
      </c>
      <c r="Q470" s="1" t="str">
        <f aca="false">_xlfn.CONCAT(H470,I470,J470)</f>
        <v>RDE</v>
      </c>
    </row>
    <row r="471" customFormat="false" ht="15" hidden="false" customHeight="false" outlineLevel="0" collapsed="false">
      <c r="G471" s="15" t="n">
        <f aca="false">F471-E471</f>
        <v>0</v>
      </c>
      <c r="H471" s="20"/>
      <c r="J471" s="20" t="s">
        <v>256</v>
      </c>
      <c r="K471" s="1" t="s">
        <v>430</v>
      </c>
      <c r="L471" s="1" t="s">
        <v>438</v>
      </c>
      <c r="M471" s="20" t="s">
        <v>258</v>
      </c>
      <c r="N471" s="20" t="s">
        <v>379</v>
      </c>
      <c r="O471" s="1" t="s">
        <v>399</v>
      </c>
      <c r="P471" s="22" t="str">
        <f aca="false">_xlfn.CONCAT(B471,C471,D471,E471,F471)</f>
        <v/>
      </c>
      <c r="Q471" s="1" t="str">
        <f aca="false">_xlfn.CONCAT(H471,I471,J471)</f>
        <v>RDE</v>
      </c>
    </row>
    <row r="472" customFormat="false" ht="15" hidden="false" customHeight="false" outlineLevel="0" collapsed="false">
      <c r="G472" s="15" t="n">
        <f aca="false">F472-E472</f>
        <v>0</v>
      </c>
      <c r="H472" s="20"/>
      <c r="J472" s="20" t="s">
        <v>256</v>
      </c>
      <c r="K472" s="1" t="s">
        <v>430</v>
      </c>
      <c r="L472" s="1" t="s">
        <v>438</v>
      </c>
      <c r="M472" s="20" t="s">
        <v>258</v>
      </c>
      <c r="N472" s="20" t="s">
        <v>379</v>
      </c>
      <c r="O472" s="1" t="s">
        <v>399</v>
      </c>
      <c r="P472" s="22" t="str">
        <f aca="false">_xlfn.CONCAT(B472,C472,D472,E472,F472)</f>
        <v/>
      </c>
      <c r="Q472" s="1" t="str">
        <f aca="false">_xlfn.CONCAT(H472,I472,J472)</f>
        <v>RDE</v>
      </c>
    </row>
    <row r="473" customFormat="false" ht="15" hidden="false" customHeight="false" outlineLevel="0" collapsed="false">
      <c r="G473" s="15" t="n">
        <f aca="false">F473-E473</f>
        <v>0</v>
      </c>
      <c r="H473" s="20"/>
      <c r="J473" s="20" t="s">
        <v>256</v>
      </c>
      <c r="K473" s="1" t="s">
        <v>430</v>
      </c>
      <c r="L473" s="1" t="s">
        <v>438</v>
      </c>
      <c r="M473" s="20" t="s">
        <v>258</v>
      </c>
      <c r="N473" s="20" t="s">
        <v>379</v>
      </c>
      <c r="O473" s="1" t="s">
        <v>399</v>
      </c>
      <c r="P473" s="22" t="str">
        <f aca="false">_xlfn.CONCAT(B473,C473,D473,E473,F473)</f>
        <v/>
      </c>
      <c r="Q473" s="1" t="str">
        <f aca="false">_xlfn.CONCAT(H473,I473,J473)</f>
        <v>RDE</v>
      </c>
    </row>
    <row r="474" customFormat="false" ht="15" hidden="false" customHeight="false" outlineLevel="0" collapsed="false">
      <c r="G474" s="15" t="n">
        <f aca="false">F474-E474</f>
        <v>0</v>
      </c>
      <c r="H474" s="20"/>
      <c r="J474" s="20" t="s">
        <v>256</v>
      </c>
      <c r="K474" s="1" t="s">
        <v>430</v>
      </c>
      <c r="L474" s="1" t="s">
        <v>438</v>
      </c>
      <c r="M474" s="20" t="s">
        <v>258</v>
      </c>
      <c r="N474" s="20" t="s">
        <v>379</v>
      </c>
      <c r="O474" s="1" t="s">
        <v>399</v>
      </c>
      <c r="P474" s="22" t="str">
        <f aca="false">_xlfn.CONCAT(B474,C474,D474,E474,F474)</f>
        <v/>
      </c>
      <c r="Q474" s="1" t="str">
        <f aca="false">_xlfn.CONCAT(H474,I474,J474)</f>
        <v>RDE</v>
      </c>
    </row>
    <row r="475" customFormat="false" ht="15" hidden="false" customHeight="false" outlineLevel="0" collapsed="false">
      <c r="G475" s="15" t="n">
        <f aca="false">F475-E475</f>
        <v>0</v>
      </c>
      <c r="H475" s="20"/>
      <c r="J475" s="20" t="s">
        <v>256</v>
      </c>
      <c r="K475" s="1" t="s">
        <v>430</v>
      </c>
      <c r="L475" s="1" t="s">
        <v>438</v>
      </c>
      <c r="M475" s="20" t="s">
        <v>258</v>
      </c>
      <c r="N475" s="20" t="s">
        <v>379</v>
      </c>
      <c r="O475" s="1" t="s">
        <v>399</v>
      </c>
      <c r="P475" s="22" t="str">
        <f aca="false">_xlfn.CONCAT(B475,C475,D475,E475,F475)</f>
        <v/>
      </c>
      <c r="Q475" s="1" t="str">
        <f aca="false">_xlfn.CONCAT(H475,I475,J475)</f>
        <v>RDE</v>
      </c>
    </row>
    <row r="476" customFormat="false" ht="15" hidden="false" customHeight="false" outlineLevel="0" collapsed="false">
      <c r="G476" s="15" t="n">
        <f aca="false">F476-E476</f>
        <v>0</v>
      </c>
      <c r="H476" s="20"/>
      <c r="J476" s="20" t="s">
        <v>256</v>
      </c>
      <c r="K476" s="1" t="s">
        <v>430</v>
      </c>
      <c r="L476" s="1" t="s">
        <v>438</v>
      </c>
      <c r="M476" s="20" t="s">
        <v>258</v>
      </c>
      <c r="N476" s="20" t="s">
        <v>379</v>
      </c>
      <c r="O476" s="1" t="s">
        <v>399</v>
      </c>
      <c r="P476" s="22" t="str">
        <f aca="false">_xlfn.CONCAT(B476,C476,D476,E476,F476)</f>
        <v/>
      </c>
      <c r="Q476" s="1" t="str">
        <f aca="false">_xlfn.CONCAT(H476,I476,J476)</f>
        <v>RDE</v>
      </c>
    </row>
    <row r="477" customFormat="false" ht="15" hidden="false" customHeight="false" outlineLevel="0" collapsed="false">
      <c r="G477" s="15" t="n">
        <f aca="false">F477-E477</f>
        <v>0</v>
      </c>
      <c r="H477" s="20"/>
      <c r="J477" s="20" t="s">
        <v>256</v>
      </c>
      <c r="K477" s="1" t="s">
        <v>430</v>
      </c>
      <c r="L477" s="1" t="s">
        <v>438</v>
      </c>
      <c r="M477" s="20" t="s">
        <v>258</v>
      </c>
      <c r="N477" s="20" t="s">
        <v>379</v>
      </c>
      <c r="O477" s="1" t="s">
        <v>399</v>
      </c>
      <c r="P477" s="22" t="str">
        <f aca="false">_xlfn.CONCAT(B477,C477,D477,E477,F477)</f>
        <v/>
      </c>
      <c r="Q477" s="1" t="str">
        <f aca="false">_xlfn.CONCAT(H477,I477,J477)</f>
        <v>RDE</v>
      </c>
    </row>
    <row r="478" customFormat="false" ht="15" hidden="false" customHeight="false" outlineLevel="0" collapsed="false">
      <c r="G478" s="15" t="n">
        <f aca="false">F478-E478</f>
        <v>0</v>
      </c>
      <c r="H478" s="20"/>
      <c r="J478" s="20" t="s">
        <v>256</v>
      </c>
      <c r="K478" s="1" t="s">
        <v>430</v>
      </c>
      <c r="L478" s="1" t="s">
        <v>438</v>
      </c>
      <c r="M478" s="20" t="s">
        <v>258</v>
      </c>
      <c r="N478" s="20" t="s">
        <v>379</v>
      </c>
      <c r="O478" s="1" t="s">
        <v>399</v>
      </c>
      <c r="P478" s="22" t="str">
        <f aca="false">_xlfn.CONCAT(B478,C478,D478,E478,F478)</f>
        <v/>
      </c>
      <c r="Q478" s="1" t="str">
        <f aca="false">_xlfn.CONCAT(H478,I478,J478)</f>
        <v>RDE</v>
      </c>
    </row>
    <row r="479" customFormat="false" ht="15" hidden="false" customHeight="false" outlineLevel="0" collapsed="false">
      <c r="G479" s="15" t="n">
        <f aca="false">F479-E479</f>
        <v>0</v>
      </c>
      <c r="H479" s="20"/>
      <c r="J479" s="20" t="s">
        <v>256</v>
      </c>
      <c r="K479" s="1" t="s">
        <v>430</v>
      </c>
      <c r="L479" s="1" t="s">
        <v>404</v>
      </c>
      <c r="M479" s="20" t="s">
        <v>258</v>
      </c>
      <c r="N479" s="20" t="s">
        <v>379</v>
      </c>
      <c r="O479" s="1" t="s">
        <v>399</v>
      </c>
      <c r="P479" s="22" t="str">
        <f aca="false">_xlfn.CONCAT(B479,C479,D479,E479,F479)</f>
        <v/>
      </c>
      <c r="Q479" s="1" t="str">
        <f aca="false">_xlfn.CONCAT(H479,I479,J479)</f>
        <v>RDE</v>
      </c>
    </row>
    <row r="480" customFormat="false" ht="15" hidden="false" customHeight="false" outlineLevel="0" collapsed="false">
      <c r="G480" s="15" t="n">
        <f aca="false">F480-E480</f>
        <v>0</v>
      </c>
      <c r="H480" s="20"/>
      <c r="J480" s="20" t="s">
        <v>256</v>
      </c>
      <c r="K480" s="1" t="s">
        <v>430</v>
      </c>
      <c r="L480" s="1" t="s">
        <v>404</v>
      </c>
      <c r="M480" s="20" t="s">
        <v>258</v>
      </c>
      <c r="N480" s="20" t="s">
        <v>379</v>
      </c>
      <c r="O480" s="1" t="s">
        <v>399</v>
      </c>
      <c r="P480" s="22" t="str">
        <f aca="false">_xlfn.CONCAT(B480,C480,D480,E480,F480)</f>
        <v/>
      </c>
      <c r="Q480" s="1" t="str">
        <f aca="false">_xlfn.CONCAT(H480,I480,J480)</f>
        <v>RDE</v>
      </c>
    </row>
    <row r="481" customFormat="false" ht="15" hidden="false" customHeight="false" outlineLevel="0" collapsed="false">
      <c r="G481" s="15" t="n">
        <f aca="false">F481-E481</f>
        <v>0</v>
      </c>
      <c r="H481" s="20"/>
      <c r="J481" s="20" t="s">
        <v>256</v>
      </c>
      <c r="K481" s="1" t="s">
        <v>430</v>
      </c>
      <c r="L481" s="1" t="s">
        <v>404</v>
      </c>
      <c r="M481" s="20" t="s">
        <v>258</v>
      </c>
      <c r="N481" s="20" t="s">
        <v>379</v>
      </c>
      <c r="O481" s="1" t="s">
        <v>399</v>
      </c>
      <c r="P481" s="22" t="str">
        <f aca="false">_xlfn.CONCAT(B481,C481,D481,E481,F481)</f>
        <v/>
      </c>
      <c r="Q481" s="1" t="str">
        <f aca="false">_xlfn.CONCAT(H481,I481,J481)</f>
        <v>RDE</v>
      </c>
    </row>
    <row r="482" customFormat="false" ht="15" hidden="false" customHeight="false" outlineLevel="0" collapsed="false">
      <c r="G482" s="15" t="n">
        <f aca="false">F482-E482</f>
        <v>0</v>
      </c>
      <c r="H482" s="20"/>
      <c r="J482" s="20" t="s">
        <v>256</v>
      </c>
      <c r="K482" s="1" t="s">
        <v>430</v>
      </c>
      <c r="L482" s="1" t="s">
        <v>404</v>
      </c>
      <c r="M482" s="20" t="s">
        <v>258</v>
      </c>
      <c r="N482" s="20" t="s">
        <v>379</v>
      </c>
      <c r="O482" s="1" t="s">
        <v>399</v>
      </c>
      <c r="P482" s="22" t="str">
        <f aca="false">_xlfn.CONCAT(B482,C482,D482,E482,F482)</f>
        <v/>
      </c>
      <c r="Q482" s="1" t="str">
        <f aca="false">_xlfn.CONCAT(H482,I482,J482)</f>
        <v>RDE</v>
      </c>
    </row>
    <row r="483" customFormat="false" ht="15" hidden="false" customHeight="false" outlineLevel="0" collapsed="false">
      <c r="G483" s="15" t="n">
        <f aca="false">F483-E483</f>
        <v>0</v>
      </c>
      <c r="H483" s="20"/>
      <c r="J483" s="20" t="s">
        <v>256</v>
      </c>
      <c r="K483" s="1" t="s">
        <v>430</v>
      </c>
      <c r="L483" s="1" t="s">
        <v>404</v>
      </c>
      <c r="M483" s="20" t="s">
        <v>258</v>
      </c>
      <c r="N483" s="20" t="s">
        <v>379</v>
      </c>
      <c r="O483" s="1" t="s">
        <v>399</v>
      </c>
      <c r="P483" s="22" t="str">
        <f aca="false">_xlfn.CONCAT(B483,C483,D483,E483,F483)</f>
        <v/>
      </c>
      <c r="Q483" s="1" t="str">
        <f aca="false">_xlfn.CONCAT(H483,I483,J483)</f>
        <v>RDE</v>
      </c>
    </row>
    <row r="484" customFormat="false" ht="15" hidden="false" customHeight="false" outlineLevel="0" collapsed="false">
      <c r="G484" s="15" t="n">
        <f aca="false">F484-E484</f>
        <v>0</v>
      </c>
      <c r="H484" s="20"/>
      <c r="J484" s="20" t="s">
        <v>256</v>
      </c>
      <c r="K484" s="1" t="s">
        <v>430</v>
      </c>
      <c r="L484" s="1" t="s">
        <v>404</v>
      </c>
      <c r="M484" s="20" t="s">
        <v>258</v>
      </c>
      <c r="N484" s="20" t="s">
        <v>379</v>
      </c>
      <c r="O484" s="1" t="s">
        <v>399</v>
      </c>
      <c r="P484" s="22" t="str">
        <f aca="false">_xlfn.CONCAT(B484,C484,D484,E484,F484)</f>
        <v/>
      </c>
      <c r="Q484" s="1" t="str">
        <f aca="false">_xlfn.CONCAT(H484,I484,J484)</f>
        <v>RDE</v>
      </c>
    </row>
    <row r="485" customFormat="false" ht="15" hidden="false" customHeight="false" outlineLevel="0" collapsed="false">
      <c r="G485" s="15" t="n">
        <f aca="false">F485-E485</f>
        <v>0</v>
      </c>
      <c r="H485" s="20"/>
      <c r="J485" s="20" t="s">
        <v>256</v>
      </c>
      <c r="K485" s="1" t="s">
        <v>430</v>
      </c>
      <c r="L485" s="1" t="s">
        <v>404</v>
      </c>
      <c r="M485" s="20" t="s">
        <v>258</v>
      </c>
      <c r="N485" s="20" t="s">
        <v>379</v>
      </c>
      <c r="O485" s="1" t="s">
        <v>399</v>
      </c>
      <c r="P485" s="22" t="str">
        <f aca="false">_xlfn.CONCAT(B485,C485,D485,E485,F485)</f>
        <v/>
      </c>
      <c r="Q485" s="1" t="str">
        <f aca="false">_xlfn.CONCAT(H485,I485,J485)</f>
        <v>RDE</v>
      </c>
    </row>
    <row r="486" customFormat="false" ht="15" hidden="false" customHeight="false" outlineLevel="0" collapsed="false">
      <c r="G486" s="15" t="n">
        <f aca="false">F486-E486</f>
        <v>0</v>
      </c>
      <c r="H486" s="20"/>
      <c r="J486" s="20" t="s">
        <v>256</v>
      </c>
      <c r="K486" s="1" t="s">
        <v>430</v>
      </c>
      <c r="L486" s="1" t="s">
        <v>404</v>
      </c>
      <c r="M486" s="20" t="s">
        <v>258</v>
      </c>
      <c r="N486" s="20" t="s">
        <v>379</v>
      </c>
      <c r="O486" s="1" t="s">
        <v>399</v>
      </c>
      <c r="P486" s="22" t="str">
        <f aca="false">_xlfn.CONCAT(B486,C486,D486,E486,F486)</f>
        <v/>
      </c>
      <c r="Q486" s="1" t="str">
        <f aca="false">_xlfn.CONCAT(H486,I486,J486)</f>
        <v>RDE</v>
      </c>
    </row>
    <row r="487" customFormat="false" ht="15" hidden="false" customHeight="false" outlineLevel="0" collapsed="false">
      <c r="G487" s="15" t="n">
        <f aca="false">F487-E487</f>
        <v>0</v>
      </c>
      <c r="H487" s="20"/>
      <c r="J487" s="20" t="s">
        <v>256</v>
      </c>
      <c r="K487" s="1" t="s">
        <v>430</v>
      </c>
      <c r="L487" s="1" t="s">
        <v>404</v>
      </c>
      <c r="M487" s="20" t="s">
        <v>258</v>
      </c>
      <c r="N487" s="20" t="s">
        <v>379</v>
      </c>
      <c r="O487" s="1" t="s">
        <v>399</v>
      </c>
      <c r="P487" s="22" t="str">
        <f aca="false">_xlfn.CONCAT(B487,C487,D487,E487,F487)</f>
        <v/>
      </c>
      <c r="Q487" s="1" t="str">
        <f aca="false">_xlfn.CONCAT(H487,I487,J487)</f>
        <v>RDE</v>
      </c>
    </row>
    <row r="488" customFormat="false" ht="15" hidden="false" customHeight="false" outlineLevel="0" collapsed="false">
      <c r="G488" s="15" t="n">
        <f aca="false">F488-E488</f>
        <v>0</v>
      </c>
      <c r="H488" s="20"/>
      <c r="J488" s="20" t="s">
        <v>256</v>
      </c>
      <c r="K488" s="1" t="s">
        <v>430</v>
      </c>
      <c r="L488" s="1" t="s">
        <v>404</v>
      </c>
      <c r="M488" s="20" t="s">
        <v>258</v>
      </c>
      <c r="N488" s="20" t="s">
        <v>379</v>
      </c>
      <c r="O488" s="1" t="s">
        <v>399</v>
      </c>
      <c r="P488" s="22" t="str">
        <f aca="false">_xlfn.CONCAT(B488,C488,D488,E488,F488)</f>
        <v/>
      </c>
      <c r="Q488" s="1" t="str">
        <f aca="false">_xlfn.CONCAT(H488,I488,J488)</f>
        <v>RDE</v>
      </c>
    </row>
    <row r="489" customFormat="false" ht="15" hidden="false" customHeight="false" outlineLevel="0" collapsed="false">
      <c r="G489" s="15" t="n">
        <f aca="false">F489-E489</f>
        <v>0</v>
      </c>
      <c r="H489" s="20"/>
      <c r="J489" s="20" t="s">
        <v>256</v>
      </c>
      <c r="K489" s="1" t="s">
        <v>430</v>
      </c>
      <c r="L489" s="1" t="s">
        <v>404</v>
      </c>
      <c r="M489" s="20" t="s">
        <v>258</v>
      </c>
      <c r="N489" s="20" t="s">
        <v>379</v>
      </c>
      <c r="O489" s="1" t="s">
        <v>399</v>
      </c>
      <c r="P489" s="22" t="str">
        <f aca="false">_xlfn.CONCAT(B489,C489,D489,E489,F489)</f>
        <v/>
      </c>
      <c r="Q489" s="1" t="str">
        <f aca="false">_xlfn.CONCAT(H489,I489,J489)</f>
        <v>RDE</v>
      </c>
    </row>
    <row r="490" customFormat="false" ht="15" hidden="false" customHeight="false" outlineLevel="0" collapsed="false">
      <c r="G490" s="15" t="n">
        <f aca="false">F490-E490</f>
        <v>0</v>
      </c>
      <c r="H490" s="20"/>
      <c r="J490" s="20" t="s">
        <v>256</v>
      </c>
      <c r="K490" s="1" t="s">
        <v>430</v>
      </c>
      <c r="L490" s="1" t="s">
        <v>404</v>
      </c>
      <c r="M490" s="20" t="s">
        <v>258</v>
      </c>
      <c r="N490" s="20" t="s">
        <v>379</v>
      </c>
      <c r="O490" s="1" t="s">
        <v>399</v>
      </c>
      <c r="P490" s="22" t="str">
        <f aca="false">_xlfn.CONCAT(B490,C490,D490,E490,F490)</f>
        <v/>
      </c>
      <c r="Q490" s="1" t="str">
        <f aca="false">_xlfn.CONCAT(H490,I490,J490)</f>
        <v>RDE</v>
      </c>
    </row>
    <row r="491" customFormat="false" ht="15" hidden="false" customHeight="false" outlineLevel="0" collapsed="false">
      <c r="G491" s="15" t="n">
        <f aca="false">F491-E491</f>
        <v>0</v>
      </c>
      <c r="H491" s="20"/>
      <c r="J491" s="20" t="s">
        <v>256</v>
      </c>
      <c r="K491" s="1" t="s">
        <v>430</v>
      </c>
      <c r="L491" s="1" t="s">
        <v>404</v>
      </c>
      <c r="M491" s="20" t="s">
        <v>258</v>
      </c>
      <c r="N491" s="20" t="s">
        <v>379</v>
      </c>
      <c r="O491" s="1" t="s">
        <v>399</v>
      </c>
      <c r="P491" s="22" t="str">
        <f aca="false">_xlfn.CONCAT(B491,C491,D491,E491,F491)</f>
        <v/>
      </c>
      <c r="Q491" s="1" t="str">
        <f aca="false">_xlfn.CONCAT(H491,I491,J491)</f>
        <v>RDE</v>
      </c>
    </row>
    <row r="492" customFormat="false" ht="15" hidden="false" customHeight="false" outlineLevel="0" collapsed="false">
      <c r="G492" s="15" t="n">
        <f aca="false">F492-E492</f>
        <v>0</v>
      </c>
      <c r="H492" s="20"/>
      <c r="J492" s="20" t="s">
        <v>256</v>
      </c>
      <c r="K492" s="1" t="s">
        <v>430</v>
      </c>
      <c r="L492" s="1" t="s">
        <v>404</v>
      </c>
      <c r="M492" s="20" t="s">
        <v>258</v>
      </c>
      <c r="N492" s="20" t="s">
        <v>379</v>
      </c>
      <c r="O492" s="1" t="s">
        <v>399</v>
      </c>
      <c r="P492" s="22" t="str">
        <f aca="false">_xlfn.CONCAT(B492,C492,D492,E492,F492)</f>
        <v/>
      </c>
      <c r="Q492" s="1" t="str">
        <f aca="false">_xlfn.CONCAT(H492,I492,J492)</f>
        <v>RDE</v>
      </c>
    </row>
    <row r="493" customFormat="false" ht="15" hidden="false" customHeight="false" outlineLevel="0" collapsed="false">
      <c r="G493" s="15" t="n">
        <f aca="false">F493-E493</f>
        <v>0</v>
      </c>
      <c r="H493" s="20"/>
      <c r="J493" s="20" t="s">
        <v>256</v>
      </c>
      <c r="K493" s="1" t="s">
        <v>430</v>
      </c>
      <c r="L493" s="1" t="s">
        <v>404</v>
      </c>
      <c r="M493" s="20" t="s">
        <v>258</v>
      </c>
      <c r="N493" s="20" t="s">
        <v>379</v>
      </c>
      <c r="O493" s="1" t="s">
        <v>399</v>
      </c>
      <c r="P493" s="22" t="str">
        <f aca="false">_xlfn.CONCAT(B493,C493,D493,E493,F493)</f>
        <v/>
      </c>
      <c r="Q493" s="1" t="str">
        <f aca="false">_xlfn.CONCAT(H493,I493,J493)</f>
        <v>RDE</v>
      </c>
    </row>
    <row r="494" customFormat="false" ht="15" hidden="false" customHeight="false" outlineLevel="0" collapsed="false">
      <c r="G494" s="15" t="n">
        <f aca="false">F494-E494</f>
        <v>0</v>
      </c>
      <c r="H494" s="20"/>
      <c r="J494" s="20" t="s">
        <v>256</v>
      </c>
      <c r="K494" s="1" t="s">
        <v>430</v>
      </c>
      <c r="L494" s="1" t="s">
        <v>404</v>
      </c>
      <c r="M494" s="20" t="s">
        <v>258</v>
      </c>
      <c r="N494" s="20" t="s">
        <v>379</v>
      </c>
      <c r="O494" s="1" t="s">
        <v>399</v>
      </c>
      <c r="P494" s="22" t="str">
        <f aca="false">_xlfn.CONCAT(B494,C494,D494,E494,F494)</f>
        <v/>
      </c>
      <c r="Q494" s="1" t="str">
        <f aca="false">_xlfn.CONCAT(H494,I494,J494)</f>
        <v>RDE</v>
      </c>
    </row>
    <row r="495" customFormat="false" ht="15" hidden="false" customHeight="false" outlineLevel="0" collapsed="false">
      <c r="G495" s="15" t="n">
        <f aca="false">F495-E495</f>
        <v>0</v>
      </c>
      <c r="H495" s="20"/>
      <c r="J495" s="20" t="s">
        <v>256</v>
      </c>
      <c r="K495" s="1" t="s">
        <v>430</v>
      </c>
      <c r="L495" s="1" t="s">
        <v>404</v>
      </c>
      <c r="M495" s="20" t="s">
        <v>258</v>
      </c>
      <c r="N495" s="20" t="s">
        <v>379</v>
      </c>
      <c r="O495" s="1" t="s">
        <v>399</v>
      </c>
      <c r="P495" s="22" t="str">
        <f aca="false">_xlfn.CONCAT(B495,C495,D495,E495,F495)</f>
        <v/>
      </c>
      <c r="Q495" s="1" t="str">
        <f aca="false">_xlfn.CONCAT(H495,I495,J495)</f>
        <v>RDE</v>
      </c>
    </row>
    <row r="496" customFormat="false" ht="15" hidden="false" customHeight="false" outlineLevel="0" collapsed="false">
      <c r="G496" s="15" t="n">
        <f aca="false">F496-E496</f>
        <v>0</v>
      </c>
      <c r="H496" s="20"/>
      <c r="J496" s="20" t="s">
        <v>256</v>
      </c>
      <c r="K496" s="1" t="s">
        <v>430</v>
      </c>
      <c r="L496" s="1" t="s">
        <v>404</v>
      </c>
      <c r="M496" s="20" t="s">
        <v>258</v>
      </c>
      <c r="N496" s="20" t="s">
        <v>379</v>
      </c>
      <c r="O496" s="1" t="s">
        <v>399</v>
      </c>
      <c r="P496" s="22" t="str">
        <f aca="false">_xlfn.CONCAT(B496,C496,D496,E496,F496)</f>
        <v/>
      </c>
      <c r="Q496" s="1" t="str">
        <f aca="false">_xlfn.CONCAT(H496,I496,J496)</f>
        <v>RDE</v>
      </c>
    </row>
    <row r="497" customFormat="false" ht="15" hidden="false" customHeight="false" outlineLevel="0" collapsed="false">
      <c r="G497" s="15" t="n">
        <f aca="false">F497-E497</f>
        <v>0</v>
      </c>
      <c r="H497" s="20"/>
      <c r="J497" s="20" t="s">
        <v>256</v>
      </c>
      <c r="K497" s="1" t="s">
        <v>430</v>
      </c>
      <c r="L497" s="1" t="s">
        <v>404</v>
      </c>
      <c r="M497" s="20" t="s">
        <v>258</v>
      </c>
      <c r="N497" s="20" t="s">
        <v>379</v>
      </c>
      <c r="O497" s="1" t="s">
        <v>399</v>
      </c>
      <c r="P497" s="22" t="str">
        <f aca="false">_xlfn.CONCAT(B497,C497,D497,E497,F497)</f>
        <v/>
      </c>
      <c r="Q497" s="1" t="str">
        <f aca="false">_xlfn.CONCAT(H497,I497,J497)</f>
        <v>RDE</v>
      </c>
    </row>
    <row r="498" customFormat="false" ht="15" hidden="false" customHeight="false" outlineLevel="0" collapsed="false">
      <c r="G498" s="15" t="n">
        <f aca="false">F498-E498</f>
        <v>0</v>
      </c>
      <c r="H498" s="20"/>
      <c r="J498" s="20" t="s">
        <v>256</v>
      </c>
      <c r="K498" s="1" t="s">
        <v>430</v>
      </c>
      <c r="L498" s="1" t="s">
        <v>404</v>
      </c>
      <c r="M498" s="20" t="s">
        <v>258</v>
      </c>
      <c r="N498" s="20" t="s">
        <v>379</v>
      </c>
      <c r="O498" s="1" t="s">
        <v>399</v>
      </c>
      <c r="P498" s="22" t="str">
        <f aca="false">_xlfn.CONCAT(B498,C498,D498,E498,F498)</f>
        <v/>
      </c>
      <c r="Q498" s="1" t="str">
        <f aca="false">_xlfn.CONCAT(H498,I498,J498)</f>
        <v>RDE</v>
      </c>
    </row>
    <row r="499" customFormat="false" ht="15" hidden="false" customHeight="false" outlineLevel="0" collapsed="false">
      <c r="G499" s="15" t="n">
        <f aca="false">F499-E499</f>
        <v>0</v>
      </c>
      <c r="H499" s="20"/>
      <c r="J499" s="20" t="s">
        <v>256</v>
      </c>
      <c r="K499" s="1" t="s">
        <v>430</v>
      </c>
      <c r="L499" s="1" t="s">
        <v>404</v>
      </c>
      <c r="M499" s="20" t="s">
        <v>258</v>
      </c>
      <c r="N499" s="20" t="s">
        <v>379</v>
      </c>
      <c r="O499" s="1" t="s">
        <v>399</v>
      </c>
      <c r="P499" s="22" t="str">
        <f aca="false">_xlfn.CONCAT(B499,C499,D499,E499,F499)</f>
        <v/>
      </c>
      <c r="Q499" s="1" t="str">
        <f aca="false">_xlfn.CONCAT(H499,I499,J499)</f>
        <v>RDE</v>
      </c>
    </row>
    <row r="500" customFormat="false" ht="15" hidden="false" customHeight="false" outlineLevel="0" collapsed="false">
      <c r="G500" s="15" t="n">
        <f aca="false">F500-E500</f>
        <v>0</v>
      </c>
      <c r="H500" s="20"/>
      <c r="J500" s="20" t="s">
        <v>256</v>
      </c>
      <c r="K500" s="1" t="s">
        <v>430</v>
      </c>
      <c r="L500" s="1" t="s">
        <v>404</v>
      </c>
      <c r="M500" s="20" t="s">
        <v>258</v>
      </c>
      <c r="N500" s="20" t="s">
        <v>379</v>
      </c>
      <c r="O500" s="1" t="s">
        <v>399</v>
      </c>
      <c r="P500" s="22" t="str">
        <f aca="false">_xlfn.CONCAT(B500,C500,D500,E500,F500)</f>
        <v/>
      </c>
      <c r="Q500" s="1" t="str">
        <f aca="false">_xlfn.CONCAT(H500,I500,J500)</f>
        <v>RDE</v>
      </c>
    </row>
    <row r="501" customFormat="false" ht="15" hidden="false" customHeight="false" outlineLevel="0" collapsed="false">
      <c r="G501" s="15" t="n">
        <f aca="false">F501-E501</f>
        <v>0</v>
      </c>
      <c r="H501" s="20" t="s">
        <v>248</v>
      </c>
      <c r="J501" s="20" t="s">
        <v>256</v>
      </c>
      <c r="K501" s="1" t="s">
        <v>430</v>
      </c>
      <c r="L501" s="1" t="s">
        <v>404</v>
      </c>
      <c r="M501" s="20" t="s">
        <v>258</v>
      </c>
      <c r="N501" s="20" t="s">
        <v>379</v>
      </c>
      <c r="O501" s="1" t="s">
        <v>399</v>
      </c>
      <c r="P501" s="22" t="str">
        <f aca="false">_xlfn.CONCAT(B501,C501,D501,E501,F501)</f>
        <v/>
      </c>
      <c r="Q501" s="1" t="str">
        <f aca="false">_xlfn.CONCAT(H501,I501,J501)</f>
        <v>DAURDE</v>
      </c>
    </row>
    <row r="502" customFormat="false" ht="15" hidden="false" customHeight="false" outlineLevel="0" collapsed="false">
      <c r="G502" s="15" t="n">
        <f aca="false">F502-E502</f>
        <v>0</v>
      </c>
      <c r="H502" s="20" t="s">
        <v>248</v>
      </c>
      <c r="J502" s="20" t="s">
        <v>256</v>
      </c>
      <c r="K502" s="1" t="s">
        <v>430</v>
      </c>
      <c r="L502" s="1" t="s">
        <v>404</v>
      </c>
      <c r="M502" s="20" t="s">
        <v>258</v>
      </c>
      <c r="N502" s="20" t="s">
        <v>379</v>
      </c>
      <c r="O502" s="1" t="s">
        <v>399</v>
      </c>
      <c r="P502" s="22" t="str">
        <f aca="false">_xlfn.CONCAT(B502,C502,D502,E502,F502)</f>
        <v/>
      </c>
      <c r="Q502" s="1" t="str">
        <f aca="false">_xlfn.CONCAT(H502,I502,J502)</f>
        <v>DAURDE</v>
      </c>
    </row>
    <row r="503" customFormat="false" ht="15" hidden="false" customHeight="false" outlineLevel="0" collapsed="false">
      <c r="G503" s="15" t="n">
        <f aca="false">F503-E503</f>
        <v>0</v>
      </c>
      <c r="H503" s="20" t="s">
        <v>248</v>
      </c>
      <c r="J503" s="20" t="s">
        <v>256</v>
      </c>
      <c r="K503" s="1" t="s">
        <v>430</v>
      </c>
      <c r="L503" s="1" t="s">
        <v>404</v>
      </c>
      <c r="M503" s="20" t="s">
        <v>258</v>
      </c>
      <c r="N503" s="20" t="s">
        <v>379</v>
      </c>
      <c r="O503" s="1" t="s">
        <v>399</v>
      </c>
      <c r="P503" s="22" t="str">
        <f aca="false">_xlfn.CONCAT(B503,C503,D503,E503,F503)</f>
        <v/>
      </c>
      <c r="Q503" s="1" t="str">
        <f aca="false">_xlfn.CONCAT(H503,I503,J503)</f>
        <v>DAURDE</v>
      </c>
    </row>
    <row r="504" customFormat="false" ht="15" hidden="false" customHeight="false" outlineLevel="0" collapsed="false">
      <c r="G504" s="15" t="n">
        <f aca="false">F504-E504</f>
        <v>0</v>
      </c>
      <c r="H504" s="20" t="s">
        <v>248</v>
      </c>
      <c r="J504" s="20" t="s">
        <v>249</v>
      </c>
      <c r="K504" s="1" t="s">
        <v>439</v>
      </c>
      <c r="L504" s="1" t="s">
        <v>440</v>
      </c>
      <c r="M504" s="20" t="s">
        <v>251</v>
      </c>
      <c r="N504" s="20" t="s">
        <v>252</v>
      </c>
      <c r="O504" s="1" t="s">
        <v>441</v>
      </c>
      <c r="P504" s="22" t="str">
        <f aca="false">_xlfn.CONCAT(B504,C504,D504,E504,F504)</f>
        <v/>
      </c>
      <c r="Q504" s="1" t="str">
        <f aca="false">_xlfn.CONCAT(H504,I504,J504)</f>
        <v>DAUINV</v>
      </c>
    </row>
    <row r="505" customFormat="false" ht="15" hidden="false" customHeight="false" outlineLevel="0" collapsed="false">
      <c r="G505" s="15" t="n">
        <f aca="false">F505-E505</f>
        <v>0</v>
      </c>
      <c r="H505" s="20" t="s">
        <v>248</v>
      </c>
      <c r="J505" s="20" t="s">
        <v>256</v>
      </c>
      <c r="K505" s="1" t="s">
        <v>430</v>
      </c>
      <c r="L505" s="1" t="s">
        <v>404</v>
      </c>
      <c r="M505" s="20" t="s">
        <v>258</v>
      </c>
      <c r="N505" s="20" t="s">
        <v>379</v>
      </c>
      <c r="O505" s="1" t="s">
        <v>399</v>
      </c>
      <c r="P505" s="22" t="str">
        <f aca="false">_xlfn.CONCAT(B505,C505,D505,E505,F505)</f>
        <v/>
      </c>
      <c r="Q505" s="1" t="str">
        <f aca="false">_xlfn.CONCAT(H505,I505,J505)</f>
        <v>DAURDE</v>
      </c>
    </row>
    <row r="506" customFormat="false" ht="15" hidden="false" customHeight="false" outlineLevel="0" collapsed="false">
      <c r="G506" s="15" t="n">
        <f aca="false">F506-E506</f>
        <v>0</v>
      </c>
      <c r="H506" s="20" t="s">
        <v>248</v>
      </c>
      <c r="J506" s="20" t="s">
        <v>256</v>
      </c>
      <c r="K506" s="1" t="s">
        <v>430</v>
      </c>
      <c r="L506" s="1" t="s">
        <v>404</v>
      </c>
      <c r="M506" s="20" t="s">
        <v>258</v>
      </c>
      <c r="N506" s="20" t="s">
        <v>379</v>
      </c>
      <c r="O506" s="1" t="s">
        <v>399</v>
      </c>
      <c r="P506" s="22" t="str">
        <f aca="false">_xlfn.CONCAT(B506,C506,D506,E506,F506)</f>
        <v/>
      </c>
      <c r="Q506" s="1" t="str">
        <f aca="false">_xlfn.CONCAT(H506,I506,J506)</f>
        <v>DAURDE</v>
      </c>
    </row>
    <row r="507" customFormat="false" ht="15" hidden="false" customHeight="false" outlineLevel="0" collapsed="false">
      <c r="G507" s="15" t="n">
        <f aca="false">F507-E507</f>
        <v>0</v>
      </c>
      <c r="H507" s="20" t="s">
        <v>248</v>
      </c>
      <c r="J507" s="20" t="s">
        <v>256</v>
      </c>
      <c r="K507" s="1" t="s">
        <v>430</v>
      </c>
      <c r="L507" s="1" t="s">
        <v>404</v>
      </c>
      <c r="M507" s="20" t="s">
        <v>258</v>
      </c>
      <c r="N507" s="20" t="s">
        <v>379</v>
      </c>
      <c r="O507" s="1" t="s">
        <v>399</v>
      </c>
      <c r="P507" s="22" t="str">
        <f aca="false">_xlfn.CONCAT(B507,C507,D507,E507,F507)</f>
        <v/>
      </c>
      <c r="Q507" s="1" t="str">
        <f aca="false">_xlfn.CONCAT(H507,I507,J507)</f>
        <v>DAURDE</v>
      </c>
    </row>
    <row r="508" customFormat="false" ht="15" hidden="false" customHeight="false" outlineLevel="0" collapsed="false">
      <c r="G508" s="15" t="n">
        <f aca="false">F508-E508</f>
        <v>0</v>
      </c>
      <c r="H508" s="20" t="s">
        <v>248</v>
      </c>
      <c r="J508" s="20" t="s">
        <v>256</v>
      </c>
      <c r="K508" s="1" t="s">
        <v>430</v>
      </c>
      <c r="L508" s="1" t="s">
        <v>404</v>
      </c>
      <c r="M508" s="20" t="s">
        <v>258</v>
      </c>
      <c r="N508" s="20" t="s">
        <v>379</v>
      </c>
      <c r="O508" s="1" t="s">
        <v>399</v>
      </c>
      <c r="P508" s="22" t="str">
        <f aca="false">_xlfn.CONCAT(B508,C508,D508,E508,F508)</f>
        <v/>
      </c>
      <c r="Q508" s="1" t="str">
        <f aca="false">_xlfn.CONCAT(H508,I508,J508)</f>
        <v>DAURDE</v>
      </c>
    </row>
    <row r="509" customFormat="false" ht="15" hidden="false" customHeight="false" outlineLevel="0" collapsed="false">
      <c r="G509" s="15" t="n">
        <f aca="false">F509-E509</f>
        <v>0</v>
      </c>
      <c r="H509" s="20" t="s">
        <v>248</v>
      </c>
      <c r="J509" s="20" t="s">
        <v>256</v>
      </c>
      <c r="K509" s="1" t="s">
        <v>430</v>
      </c>
      <c r="L509" s="1" t="s">
        <v>404</v>
      </c>
      <c r="M509" s="20" t="s">
        <v>258</v>
      </c>
      <c r="N509" s="20" t="s">
        <v>379</v>
      </c>
      <c r="O509" s="1" t="s">
        <v>399</v>
      </c>
      <c r="P509" s="22" t="str">
        <f aca="false">_xlfn.CONCAT(B509,C509,D509,E509,F509)</f>
        <v/>
      </c>
      <c r="Q509" s="1" t="str">
        <f aca="false">_xlfn.CONCAT(H509,I509,J509)</f>
        <v>DAURDE</v>
      </c>
    </row>
    <row r="510" customFormat="false" ht="15" hidden="false" customHeight="false" outlineLevel="0" collapsed="false">
      <c r="G510" s="15" t="n">
        <f aca="false">F510-E510</f>
        <v>0</v>
      </c>
      <c r="H510" s="20" t="s">
        <v>248</v>
      </c>
      <c r="J510" s="20" t="s">
        <v>256</v>
      </c>
      <c r="K510" s="1" t="s">
        <v>430</v>
      </c>
      <c r="L510" s="1" t="s">
        <v>404</v>
      </c>
      <c r="M510" s="20" t="s">
        <v>258</v>
      </c>
      <c r="N510" s="20" t="s">
        <v>379</v>
      </c>
      <c r="O510" s="1" t="s">
        <v>399</v>
      </c>
      <c r="P510" s="22" t="str">
        <f aca="false">_xlfn.CONCAT(B510,C510,D510,E510,F510)</f>
        <v/>
      </c>
      <c r="Q510" s="1" t="str">
        <f aca="false">_xlfn.CONCAT(H510,I510,J510)</f>
        <v>DAURDE</v>
      </c>
    </row>
    <row r="511" customFormat="false" ht="15" hidden="false" customHeight="false" outlineLevel="0" collapsed="false">
      <c r="G511" s="15" t="n">
        <f aca="false">F511-E511</f>
        <v>0</v>
      </c>
      <c r="H511" s="20" t="s">
        <v>248</v>
      </c>
      <c r="J511" s="20" t="s">
        <v>256</v>
      </c>
      <c r="K511" s="1" t="s">
        <v>430</v>
      </c>
      <c r="L511" s="1" t="s">
        <v>404</v>
      </c>
      <c r="M511" s="20" t="s">
        <v>258</v>
      </c>
      <c r="N511" s="20" t="s">
        <v>379</v>
      </c>
      <c r="O511" s="1" t="s">
        <v>399</v>
      </c>
      <c r="P511" s="22" t="str">
        <f aca="false">_xlfn.CONCAT(B511,C511,D511,E511,F511)</f>
        <v/>
      </c>
      <c r="Q511" s="1" t="str">
        <f aca="false">_xlfn.CONCAT(H511,I511,J511)</f>
        <v>DAURDE</v>
      </c>
    </row>
    <row r="512" customFormat="false" ht="15" hidden="false" customHeight="false" outlineLevel="0" collapsed="false">
      <c r="G512" s="15" t="n">
        <f aca="false">F512-E512</f>
        <v>0</v>
      </c>
      <c r="H512" s="20" t="s">
        <v>248</v>
      </c>
      <c r="J512" s="20" t="s">
        <v>256</v>
      </c>
      <c r="K512" s="1" t="s">
        <v>430</v>
      </c>
      <c r="L512" s="1" t="s">
        <v>404</v>
      </c>
      <c r="M512" s="20" t="s">
        <v>258</v>
      </c>
      <c r="N512" s="20" t="s">
        <v>379</v>
      </c>
      <c r="O512" s="1" t="s">
        <v>399</v>
      </c>
      <c r="P512" s="22" t="str">
        <f aca="false">_xlfn.CONCAT(B512,C512,D512,E512,F512)</f>
        <v/>
      </c>
      <c r="Q512" s="1" t="str">
        <f aca="false">_xlfn.CONCAT(H512,I512,J512)</f>
        <v>DAURDE</v>
      </c>
    </row>
    <row r="513" customFormat="false" ht="15" hidden="false" customHeight="false" outlineLevel="0" collapsed="false">
      <c r="G513" s="15" t="n">
        <f aca="false">F513-E513</f>
        <v>0</v>
      </c>
      <c r="H513" s="20" t="s">
        <v>248</v>
      </c>
      <c r="J513" s="20" t="s">
        <v>256</v>
      </c>
      <c r="K513" s="1" t="s">
        <v>430</v>
      </c>
      <c r="L513" s="1" t="s">
        <v>404</v>
      </c>
      <c r="M513" s="20" t="s">
        <v>258</v>
      </c>
      <c r="N513" s="20" t="s">
        <v>379</v>
      </c>
      <c r="O513" s="1" t="s">
        <v>399</v>
      </c>
      <c r="P513" s="22" t="str">
        <f aca="false">_xlfn.CONCAT(B513,C513,D513,E513,F513)</f>
        <v/>
      </c>
      <c r="Q513" s="1" t="str">
        <f aca="false">_xlfn.CONCAT(H513,I513,J513)</f>
        <v>DAURDE</v>
      </c>
    </row>
    <row r="514" customFormat="false" ht="15" hidden="false" customHeight="false" outlineLevel="0" collapsed="false">
      <c r="G514" s="15" t="n">
        <f aca="false">F514-E514</f>
        <v>0</v>
      </c>
      <c r="H514" s="20" t="s">
        <v>248</v>
      </c>
      <c r="J514" s="20" t="s">
        <v>256</v>
      </c>
      <c r="K514" s="1" t="s">
        <v>430</v>
      </c>
      <c r="L514" s="1" t="s">
        <v>404</v>
      </c>
      <c r="M514" s="20" t="s">
        <v>258</v>
      </c>
      <c r="N514" s="20" t="s">
        <v>379</v>
      </c>
      <c r="O514" s="1" t="s">
        <v>399</v>
      </c>
      <c r="P514" s="22" t="str">
        <f aca="false">_xlfn.CONCAT(B514,C514,D514,E514,F514)</f>
        <v/>
      </c>
      <c r="Q514" s="1" t="str">
        <f aca="false">_xlfn.CONCAT(H514,I514,J514)</f>
        <v>DAURDE</v>
      </c>
    </row>
    <row r="515" customFormat="false" ht="15" hidden="false" customHeight="false" outlineLevel="0" collapsed="false">
      <c r="G515" s="15" t="n">
        <f aca="false">F515-E515</f>
        <v>0</v>
      </c>
      <c r="H515" s="20" t="s">
        <v>248</v>
      </c>
      <c r="J515" s="20" t="s">
        <v>256</v>
      </c>
      <c r="K515" s="1" t="s">
        <v>430</v>
      </c>
      <c r="L515" s="1" t="s">
        <v>404</v>
      </c>
      <c r="M515" s="20" t="s">
        <v>258</v>
      </c>
      <c r="N515" s="20" t="s">
        <v>379</v>
      </c>
      <c r="O515" s="1" t="s">
        <v>399</v>
      </c>
      <c r="P515" s="22" t="str">
        <f aca="false">_xlfn.CONCAT(B515,C515,D515,E515,F515)</f>
        <v/>
      </c>
      <c r="Q515" s="1" t="str">
        <f aca="false">_xlfn.CONCAT(H515,I515,J515)</f>
        <v>DAURDE</v>
      </c>
    </row>
    <row r="516" customFormat="false" ht="15" hidden="false" customHeight="false" outlineLevel="0" collapsed="false">
      <c r="G516" s="15" t="n">
        <f aca="false">F516-E516</f>
        <v>0</v>
      </c>
      <c r="H516" s="20" t="s">
        <v>248</v>
      </c>
      <c r="J516" s="20" t="s">
        <v>256</v>
      </c>
      <c r="K516" s="1" t="s">
        <v>430</v>
      </c>
      <c r="L516" s="1" t="s">
        <v>404</v>
      </c>
      <c r="M516" s="20" t="s">
        <v>258</v>
      </c>
      <c r="N516" s="20" t="s">
        <v>379</v>
      </c>
      <c r="O516" s="1" t="s">
        <v>399</v>
      </c>
      <c r="P516" s="22" t="str">
        <f aca="false">_xlfn.CONCAT(B516,C516,D516,E516,F516)</f>
        <v/>
      </c>
      <c r="Q516" s="1" t="str">
        <f aca="false">_xlfn.CONCAT(H516,I516,J516)</f>
        <v>DAURDE</v>
      </c>
    </row>
    <row r="517" customFormat="false" ht="15" hidden="false" customHeight="false" outlineLevel="0" collapsed="false">
      <c r="G517" s="15" t="n">
        <f aca="false">F517-E517</f>
        <v>0</v>
      </c>
      <c r="H517" s="20" t="s">
        <v>248</v>
      </c>
      <c r="J517" s="20" t="s">
        <v>256</v>
      </c>
      <c r="K517" s="1" t="s">
        <v>430</v>
      </c>
      <c r="L517" s="1" t="s">
        <v>404</v>
      </c>
      <c r="M517" s="20" t="s">
        <v>258</v>
      </c>
      <c r="N517" s="20" t="s">
        <v>379</v>
      </c>
      <c r="O517" s="1" t="s">
        <v>399</v>
      </c>
      <c r="P517" s="22" t="str">
        <f aca="false">_xlfn.CONCAT(B517,C517,D517,E517,F517)</f>
        <v/>
      </c>
      <c r="Q517" s="1" t="str">
        <f aca="false">_xlfn.CONCAT(H517,I517,J517)</f>
        <v>DAURDE</v>
      </c>
    </row>
    <row r="518" customFormat="false" ht="15" hidden="false" customHeight="false" outlineLevel="0" collapsed="false">
      <c r="G518" s="15" t="n">
        <f aca="false">F518-E518</f>
        <v>0</v>
      </c>
      <c r="H518" s="20" t="s">
        <v>248</v>
      </c>
      <c r="J518" s="20" t="s">
        <v>256</v>
      </c>
      <c r="K518" s="1" t="s">
        <v>430</v>
      </c>
      <c r="L518" s="1" t="s">
        <v>404</v>
      </c>
      <c r="M518" s="20" t="s">
        <v>258</v>
      </c>
      <c r="N518" s="20" t="s">
        <v>379</v>
      </c>
      <c r="O518" s="1" t="s">
        <v>399</v>
      </c>
      <c r="P518" s="22" t="str">
        <f aca="false">_xlfn.CONCAT(B518,C518,D518,E518,F518)</f>
        <v/>
      </c>
      <c r="Q518" s="1" t="str">
        <f aca="false">_xlfn.CONCAT(H518,I518,J518)</f>
        <v>DAURDE</v>
      </c>
    </row>
    <row r="519" customFormat="false" ht="15" hidden="false" customHeight="false" outlineLevel="0" collapsed="false">
      <c r="G519" s="15" t="n">
        <f aca="false">F519-E519</f>
        <v>0</v>
      </c>
      <c r="H519" s="20" t="s">
        <v>248</v>
      </c>
      <c r="J519" s="20" t="s">
        <v>256</v>
      </c>
      <c r="K519" s="1" t="s">
        <v>430</v>
      </c>
      <c r="L519" s="1" t="s">
        <v>404</v>
      </c>
      <c r="M519" s="20" t="s">
        <v>258</v>
      </c>
      <c r="N519" s="20" t="s">
        <v>379</v>
      </c>
      <c r="O519" s="1" t="s">
        <v>399</v>
      </c>
      <c r="P519" s="22" t="str">
        <f aca="false">_xlfn.CONCAT(B519,C519,D519,E519,F519)</f>
        <v/>
      </c>
      <c r="Q519" s="1" t="str">
        <f aca="false">_xlfn.CONCAT(H519,I519,J519)</f>
        <v>DAURDE</v>
      </c>
    </row>
    <row r="520" customFormat="false" ht="15" hidden="false" customHeight="false" outlineLevel="0" collapsed="false">
      <c r="G520" s="15" t="n">
        <f aca="false">F520-E520</f>
        <v>0</v>
      </c>
      <c r="H520" s="20" t="s">
        <v>248</v>
      </c>
      <c r="J520" s="20" t="s">
        <v>256</v>
      </c>
      <c r="K520" s="1" t="s">
        <v>430</v>
      </c>
      <c r="L520" s="1" t="s">
        <v>404</v>
      </c>
      <c r="M520" s="20" t="s">
        <v>258</v>
      </c>
      <c r="N520" s="20" t="s">
        <v>379</v>
      </c>
      <c r="O520" s="1" t="s">
        <v>399</v>
      </c>
      <c r="P520" s="22" t="str">
        <f aca="false">_xlfn.CONCAT(B520,C520,D520,E520,F520)</f>
        <v/>
      </c>
      <c r="Q520" s="1" t="str">
        <f aca="false">_xlfn.CONCAT(H520,I520,J520)</f>
        <v>DAURDE</v>
      </c>
    </row>
    <row r="521" customFormat="false" ht="15" hidden="false" customHeight="false" outlineLevel="0" collapsed="false">
      <c r="G521" s="15" t="n">
        <f aca="false">F521-E521</f>
        <v>0</v>
      </c>
      <c r="H521" s="20" t="s">
        <v>248</v>
      </c>
      <c r="J521" s="20" t="s">
        <v>256</v>
      </c>
      <c r="K521" s="1" t="s">
        <v>430</v>
      </c>
      <c r="L521" s="1" t="s">
        <v>404</v>
      </c>
      <c r="M521" s="20" t="s">
        <v>258</v>
      </c>
      <c r="N521" s="20" t="s">
        <v>379</v>
      </c>
      <c r="O521" s="1" t="s">
        <v>399</v>
      </c>
      <c r="P521" s="22" t="str">
        <f aca="false">_xlfn.CONCAT(B521,C521,D521,E521,F521)</f>
        <v/>
      </c>
      <c r="Q521" s="1" t="str">
        <f aca="false">_xlfn.CONCAT(H521,I521,J521)</f>
        <v>DAURDE</v>
      </c>
    </row>
    <row r="522" customFormat="false" ht="15" hidden="false" customHeight="false" outlineLevel="0" collapsed="false">
      <c r="G522" s="15" t="n">
        <f aca="false">F522-E522</f>
        <v>0</v>
      </c>
      <c r="H522" s="20" t="s">
        <v>248</v>
      </c>
      <c r="J522" s="20" t="s">
        <v>256</v>
      </c>
      <c r="K522" s="1" t="s">
        <v>430</v>
      </c>
      <c r="L522" s="1" t="s">
        <v>404</v>
      </c>
      <c r="M522" s="20" t="s">
        <v>258</v>
      </c>
      <c r="N522" s="20" t="s">
        <v>379</v>
      </c>
      <c r="O522" s="1" t="s">
        <v>399</v>
      </c>
      <c r="P522" s="22" t="str">
        <f aca="false">_xlfn.CONCAT(B522,C522,D522,E522,F522)</f>
        <v/>
      </c>
      <c r="Q522" s="1" t="str">
        <f aca="false">_xlfn.CONCAT(H522,I522,J522)</f>
        <v>DAURDE</v>
      </c>
    </row>
    <row r="523" customFormat="false" ht="15" hidden="false" customHeight="false" outlineLevel="0" collapsed="false">
      <c r="G523" s="15" t="n">
        <f aca="false">F523-E523</f>
        <v>0</v>
      </c>
      <c r="H523" s="20" t="s">
        <v>248</v>
      </c>
      <c r="J523" s="20" t="s">
        <v>256</v>
      </c>
      <c r="K523" s="1" t="s">
        <v>430</v>
      </c>
      <c r="L523" s="1" t="s">
        <v>404</v>
      </c>
      <c r="M523" s="20" t="s">
        <v>258</v>
      </c>
      <c r="N523" s="20" t="s">
        <v>379</v>
      </c>
      <c r="O523" s="1" t="s">
        <v>399</v>
      </c>
      <c r="P523" s="22" t="str">
        <f aca="false">_xlfn.CONCAT(B523,C523,D523,E523,F523)</f>
        <v/>
      </c>
      <c r="Q523" s="1" t="str">
        <f aca="false">_xlfn.CONCAT(H523,I523,J523)</f>
        <v>DAURDE</v>
      </c>
    </row>
    <row r="524" customFormat="false" ht="15" hidden="false" customHeight="false" outlineLevel="0" collapsed="false">
      <c r="G524" s="15" t="n">
        <f aca="false">F524-E524</f>
        <v>0</v>
      </c>
      <c r="H524" s="20" t="s">
        <v>248</v>
      </c>
      <c r="J524" s="20" t="s">
        <v>256</v>
      </c>
      <c r="K524" s="1" t="s">
        <v>430</v>
      </c>
      <c r="L524" s="1" t="s">
        <v>404</v>
      </c>
      <c r="M524" s="20" t="s">
        <v>258</v>
      </c>
      <c r="N524" s="20" t="s">
        <v>379</v>
      </c>
      <c r="O524" s="1" t="s">
        <v>399</v>
      </c>
      <c r="P524" s="22" t="str">
        <f aca="false">_xlfn.CONCAT(B524,C524,D524,E524,F524)</f>
        <v/>
      </c>
      <c r="Q524" s="1" t="str">
        <f aca="false">_xlfn.CONCAT(H524,I524,J524)</f>
        <v>DAURDE</v>
      </c>
    </row>
    <row r="525" customFormat="false" ht="15" hidden="false" customHeight="false" outlineLevel="0" collapsed="false">
      <c r="G525" s="15" t="n">
        <f aca="false">F525-E525</f>
        <v>0</v>
      </c>
      <c r="H525" s="20" t="s">
        <v>248</v>
      </c>
      <c r="J525" s="20" t="s">
        <v>256</v>
      </c>
      <c r="K525" s="1" t="s">
        <v>430</v>
      </c>
      <c r="L525" s="1" t="s">
        <v>404</v>
      </c>
      <c r="M525" s="20" t="s">
        <v>258</v>
      </c>
      <c r="N525" s="20" t="s">
        <v>379</v>
      </c>
      <c r="O525" s="1" t="s">
        <v>399</v>
      </c>
      <c r="P525" s="22" t="str">
        <f aca="false">_xlfn.CONCAT(B525,C525,D525,E525,F525)</f>
        <v/>
      </c>
      <c r="Q525" s="1" t="str">
        <f aca="false">_xlfn.CONCAT(H525,I525,J525)</f>
        <v>DAURDE</v>
      </c>
    </row>
    <row r="526" customFormat="false" ht="15" hidden="false" customHeight="false" outlineLevel="0" collapsed="false">
      <c r="G526" s="15" t="n">
        <f aca="false">F526-E526</f>
        <v>0</v>
      </c>
      <c r="H526" s="20" t="s">
        <v>248</v>
      </c>
      <c r="J526" s="20" t="s">
        <v>256</v>
      </c>
      <c r="K526" s="1" t="s">
        <v>430</v>
      </c>
      <c r="L526" s="1" t="s">
        <v>404</v>
      </c>
      <c r="M526" s="20" t="s">
        <v>258</v>
      </c>
      <c r="N526" s="20" t="s">
        <v>379</v>
      </c>
      <c r="O526" s="1" t="s">
        <v>399</v>
      </c>
      <c r="P526" s="22" t="str">
        <f aca="false">_xlfn.CONCAT(B526,C526,D526,E526,F526)</f>
        <v/>
      </c>
      <c r="Q526" s="1" t="str">
        <f aca="false">_xlfn.CONCAT(H526,I526,J526)</f>
        <v>DAURDE</v>
      </c>
    </row>
    <row r="527" customFormat="false" ht="15" hidden="false" customHeight="false" outlineLevel="0" collapsed="false">
      <c r="G527" s="15" t="n">
        <f aca="false">F527-E527</f>
        <v>0</v>
      </c>
      <c r="H527" s="20" t="s">
        <v>248</v>
      </c>
      <c r="J527" s="20" t="s">
        <v>256</v>
      </c>
      <c r="K527" s="1" t="s">
        <v>430</v>
      </c>
      <c r="L527" s="1" t="s">
        <v>404</v>
      </c>
      <c r="M527" s="20" t="s">
        <v>258</v>
      </c>
      <c r="N527" s="20" t="s">
        <v>379</v>
      </c>
      <c r="O527" s="1" t="s">
        <v>399</v>
      </c>
      <c r="P527" s="22" t="str">
        <f aca="false">_xlfn.CONCAT(B527,C527,D527,E527,F527)</f>
        <v/>
      </c>
      <c r="Q527" s="1" t="str">
        <f aca="false">_xlfn.CONCAT(H527,I527,J527)</f>
        <v>DAURDE</v>
      </c>
    </row>
    <row r="528" customFormat="false" ht="15" hidden="false" customHeight="false" outlineLevel="0" collapsed="false">
      <c r="G528" s="15" t="n">
        <f aca="false">F528-E528</f>
        <v>0</v>
      </c>
      <c r="H528" s="20" t="s">
        <v>248</v>
      </c>
      <c r="J528" s="20" t="s">
        <v>256</v>
      </c>
      <c r="K528" s="1" t="s">
        <v>430</v>
      </c>
      <c r="L528" s="1" t="s">
        <v>404</v>
      </c>
      <c r="M528" s="20" t="s">
        <v>258</v>
      </c>
      <c r="N528" s="20" t="s">
        <v>379</v>
      </c>
      <c r="O528" s="1" t="s">
        <v>399</v>
      </c>
      <c r="P528" s="22" t="str">
        <f aca="false">_xlfn.CONCAT(B528,C528,D528,E528,F528)</f>
        <v/>
      </c>
      <c r="Q528" s="1" t="str">
        <f aca="false">_xlfn.CONCAT(H528,I528,J528)</f>
        <v>DAURDE</v>
      </c>
    </row>
    <row r="529" customFormat="false" ht="15" hidden="false" customHeight="false" outlineLevel="0" collapsed="false">
      <c r="G529" s="15" t="n">
        <f aca="false">F529-E529</f>
        <v>0</v>
      </c>
      <c r="H529" s="20" t="s">
        <v>248</v>
      </c>
      <c r="J529" s="20" t="s">
        <v>256</v>
      </c>
      <c r="K529" s="1" t="s">
        <v>430</v>
      </c>
      <c r="L529" s="1" t="s">
        <v>404</v>
      </c>
      <c r="M529" s="20" t="s">
        <v>258</v>
      </c>
      <c r="N529" s="20" t="s">
        <v>379</v>
      </c>
      <c r="O529" s="1" t="s">
        <v>399</v>
      </c>
      <c r="P529" s="22" t="str">
        <f aca="false">_xlfn.CONCAT(B529,C529,D529,E529,F529)</f>
        <v/>
      </c>
      <c r="Q529" s="1" t="str">
        <f aca="false">_xlfn.CONCAT(H529,I529,J529)</f>
        <v>DAURDE</v>
      </c>
    </row>
    <row r="530" customFormat="false" ht="15" hidden="false" customHeight="false" outlineLevel="0" collapsed="false">
      <c r="G530" s="15" t="n">
        <f aca="false">F530-E530</f>
        <v>0</v>
      </c>
      <c r="H530" s="20" t="s">
        <v>248</v>
      </c>
      <c r="J530" s="20" t="s">
        <v>256</v>
      </c>
      <c r="K530" s="1" t="s">
        <v>430</v>
      </c>
      <c r="L530" s="1" t="s">
        <v>257</v>
      </c>
      <c r="M530" s="20" t="s">
        <v>258</v>
      </c>
      <c r="N530" s="20" t="s">
        <v>379</v>
      </c>
      <c r="O530" s="1" t="s">
        <v>399</v>
      </c>
      <c r="P530" s="22" t="str">
        <f aca="false">_xlfn.CONCAT(B530,C530,D530,E530,F530)</f>
        <v/>
      </c>
      <c r="Q530" s="1" t="str">
        <f aca="false">_xlfn.CONCAT(H530,I530,J530)</f>
        <v>DAURDE</v>
      </c>
    </row>
    <row r="531" customFormat="false" ht="15" hidden="false" customHeight="false" outlineLevel="0" collapsed="false">
      <c r="G531" s="15" t="n">
        <f aca="false">F531-E531</f>
        <v>0</v>
      </c>
      <c r="H531" s="20" t="s">
        <v>248</v>
      </c>
      <c r="J531" s="20" t="s">
        <v>256</v>
      </c>
      <c r="K531" s="1" t="s">
        <v>430</v>
      </c>
      <c r="L531" s="1" t="s">
        <v>257</v>
      </c>
      <c r="M531" s="20" t="s">
        <v>258</v>
      </c>
      <c r="N531" s="20" t="s">
        <v>379</v>
      </c>
      <c r="O531" s="1" t="s">
        <v>399</v>
      </c>
      <c r="P531" s="22" t="str">
        <f aca="false">_xlfn.CONCAT(B531,C531,D531,E531,F531)</f>
        <v/>
      </c>
      <c r="Q531" s="1" t="str">
        <f aca="false">_xlfn.CONCAT(H531,I531,J531)</f>
        <v>DAURDE</v>
      </c>
    </row>
    <row r="532" customFormat="false" ht="15" hidden="false" customHeight="false" outlineLevel="0" collapsed="false">
      <c r="G532" s="15" t="n">
        <f aca="false">F532-E532</f>
        <v>0</v>
      </c>
      <c r="H532" s="20" t="s">
        <v>248</v>
      </c>
      <c r="J532" s="20" t="s">
        <v>256</v>
      </c>
      <c r="K532" s="1" t="s">
        <v>430</v>
      </c>
      <c r="L532" s="1" t="s">
        <v>257</v>
      </c>
      <c r="M532" s="20" t="s">
        <v>258</v>
      </c>
      <c r="N532" s="20" t="s">
        <v>379</v>
      </c>
      <c r="O532" s="1" t="s">
        <v>399</v>
      </c>
      <c r="P532" s="22" t="str">
        <f aca="false">_xlfn.CONCAT(B532,C532,D532,E532,F532)</f>
        <v/>
      </c>
      <c r="Q532" s="1" t="str">
        <f aca="false">_xlfn.CONCAT(H532,I532,J532)</f>
        <v>DAURDE</v>
      </c>
    </row>
    <row r="533" customFormat="false" ht="15" hidden="false" customHeight="false" outlineLevel="0" collapsed="false">
      <c r="G533" s="15" t="n">
        <f aca="false">F533-E533</f>
        <v>0</v>
      </c>
      <c r="H533" s="20" t="s">
        <v>248</v>
      </c>
      <c r="J533" s="20" t="s">
        <v>256</v>
      </c>
      <c r="K533" s="1" t="s">
        <v>430</v>
      </c>
      <c r="L533" s="1" t="s">
        <v>257</v>
      </c>
      <c r="M533" s="20" t="s">
        <v>258</v>
      </c>
      <c r="N533" s="20" t="s">
        <v>379</v>
      </c>
      <c r="O533" s="1" t="s">
        <v>399</v>
      </c>
      <c r="P533" s="22" t="str">
        <f aca="false">_xlfn.CONCAT(B533,C533,D533,E533,F533)</f>
        <v/>
      </c>
      <c r="Q533" s="1" t="str">
        <f aca="false">_xlfn.CONCAT(H533,I533,J533)</f>
        <v>DAURDE</v>
      </c>
    </row>
    <row r="534" customFormat="false" ht="15" hidden="false" customHeight="false" outlineLevel="0" collapsed="false">
      <c r="G534" s="15" t="n">
        <f aca="false">F534-E534</f>
        <v>0</v>
      </c>
      <c r="H534" s="20" t="s">
        <v>248</v>
      </c>
      <c r="J534" s="20" t="s">
        <v>256</v>
      </c>
      <c r="K534" s="1" t="s">
        <v>430</v>
      </c>
      <c r="L534" s="1" t="s">
        <v>257</v>
      </c>
      <c r="M534" s="20" t="s">
        <v>258</v>
      </c>
      <c r="N534" s="20" t="s">
        <v>379</v>
      </c>
      <c r="O534" s="1" t="s">
        <v>399</v>
      </c>
      <c r="P534" s="22" t="str">
        <f aca="false">_xlfn.CONCAT(B534,C534,D534,E534,F534)</f>
        <v/>
      </c>
      <c r="Q534" s="1" t="str">
        <f aca="false">_xlfn.CONCAT(H534,I534,J534)</f>
        <v>DAURDE</v>
      </c>
    </row>
    <row r="535" customFormat="false" ht="15" hidden="false" customHeight="false" outlineLevel="0" collapsed="false">
      <c r="G535" s="15" t="n">
        <f aca="false">F535-E535</f>
        <v>0</v>
      </c>
      <c r="H535" s="20" t="s">
        <v>248</v>
      </c>
      <c r="J535" s="20" t="s">
        <v>256</v>
      </c>
      <c r="K535" s="1" t="s">
        <v>430</v>
      </c>
      <c r="L535" s="1" t="s">
        <v>404</v>
      </c>
      <c r="M535" s="20" t="s">
        <v>258</v>
      </c>
      <c r="N535" s="20" t="s">
        <v>379</v>
      </c>
      <c r="O535" s="1" t="s">
        <v>399</v>
      </c>
      <c r="P535" s="22" t="str">
        <f aca="false">_xlfn.CONCAT(B535,C535,D535,E535,F535)</f>
        <v/>
      </c>
      <c r="Q535" s="1" t="str">
        <f aca="false">_xlfn.CONCAT(H535,I535,J535)</f>
        <v>DAURDE</v>
      </c>
    </row>
    <row r="536" customFormat="false" ht="15" hidden="false" customHeight="false" outlineLevel="0" collapsed="false">
      <c r="G536" s="15" t="n">
        <f aca="false">F536-E536</f>
        <v>0</v>
      </c>
      <c r="H536" s="20" t="s">
        <v>248</v>
      </c>
      <c r="J536" s="20" t="s">
        <v>256</v>
      </c>
      <c r="K536" s="1" t="s">
        <v>430</v>
      </c>
      <c r="L536" s="1" t="s">
        <v>404</v>
      </c>
      <c r="M536" s="20" t="s">
        <v>258</v>
      </c>
      <c r="N536" s="20" t="s">
        <v>379</v>
      </c>
      <c r="O536" s="1" t="s">
        <v>399</v>
      </c>
      <c r="P536" s="22" t="str">
        <f aca="false">_xlfn.CONCAT(B536,C536,D536,E536,F536)</f>
        <v/>
      </c>
      <c r="Q536" s="1" t="str">
        <f aca="false">_xlfn.CONCAT(H536,I536,J536)</f>
        <v>DAURDE</v>
      </c>
    </row>
    <row r="537" customFormat="false" ht="15" hidden="false" customHeight="false" outlineLevel="0" collapsed="false">
      <c r="G537" s="15" t="n">
        <f aca="false">F537-E537</f>
        <v>0</v>
      </c>
      <c r="H537" s="20" t="s">
        <v>248</v>
      </c>
      <c r="J537" s="20" t="s">
        <v>256</v>
      </c>
      <c r="K537" s="1" t="s">
        <v>430</v>
      </c>
      <c r="L537" s="1" t="s">
        <v>404</v>
      </c>
      <c r="M537" s="20" t="s">
        <v>258</v>
      </c>
      <c r="N537" s="20" t="s">
        <v>379</v>
      </c>
      <c r="O537" s="1" t="s">
        <v>399</v>
      </c>
      <c r="P537" s="22" t="str">
        <f aca="false">_xlfn.CONCAT(B537,C537,D537,E537,F537)</f>
        <v/>
      </c>
      <c r="Q537" s="1" t="str">
        <f aca="false">_xlfn.CONCAT(H537,I537,J537)</f>
        <v>DAURDE</v>
      </c>
    </row>
    <row r="538" customFormat="false" ht="15" hidden="false" customHeight="false" outlineLevel="0" collapsed="false">
      <c r="G538" s="15" t="n">
        <f aca="false">F538-E538</f>
        <v>0</v>
      </c>
      <c r="H538" s="20" t="s">
        <v>248</v>
      </c>
      <c r="J538" s="20" t="s">
        <v>256</v>
      </c>
      <c r="K538" s="1" t="s">
        <v>430</v>
      </c>
      <c r="L538" s="1" t="s">
        <v>404</v>
      </c>
      <c r="M538" s="20" t="s">
        <v>258</v>
      </c>
      <c r="N538" s="20" t="s">
        <v>379</v>
      </c>
      <c r="O538" s="1" t="s">
        <v>399</v>
      </c>
      <c r="P538" s="22" t="str">
        <f aca="false">_xlfn.CONCAT(B538,C538,D538,E538,F538)</f>
        <v/>
      </c>
      <c r="Q538" s="1" t="str">
        <f aca="false">_xlfn.CONCAT(H538,I538,J538)</f>
        <v>DAURDE</v>
      </c>
    </row>
    <row r="539" customFormat="false" ht="15" hidden="false" customHeight="false" outlineLevel="0" collapsed="false">
      <c r="G539" s="15" t="n">
        <f aca="false">F539-E539</f>
        <v>0</v>
      </c>
      <c r="H539" s="20" t="s">
        <v>248</v>
      </c>
      <c r="J539" s="20" t="s">
        <v>256</v>
      </c>
      <c r="K539" s="1" t="s">
        <v>430</v>
      </c>
      <c r="L539" s="1" t="s">
        <v>404</v>
      </c>
      <c r="M539" s="20" t="s">
        <v>258</v>
      </c>
      <c r="N539" s="20" t="s">
        <v>379</v>
      </c>
      <c r="O539" s="1" t="s">
        <v>399</v>
      </c>
      <c r="P539" s="22" t="str">
        <f aca="false">_xlfn.CONCAT(B539,C539,D539,E539,F539)</f>
        <v/>
      </c>
      <c r="Q539" s="1" t="str">
        <f aca="false">_xlfn.CONCAT(H539,I539,J539)</f>
        <v>DAURDE</v>
      </c>
    </row>
    <row r="540" customFormat="false" ht="15" hidden="false" customHeight="false" outlineLevel="0" collapsed="false">
      <c r="G540" s="15" t="n">
        <f aca="false">F540-E540</f>
        <v>0</v>
      </c>
      <c r="H540" s="20" t="s">
        <v>248</v>
      </c>
      <c r="J540" s="20" t="s">
        <v>256</v>
      </c>
      <c r="K540" s="1" t="s">
        <v>430</v>
      </c>
      <c r="L540" s="1" t="s">
        <v>404</v>
      </c>
      <c r="M540" s="20" t="s">
        <v>258</v>
      </c>
      <c r="N540" s="20" t="s">
        <v>379</v>
      </c>
      <c r="O540" s="1" t="s">
        <v>399</v>
      </c>
      <c r="P540" s="22" t="str">
        <f aca="false">_xlfn.CONCAT(B540,C540,D540,E540,F540)</f>
        <v/>
      </c>
      <c r="Q540" s="1" t="str">
        <f aca="false">_xlfn.CONCAT(H540,I540,J540)</f>
        <v>DAURDE</v>
      </c>
    </row>
    <row r="541" customFormat="false" ht="15" hidden="false" customHeight="false" outlineLevel="0" collapsed="false">
      <c r="G541" s="15" t="n">
        <f aca="false">F541-E541</f>
        <v>0</v>
      </c>
      <c r="H541" s="20" t="s">
        <v>248</v>
      </c>
      <c r="J541" s="20" t="s">
        <v>256</v>
      </c>
      <c r="K541" s="1" t="s">
        <v>430</v>
      </c>
      <c r="L541" s="1" t="s">
        <v>404</v>
      </c>
      <c r="M541" s="20" t="s">
        <v>258</v>
      </c>
      <c r="N541" s="20" t="s">
        <v>379</v>
      </c>
      <c r="O541" s="1" t="s">
        <v>399</v>
      </c>
      <c r="P541" s="22" t="str">
        <f aca="false">_xlfn.CONCAT(B541,C541,D541,E541,F541)</f>
        <v/>
      </c>
      <c r="Q541" s="1" t="str">
        <f aca="false">_xlfn.CONCAT(H541,I541,J541)</f>
        <v>DAURDE</v>
      </c>
    </row>
    <row r="542" customFormat="false" ht="15" hidden="false" customHeight="false" outlineLevel="0" collapsed="false">
      <c r="G542" s="15" t="n">
        <f aca="false">F542-E542</f>
        <v>0</v>
      </c>
      <c r="H542" s="20" t="s">
        <v>248</v>
      </c>
      <c r="J542" s="20" t="s">
        <v>256</v>
      </c>
      <c r="K542" s="1" t="s">
        <v>430</v>
      </c>
      <c r="L542" s="1" t="s">
        <v>404</v>
      </c>
      <c r="M542" s="20" t="s">
        <v>258</v>
      </c>
      <c r="N542" s="20" t="s">
        <v>379</v>
      </c>
      <c r="O542" s="1" t="s">
        <v>399</v>
      </c>
      <c r="P542" s="22" t="str">
        <f aca="false">_xlfn.CONCAT(B542,C542,D542,E542,F542)</f>
        <v/>
      </c>
      <c r="Q542" s="1" t="str">
        <f aca="false">_xlfn.CONCAT(H542,I542,J542)</f>
        <v>DAURDE</v>
      </c>
    </row>
    <row r="543" customFormat="false" ht="15" hidden="false" customHeight="false" outlineLevel="0" collapsed="false">
      <c r="G543" s="15" t="n">
        <f aca="false">F543-E543</f>
        <v>0</v>
      </c>
      <c r="H543" s="20" t="s">
        <v>248</v>
      </c>
      <c r="J543" s="20" t="s">
        <v>256</v>
      </c>
      <c r="K543" s="1" t="s">
        <v>430</v>
      </c>
      <c r="L543" s="1" t="s">
        <v>404</v>
      </c>
      <c r="M543" s="20" t="s">
        <v>258</v>
      </c>
      <c r="N543" s="20" t="s">
        <v>379</v>
      </c>
      <c r="O543" s="1" t="s">
        <v>399</v>
      </c>
      <c r="P543" s="22" t="str">
        <f aca="false">_xlfn.CONCAT(B543,C543,D543,E543,F543)</f>
        <v/>
      </c>
      <c r="Q543" s="1" t="str">
        <f aca="false">_xlfn.CONCAT(H543,I543,J543)</f>
        <v>DAURDE</v>
      </c>
    </row>
    <row r="544" customFormat="false" ht="15" hidden="false" customHeight="false" outlineLevel="0" collapsed="false">
      <c r="G544" s="15" t="n">
        <f aca="false">F544-E544</f>
        <v>0</v>
      </c>
      <c r="H544" s="20" t="s">
        <v>248</v>
      </c>
      <c r="J544" s="20" t="s">
        <v>256</v>
      </c>
      <c r="K544" s="1" t="s">
        <v>430</v>
      </c>
      <c r="L544" s="1" t="s">
        <v>404</v>
      </c>
      <c r="M544" s="20" t="s">
        <v>258</v>
      </c>
      <c r="N544" s="20" t="s">
        <v>379</v>
      </c>
      <c r="O544" s="1" t="s">
        <v>399</v>
      </c>
      <c r="P544" s="22" t="str">
        <f aca="false">_xlfn.CONCAT(B544,C544,D544,E544,F544)</f>
        <v/>
      </c>
      <c r="Q544" s="1" t="str">
        <f aca="false">_xlfn.CONCAT(H544,I544,J544)</f>
        <v>DAURDE</v>
      </c>
    </row>
    <row r="545" customFormat="false" ht="15" hidden="false" customHeight="false" outlineLevel="0" collapsed="false">
      <c r="G545" s="15" t="n">
        <f aca="false">F545-E545</f>
        <v>0</v>
      </c>
      <c r="H545" s="20" t="s">
        <v>248</v>
      </c>
      <c r="J545" s="20" t="s">
        <v>256</v>
      </c>
      <c r="K545" s="1" t="s">
        <v>430</v>
      </c>
      <c r="L545" s="1" t="s">
        <v>404</v>
      </c>
      <c r="M545" s="20" t="s">
        <v>258</v>
      </c>
      <c r="N545" s="20" t="s">
        <v>379</v>
      </c>
      <c r="O545" s="1" t="s">
        <v>399</v>
      </c>
      <c r="P545" s="22" t="str">
        <f aca="false">_xlfn.CONCAT(B545,C545,D545,E545,F545)</f>
        <v/>
      </c>
      <c r="Q545" s="1" t="str">
        <f aca="false">_xlfn.CONCAT(H545,I545,J545)</f>
        <v>DAURDE</v>
      </c>
    </row>
    <row r="546" customFormat="false" ht="15" hidden="false" customHeight="false" outlineLevel="0" collapsed="false">
      <c r="G546" s="15" t="n">
        <f aca="false">F546-E546</f>
        <v>0</v>
      </c>
      <c r="H546" s="20" t="s">
        <v>248</v>
      </c>
      <c r="J546" s="20" t="s">
        <v>256</v>
      </c>
      <c r="K546" s="1" t="s">
        <v>430</v>
      </c>
      <c r="L546" s="1" t="s">
        <v>404</v>
      </c>
      <c r="M546" s="20" t="s">
        <v>258</v>
      </c>
      <c r="N546" s="20" t="s">
        <v>379</v>
      </c>
      <c r="O546" s="1" t="s">
        <v>399</v>
      </c>
      <c r="P546" s="22" t="str">
        <f aca="false">_xlfn.CONCAT(B546,C546,D546,E546,F546)</f>
        <v/>
      </c>
      <c r="Q546" s="1" t="str">
        <f aca="false">_xlfn.CONCAT(H546,I546,J546)</f>
        <v>DAURDE</v>
      </c>
    </row>
    <row r="547" customFormat="false" ht="15" hidden="false" customHeight="false" outlineLevel="0" collapsed="false">
      <c r="G547" s="15" t="n">
        <f aca="false">F547-E547</f>
        <v>0</v>
      </c>
      <c r="H547" s="20" t="s">
        <v>248</v>
      </c>
      <c r="J547" s="20" t="s">
        <v>256</v>
      </c>
      <c r="K547" s="1" t="s">
        <v>430</v>
      </c>
      <c r="L547" s="1" t="s">
        <v>404</v>
      </c>
      <c r="M547" s="20" t="s">
        <v>258</v>
      </c>
      <c r="N547" s="20" t="s">
        <v>379</v>
      </c>
      <c r="O547" s="1" t="s">
        <v>399</v>
      </c>
      <c r="P547" s="22" t="str">
        <f aca="false">_xlfn.CONCAT(B547,C547,D547,E547,F547)</f>
        <v/>
      </c>
      <c r="Q547" s="1" t="str">
        <f aca="false">_xlfn.CONCAT(H547,I547,J547)</f>
        <v>DAURDE</v>
      </c>
    </row>
    <row r="548" customFormat="false" ht="15" hidden="false" customHeight="false" outlineLevel="0" collapsed="false">
      <c r="G548" s="15" t="n">
        <f aca="false">F548-E548</f>
        <v>0</v>
      </c>
      <c r="H548" s="20" t="s">
        <v>248</v>
      </c>
      <c r="J548" s="20" t="s">
        <v>256</v>
      </c>
      <c r="K548" s="1" t="s">
        <v>430</v>
      </c>
      <c r="L548" s="1" t="s">
        <v>404</v>
      </c>
      <c r="M548" s="20" t="s">
        <v>258</v>
      </c>
      <c r="N548" s="20" t="s">
        <v>379</v>
      </c>
      <c r="O548" s="1" t="s">
        <v>399</v>
      </c>
      <c r="P548" s="22" t="str">
        <f aca="false">_xlfn.CONCAT(B548,C548,D548,E548,F548)</f>
        <v/>
      </c>
      <c r="Q548" s="1" t="str">
        <f aca="false">_xlfn.CONCAT(H548,I548,J548)</f>
        <v>DAURDE</v>
      </c>
    </row>
    <row r="549" customFormat="false" ht="15" hidden="false" customHeight="false" outlineLevel="0" collapsed="false">
      <c r="G549" s="15" t="n">
        <f aca="false">F549-E549</f>
        <v>0</v>
      </c>
      <c r="H549" s="20" t="s">
        <v>248</v>
      </c>
      <c r="J549" s="20" t="s">
        <v>256</v>
      </c>
      <c r="K549" s="1" t="s">
        <v>430</v>
      </c>
      <c r="L549" s="1" t="s">
        <v>404</v>
      </c>
      <c r="M549" s="20" t="s">
        <v>258</v>
      </c>
      <c r="N549" s="20" t="s">
        <v>379</v>
      </c>
      <c r="O549" s="1" t="s">
        <v>399</v>
      </c>
      <c r="P549" s="22" t="str">
        <f aca="false">_xlfn.CONCAT(B549,C549,D549,E549,F549)</f>
        <v/>
      </c>
      <c r="Q549" s="1" t="str">
        <f aca="false">_xlfn.CONCAT(H549,I549,J549)</f>
        <v>DAURDE</v>
      </c>
    </row>
    <row r="550" customFormat="false" ht="15" hidden="false" customHeight="false" outlineLevel="0" collapsed="false">
      <c r="G550" s="15" t="n">
        <f aca="false">F550-E550</f>
        <v>0</v>
      </c>
      <c r="H550" s="20" t="s">
        <v>248</v>
      </c>
      <c r="J550" s="20" t="s">
        <v>256</v>
      </c>
      <c r="K550" s="1" t="s">
        <v>430</v>
      </c>
      <c r="L550" s="1" t="s">
        <v>404</v>
      </c>
      <c r="M550" s="20" t="s">
        <v>258</v>
      </c>
      <c r="N550" s="20" t="s">
        <v>379</v>
      </c>
      <c r="O550" s="1" t="s">
        <v>399</v>
      </c>
      <c r="P550" s="22" t="str">
        <f aca="false">_xlfn.CONCAT(B550,C550,D550,E550,F550)</f>
        <v/>
      </c>
      <c r="Q550" s="1" t="str">
        <f aca="false">_xlfn.CONCAT(H550,I550,J550)</f>
        <v>DAURDE</v>
      </c>
    </row>
    <row r="551" customFormat="false" ht="15" hidden="false" customHeight="false" outlineLevel="0" collapsed="false">
      <c r="G551" s="15" t="n">
        <f aca="false">F551-E551</f>
        <v>0</v>
      </c>
      <c r="H551" s="20" t="s">
        <v>248</v>
      </c>
      <c r="J551" s="20" t="s">
        <v>256</v>
      </c>
      <c r="K551" s="1" t="s">
        <v>430</v>
      </c>
      <c r="L551" s="1" t="s">
        <v>404</v>
      </c>
      <c r="M551" s="20" t="s">
        <v>258</v>
      </c>
      <c r="N551" s="20" t="s">
        <v>379</v>
      </c>
      <c r="O551" s="1" t="s">
        <v>399</v>
      </c>
      <c r="P551" s="22" t="str">
        <f aca="false">_xlfn.CONCAT(B551,C551,D551,E551,F551)</f>
        <v/>
      </c>
      <c r="Q551" s="1" t="str">
        <f aca="false">_xlfn.CONCAT(H551,I551,J551)</f>
        <v>DAURDE</v>
      </c>
    </row>
    <row r="552" customFormat="false" ht="15" hidden="false" customHeight="false" outlineLevel="0" collapsed="false">
      <c r="G552" s="15" t="n">
        <f aca="false">F552-E552</f>
        <v>0</v>
      </c>
      <c r="H552" s="20" t="s">
        <v>248</v>
      </c>
      <c r="J552" s="20" t="s">
        <v>256</v>
      </c>
      <c r="K552" s="1" t="s">
        <v>430</v>
      </c>
      <c r="L552" s="1" t="s">
        <v>404</v>
      </c>
      <c r="M552" s="20" t="s">
        <v>258</v>
      </c>
      <c r="N552" s="20" t="s">
        <v>379</v>
      </c>
      <c r="O552" s="1" t="s">
        <v>399</v>
      </c>
      <c r="P552" s="22" t="str">
        <f aca="false">_xlfn.CONCAT(B552,C552,D552,E552,F552)</f>
        <v/>
      </c>
      <c r="Q552" s="1" t="str">
        <f aca="false">_xlfn.CONCAT(H552,I552,J552)</f>
        <v>DAURDE</v>
      </c>
    </row>
    <row r="553" customFormat="false" ht="15" hidden="false" customHeight="false" outlineLevel="0" collapsed="false">
      <c r="G553" s="15" t="n">
        <f aca="false">F553-E553</f>
        <v>0</v>
      </c>
      <c r="H553" s="20" t="s">
        <v>248</v>
      </c>
      <c r="J553" s="20" t="s">
        <v>256</v>
      </c>
      <c r="K553" s="1" t="s">
        <v>430</v>
      </c>
      <c r="L553" s="1" t="s">
        <v>404</v>
      </c>
      <c r="M553" s="20" t="s">
        <v>258</v>
      </c>
      <c r="N553" s="20" t="s">
        <v>379</v>
      </c>
      <c r="O553" s="1" t="s">
        <v>399</v>
      </c>
      <c r="P553" s="22" t="str">
        <f aca="false">_xlfn.CONCAT(B553,C553,D553,E553,F553)</f>
        <v/>
      </c>
      <c r="Q553" s="1" t="str">
        <f aca="false">_xlfn.CONCAT(H553,I553,J553)</f>
        <v>DAURDE</v>
      </c>
    </row>
    <row r="554" customFormat="false" ht="15" hidden="false" customHeight="false" outlineLevel="0" collapsed="false">
      <c r="G554" s="15" t="n">
        <f aca="false">F554-E554</f>
        <v>0</v>
      </c>
      <c r="H554" s="20" t="s">
        <v>248</v>
      </c>
      <c r="J554" s="20" t="s">
        <v>256</v>
      </c>
      <c r="K554" s="1" t="s">
        <v>430</v>
      </c>
      <c r="L554" s="1" t="s">
        <v>404</v>
      </c>
      <c r="M554" s="20" t="s">
        <v>258</v>
      </c>
      <c r="N554" s="20" t="s">
        <v>379</v>
      </c>
      <c r="O554" s="1" t="s">
        <v>399</v>
      </c>
      <c r="P554" s="22" t="str">
        <f aca="false">_xlfn.CONCAT(B554,C554,D554,E554,F554)</f>
        <v/>
      </c>
      <c r="Q554" s="1" t="str">
        <f aca="false">_xlfn.CONCAT(H554,I554,J554)</f>
        <v>DAURDE</v>
      </c>
    </row>
    <row r="555" customFormat="false" ht="15" hidden="false" customHeight="false" outlineLevel="0" collapsed="false">
      <c r="G555" s="15" t="n">
        <f aca="false">F555-E555</f>
        <v>0</v>
      </c>
      <c r="H555" s="20" t="s">
        <v>248</v>
      </c>
      <c r="J555" s="20" t="s">
        <v>256</v>
      </c>
      <c r="K555" s="1" t="s">
        <v>430</v>
      </c>
      <c r="L555" s="1" t="s">
        <v>404</v>
      </c>
      <c r="M555" s="20" t="s">
        <v>258</v>
      </c>
      <c r="N555" s="20" t="s">
        <v>379</v>
      </c>
      <c r="O555" s="1" t="s">
        <v>399</v>
      </c>
      <c r="P555" s="22" t="str">
        <f aca="false">_xlfn.CONCAT(B555,C555,D555,E555,F555)</f>
        <v/>
      </c>
      <c r="Q555" s="1" t="str">
        <f aca="false">_xlfn.CONCAT(H555,I555,J555)</f>
        <v>DAURDE</v>
      </c>
    </row>
    <row r="556" customFormat="false" ht="15" hidden="false" customHeight="false" outlineLevel="0" collapsed="false">
      <c r="G556" s="15" t="n">
        <f aca="false">F556-E556</f>
        <v>0</v>
      </c>
      <c r="H556" s="20" t="s">
        <v>248</v>
      </c>
      <c r="J556" s="20" t="s">
        <v>256</v>
      </c>
      <c r="K556" s="1" t="s">
        <v>430</v>
      </c>
      <c r="L556" s="1" t="s">
        <v>404</v>
      </c>
      <c r="M556" s="20" t="s">
        <v>258</v>
      </c>
      <c r="N556" s="20" t="s">
        <v>379</v>
      </c>
      <c r="O556" s="1" t="s">
        <v>399</v>
      </c>
      <c r="P556" s="22" t="str">
        <f aca="false">_xlfn.CONCAT(B556,C556,D556,E556,F556)</f>
        <v/>
      </c>
      <c r="Q556" s="1" t="str">
        <f aca="false">_xlfn.CONCAT(H556,I556,J556)</f>
        <v>DAURDE</v>
      </c>
    </row>
    <row r="557" customFormat="false" ht="15" hidden="false" customHeight="false" outlineLevel="0" collapsed="false">
      <c r="G557" s="15" t="n">
        <f aca="false">F557-E557</f>
        <v>0</v>
      </c>
      <c r="H557" s="20" t="s">
        <v>248</v>
      </c>
      <c r="J557" s="20" t="s">
        <v>256</v>
      </c>
      <c r="K557" s="1" t="s">
        <v>430</v>
      </c>
      <c r="L557" s="1" t="s">
        <v>404</v>
      </c>
      <c r="M557" s="20" t="s">
        <v>258</v>
      </c>
      <c r="N557" s="20" t="s">
        <v>379</v>
      </c>
      <c r="O557" s="1" t="s">
        <v>399</v>
      </c>
      <c r="P557" s="22" t="str">
        <f aca="false">_xlfn.CONCAT(B557,C557,D557,E557,F557)</f>
        <v/>
      </c>
      <c r="Q557" s="1" t="str">
        <f aca="false">_xlfn.CONCAT(H557,I557,J557)</f>
        <v>DAURDE</v>
      </c>
    </row>
    <row r="558" customFormat="false" ht="15" hidden="false" customHeight="false" outlineLevel="0" collapsed="false">
      <c r="G558" s="15" t="n">
        <f aca="false">F558-E558</f>
        <v>0</v>
      </c>
      <c r="H558" s="20" t="s">
        <v>248</v>
      </c>
      <c r="J558" s="20" t="s">
        <v>256</v>
      </c>
      <c r="K558" s="1" t="s">
        <v>430</v>
      </c>
      <c r="L558" s="1" t="s">
        <v>404</v>
      </c>
      <c r="M558" s="20" t="s">
        <v>258</v>
      </c>
      <c r="N558" s="20" t="s">
        <v>379</v>
      </c>
      <c r="O558" s="1" t="s">
        <v>399</v>
      </c>
      <c r="P558" s="22" t="str">
        <f aca="false">_xlfn.CONCAT(B558,C558,D558,E558,F558)</f>
        <v/>
      </c>
      <c r="Q558" s="1" t="str">
        <f aca="false">_xlfn.CONCAT(H558,I558,J558)</f>
        <v>DAURDE</v>
      </c>
    </row>
    <row r="559" customFormat="false" ht="15" hidden="false" customHeight="false" outlineLevel="0" collapsed="false">
      <c r="G559" s="15" t="n">
        <f aca="false">F559-E559</f>
        <v>0</v>
      </c>
      <c r="H559" s="20" t="s">
        <v>248</v>
      </c>
      <c r="J559" s="20" t="s">
        <v>256</v>
      </c>
      <c r="K559" s="1" t="s">
        <v>430</v>
      </c>
      <c r="L559" s="1" t="s">
        <v>404</v>
      </c>
      <c r="M559" s="20" t="s">
        <v>258</v>
      </c>
      <c r="N559" s="20" t="s">
        <v>379</v>
      </c>
      <c r="O559" s="1" t="s">
        <v>399</v>
      </c>
      <c r="P559" s="22" t="str">
        <f aca="false">_xlfn.CONCAT(B559,C559,D559,E559,F559)</f>
        <v/>
      </c>
      <c r="Q559" s="1" t="str">
        <f aca="false">_xlfn.CONCAT(H559,I559,J559)</f>
        <v>DAURDE</v>
      </c>
    </row>
    <row r="560" customFormat="false" ht="15" hidden="false" customHeight="false" outlineLevel="0" collapsed="false">
      <c r="G560" s="15" t="n">
        <f aca="false">F560-E560</f>
        <v>0</v>
      </c>
      <c r="H560" s="20" t="s">
        <v>248</v>
      </c>
      <c r="J560" s="20" t="s">
        <v>256</v>
      </c>
      <c r="K560" s="1" t="s">
        <v>430</v>
      </c>
      <c r="L560" s="1" t="s">
        <v>438</v>
      </c>
      <c r="M560" s="20" t="s">
        <v>258</v>
      </c>
      <c r="N560" s="20" t="s">
        <v>379</v>
      </c>
      <c r="O560" s="1" t="s">
        <v>399</v>
      </c>
      <c r="P560" s="22" t="str">
        <f aca="false">_xlfn.CONCAT(B560,C560,D561,E560,F560)</f>
        <v/>
      </c>
      <c r="Q560" s="1" t="str">
        <f aca="false">_xlfn.CONCAT(H560,I560,J560)</f>
        <v>DAURDE</v>
      </c>
    </row>
    <row r="561" customFormat="false" ht="15" hidden="false" customHeight="false" outlineLevel="0" collapsed="false">
      <c r="G561" s="15" t="n">
        <f aca="false">F561-E561</f>
        <v>0</v>
      </c>
      <c r="H561" s="20" t="s">
        <v>248</v>
      </c>
      <c r="J561" s="20" t="s">
        <v>256</v>
      </c>
      <c r="K561" s="1" t="s">
        <v>430</v>
      </c>
      <c r="L561" s="1" t="s">
        <v>438</v>
      </c>
      <c r="M561" s="20" t="s">
        <v>258</v>
      </c>
      <c r="N561" s="20" t="s">
        <v>379</v>
      </c>
      <c r="O561" s="1" t="s">
        <v>399</v>
      </c>
      <c r="P561" s="22" t="str">
        <f aca="false">_xlfn.CONCAT(B561,C561,D561,E561,F561)</f>
        <v/>
      </c>
      <c r="Q561" s="1" t="str">
        <f aca="false">_xlfn.CONCAT(H561,I561,J561)</f>
        <v>DAURDE</v>
      </c>
    </row>
    <row r="562" customFormat="false" ht="15" hidden="false" customHeight="false" outlineLevel="0" collapsed="false">
      <c r="G562" s="15" t="n">
        <f aca="false">F562-E562</f>
        <v>0</v>
      </c>
      <c r="H562" s="20" t="s">
        <v>248</v>
      </c>
      <c r="J562" s="20" t="s">
        <v>256</v>
      </c>
      <c r="K562" s="1" t="s">
        <v>430</v>
      </c>
      <c r="L562" s="1" t="s">
        <v>438</v>
      </c>
      <c r="M562" s="20" t="s">
        <v>258</v>
      </c>
      <c r="N562" s="20" t="s">
        <v>379</v>
      </c>
      <c r="O562" s="1" t="s">
        <v>399</v>
      </c>
      <c r="P562" s="22" t="str">
        <f aca="false">_xlfn.CONCAT(B562,C562,D562,E562,F562)</f>
        <v/>
      </c>
      <c r="Q562" s="1" t="str">
        <f aca="false">_xlfn.CONCAT(H562,I562,J562)</f>
        <v>DAURDE</v>
      </c>
    </row>
    <row r="563" customFormat="false" ht="15" hidden="false" customHeight="false" outlineLevel="0" collapsed="false">
      <c r="G563" s="15" t="n">
        <f aca="false">F563-E563</f>
        <v>0</v>
      </c>
      <c r="H563" s="20" t="s">
        <v>248</v>
      </c>
      <c r="J563" s="20" t="s">
        <v>256</v>
      </c>
      <c r="K563" s="1" t="s">
        <v>430</v>
      </c>
      <c r="L563" s="1" t="s">
        <v>438</v>
      </c>
      <c r="M563" s="20" t="s">
        <v>258</v>
      </c>
      <c r="N563" s="20" t="s">
        <v>379</v>
      </c>
      <c r="O563" s="1" t="s">
        <v>399</v>
      </c>
      <c r="P563" s="22" t="str">
        <f aca="false">_xlfn.CONCAT(B563,C563,D563,E563,F563)</f>
        <v/>
      </c>
      <c r="Q563" s="1" t="str">
        <f aca="false">_xlfn.CONCAT(H563,I563,J563)</f>
        <v>DAURDE</v>
      </c>
    </row>
    <row r="564" customFormat="false" ht="15" hidden="false" customHeight="false" outlineLevel="0" collapsed="false">
      <c r="G564" s="15" t="n">
        <f aca="false">F564-E564</f>
        <v>0</v>
      </c>
      <c r="H564" s="20" t="s">
        <v>248</v>
      </c>
      <c r="J564" s="20" t="s">
        <v>256</v>
      </c>
      <c r="K564" s="1" t="s">
        <v>430</v>
      </c>
      <c r="L564" s="1" t="s">
        <v>438</v>
      </c>
      <c r="M564" s="20" t="s">
        <v>258</v>
      </c>
      <c r="N564" s="20" t="s">
        <v>379</v>
      </c>
      <c r="O564" s="1" t="s">
        <v>399</v>
      </c>
      <c r="P564" s="22" t="str">
        <f aca="false">_xlfn.CONCAT(B564,C564,D564,E564,F564)</f>
        <v/>
      </c>
      <c r="Q564" s="1" t="str">
        <f aca="false">_xlfn.CONCAT(H564,I564,J564)</f>
        <v>DAURDE</v>
      </c>
    </row>
    <row r="565" customFormat="false" ht="15" hidden="false" customHeight="false" outlineLevel="0" collapsed="false">
      <c r="G565" s="15" t="n">
        <f aca="false">F565-E565</f>
        <v>0</v>
      </c>
      <c r="H565" s="20" t="s">
        <v>248</v>
      </c>
      <c r="J565" s="20" t="s">
        <v>256</v>
      </c>
      <c r="K565" s="1" t="s">
        <v>430</v>
      </c>
      <c r="L565" s="1" t="s">
        <v>438</v>
      </c>
      <c r="M565" s="20" t="s">
        <v>258</v>
      </c>
      <c r="N565" s="20" t="s">
        <v>379</v>
      </c>
      <c r="O565" s="1" t="s">
        <v>399</v>
      </c>
      <c r="P565" s="22" t="str">
        <f aca="false">_xlfn.CONCAT(B565,C565,D565,E565,F565)</f>
        <v/>
      </c>
      <c r="Q565" s="1" t="str">
        <f aca="false">_xlfn.CONCAT(H565,I565,J565)</f>
        <v>DAURDE</v>
      </c>
    </row>
    <row r="566" customFormat="false" ht="15" hidden="false" customHeight="false" outlineLevel="0" collapsed="false">
      <c r="G566" s="15" t="n">
        <f aca="false">F566-E566</f>
        <v>0</v>
      </c>
      <c r="H566" s="20" t="s">
        <v>248</v>
      </c>
      <c r="J566" s="20" t="s">
        <v>256</v>
      </c>
      <c r="K566" s="1" t="s">
        <v>430</v>
      </c>
      <c r="L566" s="1" t="s">
        <v>438</v>
      </c>
      <c r="M566" s="20" t="s">
        <v>258</v>
      </c>
      <c r="N566" s="20" t="s">
        <v>379</v>
      </c>
      <c r="O566" s="1" t="s">
        <v>399</v>
      </c>
      <c r="P566" s="22" t="str">
        <f aca="false">_xlfn.CONCAT(B566,C566,D566,E566,F566)</f>
        <v/>
      </c>
      <c r="Q566" s="1" t="str">
        <f aca="false">_xlfn.CONCAT(H566,I566,J566)</f>
        <v>DAURDE</v>
      </c>
    </row>
    <row r="567" customFormat="false" ht="15" hidden="false" customHeight="false" outlineLevel="0" collapsed="false">
      <c r="G567" s="15" t="n">
        <f aca="false">F567-E567</f>
        <v>0</v>
      </c>
      <c r="H567" s="20" t="s">
        <v>248</v>
      </c>
      <c r="J567" s="20" t="s">
        <v>256</v>
      </c>
      <c r="K567" s="1" t="s">
        <v>430</v>
      </c>
      <c r="L567" s="1" t="s">
        <v>438</v>
      </c>
      <c r="M567" s="20" t="s">
        <v>258</v>
      </c>
      <c r="N567" s="20" t="s">
        <v>379</v>
      </c>
      <c r="O567" s="1" t="s">
        <v>399</v>
      </c>
      <c r="P567" s="22" t="str">
        <f aca="false">_xlfn.CONCAT(B567,C567,D567,E567,F567)</f>
        <v/>
      </c>
      <c r="Q567" s="1" t="str">
        <f aca="false">_xlfn.CONCAT(H567,I567,J567)</f>
        <v>DAURDE</v>
      </c>
    </row>
    <row r="568" customFormat="false" ht="15" hidden="false" customHeight="false" outlineLevel="0" collapsed="false">
      <c r="G568" s="15" t="n">
        <f aca="false">F568-E568</f>
        <v>0</v>
      </c>
      <c r="H568" s="20" t="s">
        <v>248</v>
      </c>
      <c r="J568" s="20" t="s">
        <v>256</v>
      </c>
      <c r="K568" s="1" t="s">
        <v>430</v>
      </c>
      <c r="L568" s="1" t="s">
        <v>438</v>
      </c>
      <c r="M568" s="20" t="s">
        <v>258</v>
      </c>
      <c r="N568" s="20" t="s">
        <v>379</v>
      </c>
      <c r="O568" s="1" t="s">
        <v>399</v>
      </c>
      <c r="P568" s="22" t="str">
        <f aca="false">_xlfn.CONCAT(B568,C568,D568,E568,F568)</f>
        <v/>
      </c>
      <c r="Q568" s="1" t="str">
        <f aca="false">_xlfn.CONCAT(H568,I568,J568)</f>
        <v>DAURDE</v>
      </c>
    </row>
    <row r="569" customFormat="false" ht="15" hidden="false" customHeight="false" outlineLevel="0" collapsed="false">
      <c r="G569" s="15" t="n">
        <f aca="false">F569-E569</f>
        <v>0</v>
      </c>
      <c r="H569" s="20" t="s">
        <v>248</v>
      </c>
      <c r="J569" s="20" t="s">
        <v>256</v>
      </c>
      <c r="K569" s="1" t="s">
        <v>430</v>
      </c>
      <c r="L569" s="1" t="s">
        <v>438</v>
      </c>
      <c r="M569" s="20" t="s">
        <v>258</v>
      </c>
      <c r="N569" s="20" t="s">
        <v>379</v>
      </c>
      <c r="O569" s="1" t="s">
        <v>399</v>
      </c>
      <c r="P569" s="22" t="str">
        <f aca="false">_xlfn.CONCAT(B569,C569,D569,E569,F569)</f>
        <v/>
      </c>
      <c r="Q569" s="1" t="str">
        <f aca="false">_xlfn.CONCAT(H569,I569,J569)</f>
        <v>DAURDE</v>
      </c>
    </row>
    <row r="570" customFormat="false" ht="15" hidden="false" customHeight="false" outlineLevel="0" collapsed="false">
      <c r="G570" s="15" t="n">
        <f aca="false">F570-E570</f>
        <v>0</v>
      </c>
      <c r="H570" s="20" t="s">
        <v>248</v>
      </c>
      <c r="J570" s="20" t="s">
        <v>256</v>
      </c>
      <c r="K570" s="1" t="s">
        <v>430</v>
      </c>
      <c r="L570" s="1" t="s">
        <v>438</v>
      </c>
      <c r="M570" s="20" t="s">
        <v>258</v>
      </c>
      <c r="N570" s="20" t="s">
        <v>379</v>
      </c>
      <c r="O570" s="1" t="s">
        <v>399</v>
      </c>
      <c r="P570" s="22" t="str">
        <f aca="false">_xlfn.CONCAT(B570,C570,D570,E570,F570)</f>
        <v/>
      </c>
      <c r="Q570" s="1" t="str">
        <f aca="false">_xlfn.CONCAT(H570,I570,J570)</f>
        <v>DAURDE</v>
      </c>
    </row>
    <row r="571" customFormat="false" ht="15" hidden="false" customHeight="false" outlineLevel="0" collapsed="false">
      <c r="G571" s="15" t="n">
        <f aca="false">F571-E571</f>
        <v>0</v>
      </c>
      <c r="H571" s="20" t="s">
        <v>248</v>
      </c>
      <c r="J571" s="20" t="s">
        <v>256</v>
      </c>
      <c r="K571" s="1" t="s">
        <v>430</v>
      </c>
      <c r="L571" s="1" t="s">
        <v>438</v>
      </c>
      <c r="M571" s="20" t="s">
        <v>258</v>
      </c>
      <c r="N571" s="20" t="s">
        <v>379</v>
      </c>
      <c r="O571" s="1" t="s">
        <v>399</v>
      </c>
      <c r="P571" s="22" t="str">
        <f aca="false">_xlfn.CONCAT(B571,C571,D571,E571,F571)</f>
        <v/>
      </c>
      <c r="Q571" s="1" t="str">
        <f aca="false">_xlfn.CONCAT(H571,I571,J571)</f>
        <v>DAURDE</v>
      </c>
    </row>
    <row r="572" customFormat="false" ht="15" hidden="false" customHeight="false" outlineLevel="0" collapsed="false">
      <c r="G572" s="15" t="n">
        <f aca="false">F572-E572</f>
        <v>0</v>
      </c>
      <c r="H572" s="20" t="s">
        <v>248</v>
      </c>
      <c r="J572" s="20" t="s">
        <v>256</v>
      </c>
      <c r="K572" s="1" t="s">
        <v>430</v>
      </c>
      <c r="L572" s="1" t="s">
        <v>438</v>
      </c>
      <c r="M572" s="20" t="s">
        <v>258</v>
      </c>
      <c r="N572" s="20" t="s">
        <v>379</v>
      </c>
      <c r="O572" s="1" t="s">
        <v>399</v>
      </c>
      <c r="P572" s="22" t="str">
        <f aca="false">_xlfn.CONCAT(B572,C572,D572,E572,F572)</f>
        <v/>
      </c>
      <c r="Q572" s="1" t="str">
        <f aca="false">_xlfn.CONCAT(H572,I572,J572)</f>
        <v>DAURDE</v>
      </c>
    </row>
    <row r="573" customFormat="false" ht="15" hidden="false" customHeight="false" outlineLevel="0" collapsed="false">
      <c r="G573" s="15" t="n">
        <f aca="false">F573-E573</f>
        <v>0</v>
      </c>
      <c r="H573" s="20" t="s">
        <v>248</v>
      </c>
      <c r="J573" s="20" t="s">
        <v>256</v>
      </c>
      <c r="K573" s="1" t="s">
        <v>430</v>
      </c>
      <c r="L573" s="1" t="s">
        <v>438</v>
      </c>
      <c r="M573" s="20" t="s">
        <v>258</v>
      </c>
      <c r="N573" s="20" t="s">
        <v>379</v>
      </c>
      <c r="O573" s="1" t="s">
        <v>399</v>
      </c>
      <c r="P573" s="22" t="str">
        <f aca="false">_xlfn.CONCAT(B573,C573,D573,E573,F573)</f>
        <v/>
      </c>
      <c r="Q573" s="1" t="str">
        <f aca="false">_xlfn.CONCAT(H573,I573,J573)</f>
        <v>DAURDE</v>
      </c>
    </row>
    <row r="574" customFormat="false" ht="15" hidden="false" customHeight="false" outlineLevel="0" collapsed="false">
      <c r="G574" s="15" t="n">
        <f aca="false">F574-E574</f>
        <v>0</v>
      </c>
      <c r="H574" s="20" t="s">
        <v>248</v>
      </c>
      <c r="J574" s="20" t="s">
        <v>256</v>
      </c>
      <c r="K574" s="1" t="s">
        <v>430</v>
      </c>
      <c r="L574" s="1" t="s">
        <v>438</v>
      </c>
      <c r="M574" s="20" t="s">
        <v>258</v>
      </c>
      <c r="N574" s="20" t="s">
        <v>379</v>
      </c>
      <c r="O574" s="1" t="s">
        <v>399</v>
      </c>
      <c r="P574" s="22" t="str">
        <f aca="false">_xlfn.CONCAT(B574,C574,D574,E574,F574)</f>
        <v/>
      </c>
      <c r="Q574" s="1" t="str">
        <f aca="false">_xlfn.CONCAT(H574,I574,J574)</f>
        <v>DAURDE</v>
      </c>
    </row>
    <row r="575" customFormat="false" ht="15" hidden="false" customHeight="false" outlineLevel="0" collapsed="false">
      <c r="G575" s="15" t="n">
        <f aca="false">F575-E575</f>
        <v>0</v>
      </c>
      <c r="H575" s="20" t="s">
        <v>248</v>
      </c>
      <c r="J575" s="20" t="s">
        <v>256</v>
      </c>
      <c r="K575" s="1" t="s">
        <v>430</v>
      </c>
      <c r="L575" s="1" t="s">
        <v>438</v>
      </c>
      <c r="M575" s="20" t="s">
        <v>258</v>
      </c>
      <c r="N575" s="20" t="s">
        <v>379</v>
      </c>
      <c r="O575" s="1" t="s">
        <v>399</v>
      </c>
      <c r="P575" s="22" t="str">
        <f aca="false">_xlfn.CONCAT(B575,C575,D575,E575,F575)</f>
        <v/>
      </c>
      <c r="Q575" s="1" t="str">
        <f aca="false">_xlfn.CONCAT(H575,I575,J575)</f>
        <v>DAURDE</v>
      </c>
    </row>
    <row r="576" customFormat="false" ht="15" hidden="false" customHeight="false" outlineLevel="0" collapsed="false">
      <c r="G576" s="15" t="n">
        <f aca="false">F576-E576</f>
        <v>0</v>
      </c>
      <c r="H576" s="20" t="s">
        <v>248</v>
      </c>
      <c r="J576" s="20" t="s">
        <v>256</v>
      </c>
      <c r="K576" s="1" t="s">
        <v>430</v>
      </c>
      <c r="L576" s="1" t="s">
        <v>438</v>
      </c>
      <c r="M576" s="20" t="s">
        <v>258</v>
      </c>
      <c r="N576" s="20" t="s">
        <v>379</v>
      </c>
      <c r="O576" s="1" t="s">
        <v>399</v>
      </c>
      <c r="P576" s="22" t="str">
        <f aca="false">_xlfn.CONCAT(B576,C576,D576,E576,F576)</f>
        <v/>
      </c>
      <c r="Q576" s="1" t="str">
        <f aca="false">_xlfn.CONCAT(H576,I576,J576)</f>
        <v>DAURDE</v>
      </c>
    </row>
    <row r="577" customFormat="false" ht="15" hidden="false" customHeight="false" outlineLevel="0" collapsed="false">
      <c r="G577" s="15" t="n">
        <f aca="false">F577-E577</f>
        <v>0</v>
      </c>
      <c r="H577" s="20" t="s">
        <v>248</v>
      </c>
      <c r="J577" s="20" t="s">
        <v>256</v>
      </c>
      <c r="K577" s="1" t="s">
        <v>430</v>
      </c>
      <c r="L577" s="1" t="s">
        <v>438</v>
      </c>
      <c r="M577" s="20" t="s">
        <v>258</v>
      </c>
      <c r="N577" s="20" t="s">
        <v>379</v>
      </c>
      <c r="O577" s="1" t="s">
        <v>399</v>
      </c>
      <c r="P577" s="22" t="str">
        <f aca="false">_xlfn.CONCAT(B577,C577,D577,E577,F577)</f>
        <v/>
      </c>
      <c r="Q577" s="1" t="str">
        <f aca="false">_xlfn.CONCAT(H577,I577,J577)</f>
        <v>DAURDE</v>
      </c>
    </row>
    <row r="578" customFormat="false" ht="15" hidden="false" customHeight="false" outlineLevel="0" collapsed="false">
      <c r="G578" s="15" t="n">
        <f aca="false">F578-E578</f>
        <v>0</v>
      </c>
      <c r="H578" s="20" t="s">
        <v>248</v>
      </c>
      <c r="J578" s="20" t="s">
        <v>256</v>
      </c>
      <c r="K578" s="1" t="s">
        <v>430</v>
      </c>
      <c r="L578" s="1" t="s">
        <v>438</v>
      </c>
      <c r="M578" s="20" t="s">
        <v>258</v>
      </c>
      <c r="N578" s="20" t="s">
        <v>379</v>
      </c>
      <c r="O578" s="1" t="s">
        <v>399</v>
      </c>
      <c r="P578" s="22" t="str">
        <f aca="false">_xlfn.CONCAT(B578,C578,D578,E578,F578)</f>
        <v/>
      </c>
      <c r="Q578" s="1" t="str">
        <f aca="false">_xlfn.CONCAT(H578,I578,J578)</f>
        <v>DAURDE</v>
      </c>
    </row>
    <row r="579" customFormat="false" ht="15" hidden="false" customHeight="false" outlineLevel="0" collapsed="false">
      <c r="G579" s="15" t="n">
        <f aca="false">F579-E579</f>
        <v>0</v>
      </c>
      <c r="H579" s="20" t="s">
        <v>248</v>
      </c>
      <c r="J579" s="20" t="s">
        <v>256</v>
      </c>
      <c r="K579" s="1" t="s">
        <v>430</v>
      </c>
      <c r="L579" s="1" t="s">
        <v>438</v>
      </c>
      <c r="M579" s="20" t="s">
        <v>258</v>
      </c>
      <c r="N579" s="20" t="s">
        <v>379</v>
      </c>
      <c r="O579" s="1" t="s">
        <v>399</v>
      </c>
      <c r="P579" s="22" t="str">
        <f aca="false">_xlfn.CONCAT(B579,C579,D579,E579,F579)</f>
        <v/>
      </c>
      <c r="Q579" s="1" t="str">
        <f aca="false">_xlfn.CONCAT(H579,I579,J579)</f>
        <v>DAURDE</v>
      </c>
    </row>
    <row r="580" s="26" customFormat="true" ht="19.5" hidden="false" customHeight="true" outlineLevel="0" collapsed="false">
      <c r="A580" s="13"/>
      <c r="B580" s="24"/>
      <c r="C580" s="24"/>
      <c r="D580" s="27"/>
      <c r="E580" s="27"/>
      <c r="F580" s="27"/>
      <c r="G580" s="28" t="n">
        <f aca="false">F580-E580</f>
        <v>0</v>
      </c>
      <c r="H580" s="24" t="s">
        <v>286</v>
      </c>
      <c r="I580" s="24"/>
      <c r="J580" s="24" t="s">
        <v>230</v>
      </c>
      <c r="K580" s="24" t="s">
        <v>230</v>
      </c>
      <c r="L580" s="24" t="s">
        <v>442</v>
      </c>
      <c r="M580" s="24" t="s">
        <v>443</v>
      </c>
      <c r="N580" s="24" t="s">
        <v>289</v>
      </c>
      <c r="O580" s="29" t="s">
        <v>444</v>
      </c>
      <c r="P580" s="25" t="str">
        <f aca="false">_xlfn.CONCAT(B580,C580,D581,E580,F580)</f>
        <v/>
      </c>
      <c r="Q580" s="24" t="str">
        <f aca="false">_xlfn.CONCAT(H580,I580,J580)</f>
        <v>DEMUFV</v>
      </c>
    </row>
    <row r="581" s="26" customFormat="true" ht="15" hidden="false" customHeight="false" outlineLevel="0" collapsed="false">
      <c r="A581" s="13"/>
      <c r="B581" s="1"/>
      <c r="C581" s="1"/>
      <c r="D581" s="14"/>
      <c r="E581" s="14"/>
      <c r="F581" s="14"/>
      <c r="G581" s="15" t="n">
        <f aca="false">F581-E581</f>
        <v>0</v>
      </c>
      <c r="H581" s="20" t="s">
        <v>445</v>
      </c>
      <c r="I581" s="1" t="s">
        <v>263</v>
      </c>
      <c r="J581" s="20" t="s">
        <v>264</v>
      </c>
      <c r="K581" s="1" t="e">
        <f aca="false">_xlfn.xlookup(J581,REF!$D$2:$D$12,REF!$E$2:$E$12)</f>
        <v>#NAME?</v>
      </c>
      <c r="L581" s="1" t="s">
        <v>446</v>
      </c>
      <c r="M581" s="20" t="s">
        <v>266</v>
      </c>
      <c r="N581" s="20" t="s">
        <v>252</v>
      </c>
      <c r="O581" s="1" t="s">
        <v>447</v>
      </c>
      <c r="P581" s="22" t="str">
        <f aca="false">_xlfn.CONCAT(B581,C581,D581,E581,F581)</f>
        <v/>
      </c>
      <c r="Q581" s="1" t="str">
        <f aca="false">_xlfn.CONCAT(H581,I581,J581)</f>
        <v>LIGRFOCOM</v>
      </c>
    </row>
    <row r="582" s="26" customFormat="true" ht="15" hidden="false" customHeight="false" outlineLevel="0" collapsed="false">
      <c r="A582" s="13"/>
      <c r="B582" s="1"/>
      <c r="C582" s="1"/>
      <c r="D582" s="14"/>
      <c r="E582" s="14"/>
      <c r="F582" s="14"/>
      <c r="G582" s="15" t="n">
        <f aca="false">F582-E582</f>
        <v>0</v>
      </c>
      <c r="H582" s="20" t="s">
        <v>445</v>
      </c>
      <c r="I582" s="1" t="s">
        <v>263</v>
      </c>
      <c r="J582" s="20" t="s">
        <v>264</v>
      </c>
      <c r="K582" s="1" t="e">
        <f aca="false">_xlfn.xlookup(J582,REF!$D$2:$D$12,REF!$E$2:$E$12)</f>
        <v>#NAME?</v>
      </c>
      <c r="L582" s="1" t="s">
        <v>446</v>
      </c>
      <c r="M582" s="20" t="s">
        <v>266</v>
      </c>
      <c r="N582" s="20" t="s">
        <v>252</v>
      </c>
      <c r="O582" s="1" t="s">
        <v>447</v>
      </c>
      <c r="P582" s="22" t="str">
        <f aca="false">_xlfn.CONCAT(B582,C582,D582,E582,F582)</f>
        <v/>
      </c>
      <c r="Q582" s="1" t="str">
        <f aca="false">_xlfn.CONCAT(H582,I582,J582)</f>
        <v>LIGRFOCOM</v>
      </c>
    </row>
    <row r="583" s="26" customFormat="true" ht="15" hidden="false" customHeight="false" outlineLevel="0" collapsed="false">
      <c r="A583" s="13"/>
      <c r="B583" s="1"/>
      <c r="C583" s="1"/>
      <c r="D583" s="14"/>
      <c r="E583" s="14"/>
      <c r="F583" s="14"/>
      <c r="G583" s="15" t="n">
        <f aca="false">F583-E583</f>
        <v>0</v>
      </c>
      <c r="H583" s="20" t="s">
        <v>445</v>
      </c>
      <c r="I583" s="1" t="s">
        <v>263</v>
      </c>
      <c r="J583" s="20" t="s">
        <v>264</v>
      </c>
      <c r="K583" s="1" t="e">
        <f aca="false">_xlfn.xlookup(J583,REF!$D$2:$D$12,REF!$E$2:$E$12)</f>
        <v>#NAME?</v>
      </c>
      <c r="L583" s="1" t="s">
        <v>446</v>
      </c>
      <c r="M583" s="20" t="s">
        <v>266</v>
      </c>
      <c r="N583" s="20" t="s">
        <v>252</v>
      </c>
      <c r="O583" s="1" t="s">
        <v>447</v>
      </c>
      <c r="P583" s="22" t="str">
        <f aca="false">_xlfn.CONCAT(B583,C583,D583,E583,F583)</f>
        <v/>
      </c>
      <c r="Q583" s="1" t="str">
        <f aca="false">_xlfn.CONCAT(H583,I583,J583)</f>
        <v>LIGRFOCOM</v>
      </c>
    </row>
    <row r="584" customFormat="false" ht="15" hidden="false" customHeight="false" outlineLevel="0" collapsed="false">
      <c r="G584" s="15" t="n">
        <f aca="false">F584-E584</f>
        <v>0</v>
      </c>
      <c r="H584" s="20" t="s">
        <v>445</v>
      </c>
      <c r="I584" s="1" t="s">
        <v>263</v>
      </c>
      <c r="J584" s="20" t="s">
        <v>264</v>
      </c>
      <c r="K584" s="1" t="e">
        <f aca="false">_xlfn.xlookup(J584,REF!$D$2:$D$12,REF!$E$2:$E$12)</f>
        <v>#NAME?</v>
      </c>
      <c r="L584" s="1" t="s">
        <v>446</v>
      </c>
      <c r="M584" s="20" t="s">
        <v>266</v>
      </c>
      <c r="N584" s="20" t="s">
        <v>252</v>
      </c>
      <c r="O584" s="1" t="s">
        <v>447</v>
      </c>
      <c r="P584" s="22" t="str">
        <f aca="false">_xlfn.CONCAT(B584,C584,D584,E584,F584)</f>
        <v/>
      </c>
      <c r="Q584" s="1" t="str">
        <f aca="false">_xlfn.CONCAT(H584,I584,J584)</f>
        <v>LIGRFOCOM</v>
      </c>
    </row>
    <row r="585" customFormat="false" ht="15" hidden="false" customHeight="false" outlineLevel="0" collapsed="false">
      <c r="G585" s="15" t="n">
        <f aca="false">F585-E585</f>
        <v>0</v>
      </c>
      <c r="H585" s="20" t="s">
        <v>445</v>
      </c>
      <c r="I585" s="1" t="s">
        <v>263</v>
      </c>
      <c r="J585" s="20" t="s">
        <v>264</v>
      </c>
      <c r="K585" s="1" t="e">
        <f aca="false">_xlfn.xlookup(J585,REF!$D$2:$D$12,REF!$E$2:$E$12)</f>
        <v>#NAME?</v>
      </c>
      <c r="L585" s="1" t="s">
        <v>446</v>
      </c>
      <c r="M585" s="20" t="s">
        <v>266</v>
      </c>
      <c r="N585" s="20" t="s">
        <v>252</v>
      </c>
      <c r="O585" s="1" t="s">
        <v>447</v>
      </c>
      <c r="P585" s="22" t="str">
        <f aca="false">_xlfn.CONCAT(B585,C585,D585,E585,F585)</f>
        <v/>
      </c>
      <c r="Q585" s="1" t="str">
        <f aca="false">_xlfn.CONCAT(H585,I585,J585)</f>
        <v>LIGRFOCOM</v>
      </c>
    </row>
    <row r="586" customFormat="false" ht="15" hidden="false" customHeight="false" outlineLevel="0" collapsed="false">
      <c r="G586" s="15" t="n">
        <f aca="false">F586-E586</f>
        <v>0</v>
      </c>
      <c r="H586" s="20" t="s">
        <v>445</v>
      </c>
      <c r="I586" s="1" t="s">
        <v>263</v>
      </c>
      <c r="J586" s="20" t="s">
        <v>264</v>
      </c>
      <c r="K586" s="1" t="e">
        <f aca="false">_xlfn.xlookup(J586,REF!$D$2:$D$12,REF!$E$2:$E$12)</f>
        <v>#NAME?</v>
      </c>
      <c r="L586" s="1" t="s">
        <v>446</v>
      </c>
      <c r="M586" s="20" t="s">
        <v>266</v>
      </c>
      <c r="N586" s="20" t="s">
        <v>252</v>
      </c>
      <c r="O586" s="1" t="s">
        <v>447</v>
      </c>
      <c r="P586" s="22" t="str">
        <f aca="false">_xlfn.CONCAT(B586,C586,D586,E586,F586)</f>
        <v/>
      </c>
      <c r="Q586" s="1" t="str">
        <f aca="false">_xlfn.CONCAT(H586,I586,J586)</f>
        <v>LIGRFOCOM</v>
      </c>
    </row>
    <row r="587" customFormat="false" ht="15" hidden="false" customHeight="false" outlineLevel="0" collapsed="false">
      <c r="G587" s="15" t="n">
        <f aca="false">F587-E587</f>
        <v>0</v>
      </c>
      <c r="H587" s="20" t="s">
        <v>445</v>
      </c>
      <c r="I587" s="1" t="s">
        <v>263</v>
      </c>
      <c r="J587" s="20" t="s">
        <v>264</v>
      </c>
      <c r="K587" s="1" t="e">
        <f aca="false">_xlfn.xlookup(J587,REF!$D$2:$D$12,REF!$E$2:$E$12)</f>
        <v>#NAME?</v>
      </c>
      <c r="L587" s="1" t="s">
        <v>446</v>
      </c>
      <c r="M587" s="20" t="s">
        <v>266</v>
      </c>
      <c r="N587" s="20" t="s">
        <v>252</v>
      </c>
      <c r="O587" s="1" t="s">
        <v>447</v>
      </c>
      <c r="P587" s="22" t="str">
        <f aca="false">_xlfn.CONCAT(B587,C587,D587,E587,F587)</f>
        <v/>
      </c>
      <c r="Q587" s="1" t="str">
        <f aca="false">_xlfn.CONCAT(H587,I587,J587)</f>
        <v>LIGRFOCOM</v>
      </c>
    </row>
    <row r="588" customFormat="false" ht="15" hidden="false" customHeight="false" outlineLevel="0" collapsed="false">
      <c r="G588" s="15" t="n">
        <f aca="false">F588-E588</f>
        <v>0</v>
      </c>
      <c r="H588" s="20" t="s">
        <v>445</v>
      </c>
      <c r="I588" s="1" t="s">
        <v>263</v>
      </c>
      <c r="J588" s="20" t="s">
        <v>264</v>
      </c>
      <c r="K588" s="1" t="e">
        <f aca="false">_xlfn.xlookup(J588,REF!$D$2:$D$12,REF!$E$2:$E$12)</f>
        <v>#NAME?</v>
      </c>
      <c r="L588" s="1" t="s">
        <v>446</v>
      </c>
      <c r="M588" s="20" t="s">
        <v>266</v>
      </c>
      <c r="N588" s="20" t="s">
        <v>252</v>
      </c>
      <c r="O588" s="1" t="s">
        <v>447</v>
      </c>
      <c r="P588" s="22" t="str">
        <f aca="false">_xlfn.CONCAT(B588,C588,D588,E588,F588)</f>
        <v/>
      </c>
      <c r="Q588" s="1" t="str">
        <f aca="false">_xlfn.CONCAT(H588,I588,J588)</f>
        <v>LIGRFOCOM</v>
      </c>
    </row>
    <row r="589" customFormat="false" ht="15" hidden="false" customHeight="false" outlineLevel="0" collapsed="false">
      <c r="G589" s="15" t="n">
        <f aca="false">F589-E589</f>
        <v>0</v>
      </c>
      <c r="H589" s="20" t="s">
        <v>445</v>
      </c>
      <c r="I589" s="1" t="s">
        <v>263</v>
      </c>
      <c r="J589" s="20" t="s">
        <v>264</v>
      </c>
      <c r="K589" s="1" t="e">
        <f aca="false">_xlfn.xlookup(J589,REF!$D$2:$D$12,REF!$E$2:$E$12)</f>
        <v>#NAME?</v>
      </c>
      <c r="L589" s="1" t="s">
        <v>446</v>
      </c>
      <c r="M589" s="20" t="s">
        <v>266</v>
      </c>
      <c r="N589" s="20" t="s">
        <v>252</v>
      </c>
      <c r="O589" s="1" t="s">
        <v>447</v>
      </c>
      <c r="P589" s="22" t="str">
        <f aca="false">_xlfn.CONCAT(B589,C589,D589,E589,F589)</f>
        <v/>
      </c>
      <c r="Q589" s="1" t="str">
        <f aca="false">_xlfn.CONCAT(H589,I589,J589)</f>
        <v>LIGRFOCOM</v>
      </c>
    </row>
    <row r="590" customFormat="false" ht="15" hidden="false" customHeight="false" outlineLevel="0" collapsed="false">
      <c r="G590" s="15" t="n">
        <f aca="false">F590-E590</f>
        <v>0</v>
      </c>
      <c r="H590" s="20" t="s">
        <v>445</v>
      </c>
      <c r="I590" s="1" t="s">
        <v>263</v>
      </c>
      <c r="J590" s="20" t="s">
        <v>264</v>
      </c>
      <c r="K590" s="1" t="e">
        <f aca="false">_xlfn.xlookup(J590,REF!$D$2:$D$12,REF!$E$2:$E$12)</f>
        <v>#NAME?</v>
      </c>
      <c r="L590" s="1" t="s">
        <v>446</v>
      </c>
      <c r="M590" s="20" t="s">
        <v>266</v>
      </c>
      <c r="N590" s="20" t="s">
        <v>252</v>
      </c>
      <c r="O590" s="1" t="s">
        <v>447</v>
      </c>
      <c r="P590" s="22" t="str">
        <f aca="false">_xlfn.CONCAT(B590,C590,D590,E590,F590)</f>
        <v/>
      </c>
      <c r="Q590" s="1" t="str">
        <f aca="false">_xlfn.CONCAT(H590,I590,J590)</f>
        <v>LIGRFOCOM</v>
      </c>
    </row>
    <row r="591" customFormat="false" ht="15" hidden="false" customHeight="false" outlineLevel="0" collapsed="false">
      <c r="G591" s="15" t="n">
        <f aca="false">F591-E591</f>
        <v>0</v>
      </c>
      <c r="H591" s="20" t="s">
        <v>445</v>
      </c>
      <c r="I591" s="1" t="s">
        <v>263</v>
      </c>
      <c r="J591" s="20" t="s">
        <v>264</v>
      </c>
      <c r="K591" s="1" t="e">
        <f aca="false">_xlfn.xlookup(J591,REF!$D$2:$D$12,REF!$E$2:$E$12)</f>
        <v>#NAME?</v>
      </c>
      <c r="L591" s="1" t="s">
        <v>446</v>
      </c>
      <c r="M591" s="20" t="s">
        <v>266</v>
      </c>
      <c r="N591" s="20" t="s">
        <v>252</v>
      </c>
      <c r="O591" s="1" t="s">
        <v>447</v>
      </c>
      <c r="P591" s="22" t="str">
        <f aca="false">_xlfn.CONCAT(B591,C591,D591,E591,F591)</f>
        <v/>
      </c>
      <c r="Q591" s="1" t="str">
        <f aca="false">_xlfn.CONCAT(H591,I591,J591)</f>
        <v>LIGRFOCOM</v>
      </c>
    </row>
    <row r="592" customFormat="false" ht="15" hidden="false" customHeight="false" outlineLevel="0" collapsed="false">
      <c r="G592" s="15" t="n">
        <f aca="false">F592-E592</f>
        <v>0</v>
      </c>
      <c r="H592" s="20" t="s">
        <v>445</v>
      </c>
      <c r="I592" s="1" t="s">
        <v>263</v>
      </c>
      <c r="J592" s="20" t="s">
        <v>264</v>
      </c>
      <c r="K592" s="1" t="e">
        <f aca="false">_xlfn.xlookup(J592,REF!$D$2:$D$12,REF!$E$2:$E$12)</f>
        <v>#NAME?</v>
      </c>
      <c r="L592" s="1" t="s">
        <v>446</v>
      </c>
      <c r="M592" s="20" t="s">
        <v>266</v>
      </c>
      <c r="N592" s="20" t="s">
        <v>252</v>
      </c>
      <c r="O592" s="1" t="s">
        <v>447</v>
      </c>
      <c r="P592" s="22" t="str">
        <f aca="false">_xlfn.CONCAT(B592,C592,D592,E592,F592)</f>
        <v/>
      </c>
      <c r="Q592" s="1" t="str">
        <f aca="false">_xlfn.CONCAT(H592,I592,J592)</f>
        <v>LIGRFOCOM</v>
      </c>
    </row>
    <row r="593" customFormat="false" ht="15" hidden="false" customHeight="false" outlineLevel="0" collapsed="false">
      <c r="G593" s="15" t="n">
        <f aca="false">F593-E593</f>
        <v>0</v>
      </c>
      <c r="H593" s="20" t="s">
        <v>445</v>
      </c>
      <c r="I593" s="1" t="s">
        <v>263</v>
      </c>
      <c r="J593" s="20" t="s">
        <v>264</v>
      </c>
      <c r="K593" s="1" t="e">
        <f aca="false">_xlfn.xlookup(J593,REF!$D$2:$D$12,REF!$E$2:$E$12)</f>
        <v>#NAME?</v>
      </c>
      <c r="L593" s="1" t="s">
        <v>446</v>
      </c>
      <c r="M593" s="20" t="s">
        <v>266</v>
      </c>
      <c r="N593" s="20" t="s">
        <v>252</v>
      </c>
      <c r="O593" s="1" t="s">
        <v>447</v>
      </c>
      <c r="P593" s="22" t="str">
        <f aca="false">_xlfn.CONCAT(B593,C593,D593,E593,F593)</f>
        <v/>
      </c>
      <c r="Q593" s="1" t="str">
        <f aca="false">_xlfn.CONCAT(H593,I593,J593)</f>
        <v>LIGRFOCOM</v>
      </c>
    </row>
    <row r="594" customFormat="false" ht="15" hidden="false" customHeight="false" outlineLevel="0" collapsed="false">
      <c r="G594" s="15" t="n">
        <f aca="false">F594-E594</f>
        <v>0</v>
      </c>
      <c r="H594" s="20" t="s">
        <v>445</v>
      </c>
      <c r="I594" s="1" t="s">
        <v>263</v>
      </c>
      <c r="J594" s="20" t="s">
        <v>264</v>
      </c>
      <c r="K594" s="1" t="e">
        <f aca="false">_xlfn.xlookup(J594,REF!$D$2:$D$12,REF!$E$2:$E$12)</f>
        <v>#NAME?</v>
      </c>
      <c r="L594" s="1" t="s">
        <v>446</v>
      </c>
      <c r="M594" s="20" t="s">
        <v>266</v>
      </c>
      <c r="N594" s="20" t="s">
        <v>252</v>
      </c>
      <c r="O594" s="1" t="s">
        <v>447</v>
      </c>
      <c r="P594" s="22" t="str">
        <f aca="false">_xlfn.CONCAT(B594,C594,D594,E594,F594)</f>
        <v/>
      </c>
      <c r="Q594" s="1" t="str">
        <f aca="false">_xlfn.CONCAT(H594,I594,J594)</f>
        <v>LIGRFOCOM</v>
      </c>
    </row>
    <row r="595" customFormat="false" ht="15" hidden="false" customHeight="false" outlineLevel="0" collapsed="false">
      <c r="G595" s="15" t="n">
        <f aca="false">F595-E595</f>
        <v>0</v>
      </c>
      <c r="H595" s="20" t="s">
        <v>445</v>
      </c>
      <c r="I595" s="1" t="s">
        <v>263</v>
      </c>
      <c r="J595" s="20" t="s">
        <v>264</v>
      </c>
      <c r="K595" s="1" t="e">
        <f aca="false">_xlfn.xlookup(J595,REF!$D$2:$D$12,REF!$E$2:$E$12)</f>
        <v>#NAME?</v>
      </c>
      <c r="L595" s="1" t="s">
        <v>446</v>
      </c>
      <c r="M595" s="20" t="s">
        <v>266</v>
      </c>
      <c r="N595" s="20" t="s">
        <v>252</v>
      </c>
      <c r="O595" s="1" t="s">
        <v>447</v>
      </c>
      <c r="P595" s="22" t="str">
        <f aca="false">_xlfn.CONCAT(B595,C595,D595,E595,F595)</f>
        <v/>
      </c>
      <c r="Q595" s="1" t="str">
        <f aca="false">_xlfn.CONCAT(H595,I595,J595)</f>
        <v>LIGRFOCOM</v>
      </c>
    </row>
    <row r="596" customFormat="false" ht="15" hidden="false" customHeight="false" outlineLevel="0" collapsed="false">
      <c r="G596" s="15" t="n">
        <f aca="false">F596-E596</f>
        <v>0</v>
      </c>
      <c r="H596" s="20" t="s">
        <v>445</v>
      </c>
      <c r="I596" s="1" t="s">
        <v>263</v>
      </c>
      <c r="J596" s="20" t="s">
        <v>264</v>
      </c>
      <c r="K596" s="1" t="e">
        <f aca="false">_xlfn.xlookup(J596,REF!$D$2:$D$12,REF!$E$2:$E$12)</f>
        <v>#NAME?</v>
      </c>
      <c r="L596" s="1" t="s">
        <v>446</v>
      </c>
      <c r="M596" s="20" t="s">
        <v>266</v>
      </c>
      <c r="N596" s="20" t="s">
        <v>252</v>
      </c>
      <c r="O596" s="1" t="s">
        <v>447</v>
      </c>
      <c r="P596" s="22" t="str">
        <f aca="false">_xlfn.CONCAT(B596,C596,D596,E596,F596)</f>
        <v/>
      </c>
      <c r="Q596" s="1" t="str">
        <f aca="false">_xlfn.CONCAT(H596,I596,J596)</f>
        <v>LIGRFOCOM</v>
      </c>
    </row>
    <row r="597" customFormat="false" ht="15" hidden="false" customHeight="false" outlineLevel="0" collapsed="false">
      <c r="G597" s="15" t="n">
        <f aca="false">F597-E597</f>
        <v>0</v>
      </c>
      <c r="H597" s="20" t="s">
        <v>445</v>
      </c>
      <c r="I597" s="1" t="s">
        <v>263</v>
      </c>
      <c r="J597" s="20" t="s">
        <v>264</v>
      </c>
      <c r="K597" s="1" t="e">
        <f aca="false">_xlfn.xlookup(J597,REF!$D$2:$D$12,REF!$E$2:$E$12)</f>
        <v>#NAME?</v>
      </c>
      <c r="L597" s="1" t="s">
        <v>446</v>
      </c>
      <c r="M597" s="20" t="s">
        <v>266</v>
      </c>
      <c r="N597" s="20" t="s">
        <v>252</v>
      </c>
      <c r="O597" s="1" t="s">
        <v>447</v>
      </c>
      <c r="P597" s="22" t="str">
        <f aca="false">_xlfn.CONCAT(B597,C597,D597,E597,F597)</f>
        <v/>
      </c>
      <c r="Q597" s="1" t="str">
        <f aca="false">_xlfn.CONCAT(H597,I597,J597)</f>
        <v>LIGRFOCOM</v>
      </c>
    </row>
    <row r="598" customFormat="false" ht="15" hidden="false" customHeight="false" outlineLevel="0" collapsed="false">
      <c r="G598" s="15" t="n">
        <f aca="false">F598-E598</f>
        <v>0</v>
      </c>
      <c r="H598" s="20" t="s">
        <v>445</v>
      </c>
      <c r="I598" s="1" t="s">
        <v>263</v>
      </c>
      <c r="J598" s="20" t="s">
        <v>264</v>
      </c>
      <c r="K598" s="1" t="e">
        <f aca="false">_xlfn.xlookup(J598,REF!$D$2:$D$12,REF!$E$2:$E$12)</f>
        <v>#NAME?</v>
      </c>
      <c r="L598" s="1" t="s">
        <v>446</v>
      </c>
      <c r="M598" s="20" t="s">
        <v>266</v>
      </c>
      <c r="N598" s="20" t="s">
        <v>252</v>
      </c>
      <c r="O598" s="1" t="s">
        <v>447</v>
      </c>
      <c r="P598" s="22" t="str">
        <f aca="false">_xlfn.CONCAT(B598,C598,D598,E598,F598)</f>
        <v/>
      </c>
      <c r="Q598" s="1" t="str">
        <f aca="false">_xlfn.CONCAT(H598,I598,J598)</f>
        <v>LIGRFOCOM</v>
      </c>
    </row>
    <row r="599" customFormat="false" ht="15" hidden="false" customHeight="false" outlineLevel="0" collapsed="false">
      <c r="G599" s="15" t="n">
        <f aca="false">F599-E599</f>
        <v>0</v>
      </c>
      <c r="H599" s="20" t="s">
        <v>445</v>
      </c>
      <c r="I599" s="1" t="s">
        <v>263</v>
      </c>
      <c r="J599" s="20" t="s">
        <v>264</v>
      </c>
      <c r="K599" s="1" t="e">
        <f aca="false">_xlfn.xlookup(J599,REF!$D$2:$D$12,REF!$E$2:$E$12)</f>
        <v>#NAME?</v>
      </c>
      <c r="L599" s="1" t="s">
        <v>446</v>
      </c>
      <c r="M599" s="20" t="s">
        <v>266</v>
      </c>
      <c r="N599" s="20" t="s">
        <v>252</v>
      </c>
      <c r="O599" s="1" t="s">
        <v>447</v>
      </c>
      <c r="P599" s="22" t="str">
        <f aca="false">_xlfn.CONCAT(B599,C599,D599,E599,F599)</f>
        <v/>
      </c>
      <c r="Q599" s="1" t="str">
        <f aca="false">_xlfn.CONCAT(H599,I599,J599)</f>
        <v>LIGRFOCOM</v>
      </c>
    </row>
    <row r="600" customFormat="false" ht="15" hidden="false" customHeight="false" outlineLevel="0" collapsed="false">
      <c r="G600" s="15" t="n">
        <f aca="false">F600-E600</f>
        <v>0</v>
      </c>
      <c r="H600" s="20" t="s">
        <v>445</v>
      </c>
      <c r="I600" s="1" t="s">
        <v>263</v>
      </c>
      <c r="J600" s="20" t="s">
        <v>264</v>
      </c>
      <c r="K600" s="1" t="e">
        <f aca="false">_xlfn.xlookup(J600,REF!$D$2:$D$12,REF!$E$2:$E$12)</f>
        <v>#NAME?</v>
      </c>
      <c r="L600" s="1" t="s">
        <v>446</v>
      </c>
      <c r="M600" s="20" t="s">
        <v>266</v>
      </c>
      <c r="N600" s="20" t="s">
        <v>252</v>
      </c>
      <c r="O600" s="1" t="s">
        <v>447</v>
      </c>
      <c r="P600" s="22" t="str">
        <f aca="false">_xlfn.CONCAT(B600,C600,D600,E600,F600)</f>
        <v/>
      </c>
      <c r="Q600" s="1" t="str">
        <f aca="false">_xlfn.CONCAT(H600,I600,J600)</f>
        <v>LIGRFOCOM</v>
      </c>
    </row>
    <row r="601" customFormat="false" ht="15" hidden="false" customHeight="false" outlineLevel="0" collapsed="false">
      <c r="G601" s="15" t="n">
        <f aca="false">F601-E601</f>
        <v>0</v>
      </c>
      <c r="H601" s="20" t="s">
        <v>445</v>
      </c>
      <c r="I601" s="1" t="s">
        <v>263</v>
      </c>
      <c r="J601" s="20" t="s">
        <v>264</v>
      </c>
      <c r="K601" s="1" t="e">
        <f aca="false">_xlfn.xlookup(J601,REF!$D$2:$D$12,REF!$E$2:$E$12)</f>
        <v>#NAME?</v>
      </c>
      <c r="L601" s="1" t="s">
        <v>446</v>
      </c>
      <c r="M601" s="20" t="s">
        <v>266</v>
      </c>
      <c r="N601" s="20" t="s">
        <v>252</v>
      </c>
      <c r="O601" s="1" t="s">
        <v>447</v>
      </c>
      <c r="P601" s="22" t="str">
        <f aca="false">_xlfn.CONCAT(B601,C601,D601,E601,F601)</f>
        <v/>
      </c>
      <c r="Q601" s="1" t="str">
        <f aca="false">_xlfn.CONCAT(H601,I601,J601)</f>
        <v>LIGRFOCOM</v>
      </c>
    </row>
    <row r="602" customFormat="false" ht="15" hidden="false" customHeight="false" outlineLevel="0" collapsed="false">
      <c r="G602" s="15" t="n">
        <f aca="false">F602-E602</f>
        <v>0</v>
      </c>
      <c r="H602" s="20" t="s">
        <v>445</v>
      </c>
      <c r="I602" s="1" t="s">
        <v>263</v>
      </c>
      <c r="J602" s="20" t="s">
        <v>264</v>
      </c>
      <c r="K602" s="1" t="e">
        <f aca="false">_xlfn.xlookup(J602,REF!$D$2:$D$12,REF!$E$2:$E$12)</f>
        <v>#NAME?</v>
      </c>
      <c r="L602" s="1" t="s">
        <v>446</v>
      </c>
      <c r="M602" s="20" t="s">
        <v>266</v>
      </c>
      <c r="N602" s="20" t="s">
        <v>252</v>
      </c>
      <c r="O602" s="1" t="s">
        <v>447</v>
      </c>
      <c r="P602" s="22" t="str">
        <f aca="false">_xlfn.CONCAT(B602,C602,D602,E602,F602)</f>
        <v/>
      </c>
      <c r="Q602" s="1" t="str">
        <f aca="false">_xlfn.CONCAT(H602,I602,J602)</f>
        <v>LIGRFOCOM</v>
      </c>
    </row>
    <row r="603" customFormat="false" ht="15" hidden="false" customHeight="false" outlineLevel="0" collapsed="false">
      <c r="G603" s="15" t="n">
        <f aca="false">F603-E603</f>
        <v>0</v>
      </c>
      <c r="H603" s="20" t="s">
        <v>445</v>
      </c>
      <c r="I603" s="1" t="s">
        <v>263</v>
      </c>
      <c r="J603" s="20" t="s">
        <v>264</v>
      </c>
      <c r="K603" s="1" t="e">
        <f aca="false">_xlfn.xlookup(J603,REF!$D$2:$D$12,REF!$E$2:$E$12)</f>
        <v>#NAME?</v>
      </c>
      <c r="L603" s="1" t="s">
        <v>446</v>
      </c>
      <c r="M603" s="20" t="s">
        <v>266</v>
      </c>
      <c r="N603" s="20" t="s">
        <v>252</v>
      </c>
      <c r="O603" s="1" t="s">
        <v>447</v>
      </c>
      <c r="P603" s="22" t="str">
        <f aca="false">_xlfn.CONCAT(B603,C603,D603,E603,F603)</f>
        <v/>
      </c>
      <c r="Q603" s="1" t="str">
        <f aca="false">_xlfn.CONCAT(H603,I603,J603)</f>
        <v>LIGRFOCOM</v>
      </c>
    </row>
    <row r="604" customFormat="false" ht="15" hidden="false" customHeight="false" outlineLevel="0" collapsed="false">
      <c r="G604" s="15" t="n">
        <f aca="false">F604-E604</f>
        <v>0</v>
      </c>
      <c r="H604" s="20" t="s">
        <v>445</v>
      </c>
      <c r="I604" s="1" t="s">
        <v>263</v>
      </c>
      <c r="J604" s="20" t="s">
        <v>264</v>
      </c>
      <c r="K604" s="1" t="e">
        <f aca="false">_xlfn.xlookup(J604,REF!$D$2:$D$12,REF!$E$2:$E$12)</f>
        <v>#NAME?</v>
      </c>
      <c r="L604" s="1" t="s">
        <v>446</v>
      </c>
      <c r="M604" s="20" t="s">
        <v>266</v>
      </c>
      <c r="N604" s="20" t="s">
        <v>252</v>
      </c>
      <c r="O604" s="1" t="s">
        <v>447</v>
      </c>
      <c r="P604" s="22" t="str">
        <f aca="false">_xlfn.CONCAT(B604,C604,D604,E604,F604)</f>
        <v/>
      </c>
      <c r="Q604" s="1" t="str">
        <f aca="false">_xlfn.CONCAT(H604,I604,J604)</f>
        <v>LIGRFOCOM</v>
      </c>
    </row>
    <row r="605" customFormat="false" ht="15" hidden="false" customHeight="false" outlineLevel="0" collapsed="false">
      <c r="G605" s="15" t="n">
        <f aca="false">F605-E605</f>
        <v>0</v>
      </c>
      <c r="H605" s="20" t="s">
        <v>445</v>
      </c>
      <c r="I605" s="1" t="s">
        <v>263</v>
      </c>
      <c r="J605" s="20" t="s">
        <v>264</v>
      </c>
      <c r="K605" s="1" t="e">
        <f aca="false">_xlfn.xlookup(J605,REF!$D$2:$D$12,REF!$E$2:$E$12)</f>
        <v>#NAME?</v>
      </c>
      <c r="L605" s="1" t="s">
        <v>446</v>
      </c>
      <c r="M605" s="20" t="s">
        <v>266</v>
      </c>
      <c r="N605" s="20" t="s">
        <v>252</v>
      </c>
      <c r="O605" s="1" t="s">
        <v>447</v>
      </c>
      <c r="P605" s="22" t="str">
        <f aca="false">_xlfn.CONCAT(B605,C605,D605,E605,F605)</f>
        <v/>
      </c>
      <c r="Q605" s="1" t="str">
        <f aca="false">_xlfn.CONCAT(H605,I605,J605)</f>
        <v>LIGRFOCOM</v>
      </c>
    </row>
    <row r="606" customFormat="false" ht="15" hidden="false" customHeight="false" outlineLevel="0" collapsed="false">
      <c r="G606" s="15" t="n">
        <f aca="false">F606-E606</f>
        <v>0</v>
      </c>
      <c r="H606" s="20" t="s">
        <v>445</v>
      </c>
      <c r="I606" s="1" t="s">
        <v>263</v>
      </c>
      <c r="J606" s="20" t="s">
        <v>264</v>
      </c>
      <c r="K606" s="1" t="e">
        <f aca="false">_xlfn.xlookup(J606,REF!$D$2:$D$12,REF!$E$2:$E$12)</f>
        <v>#NAME?</v>
      </c>
      <c r="L606" s="1" t="s">
        <v>446</v>
      </c>
      <c r="M606" s="20" t="s">
        <v>266</v>
      </c>
      <c r="N606" s="20" t="s">
        <v>252</v>
      </c>
      <c r="O606" s="1" t="s">
        <v>447</v>
      </c>
      <c r="P606" s="22" t="str">
        <f aca="false">_xlfn.CONCAT(B606,C606,D606,E606,F606)</f>
        <v/>
      </c>
      <c r="Q606" s="1" t="str">
        <f aca="false">_xlfn.CONCAT(H606,I606,J606)</f>
        <v>LIGRFOCOM</v>
      </c>
    </row>
    <row r="607" customFormat="false" ht="15" hidden="false" customHeight="false" outlineLevel="0" collapsed="false">
      <c r="G607" s="15" t="n">
        <f aca="false">F607-E607</f>
        <v>0</v>
      </c>
      <c r="H607" s="20" t="s">
        <v>248</v>
      </c>
      <c r="J607" s="20" t="s">
        <v>256</v>
      </c>
      <c r="K607" s="1" t="s">
        <v>430</v>
      </c>
      <c r="L607" s="30" t="s">
        <v>448</v>
      </c>
      <c r="M607" s="20" t="s">
        <v>258</v>
      </c>
      <c r="N607" s="20" t="s">
        <v>379</v>
      </c>
      <c r="O607" s="1" t="s">
        <v>399</v>
      </c>
      <c r="P607" s="22" t="str">
        <f aca="false">_xlfn.CONCAT(B607,C607,D607,E607,F607)</f>
        <v/>
      </c>
      <c r="Q607" s="1" t="str">
        <f aca="false">_xlfn.CONCAT(H607,I607,J607)</f>
        <v>DAURDE</v>
      </c>
    </row>
    <row r="608" customFormat="false" ht="15" hidden="false" customHeight="false" outlineLevel="0" collapsed="false">
      <c r="G608" s="15" t="n">
        <f aca="false">F608-E608</f>
        <v>0</v>
      </c>
      <c r="H608" s="20" t="s">
        <v>248</v>
      </c>
      <c r="J608" s="20" t="s">
        <v>256</v>
      </c>
      <c r="K608" s="1" t="s">
        <v>430</v>
      </c>
      <c r="L608" s="30" t="s">
        <v>448</v>
      </c>
      <c r="M608" s="20" t="s">
        <v>258</v>
      </c>
      <c r="N608" s="20" t="s">
        <v>379</v>
      </c>
      <c r="O608" s="1" t="s">
        <v>399</v>
      </c>
      <c r="P608" s="22" t="str">
        <f aca="false">_xlfn.CONCAT(B608,C608,D608,E608,F608)</f>
        <v/>
      </c>
      <c r="Q608" s="1" t="str">
        <f aca="false">_xlfn.CONCAT(H608,I608,J608)</f>
        <v>DAURDE</v>
      </c>
    </row>
    <row r="609" customFormat="false" ht="15" hidden="false" customHeight="false" outlineLevel="0" collapsed="false">
      <c r="G609" s="15" t="n">
        <f aca="false">F609-E609</f>
        <v>0</v>
      </c>
      <c r="H609" s="20" t="s">
        <v>248</v>
      </c>
      <c r="J609" s="20" t="s">
        <v>256</v>
      </c>
      <c r="K609" s="1" t="s">
        <v>430</v>
      </c>
      <c r="L609" s="30" t="s">
        <v>448</v>
      </c>
      <c r="M609" s="20" t="s">
        <v>258</v>
      </c>
      <c r="N609" s="20" t="s">
        <v>379</v>
      </c>
      <c r="O609" s="1" t="s">
        <v>399</v>
      </c>
      <c r="P609" s="22" t="str">
        <f aca="false">_xlfn.CONCAT(B609,C609,D609,E609,F609)</f>
        <v/>
      </c>
      <c r="Q609" s="1" t="str">
        <f aca="false">_xlfn.CONCAT(H609,I609,J609)</f>
        <v>DAURDE</v>
      </c>
    </row>
    <row r="610" customFormat="false" ht="15" hidden="false" customHeight="false" outlineLevel="0" collapsed="false">
      <c r="G610" s="15" t="n">
        <f aca="false">F610-E610</f>
        <v>0</v>
      </c>
      <c r="H610" s="20" t="s">
        <v>248</v>
      </c>
      <c r="J610" s="20" t="s">
        <v>256</v>
      </c>
      <c r="K610" s="1" t="s">
        <v>430</v>
      </c>
      <c r="L610" s="30" t="s">
        <v>448</v>
      </c>
      <c r="M610" s="20" t="s">
        <v>258</v>
      </c>
      <c r="N610" s="20" t="s">
        <v>379</v>
      </c>
      <c r="O610" s="1" t="s">
        <v>399</v>
      </c>
      <c r="P610" s="22" t="str">
        <f aca="false">_xlfn.CONCAT(B610,C610,D610,E610,F610)</f>
        <v/>
      </c>
      <c r="Q610" s="1" t="str">
        <f aca="false">_xlfn.CONCAT(H610,I610,J610)</f>
        <v>DAURDE</v>
      </c>
    </row>
    <row r="611" customFormat="false" ht="15" hidden="false" customHeight="false" outlineLevel="0" collapsed="false">
      <c r="G611" s="15" t="n">
        <f aca="false">F611-E611</f>
        <v>0</v>
      </c>
      <c r="H611" s="20" t="s">
        <v>445</v>
      </c>
      <c r="I611" s="1" t="s">
        <v>263</v>
      </c>
      <c r="J611" s="20" t="s">
        <v>417</v>
      </c>
      <c r="K611" s="1" t="e">
        <f aca="false">_xlfn.xlookup(J611,REF!D:D,REF!E:E)</f>
        <v>#NAME?</v>
      </c>
      <c r="L611" s="1" t="s">
        <v>449</v>
      </c>
      <c r="M611" s="20" t="s">
        <v>418</v>
      </c>
      <c r="N611" s="20" t="s">
        <v>450</v>
      </c>
      <c r="O611" s="1" t="s">
        <v>451</v>
      </c>
      <c r="P611" s="22" t="str">
        <f aca="false">_xlfn.CONCAT(B611,C611,D611,E611,F611)</f>
        <v/>
      </c>
      <c r="Q611" s="1" t="str">
        <f aca="false">_xlfn.CONCAT(H611,I611,J611)</f>
        <v>LIGRFOINT</v>
      </c>
    </row>
    <row r="612" customFormat="false" ht="15" hidden="false" customHeight="false" outlineLevel="0" collapsed="false">
      <c r="G612" s="15" t="n">
        <f aca="false">F612-E612</f>
        <v>0</v>
      </c>
      <c r="H612" s="20" t="s">
        <v>445</v>
      </c>
      <c r="I612" s="1" t="s">
        <v>263</v>
      </c>
      <c r="J612" s="20" t="s">
        <v>417</v>
      </c>
      <c r="K612" s="1" t="e">
        <f aca="false">_xlfn.xlookup(J612,REF!D:D,REF!E:E)</f>
        <v>#NAME?</v>
      </c>
      <c r="L612" s="1" t="s">
        <v>449</v>
      </c>
      <c r="M612" s="20" t="s">
        <v>418</v>
      </c>
      <c r="N612" s="20" t="s">
        <v>450</v>
      </c>
      <c r="O612" s="1" t="s">
        <v>451</v>
      </c>
      <c r="P612" s="22" t="str">
        <f aca="false">_xlfn.CONCAT(B612,C612,D612,E612,F612)</f>
        <v/>
      </c>
      <c r="Q612" s="1" t="str">
        <f aca="false">_xlfn.CONCAT(H612,I612,J612)</f>
        <v>LIGRFOINT</v>
      </c>
    </row>
    <row r="613" customFormat="false" ht="15" hidden="false" customHeight="false" outlineLevel="0" collapsed="false">
      <c r="G613" s="15" t="n">
        <f aca="false">F613-E613</f>
        <v>0</v>
      </c>
      <c r="H613" s="20" t="s">
        <v>445</v>
      </c>
      <c r="I613" s="1" t="s">
        <v>263</v>
      </c>
      <c r="J613" s="20" t="s">
        <v>417</v>
      </c>
      <c r="K613" s="1" t="e">
        <f aca="false">_xlfn.xlookup(J613,REF!D:D,REF!E:E)</f>
        <v>#NAME?</v>
      </c>
      <c r="L613" s="1" t="s">
        <v>449</v>
      </c>
      <c r="M613" s="20" t="s">
        <v>418</v>
      </c>
      <c r="N613" s="20" t="s">
        <v>450</v>
      </c>
      <c r="O613" s="1" t="s">
        <v>451</v>
      </c>
      <c r="P613" s="22" t="str">
        <f aca="false">_xlfn.CONCAT(B613,C613,D613,E613,F613)</f>
        <v/>
      </c>
      <c r="Q613" s="1" t="str">
        <f aca="false">_xlfn.CONCAT(H613,I613,J613)</f>
        <v>LIGRFOINT</v>
      </c>
    </row>
    <row r="614" customFormat="false" ht="15" hidden="false" customHeight="false" outlineLevel="0" collapsed="false">
      <c r="G614" s="15" t="n">
        <f aca="false">F614-E614</f>
        <v>0</v>
      </c>
      <c r="H614" s="20" t="s">
        <v>445</v>
      </c>
      <c r="I614" s="1" t="s">
        <v>263</v>
      </c>
      <c r="J614" s="20" t="s">
        <v>417</v>
      </c>
      <c r="K614" s="1" t="e">
        <f aca="false">_xlfn.xlookup(J614,REF!D:D,REF!E:E)</f>
        <v>#NAME?</v>
      </c>
      <c r="L614" s="1" t="s">
        <v>449</v>
      </c>
      <c r="M614" s="20" t="s">
        <v>418</v>
      </c>
      <c r="N614" s="20" t="s">
        <v>450</v>
      </c>
      <c r="O614" s="1" t="s">
        <v>451</v>
      </c>
      <c r="P614" s="22" t="str">
        <f aca="false">_xlfn.CONCAT(B614,C614,D614,E614,F614)</f>
        <v/>
      </c>
      <c r="Q614" s="1" t="str">
        <f aca="false">_xlfn.CONCAT(H614,I614,J614)</f>
        <v>LIGRFOINT</v>
      </c>
    </row>
    <row r="615" customFormat="false" ht="15" hidden="false" customHeight="false" outlineLevel="0" collapsed="false">
      <c r="G615" s="15" t="n">
        <f aca="false">F615-E615</f>
        <v>0</v>
      </c>
      <c r="H615" s="20" t="s">
        <v>445</v>
      </c>
      <c r="I615" s="1" t="s">
        <v>263</v>
      </c>
      <c r="J615" s="20" t="s">
        <v>417</v>
      </c>
      <c r="K615" s="1" t="e">
        <f aca="false">_xlfn.xlookup(J615,REF!D:D,REF!E:E)</f>
        <v>#NAME?</v>
      </c>
      <c r="L615" s="1" t="s">
        <v>449</v>
      </c>
      <c r="M615" s="20" t="s">
        <v>418</v>
      </c>
      <c r="N615" s="20" t="s">
        <v>450</v>
      </c>
      <c r="O615" s="1" t="s">
        <v>451</v>
      </c>
      <c r="P615" s="22" t="str">
        <f aca="false">_xlfn.CONCAT(B615,C615,D615,E615,F615)</f>
        <v/>
      </c>
      <c r="Q615" s="1" t="str">
        <f aca="false">_xlfn.CONCAT(H615,I615,J615)</f>
        <v>LIGRFOINT</v>
      </c>
    </row>
    <row r="616" customFormat="false" ht="15" hidden="false" customHeight="false" outlineLevel="0" collapsed="false">
      <c r="G616" s="15" t="n">
        <f aca="false">F616-E616</f>
        <v>0</v>
      </c>
      <c r="H616" s="20" t="s">
        <v>445</v>
      </c>
      <c r="I616" s="1" t="s">
        <v>263</v>
      </c>
      <c r="J616" s="20" t="s">
        <v>417</v>
      </c>
      <c r="K616" s="1" t="e">
        <f aca="false">_xlfn.xlookup(J616,REF!D:D,REF!E:E)</f>
        <v>#NAME?</v>
      </c>
      <c r="L616" s="1" t="s">
        <v>449</v>
      </c>
      <c r="M616" s="20" t="s">
        <v>418</v>
      </c>
      <c r="N616" s="20" t="s">
        <v>450</v>
      </c>
      <c r="O616" s="1" t="s">
        <v>451</v>
      </c>
      <c r="P616" s="22" t="str">
        <f aca="false">_xlfn.CONCAT(B616,C616,D616,E616,F616)</f>
        <v/>
      </c>
      <c r="Q616" s="1" t="str">
        <f aca="false">_xlfn.CONCAT(H616,I616,J616)</f>
        <v>LIGRFOINT</v>
      </c>
    </row>
    <row r="617" customFormat="false" ht="15" hidden="false" customHeight="false" outlineLevel="0" collapsed="false">
      <c r="G617" s="15" t="n">
        <f aca="false">F617-E617</f>
        <v>0</v>
      </c>
      <c r="H617" s="20" t="s">
        <v>445</v>
      </c>
      <c r="I617" s="1" t="s">
        <v>263</v>
      </c>
      <c r="J617" s="20" t="s">
        <v>417</v>
      </c>
      <c r="K617" s="1" t="e">
        <f aca="false">_xlfn.xlookup(J617,REF!D:D,REF!E:E)</f>
        <v>#NAME?</v>
      </c>
      <c r="L617" s="1" t="s">
        <v>449</v>
      </c>
      <c r="M617" s="20" t="s">
        <v>418</v>
      </c>
      <c r="N617" s="20" t="s">
        <v>450</v>
      </c>
      <c r="O617" s="1" t="s">
        <v>451</v>
      </c>
      <c r="P617" s="22" t="str">
        <f aca="false">_xlfn.CONCAT(B617,C617,D617,E617,F617)</f>
        <v/>
      </c>
      <c r="Q617" s="1" t="str">
        <f aca="false">_xlfn.CONCAT(H617,I617,J617)</f>
        <v>LIGRFOINT</v>
      </c>
    </row>
    <row r="618" customFormat="false" ht="15" hidden="false" customHeight="false" outlineLevel="0" collapsed="false">
      <c r="G618" s="15" t="n">
        <f aca="false">F618-E618</f>
        <v>0</v>
      </c>
      <c r="H618" s="20" t="s">
        <v>445</v>
      </c>
      <c r="I618" s="1" t="s">
        <v>263</v>
      </c>
      <c r="J618" s="20" t="s">
        <v>417</v>
      </c>
      <c r="K618" s="1" t="e">
        <f aca="false">_xlfn.xlookup(J618,REF!D:D,REF!E:E)</f>
        <v>#NAME?</v>
      </c>
      <c r="L618" s="1" t="s">
        <v>449</v>
      </c>
      <c r="M618" s="20" t="s">
        <v>418</v>
      </c>
      <c r="N618" s="20" t="s">
        <v>450</v>
      </c>
      <c r="O618" s="1" t="s">
        <v>451</v>
      </c>
      <c r="P618" s="22" t="str">
        <f aca="false">_xlfn.CONCAT(B618,C618,D618,E618,F618)</f>
        <v/>
      </c>
      <c r="Q618" s="1" t="str">
        <f aca="false">_xlfn.CONCAT(H618,I618,J618)</f>
        <v>LIGRFOINT</v>
      </c>
    </row>
    <row r="619" customFormat="false" ht="15" hidden="false" customHeight="false" outlineLevel="0" collapsed="false">
      <c r="G619" s="15" t="n">
        <f aca="false">F619-E619</f>
        <v>0</v>
      </c>
      <c r="H619" s="20" t="s">
        <v>445</v>
      </c>
      <c r="I619" s="1" t="s">
        <v>263</v>
      </c>
      <c r="J619" s="20" t="s">
        <v>417</v>
      </c>
      <c r="K619" s="1" t="e">
        <f aca="false">_xlfn.xlookup(J619,REF!D:D,REF!E:E)</f>
        <v>#NAME?</v>
      </c>
      <c r="L619" s="1" t="s">
        <v>449</v>
      </c>
      <c r="M619" s="20" t="s">
        <v>418</v>
      </c>
      <c r="N619" s="20" t="s">
        <v>450</v>
      </c>
      <c r="O619" s="1" t="s">
        <v>451</v>
      </c>
      <c r="P619" s="22" t="str">
        <f aca="false">_xlfn.CONCAT(B619,C619,D619,E619,F619)</f>
        <v/>
      </c>
      <c r="Q619" s="1" t="str">
        <f aca="false">_xlfn.CONCAT(H619,I619,J619)</f>
        <v>LIGRFOINT</v>
      </c>
    </row>
    <row r="620" customFormat="false" ht="15" hidden="false" customHeight="false" outlineLevel="0" collapsed="false">
      <c r="G620" s="15" t="n">
        <f aca="false">F620-E620</f>
        <v>0</v>
      </c>
      <c r="H620" s="20" t="s">
        <v>445</v>
      </c>
      <c r="I620" s="1" t="s">
        <v>263</v>
      </c>
      <c r="J620" s="20" t="s">
        <v>417</v>
      </c>
      <c r="K620" s="1" t="e">
        <f aca="false">_xlfn.xlookup(J620,REF!D:D,REF!E:E)</f>
        <v>#NAME?</v>
      </c>
      <c r="L620" s="1" t="s">
        <v>449</v>
      </c>
      <c r="M620" s="20" t="s">
        <v>418</v>
      </c>
      <c r="N620" s="20" t="s">
        <v>450</v>
      </c>
      <c r="O620" s="1" t="s">
        <v>451</v>
      </c>
      <c r="P620" s="22" t="str">
        <f aca="false">_xlfn.CONCAT(B620,C620,D620,E620,F620)</f>
        <v/>
      </c>
      <c r="Q620" s="1" t="str">
        <f aca="false">_xlfn.CONCAT(H620,I620,J620)</f>
        <v>LIGRFOINT</v>
      </c>
    </row>
    <row r="621" customFormat="false" ht="15" hidden="false" customHeight="false" outlineLevel="0" collapsed="false">
      <c r="G621" s="15" t="n">
        <f aca="false">F621-E621</f>
        <v>0</v>
      </c>
      <c r="H621" s="20" t="s">
        <v>445</v>
      </c>
      <c r="I621" s="1" t="s">
        <v>263</v>
      </c>
      <c r="J621" s="20" t="s">
        <v>417</v>
      </c>
      <c r="K621" s="1" t="e">
        <f aca="false">_xlfn.xlookup(J621,REF!D:D,REF!E:E)</f>
        <v>#NAME?</v>
      </c>
      <c r="L621" s="1" t="s">
        <v>449</v>
      </c>
      <c r="M621" s="20" t="s">
        <v>418</v>
      </c>
      <c r="N621" s="20" t="s">
        <v>450</v>
      </c>
      <c r="O621" s="1" t="s">
        <v>451</v>
      </c>
      <c r="P621" s="22" t="str">
        <f aca="false">_xlfn.CONCAT(B621,C621,D621,E621,F621)</f>
        <v/>
      </c>
      <c r="Q621" s="1" t="str">
        <f aca="false">_xlfn.CONCAT(H621,I621,J621)</f>
        <v>LIGRFOINT</v>
      </c>
    </row>
    <row r="622" customFormat="false" ht="15" hidden="false" customHeight="false" outlineLevel="0" collapsed="false">
      <c r="G622" s="15" t="n">
        <f aca="false">F622-E622</f>
        <v>0</v>
      </c>
      <c r="H622" s="20" t="s">
        <v>445</v>
      </c>
      <c r="I622" s="1" t="s">
        <v>263</v>
      </c>
      <c r="J622" s="20" t="s">
        <v>417</v>
      </c>
      <c r="K622" s="1" t="e">
        <f aca="false">_xlfn.xlookup(J622,REF!D:D,REF!E:E)</f>
        <v>#NAME?</v>
      </c>
      <c r="L622" s="1" t="s">
        <v>449</v>
      </c>
      <c r="M622" s="20" t="s">
        <v>418</v>
      </c>
      <c r="N622" s="20" t="s">
        <v>450</v>
      </c>
      <c r="O622" s="1" t="s">
        <v>451</v>
      </c>
      <c r="P622" s="22" t="str">
        <f aca="false">_xlfn.CONCAT(B622,C622,D622,E622,F622)</f>
        <v/>
      </c>
      <c r="Q622" s="1" t="str">
        <f aca="false">_xlfn.CONCAT(H622,I622,J622)</f>
        <v>LIGRFOINT</v>
      </c>
    </row>
    <row r="623" customFormat="false" ht="15" hidden="false" customHeight="false" outlineLevel="0" collapsed="false">
      <c r="G623" s="15" t="n">
        <f aca="false">F623-E623</f>
        <v>0</v>
      </c>
      <c r="H623" s="20" t="s">
        <v>445</v>
      </c>
      <c r="I623" s="1" t="s">
        <v>263</v>
      </c>
      <c r="J623" s="20" t="s">
        <v>417</v>
      </c>
      <c r="K623" s="1" t="e">
        <f aca="false">_xlfn.xlookup(J623,REF!D:D,REF!E:E)</f>
        <v>#NAME?</v>
      </c>
      <c r="L623" s="1" t="s">
        <v>449</v>
      </c>
      <c r="M623" s="20" t="s">
        <v>418</v>
      </c>
      <c r="N623" s="20" t="s">
        <v>450</v>
      </c>
      <c r="O623" s="1" t="s">
        <v>451</v>
      </c>
      <c r="P623" s="22" t="str">
        <f aca="false">_xlfn.CONCAT(B623,C623,D623,E623,F623)</f>
        <v/>
      </c>
      <c r="Q623" s="1" t="str">
        <f aca="false">_xlfn.CONCAT(H623,I623,J623)</f>
        <v>LIGRFOINT</v>
      </c>
    </row>
    <row r="624" customFormat="false" ht="15" hidden="false" customHeight="false" outlineLevel="0" collapsed="false">
      <c r="G624" s="15" t="n">
        <f aca="false">F624-E624</f>
        <v>0</v>
      </c>
      <c r="H624" s="20" t="s">
        <v>445</v>
      </c>
      <c r="I624" s="1" t="s">
        <v>263</v>
      </c>
      <c r="J624" s="20" t="s">
        <v>417</v>
      </c>
      <c r="K624" s="1" t="e">
        <f aca="false">_xlfn.xlookup(J624,REF!D:D,REF!E:E)</f>
        <v>#NAME?</v>
      </c>
      <c r="L624" s="1" t="s">
        <v>449</v>
      </c>
      <c r="M624" s="20" t="s">
        <v>418</v>
      </c>
      <c r="N624" s="20" t="s">
        <v>450</v>
      </c>
      <c r="O624" s="1" t="s">
        <v>451</v>
      </c>
      <c r="P624" s="22" t="str">
        <f aca="false">_xlfn.CONCAT(B624,C624,D624,E624,F624)</f>
        <v/>
      </c>
      <c r="Q624" s="1" t="str">
        <f aca="false">_xlfn.CONCAT(H624,I624,J624)</f>
        <v>LIGRFOINT</v>
      </c>
    </row>
    <row r="625" customFormat="false" ht="15" hidden="false" customHeight="false" outlineLevel="0" collapsed="false">
      <c r="G625" s="15" t="n">
        <f aca="false">F625-E625</f>
        <v>0</v>
      </c>
      <c r="H625" s="20" t="s">
        <v>445</v>
      </c>
      <c r="I625" s="1" t="s">
        <v>263</v>
      </c>
      <c r="J625" s="20" t="s">
        <v>417</v>
      </c>
      <c r="K625" s="1" t="e">
        <f aca="false">_xlfn.xlookup(J625,REF!D:D,REF!E:E)</f>
        <v>#NAME?</v>
      </c>
      <c r="L625" s="1" t="s">
        <v>449</v>
      </c>
      <c r="M625" s="20" t="s">
        <v>418</v>
      </c>
      <c r="N625" s="20" t="s">
        <v>450</v>
      </c>
      <c r="O625" s="1" t="s">
        <v>451</v>
      </c>
      <c r="P625" s="22" t="str">
        <f aca="false">_xlfn.CONCAT(B625,C625,D625,E625,F625)</f>
        <v/>
      </c>
      <c r="Q625" s="1" t="str">
        <f aca="false">_xlfn.CONCAT(H625,I625,J625)</f>
        <v>LIGRFOINT</v>
      </c>
    </row>
    <row r="626" customFormat="false" ht="15" hidden="false" customHeight="false" outlineLevel="0" collapsed="false">
      <c r="G626" s="15" t="n">
        <f aca="false">F626-E626</f>
        <v>0</v>
      </c>
      <c r="H626" s="20" t="s">
        <v>445</v>
      </c>
      <c r="I626" s="1" t="s">
        <v>263</v>
      </c>
      <c r="J626" s="20" t="s">
        <v>417</v>
      </c>
      <c r="K626" s="1" t="e">
        <f aca="false">_xlfn.xlookup(J626,REF!D:D,REF!E:E)</f>
        <v>#NAME?</v>
      </c>
      <c r="L626" s="1" t="s">
        <v>449</v>
      </c>
      <c r="M626" s="20" t="s">
        <v>418</v>
      </c>
      <c r="N626" s="20" t="s">
        <v>450</v>
      </c>
      <c r="O626" s="1" t="s">
        <v>451</v>
      </c>
      <c r="P626" s="22" t="str">
        <f aca="false">_xlfn.CONCAT(B626,C626,D626,E626,F626)</f>
        <v/>
      </c>
      <c r="Q626" s="1" t="str">
        <f aca="false">_xlfn.CONCAT(H626,I626,J626)</f>
        <v>LIGRFOINT</v>
      </c>
    </row>
    <row r="627" customFormat="false" ht="15" hidden="false" customHeight="false" outlineLevel="0" collapsed="false">
      <c r="G627" s="15" t="n">
        <f aca="false">F627-E627</f>
        <v>0</v>
      </c>
      <c r="H627" s="20" t="s">
        <v>445</v>
      </c>
      <c r="I627" s="1" t="s">
        <v>263</v>
      </c>
      <c r="J627" s="20" t="s">
        <v>417</v>
      </c>
      <c r="K627" s="1" t="e">
        <f aca="false">_xlfn.xlookup(J627,REF!D:D,REF!E:E)</f>
        <v>#NAME?</v>
      </c>
      <c r="L627" s="1" t="s">
        <v>449</v>
      </c>
      <c r="M627" s="20" t="s">
        <v>418</v>
      </c>
      <c r="N627" s="20" t="s">
        <v>450</v>
      </c>
      <c r="O627" s="1" t="s">
        <v>451</v>
      </c>
      <c r="P627" s="22" t="str">
        <f aca="false">_xlfn.CONCAT(B627,C627,D627,E627,F627)</f>
        <v/>
      </c>
      <c r="Q627" s="1" t="str">
        <f aca="false">_xlfn.CONCAT(H627,I627,J627)</f>
        <v>LIGRFOINT</v>
      </c>
    </row>
    <row r="628" customFormat="false" ht="15" hidden="false" customHeight="false" outlineLevel="0" collapsed="false">
      <c r="G628" s="15" t="n">
        <f aca="false">F628-E628</f>
        <v>0</v>
      </c>
      <c r="H628" s="20" t="s">
        <v>445</v>
      </c>
      <c r="I628" s="1" t="s">
        <v>263</v>
      </c>
      <c r="J628" s="20" t="s">
        <v>417</v>
      </c>
      <c r="K628" s="1" t="e">
        <f aca="false">_xlfn.xlookup(J628,REF!D:D,REF!E:E)</f>
        <v>#NAME?</v>
      </c>
      <c r="L628" s="1" t="s">
        <v>449</v>
      </c>
      <c r="M628" s="20" t="s">
        <v>418</v>
      </c>
      <c r="N628" s="20" t="s">
        <v>450</v>
      </c>
      <c r="O628" s="1" t="s">
        <v>451</v>
      </c>
      <c r="P628" s="22" t="str">
        <f aca="false">_xlfn.CONCAT(B628,C628,D628,E628,F628)</f>
        <v/>
      </c>
      <c r="Q628" s="1" t="str">
        <f aca="false">_xlfn.CONCAT(H628,I628,J628)</f>
        <v>LIGRFOINT</v>
      </c>
    </row>
    <row r="629" customFormat="false" ht="15" hidden="false" customHeight="false" outlineLevel="0" collapsed="false">
      <c r="G629" s="15" t="n">
        <f aca="false">F629-E629</f>
        <v>0</v>
      </c>
      <c r="H629" s="20" t="s">
        <v>445</v>
      </c>
      <c r="I629" s="1" t="s">
        <v>263</v>
      </c>
      <c r="J629" s="20" t="s">
        <v>417</v>
      </c>
      <c r="K629" s="1" t="e">
        <f aca="false">_xlfn.xlookup(J629,REF!D:D,REF!E:E)</f>
        <v>#NAME?</v>
      </c>
      <c r="L629" s="1" t="s">
        <v>449</v>
      </c>
      <c r="M629" s="20" t="s">
        <v>418</v>
      </c>
      <c r="N629" s="20" t="s">
        <v>450</v>
      </c>
      <c r="O629" s="1" t="s">
        <v>451</v>
      </c>
      <c r="P629" s="22" t="str">
        <f aca="false">_xlfn.CONCAT(B629,C629,D629,E629,F629)</f>
        <v/>
      </c>
      <c r="Q629" s="1" t="str">
        <f aca="false">_xlfn.CONCAT(H629,I629,J629)</f>
        <v>LIGRFOINT</v>
      </c>
    </row>
    <row r="630" customFormat="false" ht="15" hidden="false" customHeight="false" outlineLevel="0" collapsed="false">
      <c r="G630" s="15" t="n">
        <f aca="false">F630-E630</f>
        <v>0</v>
      </c>
      <c r="H630" s="20" t="s">
        <v>445</v>
      </c>
      <c r="I630" s="1" t="s">
        <v>263</v>
      </c>
      <c r="J630" s="20" t="s">
        <v>264</v>
      </c>
      <c r="K630" s="1" t="e">
        <f aca="false">_xlfn.xlookup(J630,REF!$D$2:$D$12,REF!$E$2:$E$12)</f>
        <v>#NAME?</v>
      </c>
      <c r="L630" s="1" t="s">
        <v>449</v>
      </c>
      <c r="M630" s="20" t="s">
        <v>266</v>
      </c>
      <c r="N630" s="20" t="s">
        <v>252</v>
      </c>
      <c r="O630" s="1" t="s">
        <v>451</v>
      </c>
      <c r="P630" s="22" t="str">
        <f aca="false">_xlfn.CONCAT(B630,C630,D630,E630,F630)</f>
        <v/>
      </c>
      <c r="Q630" s="1" t="str">
        <f aca="false">_xlfn.CONCAT(H630,I630,J630)</f>
        <v>LIGRFOCOM</v>
      </c>
    </row>
    <row r="631" customFormat="false" ht="15" hidden="false" customHeight="false" outlineLevel="0" collapsed="false">
      <c r="G631" s="15" t="n">
        <f aca="false">F631-E631</f>
        <v>0</v>
      </c>
      <c r="H631" s="20" t="s">
        <v>248</v>
      </c>
      <c r="J631" s="20" t="s">
        <v>256</v>
      </c>
      <c r="K631" s="1" t="s">
        <v>430</v>
      </c>
      <c r="L631" s="1" t="s">
        <v>438</v>
      </c>
      <c r="M631" s="20" t="s">
        <v>258</v>
      </c>
      <c r="N631" s="20" t="s">
        <v>379</v>
      </c>
      <c r="O631" s="1" t="s">
        <v>399</v>
      </c>
      <c r="P631" s="22" t="str">
        <f aca="false">_xlfn.CONCAT(B631,C631,D631,E631,F631)</f>
        <v/>
      </c>
      <c r="Q631" s="1" t="str">
        <f aca="false">_xlfn.CONCAT(H631,I631,J631)</f>
        <v>DAURDE</v>
      </c>
    </row>
    <row r="632" customFormat="false" ht="15" hidden="false" customHeight="false" outlineLevel="0" collapsed="false">
      <c r="G632" s="15" t="n">
        <f aca="false">F632-E632</f>
        <v>0</v>
      </c>
      <c r="H632" s="20" t="s">
        <v>248</v>
      </c>
      <c r="J632" s="20" t="s">
        <v>256</v>
      </c>
      <c r="K632" s="1" t="s">
        <v>430</v>
      </c>
      <c r="L632" s="1" t="s">
        <v>438</v>
      </c>
      <c r="M632" s="20" t="s">
        <v>258</v>
      </c>
      <c r="N632" s="20" t="s">
        <v>379</v>
      </c>
      <c r="O632" s="1" t="s">
        <v>399</v>
      </c>
      <c r="P632" s="22" t="str">
        <f aca="false">_xlfn.CONCAT(B632,C632,D632,E632,F632)</f>
        <v/>
      </c>
      <c r="Q632" s="1" t="str">
        <f aca="false">_xlfn.CONCAT(H632,I632,J632)</f>
        <v>DAURDE</v>
      </c>
    </row>
    <row r="633" customFormat="false" ht="15" hidden="false" customHeight="false" outlineLevel="0" collapsed="false">
      <c r="G633" s="15" t="n">
        <f aca="false">F633-E633</f>
        <v>0</v>
      </c>
      <c r="H633" s="20" t="s">
        <v>248</v>
      </c>
      <c r="J633" s="20" t="s">
        <v>256</v>
      </c>
      <c r="K633" s="1" t="s">
        <v>430</v>
      </c>
      <c r="L633" s="1" t="s">
        <v>438</v>
      </c>
      <c r="M633" s="20" t="s">
        <v>258</v>
      </c>
      <c r="N633" s="20" t="s">
        <v>379</v>
      </c>
      <c r="O633" s="1" t="s">
        <v>399</v>
      </c>
      <c r="P633" s="22" t="str">
        <f aca="false">_xlfn.CONCAT(B633,C633,D633,E633,F633)</f>
        <v/>
      </c>
      <c r="Q633" s="1" t="str">
        <f aca="false">_xlfn.CONCAT(H633,I633,J633)</f>
        <v>DAURDE</v>
      </c>
    </row>
    <row r="634" customFormat="false" ht="15" hidden="false" customHeight="false" outlineLevel="0" collapsed="false">
      <c r="G634" s="15" t="n">
        <f aca="false">F634-E634</f>
        <v>0</v>
      </c>
      <c r="H634" s="20" t="s">
        <v>248</v>
      </c>
      <c r="J634" s="20" t="s">
        <v>256</v>
      </c>
      <c r="K634" s="1" t="s">
        <v>430</v>
      </c>
      <c r="L634" s="1" t="s">
        <v>438</v>
      </c>
      <c r="M634" s="20" t="s">
        <v>258</v>
      </c>
      <c r="N634" s="20" t="s">
        <v>379</v>
      </c>
      <c r="O634" s="1" t="s">
        <v>399</v>
      </c>
      <c r="P634" s="22" t="str">
        <f aca="false">_xlfn.CONCAT(B634,C634,D634,E634,F634)</f>
        <v/>
      </c>
      <c r="Q634" s="1" t="str">
        <f aca="false">_xlfn.CONCAT(H634,I634,J634)</f>
        <v>DAURDE</v>
      </c>
    </row>
    <row r="635" customFormat="false" ht="15" hidden="false" customHeight="false" outlineLevel="0" collapsed="false">
      <c r="G635" s="15" t="n">
        <f aca="false">F635-E635</f>
        <v>0</v>
      </c>
      <c r="H635" s="20" t="s">
        <v>248</v>
      </c>
      <c r="J635" s="20" t="s">
        <v>256</v>
      </c>
      <c r="K635" s="1" t="s">
        <v>430</v>
      </c>
      <c r="L635" s="1" t="s">
        <v>438</v>
      </c>
      <c r="M635" s="20" t="s">
        <v>258</v>
      </c>
      <c r="N635" s="20" t="s">
        <v>379</v>
      </c>
      <c r="O635" s="1" t="s">
        <v>399</v>
      </c>
      <c r="P635" s="22" t="str">
        <f aca="false">_xlfn.CONCAT(B635,C635,D635,E635,F635)</f>
        <v/>
      </c>
      <c r="Q635" s="1" t="str">
        <f aca="false">_xlfn.CONCAT(H635,I635,J635)</f>
        <v>DAURDE</v>
      </c>
    </row>
    <row r="636" customFormat="false" ht="15" hidden="false" customHeight="false" outlineLevel="0" collapsed="false">
      <c r="G636" s="15" t="n">
        <f aca="false">F636-E636</f>
        <v>0</v>
      </c>
      <c r="H636" s="20" t="s">
        <v>248</v>
      </c>
      <c r="J636" s="20" t="s">
        <v>256</v>
      </c>
      <c r="K636" s="1" t="s">
        <v>430</v>
      </c>
      <c r="L636" s="1" t="s">
        <v>438</v>
      </c>
      <c r="M636" s="20" t="s">
        <v>258</v>
      </c>
      <c r="N636" s="20" t="s">
        <v>379</v>
      </c>
      <c r="O636" s="1" t="s">
        <v>399</v>
      </c>
      <c r="P636" s="22" t="str">
        <f aca="false">_xlfn.CONCAT(B636,C636,D636,E636,F636)</f>
        <v/>
      </c>
      <c r="Q636" s="1" t="str">
        <f aca="false">_xlfn.CONCAT(H636,I636,J636)</f>
        <v>DAURDE</v>
      </c>
    </row>
    <row r="637" customFormat="false" ht="15" hidden="false" customHeight="false" outlineLevel="0" collapsed="false">
      <c r="G637" s="15" t="n">
        <f aca="false">F637-E637</f>
        <v>0</v>
      </c>
      <c r="H637" s="20" t="s">
        <v>248</v>
      </c>
      <c r="J637" s="20" t="s">
        <v>256</v>
      </c>
      <c r="K637" s="1" t="s">
        <v>430</v>
      </c>
      <c r="L637" s="1" t="s">
        <v>438</v>
      </c>
      <c r="M637" s="20" t="s">
        <v>258</v>
      </c>
      <c r="N637" s="20" t="s">
        <v>379</v>
      </c>
      <c r="O637" s="1" t="s">
        <v>399</v>
      </c>
      <c r="P637" s="22" t="str">
        <f aca="false">_xlfn.CONCAT(B637,C637,D637,E637,F637)</f>
        <v/>
      </c>
      <c r="Q637" s="1" t="str">
        <f aca="false">_xlfn.CONCAT(H637,I637,J637)</f>
        <v>DAURDE</v>
      </c>
    </row>
    <row r="638" customFormat="false" ht="15" hidden="false" customHeight="false" outlineLevel="0" collapsed="false">
      <c r="G638" s="15" t="n">
        <f aca="false">F638-E638</f>
        <v>0</v>
      </c>
      <c r="H638" s="20" t="s">
        <v>248</v>
      </c>
      <c r="J638" s="20" t="s">
        <v>256</v>
      </c>
      <c r="K638" s="1" t="s">
        <v>430</v>
      </c>
      <c r="L638" s="1" t="s">
        <v>438</v>
      </c>
      <c r="M638" s="20" t="s">
        <v>258</v>
      </c>
      <c r="N638" s="20" t="s">
        <v>379</v>
      </c>
      <c r="O638" s="1" t="s">
        <v>399</v>
      </c>
      <c r="P638" s="22" t="str">
        <f aca="false">_xlfn.CONCAT(B638,C638,D638,E638,F638)</f>
        <v/>
      </c>
      <c r="Q638" s="1" t="str">
        <f aca="false">_xlfn.CONCAT(H638,I638,J638)</f>
        <v>DAURDE</v>
      </c>
    </row>
    <row r="639" customFormat="false" ht="15" hidden="false" customHeight="false" outlineLevel="0" collapsed="false">
      <c r="G639" s="15" t="n">
        <f aca="false">F639-E639</f>
        <v>0</v>
      </c>
      <c r="H639" s="20" t="s">
        <v>248</v>
      </c>
      <c r="J639" s="20" t="s">
        <v>256</v>
      </c>
      <c r="K639" s="1" t="s">
        <v>430</v>
      </c>
      <c r="L639" s="1" t="s">
        <v>438</v>
      </c>
      <c r="M639" s="20" t="s">
        <v>258</v>
      </c>
      <c r="N639" s="20" t="s">
        <v>379</v>
      </c>
      <c r="O639" s="1" t="s">
        <v>399</v>
      </c>
      <c r="P639" s="22" t="str">
        <f aca="false">_xlfn.CONCAT(B639,C639,D639,E639,F639)</f>
        <v/>
      </c>
      <c r="Q639" s="1" t="str">
        <f aca="false">_xlfn.CONCAT(H639,I639,J639)</f>
        <v>DAURDE</v>
      </c>
    </row>
    <row r="640" customFormat="false" ht="15" hidden="false" customHeight="false" outlineLevel="0" collapsed="false">
      <c r="G640" s="15" t="n">
        <f aca="false">F640-E640</f>
        <v>0</v>
      </c>
      <c r="H640" s="20" t="s">
        <v>248</v>
      </c>
      <c r="J640" s="20" t="s">
        <v>256</v>
      </c>
      <c r="K640" s="1" t="s">
        <v>430</v>
      </c>
      <c r="L640" s="1" t="s">
        <v>438</v>
      </c>
      <c r="M640" s="20" t="s">
        <v>258</v>
      </c>
      <c r="N640" s="20" t="s">
        <v>379</v>
      </c>
      <c r="O640" s="1" t="s">
        <v>399</v>
      </c>
      <c r="P640" s="22" t="str">
        <f aca="false">_xlfn.CONCAT(B640,C640,D640,E640,F640)</f>
        <v/>
      </c>
      <c r="Q640" s="1" t="str">
        <f aca="false">_xlfn.CONCAT(H640,I640,J640)</f>
        <v>DAURDE</v>
      </c>
    </row>
    <row r="641" customFormat="false" ht="15" hidden="false" customHeight="false" outlineLevel="0" collapsed="false">
      <c r="G641" s="15" t="n">
        <f aca="false">F641-E641</f>
        <v>0</v>
      </c>
      <c r="H641" s="20" t="s">
        <v>248</v>
      </c>
      <c r="J641" s="20" t="s">
        <v>256</v>
      </c>
      <c r="K641" s="1" t="s">
        <v>430</v>
      </c>
      <c r="L641" s="1" t="s">
        <v>438</v>
      </c>
      <c r="M641" s="20" t="s">
        <v>258</v>
      </c>
      <c r="N641" s="20" t="s">
        <v>379</v>
      </c>
      <c r="O641" s="1" t="s">
        <v>399</v>
      </c>
      <c r="P641" s="22" t="str">
        <f aca="false">_xlfn.CONCAT(B641,C641,D641,E641,F641)</f>
        <v/>
      </c>
      <c r="Q641" s="1" t="str">
        <f aca="false">_xlfn.CONCAT(H641,I641,J641)</f>
        <v>DAURDE</v>
      </c>
    </row>
    <row r="642" customFormat="false" ht="15" hidden="false" customHeight="false" outlineLevel="0" collapsed="false">
      <c r="G642" s="15" t="n">
        <f aca="false">F642-E642</f>
        <v>0</v>
      </c>
      <c r="H642" s="20" t="s">
        <v>248</v>
      </c>
      <c r="J642" s="20" t="s">
        <v>256</v>
      </c>
      <c r="K642" s="1" t="s">
        <v>430</v>
      </c>
      <c r="L642" s="1" t="s">
        <v>438</v>
      </c>
      <c r="M642" s="20" t="s">
        <v>258</v>
      </c>
      <c r="N642" s="20" t="s">
        <v>379</v>
      </c>
      <c r="O642" s="1" t="s">
        <v>399</v>
      </c>
      <c r="P642" s="22" t="str">
        <f aca="false">_xlfn.CONCAT(B642,C642,D642,E642,F642)</f>
        <v/>
      </c>
      <c r="Q642" s="1" t="str">
        <f aca="false">_xlfn.CONCAT(H642,I642,J642)</f>
        <v>DAURDE</v>
      </c>
    </row>
    <row r="643" customFormat="false" ht="15" hidden="false" customHeight="false" outlineLevel="0" collapsed="false">
      <c r="G643" s="15" t="n">
        <f aca="false">F643-E643</f>
        <v>0</v>
      </c>
      <c r="H643" s="20" t="s">
        <v>248</v>
      </c>
      <c r="J643" s="20" t="s">
        <v>256</v>
      </c>
      <c r="K643" s="1" t="s">
        <v>430</v>
      </c>
      <c r="L643" s="1" t="s">
        <v>438</v>
      </c>
      <c r="M643" s="20" t="s">
        <v>258</v>
      </c>
      <c r="N643" s="20" t="s">
        <v>379</v>
      </c>
      <c r="O643" s="1" t="s">
        <v>399</v>
      </c>
      <c r="P643" s="22" t="str">
        <f aca="false">_xlfn.CONCAT(B643,C643,D643,E643,F643)</f>
        <v/>
      </c>
      <c r="Q643" s="1" t="str">
        <f aca="false">_xlfn.CONCAT(H643,I643,J643)</f>
        <v>DAURDE</v>
      </c>
    </row>
    <row r="644" customFormat="false" ht="15" hidden="false" customHeight="false" outlineLevel="0" collapsed="false">
      <c r="G644" s="15" t="n">
        <f aca="false">F644-E644</f>
        <v>0</v>
      </c>
      <c r="H644" s="20" t="s">
        <v>248</v>
      </c>
      <c r="J644" s="20" t="s">
        <v>256</v>
      </c>
      <c r="K644" s="1" t="s">
        <v>430</v>
      </c>
      <c r="L644" s="1" t="s">
        <v>438</v>
      </c>
      <c r="M644" s="20" t="s">
        <v>258</v>
      </c>
      <c r="N644" s="20" t="s">
        <v>379</v>
      </c>
      <c r="O644" s="1" t="s">
        <v>399</v>
      </c>
      <c r="P644" s="22" t="str">
        <f aca="false">_xlfn.CONCAT(B644,C644,D644,E644,F644)</f>
        <v/>
      </c>
      <c r="Q644" s="1" t="str">
        <f aca="false">_xlfn.CONCAT(H644,I644,J644)</f>
        <v>DAURDE</v>
      </c>
    </row>
    <row r="645" customFormat="false" ht="15" hidden="false" customHeight="false" outlineLevel="0" collapsed="false">
      <c r="G645" s="15" t="n">
        <f aca="false">F645-E645</f>
        <v>0</v>
      </c>
      <c r="H645" s="20" t="s">
        <v>248</v>
      </c>
      <c r="J645" s="20" t="s">
        <v>256</v>
      </c>
      <c r="K645" s="1" t="s">
        <v>430</v>
      </c>
      <c r="L645" s="1" t="s">
        <v>438</v>
      </c>
      <c r="M645" s="20" t="s">
        <v>258</v>
      </c>
      <c r="N645" s="20" t="s">
        <v>379</v>
      </c>
      <c r="O645" s="1" t="s">
        <v>399</v>
      </c>
      <c r="P645" s="22" t="str">
        <f aca="false">_xlfn.CONCAT(B645,C645,D645,E645,F645)</f>
        <v/>
      </c>
      <c r="Q645" s="1" t="str">
        <f aca="false">_xlfn.CONCAT(H645,I645,J645)</f>
        <v>DAURDE</v>
      </c>
    </row>
    <row r="646" customFormat="false" ht="15" hidden="false" customHeight="false" outlineLevel="0" collapsed="false">
      <c r="G646" s="15" t="n">
        <f aca="false">F646-E646</f>
        <v>0</v>
      </c>
      <c r="H646" s="20" t="s">
        <v>248</v>
      </c>
      <c r="J646" s="20" t="s">
        <v>256</v>
      </c>
      <c r="K646" s="1" t="s">
        <v>430</v>
      </c>
      <c r="L646" s="1" t="s">
        <v>438</v>
      </c>
      <c r="M646" s="20" t="s">
        <v>258</v>
      </c>
      <c r="N646" s="20" t="s">
        <v>379</v>
      </c>
      <c r="O646" s="1" t="s">
        <v>399</v>
      </c>
      <c r="P646" s="22" t="str">
        <f aca="false">_xlfn.CONCAT(B646,C646,D646,E646,F646)</f>
        <v/>
      </c>
      <c r="Q646" s="1" t="str">
        <f aca="false">_xlfn.CONCAT(H646,I646,J646)</f>
        <v>DAURDE</v>
      </c>
    </row>
    <row r="647" customFormat="false" ht="15" hidden="false" customHeight="false" outlineLevel="0" collapsed="false">
      <c r="G647" s="15" t="n">
        <f aca="false">F647-E647</f>
        <v>0</v>
      </c>
      <c r="H647" s="20" t="s">
        <v>248</v>
      </c>
      <c r="J647" s="20" t="s">
        <v>256</v>
      </c>
      <c r="K647" s="1" t="s">
        <v>430</v>
      </c>
      <c r="L647" s="1" t="s">
        <v>438</v>
      </c>
      <c r="M647" s="20" t="s">
        <v>258</v>
      </c>
      <c r="N647" s="20" t="s">
        <v>379</v>
      </c>
      <c r="O647" s="1" t="s">
        <v>399</v>
      </c>
      <c r="P647" s="22" t="str">
        <f aca="false">_xlfn.CONCAT(B647,C647,D647,E647,F647)</f>
        <v/>
      </c>
      <c r="Q647" s="1" t="str">
        <f aca="false">_xlfn.CONCAT(H647,I647,J647)</f>
        <v>DAURDE</v>
      </c>
    </row>
    <row r="648" customFormat="false" ht="15" hidden="false" customHeight="false" outlineLevel="0" collapsed="false">
      <c r="G648" s="15" t="n">
        <f aca="false">F648-E648</f>
        <v>0</v>
      </c>
      <c r="H648" s="20" t="s">
        <v>248</v>
      </c>
      <c r="J648" s="20" t="s">
        <v>256</v>
      </c>
      <c r="K648" s="1" t="s">
        <v>430</v>
      </c>
      <c r="L648" s="1" t="s">
        <v>438</v>
      </c>
      <c r="M648" s="20" t="s">
        <v>258</v>
      </c>
      <c r="N648" s="20" t="s">
        <v>379</v>
      </c>
      <c r="O648" s="1" t="s">
        <v>399</v>
      </c>
      <c r="P648" s="22" t="str">
        <f aca="false">_xlfn.CONCAT(B648,C648,D648,E648,F648)</f>
        <v/>
      </c>
      <c r="Q648" s="1" t="str">
        <f aca="false">_xlfn.CONCAT(H648,I648,J648)</f>
        <v>DAURDE</v>
      </c>
    </row>
    <row r="649" customFormat="false" ht="15" hidden="false" customHeight="false" outlineLevel="0" collapsed="false">
      <c r="G649" s="15" t="n">
        <f aca="false">F649-E649</f>
        <v>0</v>
      </c>
      <c r="H649" s="20" t="s">
        <v>248</v>
      </c>
      <c r="J649" s="20" t="s">
        <v>256</v>
      </c>
      <c r="K649" s="1" t="s">
        <v>430</v>
      </c>
      <c r="L649" s="1" t="s">
        <v>438</v>
      </c>
      <c r="M649" s="20" t="s">
        <v>258</v>
      </c>
      <c r="N649" s="20" t="s">
        <v>379</v>
      </c>
      <c r="O649" s="1" t="s">
        <v>399</v>
      </c>
      <c r="P649" s="22" t="str">
        <f aca="false">_xlfn.CONCAT(B649,C649,D649,E649,F649)</f>
        <v/>
      </c>
      <c r="Q649" s="1" t="str">
        <f aca="false">_xlfn.CONCAT(H649,I649,J649)</f>
        <v>DAURDE</v>
      </c>
    </row>
    <row r="650" customFormat="false" ht="15" hidden="false" customHeight="false" outlineLevel="0" collapsed="false">
      <c r="G650" s="15" t="n">
        <f aca="false">F650-E650</f>
        <v>0</v>
      </c>
      <c r="H650" s="20" t="s">
        <v>248</v>
      </c>
      <c r="J650" s="20" t="s">
        <v>256</v>
      </c>
      <c r="K650" s="1" t="s">
        <v>430</v>
      </c>
      <c r="L650" s="1" t="s">
        <v>438</v>
      </c>
      <c r="M650" s="20" t="s">
        <v>258</v>
      </c>
      <c r="N650" s="20" t="s">
        <v>379</v>
      </c>
      <c r="O650" s="1" t="s">
        <v>399</v>
      </c>
      <c r="P650" s="22" t="str">
        <f aca="false">_xlfn.CONCAT(B650,C650,D650,E650,F650)</f>
        <v/>
      </c>
      <c r="Q650" s="1" t="str">
        <f aca="false">_xlfn.CONCAT(H650,I650,J650)</f>
        <v>DAURDE</v>
      </c>
    </row>
    <row r="651" customFormat="false" ht="15" hidden="false" customHeight="false" outlineLevel="0" collapsed="false">
      <c r="G651" s="15" t="n">
        <f aca="false">F651-E651</f>
        <v>0</v>
      </c>
      <c r="H651" s="20" t="s">
        <v>445</v>
      </c>
      <c r="I651" s="1" t="s">
        <v>263</v>
      </c>
      <c r="J651" s="20" t="s">
        <v>264</v>
      </c>
      <c r="K651" s="1" t="e">
        <f aca="false">_xlfn.xlookup(J651,REF!$D$2:$D$12,REF!$E$2:$E$12)</f>
        <v>#NAME?</v>
      </c>
      <c r="L651" s="1" t="s">
        <v>449</v>
      </c>
      <c r="M651" s="20" t="s">
        <v>266</v>
      </c>
      <c r="N651" s="20" t="s">
        <v>252</v>
      </c>
      <c r="O651" s="1" t="s">
        <v>452</v>
      </c>
      <c r="P651" s="22" t="str">
        <f aca="false">_xlfn.CONCAT(B651,C651,D651,E651,F651)</f>
        <v/>
      </c>
      <c r="Q651" s="1" t="str">
        <f aca="false">_xlfn.CONCAT(H651,I651,J651)</f>
        <v>LIGRFOCOM</v>
      </c>
    </row>
    <row r="652" customFormat="false" ht="15" hidden="false" customHeight="false" outlineLevel="0" collapsed="false">
      <c r="G652" s="15" t="n">
        <f aca="false">F652-E652</f>
        <v>0</v>
      </c>
      <c r="H652" s="20" t="s">
        <v>445</v>
      </c>
      <c r="I652" s="1" t="s">
        <v>263</v>
      </c>
      <c r="J652" s="20" t="s">
        <v>264</v>
      </c>
      <c r="K652" s="1" t="e">
        <f aca="false">_xlfn.xlookup(J652,REF!$D$2:$D$12,REF!$E$2:$E$12)</f>
        <v>#NAME?</v>
      </c>
      <c r="L652" s="1" t="s">
        <v>449</v>
      </c>
      <c r="M652" s="20" t="s">
        <v>266</v>
      </c>
      <c r="N652" s="20" t="s">
        <v>252</v>
      </c>
      <c r="O652" s="1" t="s">
        <v>452</v>
      </c>
      <c r="P652" s="22" t="str">
        <f aca="false">_xlfn.CONCAT(B652,C652,D652,E652,F652)</f>
        <v/>
      </c>
      <c r="Q652" s="1" t="str">
        <f aca="false">_xlfn.CONCAT(H652,I652,J652)</f>
        <v>LIGRFOCOM</v>
      </c>
    </row>
    <row r="653" customFormat="false" ht="15" hidden="false" customHeight="false" outlineLevel="0" collapsed="false">
      <c r="G653" s="15" t="n">
        <f aca="false">F653-E653</f>
        <v>0</v>
      </c>
      <c r="H653" s="20" t="s">
        <v>445</v>
      </c>
      <c r="I653" s="1" t="s">
        <v>263</v>
      </c>
      <c r="J653" s="20" t="s">
        <v>264</v>
      </c>
      <c r="K653" s="1" t="e">
        <f aca="false">_xlfn.xlookup(J653,REF!$D$2:$D$12,REF!$E$2:$E$12)</f>
        <v>#NAME?</v>
      </c>
      <c r="L653" s="1" t="s">
        <v>449</v>
      </c>
      <c r="M653" s="20" t="s">
        <v>266</v>
      </c>
      <c r="N653" s="20" t="s">
        <v>252</v>
      </c>
      <c r="O653" s="1" t="s">
        <v>452</v>
      </c>
      <c r="P653" s="22" t="str">
        <f aca="false">_xlfn.CONCAT(B653,C653,D653,E653,F653)</f>
        <v/>
      </c>
      <c r="Q653" s="1" t="str">
        <f aca="false">_xlfn.CONCAT(H653,I653,J653)</f>
        <v>LIGRFOCOM</v>
      </c>
    </row>
    <row r="654" customFormat="false" ht="15" hidden="false" customHeight="false" outlineLevel="0" collapsed="false">
      <c r="G654" s="15" t="n">
        <f aca="false">F654-E654</f>
        <v>0</v>
      </c>
      <c r="H654" s="20" t="s">
        <v>445</v>
      </c>
      <c r="I654" s="1" t="s">
        <v>263</v>
      </c>
      <c r="J654" s="20" t="s">
        <v>264</v>
      </c>
      <c r="K654" s="1" t="e">
        <f aca="false">_xlfn.xlookup(J654,REF!$D$2:$D$12,REF!$E$2:$E$12)</f>
        <v>#NAME?</v>
      </c>
      <c r="L654" s="1" t="s">
        <v>449</v>
      </c>
      <c r="M654" s="20" t="s">
        <v>266</v>
      </c>
      <c r="N654" s="20" t="s">
        <v>252</v>
      </c>
      <c r="O654" s="1" t="s">
        <v>452</v>
      </c>
      <c r="P654" s="22" t="str">
        <f aca="false">_xlfn.CONCAT(B654,C654,D654,E654,F654)</f>
        <v/>
      </c>
      <c r="Q654" s="1" t="str">
        <f aca="false">_xlfn.CONCAT(H654,I654,J654)</f>
        <v>LIGRFOCOM</v>
      </c>
    </row>
    <row r="655" customFormat="false" ht="15" hidden="false" customHeight="false" outlineLevel="0" collapsed="false">
      <c r="G655" s="15" t="n">
        <f aca="false">F655-E655</f>
        <v>0</v>
      </c>
      <c r="H655" s="20" t="s">
        <v>248</v>
      </c>
      <c r="J655" s="20" t="s">
        <v>256</v>
      </c>
      <c r="K655" s="1" t="s">
        <v>430</v>
      </c>
      <c r="L655" s="1" t="s">
        <v>453</v>
      </c>
      <c r="M655" s="20" t="s">
        <v>258</v>
      </c>
      <c r="N655" s="20" t="s">
        <v>379</v>
      </c>
      <c r="O655" s="1" t="s">
        <v>399</v>
      </c>
      <c r="P655" s="22" t="str">
        <f aca="false">_xlfn.CONCAT(B655,C655,D655,E655,F655)</f>
        <v/>
      </c>
      <c r="Q655" s="1" t="str">
        <f aca="false">_xlfn.CONCAT(H655,I655,J655)</f>
        <v>DAURDE</v>
      </c>
    </row>
    <row r="656" customFormat="false" ht="15" hidden="false" customHeight="false" outlineLevel="0" collapsed="false">
      <c r="G656" s="15" t="n">
        <f aca="false">F656-E656</f>
        <v>0</v>
      </c>
      <c r="H656" s="20" t="s">
        <v>248</v>
      </c>
      <c r="J656" s="20" t="s">
        <v>256</v>
      </c>
      <c r="K656" s="1" t="s">
        <v>430</v>
      </c>
      <c r="L656" s="1" t="s">
        <v>453</v>
      </c>
      <c r="M656" s="20" t="s">
        <v>258</v>
      </c>
      <c r="N656" s="20" t="s">
        <v>379</v>
      </c>
      <c r="O656" s="1" t="s">
        <v>399</v>
      </c>
      <c r="P656" s="22" t="str">
        <f aca="false">_xlfn.CONCAT(B656,C656,D656,E656,F656)</f>
        <v/>
      </c>
      <c r="Q656" s="1" t="str">
        <f aca="false">_xlfn.CONCAT(H656,I656,J656)</f>
        <v>DAURDE</v>
      </c>
    </row>
    <row r="657" customFormat="false" ht="15" hidden="false" customHeight="false" outlineLevel="0" collapsed="false">
      <c r="G657" s="15" t="n">
        <f aca="false">F657-E657</f>
        <v>0</v>
      </c>
      <c r="H657" s="20" t="s">
        <v>248</v>
      </c>
      <c r="J657" s="20" t="s">
        <v>256</v>
      </c>
      <c r="K657" s="1" t="s">
        <v>430</v>
      </c>
      <c r="L657" s="1" t="s">
        <v>453</v>
      </c>
      <c r="M657" s="20" t="s">
        <v>258</v>
      </c>
      <c r="N657" s="20" t="s">
        <v>379</v>
      </c>
      <c r="O657" s="1" t="s">
        <v>399</v>
      </c>
      <c r="P657" s="22" t="str">
        <f aca="false">_xlfn.CONCAT(B657,C657,D657,E657,F657)</f>
        <v/>
      </c>
      <c r="Q657" s="1" t="str">
        <f aca="false">_xlfn.CONCAT(H657,I657,J657)</f>
        <v>DAURDE</v>
      </c>
    </row>
    <row r="658" customFormat="false" ht="15" hidden="false" customHeight="false" outlineLevel="0" collapsed="false">
      <c r="G658" s="15" t="n">
        <f aca="false">F658-E658</f>
        <v>0</v>
      </c>
      <c r="H658" s="20" t="s">
        <v>248</v>
      </c>
      <c r="J658" s="20" t="s">
        <v>256</v>
      </c>
      <c r="K658" s="1" t="s">
        <v>430</v>
      </c>
      <c r="L658" s="1" t="s">
        <v>453</v>
      </c>
      <c r="M658" s="20" t="s">
        <v>258</v>
      </c>
      <c r="N658" s="20" t="s">
        <v>379</v>
      </c>
      <c r="O658" s="1" t="s">
        <v>399</v>
      </c>
      <c r="P658" s="22" t="str">
        <f aca="false">_xlfn.CONCAT(B658,C658,D658,E658,F658)</f>
        <v/>
      </c>
      <c r="Q658" s="1" t="str">
        <f aca="false">_xlfn.CONCAT(H658,I658,J658)</f>
        <v>DAURDE</v>
      </c>
    </row>
    <row r="659" customFormat="false" ht="15" hidden="false" customHeight="false" outlineLevel="0" collapsed="false">
      <c r="B659" s="24"/>
      <c r="C659" s="24"/>
      <c r="D659" s="27"/>
      <c r="E659" s="27"/>
      <c r="F659" s="27"/>
      <c r="G659" s="28" t="n">
        <f aca="false">F659-E659</f>
        <v>0</v>
      </c>
      <c r="H659" s="24" t="s">
        <v>313</v>
      </c>
      <c r="I659" s="24"/>
      <c r="J659" s="24" t="s">
        <v>249</v>
      </c>
      <c r="K659" s="24" t="s">
        <v>439</v>
      </c>
      <c r="L659" s="24" t="s">
        <v>454</v>
      </c>
      <c r="M659" s="24" t="s">
        <v>251</v>
      </c>
      <c r="N659" s="24" t="s">
        <v>289</v>
      </c>
      <c r="O659" s="24" t="s">
        <v>455</v>
      </c>
      <c r="P659" s="25" t="str">
        <f aca="false">_xlfn.CONCAT(B659,C659,D660,E659,F659)</f>
        <v/>
      </c>
      <c r="Q659" s="24" t="str">
        <f aca="false">_xlfn.CONCAT(H659,I659,J659)</f>
        <v>DPRINV</v>
      </c>
    </row>
    <row r="660" customFormat="false" ht="15" hidden="false" customHeight="false" outlineLevel="0" collapsed="false">
      <c r="G660" s="15" t="n">
        <f aca="false">F660-E660</f>
        <v>0</v>
      </c>
      <c r="H660" s="20" t="s">
        <v>248</v>
      </c>
      <c r="J660" s="20" t="s">
        <v>256</v>
      </c>
      <c r="K660" s="1" t="s">
        <v>430</v>
      </c>
      <c r="L660" s="1" t="s">
        <v>257</v>
      </c>
      <c r="M660" s="20" t="s">
        <v>258</v>
      </c>
      <c r="N660" s="20" t="s">
        <v>379</v>
      </c>
      <c r="O660" s="1" t="s">
        <v>399</v>
      </c>
      <c r="P660" s="22" t="str">
        <f aca="false">_xlfn.CONCAT(B660,C660,D660,E660,F660)</f>
        <v/>
      </c>
      <c r="Q660" s="1" t="str">
        <f aca="false">_xlfn.CONCAT(H660,I660,J660)</f>
        <v>DAURDE</v>
      </c>
    </row>
    <row r="661" customFormat="false" ht="15" hidden="false" customHeight="false" outlineLevel="0" collapsed="false">
      <c r="G661" s="15" t="n">
        <f aca="false">F661-E661</f>
        <v>0</v>
      </c>
      <c r="H661" s="20" t="s">
        <v>248</v>
      </c>
      <c r="J661" s="20" t="s">
        <v>256</v>
      </c>
      <c r="K661" s="1" t="s">
        <v>430</v>
      </c>
      <c r="L661" s="1" t="s">
        <v>257</v>
      </c>
      <c r="M661" s="20" t="s">
        <v>258</v>
      </c>
      <c r="N661" s="20" t="s">
        <v>379</v>
      </c>
      <c r="O661" s="1" t="s">
        <v>399</v>
      </c>
      <c r="P661" s="22" t="str">
        <f aca="false">_xlfn.CONCAT(B661,C661,D661,E661,F661)</f>
        <v/>
      </c>
      <c r="Q661" s="1" t="str">
        <f aca="false">_xlfn.CONCAT(H661,I661,J661)</f>
        <v>DAURDE</v>
      </c>
    </row>
    <row r="662" s="26" customFormat="true" ht="15" hidden="false" customHeight="false" outlineLevel="0" collapsed="false">
      <c r="A662" s="13"/>
      <c r="B662" s="1"/>
      <c r="C662" s="1"/>
      <c r="D662" s="14"/>
      <c r="E662" s="14"/>
      <c r="F662" s="14"/>
      <c r="G662" s="15" t="n">
        <f aca="false">F662-E662</f>
        <v>0</v>
      </c>
      <c r="H662" s="20" t="s">
        <v>248</v>
      </c>
      <c r="I662" s="1"/>
      <c r="J662" s="20" t="s">
        <v>256</v>
      </c>
      <c r="K662" s="1" t="s">
        <v>430</v>
      </c>
      <c r="L662" s="1" t="s">
        <v>257</v>
      </c>
      <c r="M662" s="20" t="s">
        <v>258</v>
      </c>
      <c r="N662" s="20" t="s">
        <v>379</v>
      </c>
      <c r="O662" s="1" t="s">
        <v>399</v>
      </c>
      <c r="P662" s="22" t="str">
        <f aca="false">_xlfn.CONCAT(B662,C662,D662,E662,F662)</f>
        <v/>
      </c>
      <c r="Q662" s="1" t="str">
        <f aca="false">_xlfn.CONCAT(H662,I662,J662)</f>
        <v>DAURDE</v>
      </c>
    </row>
    <row r="663" customFormat="false" ht="15" hidden="false" customHeight="false" outlineLevel="0" collapsed="false">
      <c r="G663" s="15" t="n">
        <f aca="false">F663-E663</f>
        <v>0</v>
      </c>
      <c r="H663" s="20" t="s">
        <v>248</v>
      </c>
      <c r="J663" s="20" t="s">
        <v>256</v>
      </c>
      <c r="K663" s="1" t="s">
        <v>430</v>
      </c>
      <c r="L663" s="1" t="s">
        <v>257</v>
      </c>
      <c r="M663" s="20" t="s">
        <v>258</v>
      </c>
      <c r="N663" s="20" t="s">
        <v>379</v>
      </c>
      <c r="O663" s="1" t="s">
        <v>399</v>
      </c>
      <c r="P663" s="22" t="str">
        <f aca="false">_xlfn.CONCAT(B663,C663,D663,E663,F663)</f>
        <v/>
      </c>
      <c r="Q663" s="1" t="str">
        <f aca="false">_xlfn.CONCAT(H663,I663,J663)</f>
        <v>DAURDE</v>
      </c>
    </row>
    <row r="664" customFormat="false" ht="15" hidden="false" customHeight="false" outlineLevel="0" collapsed="false">
      <c r="G664" s="15" t="n">
        <f aca="false">F664-E664</f>
        <v>0</v>
      </c>
      <c r="H664" s="20" t="s">
        <v>248</v>
      </c>
      <c r="J664" s="20" t="s">
        <v>256</v>
      </c>
      <c r="K664" s="1" t="s">
        <v>430</v>
      </c>
      <c r="L664" s="1" t="s">
        <v>257</v>
      </c>
      <c r="M664" s="20" t="s">
        <v>258</v>
      </c>
      <c r="N664" s="20" t="s">
        <v>379</v>
      </c>
      <c r="O664" s="1" t="s">
        <v>399</v>
      </c>
      <c r="P664" s="22" t="str">
        <f aca="false">_xlfn.CONCAT(B664,C664,D664,E664,F664)</f>
        <v/>
      </c>
      <c r="Q664" s="1" t="str">
        <f aca="false">_xlfn.CONCAT(H664,I664,J664)</f>
        <v>DAURDE</v>
      </c>
    </row>
    <row r="665" customFormat="false" ht="15" hidden="false" customHeight="false" outlineLevel="0" collapsed="false">
      <c r="G665" s="15" t="n">
        <f aca="false">F665-E665</f>
        <v>0</v>
      </c>
      <c r="H665" s="20" t="s">
        <v>445</v>
      </c>
      <c r="I665" s="1" t="s">
        <v>263</v>
      </c>
      <c r="J665" s="20" t="s">
        <v>264</v>
      </c>
      <c r="K665" s="1" t="s">
        <v>456</v>
      </c>
      <c r="L665" s="1" t="s">
        <v>457</v>
      </c>
      <c r="M665" s="20" t="s">
        <v>266</v>
      </c>
      <c r="N665" s="20" t="s">
        <v>252</v>
      </c>
      <c r="O665" s="1" t="s">
        <v>458</v>
      </c>
      <c r="P665" s="22" t="str">
        <f aca="false">_xlfn.CONCAT(B665,C665,D665,E665,F665)</f>
        <v/>
      </c>
      <c r="Q665" s="1" t="str">
        <f aca="false">_xlfn.CONCAT(H665,I665,J665)</f>
        <v>LIGRFOCOM</v>
      </c>
    </row>
    <row r="666" customFormat="false" ht="15" hidden="false" customHeight="false" outlineLevel="0" collapsed="false">
      <c r="G666" s="15" t="n">
        <f aca="false">F666-E666</f>
        <v>0</v>
      </c>
      <c r="H666" s="20" t="s">
        <v>445</v>
      </c>
      <c r="I666" s="1" t="s">
        <v>263</v>
      </c>
      <c r="J666" s="20" t="s">
        <v>264</v>
      </c>
      <c r="K666" s="1" t="s">
        <v>456</v>
      </c>
      <c r="L666" s="1" t="s">
        <v>457</v>
      </c>
      <c r="M666" s="20" t="s">
        <v>266</v>
      </c>
      <c r="N666" s="20" t="s">
        <v>252</v>
      </c>
      <c r="O666" s="1" t="s">
        <v>458</v>
      </c>
      <c r="P666" s="22" t="str">
        <f aca="false">_xlfn.CONCAT(B666,C666,D666,E666,F666)</f>
        <v/>
      </c>
      <c r="Q666" s="1" t="str">
        <f aca="false">_xlfn.CONCAT(H666,I666,J666)</f>
        <v>LIGRFOCOM</v>
      </c>
    </row>
    <row r="667" customFormat="false" ht="15" hidden="false" customHeight="false" outlineLevel="0" collapsed="false">
      <c r="G667" s="15" t="n">
        <f aca="false">F667-E667</f>
        <v>0</v>
      </c>
      <c r="H667" s="20" t="s">
        <v>445</v>
      </c>
      <c r="I667" s="1" t="s">
        <v>263</v>
      </c>
      <c r="J667" s="20" t="s">
        <v>264</v>
      </c>
      <c r="K667" s="1" t="s">
        <v>456</v>
      </c>
      <c r="L667" s="1" t="s">
        <v>457</v>
      </c>
      <c r="M667" s="20" t="s">
        <v>266</v>
      </c>
      <c r="N667" s="20" t="s">
        <v>252</v>
      </c>
      <c r="O667" s="1" t="s">
        <v>458</v>
      </c>
      <c r="P667" s="22" t="str">
        <f aca="false">_xlfn.CONCAT(B667,C667,D667,E667,F667)</f>
        <v/>
      </c>
      <c r="Q667" s="1" t="str">
        <f aca="false">_xlfn.CONCAT(H667,I667,J667)</f>
        <v>LIGRFOCOM</v>
      </c>
    </row>
    <row r="668" customFormat="false" ht="15" hidden="false" customHeight="false" outlineLevel="0" collapsed="false">
      <c r="G668" s="15" t="n">
        <f aca="false">F668-E668</f>
        <v>0</v>
      </c>
      <c r="H668" s="20" t="s">
        <v>445</v>
      </c>
      <c r="I668" s="1" t="s">
        <v>263</v>
      </c>
      <c r="J668" s="20" t="s">
        <v>264</v>
      </c>
      <c r="K668" s="1" t="s">
        <v>456</v>
      </c>
      <c r="L668" s="1" t="s">
        <v>457</v>
      </c>
      <c r="M668" s="20" t="s">
        <v>266</v>
      </c>
      <c r="N668" s="20" t="s">
        <v>252</v>
      </c>
      <c r="O668" s="1" t="s">
        <v>458</v>
      </c>
      <c r="P668" s="22" t="str">
        <f aca="false">_xlfn.CONCAT(B668,C668,D668,E668,F668)</f>
        <v/>
      </c>
      <c r="Q668" s="1" t="str">
        <f aca="false">_xlfn.CONCAT(H668,I668,J668)</f>
        <v>LIGRFOCOM</v>
      </c>
    </row>
    <row r="669" customFormat="false" ht="15" hidden="false" customHeight="false" outlineLevel="0" collapsed="false">
      <c r="G669" s="15" t="n">
        <f aca="false">F669-E669</f>
        <v>0</v>
      </c>
      <c r="H669" s="20" t="s">
        <v>248</v>
      </c>
      <c r="J669" s="20" t="s">
        <v>256</v>
      </c>
      <c r="K669" s="1" t="s">
        <v>430</v>
      </c>
      <c r="L669" s="1" t="s">
        <v>459</v>
      </c>
      <c r="M669" s="20" t="s">
        <v>258</v>
      </c>
      <c r="N669" s="20" t="s">
        <v>379</v>
      </c>
      <c r="O669" s="1" t="s">
        <v>460</v>
      </c>
      <c r="P669" s="22" t="str">
        <f aca="false">_xlfn.CONCAT(B669,C669,D669,E669,F669)</f>
        <v/>
      </c>
      <c r="Q669" s="1" t="str">
        <f aca="false">_xlfn.CONCAT(H669,I669,J669)</f>
        <v>DAURDE</v>
      </c>
    </row>
    <row r="670" customFormat="false" ht="15" hidden="false" customHeight="false" outlineLevel="0" collapsed="false">
      <c r="G670" s="15" t="n">
        <f aca="false">F670-E670</f>
        <v>0</v>
      </c>
      <c r="H670" s="20" t="s">
        <v>248</v>
      </c>
      <c r="J670" s="20" t="s">
        <v>256</v>
      </c>
      <c r="K670" s="1" t="s">
        <v>430</v>
      </c>
      <c r="L670" s="1" t="s">
        <v>459</v>
      </c>
      <c r="M670" s="20" t="s">
        <v>258</v>
      </c>
      <c r="N670" s="20" t="s">
        <v>379</v>
      </c>
      <c r="O670" s="1" t="s">
        <v>460</v>
      </c>
      <c r="P670" s="22" t="str">
        <f aca="false">_xlfn.CONCAT(B670,C670,D670,E670,F670)</f>
        <v/>
      </c>
      <c r="Q670" s="1" t="str">
        <f aca="false">_xlfn.CONCAT(H670,I670,J670)</f>
        <v>DAURDE</v>
      </c>
    </row>
    <row r="671" customFormat="false" ht="15" hidden="false" customHeight="false" outlineLevel="0" collapsed="false">
      <c r="G671" s="15" t="n">
        <f aca="false">F671-E671</f>
        <v>0</v>
      </c>
      <c r="H671" s="20" t="s">
        <v>248</v>
      </c>
      <c r="J671" s="20" t="s">
        <v>256</v>
      </c>
      <c r="K671" s="1" t="s">
        <v>430</v>
      </c>
      <c r="L671" s="1" t="s">
        <v>459</v>
      </c>
      <c r="M671" s="20" t="s">
        <v>258</v>
      </c>
      <c r="N671" s="20" t="s">
        <v>379</v>
      </c>
      <c r="O671" s="1" t="s">
        <v>460</v>
      </c>
      <c r="P671" s="22" t="str">
        <f aca="false">_xlfn.CONCAT(B671,C671,D671,E671,F671)</f>
        <v/>
      </c>
      <c r="Q671" s="1" t="str">
        <f aca="false">_xlfn.CONCAT(H671,I671,J671)</f>
        <v>DAURDE</v>
      </c>
    </row>
    <row r="672" customFormat="false" ht="15" hidden="false" customHeight="false" outlineLevel="0" collapsed="false">
      <c r="G672" s="15" t="n">
        <f aca="false">F672-E672</f>
        <v>0</v>
      </c>
      <c r="H672" s="20" t="s">
        <v>248</v>
      </c>
      <c r="J672" s="20" t="s">
        <v>256</v>
      </c>
      <c r="K672" s="1" t="s">
        <v>430</v>
      </c>
      <c r="L672" s="1" t="s">
        <v>459</v>
      </c>
      <c r="M672" s="20" t="s">
        <v>258</v>
      </c>
      <c r="N672" s="20" t="s">
        <v>379</v>
      </c>
      <c r="O672" s="1" t="s">
        <v>379</v>
      </c>
      <c r="P672" s="22" t="str">
        <f aca="false">_xlfn.CONCAT(B672,C672,D672,E672,F672)</f>
        <v/>
      </c>
      <c r="Q672" s="1" t="str">
        <f aca="false">_xlfn.CONCAT(H672,I672,J672)</f>
        <v>DAURDE</v>
      </c>
    </row>
    <row r="673" customFormat="false" ht="15" hidden="false" customHeight="false" outlineLevel="0" collapsed="false">
      <c r="G673" s="15" t="n">
        <f aca="false">F673-E673</f>
        <v>0</v>
      </c>
      <c r="H673" s="20" t="s">
        <v>248</v>
      </c>
      <c r="J673" s="20" t="s">
        <v>256</v>
      </c>
      <c r="K673" s="1" t="s">
        <v>430</v>
      </c>
      <c r="L673" s="1" t="s">
        <v>459</v>
      </c>
      <c r="M673" s="20" t="s">
        <v>258</v>
      </c>
      <c r="N673" s="20" t="s">
        <v>379</v>
      </c>
      <c r="O673" s="1" t="s">
        <v>379</v>
      </c>
      <c r="P673" s="22" t="str">
        <f aca="false">_xlfn.CONCAT(B673,C673,D673,E673,F673)</f>
        <v/>
      </c>
      <c r="Q673" s="1" t="str">
        <f aca="false">_xlfn.CONCAT(H673,I673,J673)</f>
        <v>DAURDE</v>
      </c>
    </row>
    <row r="674" customFormat="false" ht="15" hidden="false" customHeight="false" outlineLevel="0" collapsed="false">
      <c r="G674" s="15" t="n">
        <f aca="false">F674-E674</f>
        <v>0</v>
      </c>
      <c r="H674" s="20" t="s">
        <v>248</v>
      </c>
      <c r="J674" s="20" t="s">
        <v>256</v>
      </c>
      <c r="K674" s="1" t="s">
        <v>430</v>
      </c>
      <c r="L674" s="1" t="s">
        <v>459</v>
      </c>
      <c r="M674" s="20" t="s">
        <v>258</v>
      </c>
      <c r="N674" s="20" t="s">
        <v>379</v>
      </c>
      <c r="O674" s="1" t="s">
        <v>379</v>
      </c>
      <c r="P674" s="22" t="str">
        <f aca="false">_xlfn.CONCAT(B674,C674,D674,E674,F674)</f>
        <v/>
      </c>
      <c r="Q674" s="1" t="str">
        <f aca="false">_xlfn.CONCAT(H674,I674,J674)</f>
        <v>DAURDE</v>
      </c>
    </row>
    <row r="675" customFormat="false" ht="15" hidden="false" customHeight="false" outlineLevel="0" collapsed="false">
      <c r="G675" s="15" t="n">
        <f aca="false">F675-E675</f>
        <v>0</v>
      </c>
      <c r="H675" s="20" t="s">
        <v>248</v>
      </c>
      <c r="J675" s="20" t="s">
        <v>256</v>
      </c>
      <c r="K675" s="1" t="s">
        <v>430</v>
      </c>
      <c r="L675" s="1" t="s">
        <v>459</v>
      </c>
      <c r="M675" s="20" t="s">
        <v>258</v>
      </c>
      <c r="N675" s="20" t="s">
        <v>379</v>
      </c>
      <c r="O675" s="1" t="s">
        <v>379</v>
      </c>
      <c r="P675" s="22" t="str">
        <f aca="false">_xlfn.CONCAT(B675,C675,D675,E675,F675)</f>
        <v/>
      </c>
      <c r="Q675" s="1" t="str">
        <f aca="false">_xlfn.CONCAT(H675,I675,J675)</f>
        <v>DAURDE</v>
      </c>
    </row>
    <row r="676" customFormat="false" ht="15" hidden="false" customHeight="false" outlineLevel="0" collapsed="false">
      <c r="G676" s="15" t="n">
        <f aca="false">F676-E676</f>
        <v>0</v>
      </c>
      <c r="H676" s="20" t="s">
        <v>248</v>
      </c>
      <c r="J676" s="20" t="s">
        <v>256</v>
      </c>
      <c r="K676" s="1" t="s">
        <v>430</v>
      </c>
      <c r="L676" s="1" t="s">
        <v>459</v>
      </c>
      <c r="M676" s="20" t="s">
        <v>258</v>
      </c>
      <c r="N676" s="20" t="s">
        <v>259</v>
      </c>
      <c r="O676" s="1" t="s">
        <v>379</v>
      </c>
      <c r="P676" s="22" t="str">
        <f aca="false">_xlfn.CONCAT(B676,C676,D676,E676,F676)</f>
        <v/>
      </c>
      <c r="Q676" s="1" t="str">
        <f aca="false">_xlfn.CONCAT(H676,I676,J676)</f>
        <v>DAURDE</v>
      </c>
    </row>
    <row r="677" customFormat="false" ht="15" hidden="false" customHeight="false" outlineLevel="0" collapsed="false">
      <c r="G677" s="15" t="n">
        <f aca="false">F677-E677</f>
        <v>0</v>
      </c>
      <c r="H677" s="20" t="s">
        <v>248</v>
      </c>
      <c r="J677" s="20" t="s">
        <v>256</v>
      </c>
      <c r="K677" s="1" t="s">
        <v>430</v>
      </c>
      <c r="L677" s="1" t="s">
        <v>436</v>
      </c>
      <c r="M677" s="20" t="s">
        <v>258</v>
      </c>
      <c r="N677" s="20" t="s">
        <v>379</v>
      </c>
      <c r="O677" s="1" t="s">
        <v>399</v>
      </c>
      <c r="P677" s="22" t="str">
        <f aca="false">_xlfn.CONCAT(B677,C677,D677,E677,F677)</f>
        <v/>
      </c>
      <c r="Q677" s="1" t="str">
        <f aca="false">_xlfn.CONCAT(H677,I677,J677)</f>
        <v>DAURDE</v>
      </c>
    </row>
    <row r="678" customFormat="false" ht="15" hidden="false" customHeight="false" outlineLevel="0" collapsed="false">
      <c r="G678" s="15" t="n">
        <f aca="false">F678-E678</f>
        <v>0</v>
      </c>
      <c r="H678" s="20" t="s">
        <v>248</v>
      </c>
      <c r="J678" s="20" t="s">
        <v>256</v>
      </c>
      <c r="K678" s="1" t="s">
        <v>430</v>
      </c>
      <c r="L678" s="1" t="s">
        <v>436</v>
      </c>
      <c r="M678" s="20" t="s">
        <v>258</v>
      </c>
      <c r="N678" s="20" t="s">
        <v>379</v>
      </c>
      <c r="O678" s="1" t="s">
        <v>399</v>
      </c>
      <c r="P678" s="22" t="str">
        <f aca="false">_xlfn.CONCAT(B678,C678,D678,E678,F678)</f>
        <v/>
      </c>
      <c r="Q678" s="1" t="str">
        <f aca="false">_xlfn.CONCAT(H678,I678,J678)</f>
        <v>DAURDE</v>
      </c>
    </row>
    <row r="679" customFormat="false" ht="15" hidden="false" customHeight="false" outlineLevel="0" collapsed="false">
      <c r="G679" s="15" t="n">
        <f aca="false">F679-E679</f>
        <v>0</v>
      </c>
      <c r="H679" s="20" t="s">
        <v>248</v>
      </c>
      <c r="J679" s="20" t="s">
        <v>256</v>
      </c>
      <c r="K679" s="1" t="s">
        <v>430</v>
      </c>
      <c r="L679" s="1" t="s">
        <v>436</v>
      </c>
      <c r="M679" s="20" t="s">
        <v>258</v>
      </c>
      <c r="N679" s="20" t="s">
        <v>379</v>
      </c>
      <c r="O679" s="1" t="s">
        <v>399</v>
      </c>
      <c r="P679" s="22" t="str">
        <f aca="false">_xlfn.CONCAT(B679,C679,D679,E679,F679)</f>
        <v/>
      </c>
      <c r="Q679" s="1" t="str">
        <f aca="false">_xlfn.CONCAT(H679,I679,J679)</f>
        <v>DAURDE</v>
      </c>
    </row>
    <row r="680" customFormat="false" ht="15" hidden="false" customHeight="false" outlineLevel="0" collapsed="false">
      <c r="G680" s="15" t="n">
        <f aca="false">F680-E680</f>
        <v>0</v>
      </c>
      <c r="H680" s="20" t="s">
        <v>248</v>
      </c>
      <c r="J680" s="20" t="s">
        <v>256</v>
      </c>
      <c r="K680" s="1" t="s">
        <v>430</v>
      </c>
      <c r="L680" s="1" t="s">
        <v>436</v>
      </c>
      <c r="M680" s="20" t="s">
        <v>258</v>
      </c>
      <c r="N680" s="20" t="s">
        <v>379</v>
      </c>
      <c r="O680" s="1" t="s">
        <v>399</v>
      </c>
      <c r="P680" s="22" t="str">
        <f aca="false">_xlfn.CONCAT(B680,C680,D680,E680,F680)</f>
        <v/>
      </c>
      <c r="Q680" s="1" t="str">
        <f aca="false">_xlfn.CONCAT(H680,I680,J680)</f>
        <v>DAURDE</v>
      </c>
    </row>
    <row r="681" customFormat="false" ht="15" hidden="false" customHeight="false" outlineLevel="0" collapsed="false">
      <c r="G681" s="15" t="n">
        <f aca="false">F681-E681</f>
        <v>0</v>
      </c>
      <c r="H681" s="20" t="s">
        <v>248</v>
      </c>
      <c r="J681" s="20" t="s">
        <v>256</v>
      </c>
      <c r="K681" s="1" t="s">
        <v>430</v>
      </c>
      <c r="L681" s="1" t="s">
        <v>436</v>
      </c>
      <c r="M681" s="20" t="s">
        <v>258</v>
      </c>
      <c r="N681" s="20" t="s">
        <v>379</v>
      </c>
      <c r="O681" s="1" t="s">
        <v>399</v>
      </c>
      <c r="P681" s="22" t="str">
        <f aca="false">_xlfn.CONCAT(B681,C681,D681,E681,F681)</f>
        <v/>
      </c>
      <c r="Q681" s="1" t="str">
        <f aca="false">_xlfn.CONCAT(H681,I681,J681)</f>
        <v>DAURDE</v>
      </c>
    </row>
    <row r="682" customFormat="false" ht="15" hidden="false" customHeight="false" outlineLevel="0" collapsed="false">
      <c r="G682" s="15" t="n">
        <f aca="false">F682-E682</f>
        <v>0</v>
      </c>
      <c r="H682" s="20" t="s">
        <v>248</v>
      </c>
      <c r="J682" s="20" t="s">
        <v>256</v>
      </c>
      <c r="K682" s="1" t="s">
        <v>430</v>
      </c>
      <c r="L682" s="1" t="s">
        <v>436</v>
      </c>
      <c r="M682" s="20" t="s">
        <v>258</v>
      </c>
      <c r="N682" s="20" t="s">
        <v>379</v>
      </c>
      <c r="O682" s="1" t="s">
        <v>399</v>
      </c>
      <c r="P682" s="22" t="str">
        <f aca="false">_xlfn.CONCAT(B682,C682,D682,E682,F682)</f>
        <v/>
      </c>
      <c r="Q682" s="1" t="str">
        <f aca="false">_xlfn.CONCAT(H682,I682,J682)</f>
        <v>DAURDE</v>
      </c>
    </row>
    <row r="683" customFormat="false" ht="15" hidden="false" customHeight="false" outlineLevel="0" collapsed="false">
      <c r="G683" s="15" t="n">
        <f aca="false">F683-E683</f>
        <v>0</v>
      </c>
      <c r="H683" s="20" t="s">
        <v>248</v>
      </c>
      <c r="J683" s="20" t="s">
        <v>256</v>
      </c>
      <c r="K683" s="1" t="s">
        <v>430</v>
      </c>
      <c r="L683" s="1" t="s">
        <v>436</v>
      </c>
      <c r="M683" s="20" t="s">
        <v>258</v>
      </c>
      <c r="N683" s="20" t="s">
        <v>379</v>
      </c>
      <c r="O683" s="1" t="s">
        <v>399</v>
      </c>
      <c r="P683" s="22" t="str">
        <f aca="false">_xlfn.CONCAT(B683,C683,D683,E683,F683)</f>
        <v/>
      </c>
      <c r="Q683" s="1" t="str">
        <f aca="false">_xlfn.CONCAT(H683,I683,J683)</f>
        <v>DAURDE</v>
      </c>
    </row>
    <row r="684" customFormat="false" ht="15" hidden="false" customHeight="false" outlineLevel="0" collapsed="false">
      <c r="G684" s="15" t="n">
        <f aca="false">F684-E684</f>
        <v>0</v>
      </c>
      <c r="H684" s="20" t="s">
        <v>248</v>
      </c>
      <c r="J684" s="20" t="s">
        <v>256</v>
      </c>
      <c r="K684" s="1" t="s">
        <v>430</v>
      </c>
      <c r="L684" s="1" t="s">
        <v>436</v>
      </c>
      <c r="M684" s="20" t="s">
        <v>258</v>
      </c>
      <c r="N684" s="20" t="s">
        <v>379</v>
      </c>
      <c r="O684" s="1" t="s">
        <v>399</v>
      </c>
      <c r="P684" s="22" t="str">
        <f aca="false">_xlfn.CONCAT(B684,C684,D684,E684,F684)</f>
        <v/>
      </c>
      <c r="Q684" s="1" t="str">
        <f aca="false">_xlfn.CONCAT(H684,I684,J684)</f>
        <v>DAURDE</v>
      </c>
    </row>
    <row r="685" customFormat="false" ht="15" hidden="false" customHeight="false" outlineLevel="0" collapsed="false">
      <c r="G685" s="15" t="n">
        <f aca="false">F685-E685</f>
        <v>0</v>
      </c>
      <c r="H685" s="20" t="s">
        <v>248</v>
      </c>
      <c r="J685" s="20" t="s">
        <v>256</v>
      </c>
      <c r="K685" s="1" t="s">
        <v>430</v>
      </c>
      <c r="L685" s="1" t="s">
        <v>436</v>
      </c>
      <c r="M685" s="20" t="s">
        <v>258</v>
      </c>
      <c r="N685" s="20" t="s">
        <v>379</v>
      </c>
      <c r="O685" s="1" t="s">
        <v>399</v>
      </c>
      <c r="P685" s="22" t="str">
        <f aca="false">_xlfn.CONCAT(B685,C685,D685,E685,F685)</f>
        <v/>
      </c>
      <c r="Q685" s="1" t="str">
        <f aca="false">_xlfn.CONCAT(H685,I685,J685)</f>
        <v>DAURDE</v>
      </c>
    </row>
    <row r="686" customFormat="false" ht="15" hidden="false" customHeight="false" outlineLevel="0" collapsed="false">
      <c r="G686" s="15" t="n">
        <f aca="false">F686-E686</f>
        <v>0</v>
      </c>
      <c r="H686" s="20" t="s">
        <v>248</v>
      </c>
      <c r="J686" s="20" t="s">
        <v>256</v>
      </c>
      <c r="K686" s="1" t="s">
        <v>430</v>
      </c>
      <c r="L686" s="1" t="s">
        <v>436</v>
      </c>
      <c r="M686" s="20" t="s">
        <v>258</v>
      </c>
      <c r="N686" s="20" t="s">
        <v>379</v>
      </c>
      <c r="O686" s="1" t="s">
        <v>399</v>
      </c>
      <c r="P686" s="22" t="str">
        <f aca="false">_xlfn.CONCAT(B686,C686,D686,E686,F686)</f>
        <v/>
      </c>
      <c r="Q686" s="1" t="str">
        <f aca="false">_xlfn.CONCAT(H686,I686,J686)</f>
        <v>DAURDE</v>
      </c>
    </row>
    <row r="687" customFormat="false" ht="15" hidden="false" customHeight="false" outlineLevel="0" collapsed="false">
      <c r="G687" s="15" t="n">
        <f aca="false">F687-E687</f>
        <v>0</v>
      </c>
      <c r="H687" s="20" t="s">
        <v>248</v>
      </c>
      <c r="J687" s="20" t="s">
        <v>256</v>
      </c>
      <c r="K687" s="1" t="s">
        <v>430</v>
      </c>
      <c r="L687" s="1" t="s">
        <v>436</v>
      </c>
      <c r="M687" s="20" t="s">
        <v>258</v>
      </c>
      <c r="N687" s="20" t="s">
        <v>379</v>
      </c>
      <c r="O687" s="1" t="s">
        <v>399</v>
      </c>
      <c r="P687" s="22" t="str">
        <f aca="false">_xlfn.CONCAT(B687,C687,D687,E687,F687)</f>
        <v/>
      </c>
      <c r="Q687" s="1" t="str">
        <f aca="false">_xlfn.CONCAT(H687,I687,J687)</f>
        <v>DAURDE</v>
      </c>
    </row>
    <row r="688" customFormat="false" ht="15" hidden="false" customHeight="false" outlineLevel="0" collapsed="false">
      <c r="G688" s="15" t="n">
        <f aca="false">F688-E688</f>
        <v>0</v>
      </c>
      <c r="H688" s="20" t="s">
        <v>248</v>
      </c>
      <c r="J688" s="20" t="s">
        <v>256</v>
      </c>
      <c r="K688" s="1" t="s">
        <v>430</v>
      </c>
      <c r="L688" s="1" t="s">
        <v>436</v>
      </c>
      <c r="M688" s="20" t="s">
        <v>258</v>
      </c>
      <c r="N688" s="20" t="s">
        <v>379</v>
      </c>
      <c r="O688" s="1" t="s">
        <v>399</v>
      </c>
      <c r="P688" s="22" t="str">
        <f aca="false">_xlfn.CONCAT(B688,C688,D688,E688,F688)</f>
        <v/>
      </c>
      <c r="Q688" s="1" t="str">
        <f aca="false">_xlfn.CONCAT(H688,I688,J688)</f>
        <v>DAURDE</v>
      </c>
    </row>
    <row r="689" customFormat="false" ht="15" hidden="false" customHeight="false" outlineLevel="0" collapsed="false">
      <c r="G689" s="15" t="n">
        <f aca="false">F689-E689</f>
        <v>0</v>
      </c>
      <c r="H689" s="20" t="s">
        <v>248</v>
      </c>
      <c r="J689" s="20" t="s">
        <v>256</v>
      </c>
      <c r="K689" s="1" t="s">
        <v>430</v>
      </c>
      <c r="L689" s="1" t="s">
        <v>436</v>
      </c>
      <c r="M689" s="20" t="s">
        <v>258</v>
      </c>
      <c r="N689" s="20" t="s">
        <v>379</v>
      </c>
      <c r="O689" s="1" t="s">
        <v>399</v>
      </c>
      <c r="P689" s="22" t="str">
        <f aca="false">_xlfn.CONCAT(B689,C689,D689,E689,F689)</f>
        <v/>
      </c>
      <c r="Q689" s="1" t="str">
        <f aca="false">_xlfn.CONCAT(H689,I689,J689)</f>
        <v>DAURDE</v>
      </c>
    </row>
    <row r="690" customFormat="false" ht="15" hidden="false" customHeight="false" outlineLevel="0" collapsed="false">
      <c r="G690" s="15" t="n">
        <f aca="false">F690-E690</f>
        <v>0</v>
      </c>
      <c r="H690" s="20" t="s">
        <v>248</v>
      </c>
      <c r="J690" s="20" t="s">
        <v>256</v>
      </c>
      <c r="K690" s="1" t="s">
        <v>430</v>
      </c>
      <c r="L690" s="1" t="s">
        <v>436</v>
      </c>
      <c r="M690" s="20" t="s">
        <v>258</v>
      </c>
      <c r="N690" s="20" t="s">
        <v>379</v>
      </c>
      <c r="O690" s="1" t="s">
        <v>399</v>
      </c>
      <c r="P690" s="22" t="str">
        <f aca="false">_xlfn.CONCAT(B690,C690,D690,E690,F690)</f>
        <v/>
      </c>
      <c r="Q690" s="1" t="str">
        <f aca="false">_xlfn.CONCAT(H690,I690,J690)</f>
        <v>DAURDE</v>
      </c>
    </row>
    <row r="691" customFormat="false" ht="15" hidden="false" customHeight="false" outlineLevel="0" collapsed="false">
      <c r="G691" s="15" t="n">
        <f aca="false">F691-E691</f>
        <v>0</v>
      </c>
      <c r="H691" s="20" t="s">
        <v>248</v>
      </c>
      <c r="J691" s="20" t="s">
        <v>256</v>
      </c>
      <c r="K691" s="1" t="s">
        <v>430</v>
      </c>
      <c r="L691" s="1" t="s">
        <v>436</v>
      </c>
      <c r="M691" s="20" t="s">
        <v>258</v>
      </c>
      <c r="N691" s="20" t="s">
        <v>379</v>
      </c>
      <c r="O691" s="1" t="s">
        <v>399</v>
      </c>
      <c r="P691" s="22" t="str">
        <f aca="false">_xlfn.CONCAT(B691,C691,D691,E691,F691)</f>
        <v/>
      </c>
      <c r="Q691" s="1" t="str">
        <f aca="false">_xlfn.CONCAT(H691,I691,J691)</f>
        <v>DAURDE</v>
      </c>
    </row>
    <row r="692" customFormat="false" ht="15" hidden="false" customHeight="false" outlineLevel="0" collapsed="false">
      <c r="G692" s="15" t="n">
        <f aca="false">F692-E692</f>
        <v>0</v>
      </c>
      <c r="H692" s="20" t="s">
        <v>248</v>
      </c>
      <c r="J692" s="20" t="s">
        <v>256</v>
      </c>
      <c r="K692" s="1" t="s">
        <v>430</v>
      </c>
      <c r="L692" s="1" t="s">
        <v>436</v>
      </c>
      <c r="M692" s="20" t="s">
        <v>258</v>
      </c>
      <c r="N692" s="20" t="s">
        <v>379</v>
      </c>
      <c r="O692" s="1" t="s">
        <v>399</v>
      </c>
      <c r="P692" s="22" t="str">
        <f aca="false">_xlfn.CONCAT(B692,C692,D692,E692,F692)</f>
        <v/>
      </c>
      <c r="Q692" s="1" t="str">
        <f aca="false">_xlfn.CONCAT(H692,I692,J692)</f>
        <v>DAURDE</v>
      </c>
    </row>
    <row r="693" customFormat="false" ht="15" hidden="false" customHeight="false" outlineLevel="0" collapsed="false">
      <c r="G693" s="15" t="n">
        <f aca="false">F693-E693</f>
        <v>0</v>
      </c>
      <c r="H693" s="20" t="s">
        <v>248</v>
      </c>
      <c r="J693" s="20" t="s">
        <v>256</v>
      </c>
      <c r="K693" s="1" t="s">
        <v>430</v>
      </c>
      <c r="L693" s="1" t="s">
        <v>436</v>
      </c>
      <c r="M693" s="20" t="s">
        <v>258</v>
      </c>
      <c r="N693" s="20" t="s">
        <v>379</v>
      </c>
      <c r="O693" s="1" t="s">
        <v>399</v>
      </c>
      <c r="P693" s="22" t="str">
        <f aca="false">_xlfn.CONCAT(B693,C693,D693,E693,F693)</f>
        <v/>
      </c>
      <c r="Q693" s="1" t="str">
        <f aca="false">_xlfn.CONCAT(H693,I693,J693)</f>
        <v>DAURDE</v>
      </c>
    </row>
    <row r="694" customFormat="false" ht="15" hidden="false" customHeight="false" outlineLevel="0" collapsed="false">
      <c r="G694" s="15" t="n">
        <f aca="false">F694-E694</f>
        <v>0</v>
      </c>
      <c r="H694" s="20" t="s">
        <v>248</v>
      </c>
      <c r="J694" s="20" t="s">
        <v>256</v>
      </c>
      <c r="K694" s="1" t="s">
        <v>430</v>
      </c>
      <c r="L694" s="1" t="s">
        <v>436</v>
      </c>
      <c r="M694" s="20" t="s">
        <v>258</v>
      </c>
      <c r="N694" s="20" t="s">
        <v>379</v>
      </c>
      <c r="O694" s="1" t="s">
        <v>399</v>
      </c>
      <c r="P694" s="22" t="str">
        <f aca="false">_xlfn.CONCAT(B694,C694,D694,E694,F694)</f>
        <v/>
      </c>
      <c r="Q694" s="1" t="str">
        <f aca="false">_xlfn.CONCAT(H694,I694,J694)</f>
        <v>DAURDE</v>
      </c>
    </row>
    <row r="695" customFormat="false" ht="15" hidden="false" customHeight="false" outlineLevel="0" collapsed="false">
      <c r="G695" s="15" t="n">
        <f aca="false">F695-E695</f>
        <v>0</v>
      </c>
      <c r="H695" s="20" t="s">
        <v>248</v>
      </c>
      <c r="J695" s="20" t="s">
        <v>256</v>
      </c>
      <c r="K695" s="1" t="s">
        <v>430</v>
      </c>
      <c r="L695" s="1" t="s">
        <v>436</v>
      </c>
      <c r="M695" s="20" t="s">
        <v>258</v>
      </c>
      <c r="N695" s="20" t="s">
        <v>379</v>
      </c>
      <c r="O695" s="1" t="s">
        <v>399</v>
      </c>
      <c r="P695" s="22" t="str">
        <f aca="false">_xlfn.CONCAT(B695,C695,D695,E695,F695)</f>
        <v/>
      </c>
      <c r="Q695" s="1" t="str">
        <f aca="false">_xlfn.CONCAT(H695,I695,J695)</f>
        <v>DAURDE</v>
      </c>
    </row>
    <row r="696" customFormat="false" ht="15" hidden="false" customHeight="false" outlineLevel="0" collapsed="false">
      <c r="G696" s="15" t="n">
        <f aca="false">F696-E696</f>
        <v>0</v>
      </c>
      <c r="H696" s="20" t="s">
        <v>248</v>
      </c>
      <c r="J696" s="20" t="s">
        <v>256</v>
      </c>
      <c r="K696" s="1" t="s">
        <v>430</v>
      </c>
      <c r="L696" s="1" t="s">
        <v>436</v>
      </c>
      <c r="M696" s="20" t="s">
        <v>258</v>
      </c>
      <c r="N696" s="20" t="s">
        <v>379</v>
      </c>
      <c r="O696" s="1" t="s">
        <v>399</v>
      </c>
      <c r="P696" s="22" t="str">
        <f aca="false">_xlfn.CONCAT(B696,C696,D696,E696,F696)</f>
        <v/>
      </c>
      <c r="Q696" s="1" t="str">
        <f aca="false">_xlfn.CONCAT(H696,I696,J696)</f>
        <v>DAURDE</v>
      </c>
    </row>
    <row r="697" customFormat="false" ht="15" hidden="false" customHeight="false" outlineLevel="0" collapsed="false">
      <c r="G697" s="15" t="n">
        <f aca="false">F697-E697</f>
        <v>0</v>
      </c>
      <c r="H697" s="20" t="s">
        <v>248</v>
      </c>
      <c r="J697" s="20" t="s">
        <v>256</v>
      </c>
      <c r="K697" s="1" t="s">
        <v>430</v>
      </c>
      <c r="L697" s="1" t="s">
        <v>436</v>
      </c>
      <c r="M697" s="20" t="s">
        <v>258</v>
      </c>
      <c r="N697" s="20" t="s">
        <v>379</v>
      </c>
      <c r="O697" s="1" t="s">
        <v>399</v>
      </c>
      <c r="P697" s="22" t="str">
        <f aca="false">_xlfn.CONCAT(B697,C697,D697,E697,F697)</f>
        <v/>
      </c>
      <c r="Q697" s="1" t="str">
        <f aca="false">_xlfn.CONCAT(H697,I697,J697)</f>
        <v>DAURDE</v>
      </c>
    </row>
    <row r="698" customFormat="false" ht="15" hidden="false" customHeight="false" outlineLevel="0" collapsed="false">
      <c r="G698" s="15" t="n">
        <f aca="false">F698-E698</f>
        <v>0</v>
      </c>
      <c r="H698" s="20" t="s">
        <v>248</v>
      </c>
      <c r="J698" s="20" t="s">
        <v>256</v>
      </c>
      <c r="K698" s="1" t="s">
        <v>430</v>
      </c>
      <c r="L698" s="1" t="s">
        <v>436</v>
      </c>
      <c r="M698" s="20" t="s">
        <v>258</v>
      </c>
      <c r="N698" s="20" t="s">
        <v>379</v>
      </c>
      <c r="O698" s="1" t="s">
        <v>399</v>
      </c>
      <c r="P698" s="22" t="str">
        <f aca="false">_xlfn.CONCAT(B698,C698,D698,E698,F698)</f>
        <v/>
      </c>
      <c r="Q698" s="1" t="str">
        <f aca="false">_xlfn.CONCAT(H698,I698,J698)</f>
        <v>DAURDE</v>
      </c>
    </row>
    <row r="699" customFormat="false" ht="15" hidden="false" customHeight="false" outlineLevel="0" collapsed="false">
      <c r="G699" s="15" t="n">
        <f aca="false">F699-E699</f>
        <v>0</v>
      </c>
      <c r="H699" s="20" t="s">
        <v>248</v>
      </c>
      <c r="J699" s="20" t="s">
        <v>256</v>
      </c>
      <c r="K699" s="1" t="s">
        <v>430</v>
      </c>
      <c r="L699" s="1" t="s">
        <v>436</v>
      </c>
      <c r="M699" s="20" t="s">
        <v>258</v>
      </c>
      <c r="N699" s="20" t="s">
        <v>379</v>
      </c>
      <c r="O699" s="1" t="s">
        <v>399</v>
      </c>
      <c r="P699" s="22" t="str">
        <f aca="false">_xlfn.CONCAT(B699,C699,D699,E699,F699)</f>
        <v/>
      </c>
      <c r="Q699" s="1" t="str">
        <f aca="false">_xlfn.CONCAT(H699,I699,J699)</f>
        <v>DAURDE</v>
      </c>
    </row>
    <row r="700" customFormat="false" ht="15" hidden="false" customHeight="false" outlineLevel="0" collapsed="false">
      <c r="G700" s="15" t="n">
        <f aca="false">F700-E700</f>
        <v>0</v>
      </c>
      <c r="H700" s="20" t="s">
        <v>248</v>
      </c>
      <c r="J700" s="20" t="s">
        <v>256</v>
      </c>
      <c r="K700" s="1" t="s">
        <v>430</v>
      </c>
      <c r="L700" s="1" t="s">
        <v>436</v>
      </c>
      <c r="M700" s="20" t="s">
        <v>258</v>
      </c>
      <c r="N700" s="20" t="s">
        <v>379</v>
      </c>
      <c r="O700" s="1" t="s">
        <v>399</v>
      </c>
      <c r="P700" s="22" t="str">
        <f aca="false">_xlfn.CONCAT(B700,C700,D700,E700,F700)</f>
        <v/>
      </c>
      <c r="Q700" s="1" t="str">
        <f aca="false">_xlfn.CONCAT(H700,I700,J700)</f>
        <v>DAURDE</v>
      </c>
    </row>
    <row r="701" customFormat="false" ht="15" hidden="false" customHeight="false" outlineLevel="0" collapsed="false">
      <c r="G701" s="15" t="n">
        <f aca="false">F701-E701</f>
        <v>0</v>
      </c>
      <c r="H701" s="20" t="s">
        <v>248</v>
      </c>
      <c r="J701" s="20" t="s">
        <v>256</v>
      </c>
      <c r="K701" s="1" t="s">
        <v>430</v>
      </c>
      <c r="L701" s="1" t="s">
        <v>436</v>
      </c>
      <c r="M701" s="20" t="s">
        <v>258</v>
      </c>
      <c r="N701" s="20" t="s">
        <v>379</v>
      </c>
      <c r="O701" s="1" t="s">
        <v>399</v>
      </c>
      <c r="P701" s="22" t="str">
        <f aca="false">_xlfn.CONCAT(B701,C701,D701,E701,F701)</f>
        <v/>
      </c>
      <c r="Q701" s="1" t="str">
        <f aca="false">_xlfn.CONCAT(H701,I701,J701)</f>
        <v>DAURDE</v>
      </c>
    </row>
    <row r="702" customFormat="false" ht="15" hidden="false" customHeight="false" outlineLevel="0" collapsed="false">
      <c r="G702" s="15" t="n">
        <f aca="false">F702-E702</f>
        <v>0</v>
      </c>
      <c r="H702" s="20" t="s">
        <v>248</v>
      </c>
      <c r="J702" s="20" t="s">
        <v>256</v>
      </c>
      <c r="K702" s="1" t="s">
        <v>430</v>
      </c>
      <c r="L702" s="1" t="s">
        <v>436</v>
      </c>
      <c r="M702" s="20" t="s">
        <v>258</v>
      </c>
      <c r="N702" s="20" t="s">
        <v>379</v>
      </c>
      <c r="O702" s="1" t="s">
        <v>399</v>
      </c>
      <c r="P702" s="22" t="str">
        <f aca="false">_xlfn.CONCAT(B702,C702,D702,E702,F702)</f>
        <v/>
      </c>
      <c r="Q702" s="1" t="str">
        <f aca="false">_xlfn.CONCAT(H702,I702,J702)</f>
        <v>DAURDE</v>
      </c>
    </row>
    <row r="703" customFormat="false" ht="15" hidden="false" customHeight="false" outlineLevel="0" collapsed="false">
      <c r="G703" s="15" t="n">
        <f aca="false">F703-E703</f>
        <v>0</v>
      </c>
      <c r="H703" s="20" t="s">
        <v>248</v>
      </c>
      <c r="J703" s="20" t="s">
        <v>256</v>
      </c>
      <c r="K703" s="1" t="s">
        <v>430</v>
      </c>
      <c r="L703" s="1" t="s">
        <v>436</v>
      </c>
      <c r="M703" s="20" t="s">
        <v>258</v>
      </c>
      <c r="N703" s="20" t="s">
        <v>379</v>
      </c>
      <c r="O703" s="1" t="s">
        <v>399</v>
      </c>
      <c r="P703" s="22" t="str">
        <f aca="false">_xlfn.CONCAT(B703,C703,D703,E703,F703)</f>
        <v/>
      </c>
      <c r="Q703" s="1" t="str">
        <f aca="false">_xlfn.CONCAT(H703,I703,J703)</f>
        <v>DAURDE</v>
      </c>
    </row>
    <row r="704" customFormat="false" ht="15" hidden="false" customHeight="false" outlineLevel="0" collapsed="false">
      <c r="G704" s="15" t="n">
        <f aca="false">F704-E704</f>
        <v>0</v>
      </c>
      <c r="H704" s="20" t="s">
        <v>248</v>
      </c>
      <c r="J704" s="20" t="s">
        <v>256</v>
      </c>
      <c r="K704" s="1" t="s">
        <v>430</v>
      </c>
      <c r="L704" s="1" t="s">
        <v>436</v>
      </c>
      <c r="M704" s="20" t="s">
        <v>258</v>
      </c>
      <c r="N704" s="20" t="s">
        <v>379</v>
      </c>
      <c r="O704" s="1" t="s">
        <v>399</v>
      </c>
      <c r="P704" s="22" t="str">
        <f aca="false">_xlfn.CONCAT(B704,C704,D704,E704,F704)</f>
        <v/>
      </c>
      <c r="Q704" s="1" t="str">
        <f aca="false">_xlfn.CONCAT(H704,I704,J704)</f>
        <v>DAURDE</v>
      </c>
    </row>
    <row r="705" customFormat="false" ht="15" hidden="false" customHeight="false" outlineLevel="0" collapsed="false">
      <c r="G705" s="15" t="n">
        <f aca="false">F705-E705</f>
        <v>0</v>
      </c>
      <c r="H705" s="20" t="s">
        <v>248</v>
      </c>
      <c r="J705" s="20" t="s">
        <v>256</v>
      </c>
      <c r="K705" s="1" t="s">
        <v>430</v>
      </c>
      <c r="L705" s="1" t="s">
        <v>436</v>
      </c>
      <c r="M705" s="20" t="s">
        <v>258</v>
      </c>
      <c r="N705" s="20" t="s">
        <v>379</v>
      </c>
      <c r="O705" s="1" t="s">
        <v>399</v>
      </c>
      <c r="P705" s="22" t="str">
        <f aca="false">_xlfn.CONCAT(B705,C705,D705,E705,F705)</f>
        <v/>
      </c>
      <c r="Q705" s="1" t="str">
        <f aca="false">_xlfn.CONCAT(H705,I705,J705)</f>
        <v>DAURDE</v>
      </c>
    </row>
    <row r="706" customFormat="false" ht="15" hidden="false" customHeight="false" outlineLevel="0" collapsed="false">
      <c r="G706" s="15" t="n">
        <f aca="false">F706-E706</f>
        <v>0</v>
      </c>
      <c r="H706" s="20" t="s">
        <v>248</v>
      </c>
      <c r="J706" s="20" t="s">
        <v>256</v>
      </c>
      <c r="K706" s="1" t="s">
        <v>430</v>
      </c>
      <c r="L706" s="1" t="s">
        <v>436</v>
      </c>
      <c r="M706" s="20" t="s">
        <v>258</v>
      </c>
      <c r="N706" s="20" t="s">
        <v>379</v>
      </c>
      <c r="O706" s="1" t="s">
        <v>399</v>
      </c>
      <c r="P706" s="22" t="str">
        <f aca="false">_xlfn.CONCAT(B706,C706,D706,E706,F706)</f>
        <v/>
      </c>
      <c r="Q706" s="1" t="str">
        <f aca="false">_xlfn.CONCAT(H706,I706,J706)</f>
        <v>DAURDE</v>
      </c>
    </row>
    <row r="707" customFormat="false" ht="15" hidden="false" customHeight="false" outlineLevel="0" collapsed="false">
      <c r="G707" s="15" t="n">
        <f aca="false">F707-E707</f>
        <v>0</v>
      </c>
      <c r="H707" s="20" t="s">
        <v>248</v>
      </c>
      <c r="J707" s="20" t="s">
        <v>256</v>
      </c>
      <c r="K707" s="1" t="s">
        <v>430</v>
      </c>
      <c r="L707" s="1" t="s">
        <v>436</v>
      </c>
      <c r="M707" s="20" t="s">
        <v>258</v>
      </c>
      <c r="N707" s="20" t="s">
        <v>379</v>
      </c>
      <c r="O707" s="1" t="s">
        <v>399</v>
      </c>
      <c r="P707" s="22" t="str">
        <f aca="false">_xlfn.CONCAT(B707,C707,D707,E707,F707)</f>
        <v/>
      </c>
      <c r="Q707" s="1" t="str">
        <f aca="false">_xlfn.CONCAT(H707,I707,J707)</f>
        <v>DAURDE</v>
      </c>
    </row>
    <row r="708" customFormat="false" ht="15" hidden="false" customHeight="false" outlineLevel="0" collapsed="false">
      <c r="G708" s="15" t="n">
        <f aca="false">F708-E708</f>
        <v>0</v>
      </c>
      <c r="H708" s="20" t="s">
        <v>248</v>
      </c>
      <c r="J708" s="20" t="s">
        <v>256</v>
      </c>
      <c r="K708" s="1" t="s">
        <v>430</v>
      </c>
      <c r="L708" s="1" t="s">
        <v>436</v>
      </c>
      <c r="M708" s="20" t="s">
        <v>258</v>
      </c>
      <c r="N708" s="20" t="s">
        <v>379</v>
      </c>
      <c r="O708" s="1" t="s">
        <v>399</v>
      </c>
      <c r="P708" s="22" t="str">
        <f aca="false">_xlfn.CONCAT(B708,C708,D708,E708,F708)</f>
        <v/>
      </c>
      <c r="Q708" s="1" t="str">
        <f aca="false">_xlfn.CONCAT(H708,I708,J708)</f>
        <v>DAURDE</v>
      </c>
    </row>
    <row r="709" customFormat="false" ht="15" hidden="false" customHeight="false" outlineLevel="0" collapsed="false">
      <c r="G709" s="15" t="n">
        <f aca="false">F709-E709</f>
        <v>0</v>
      </c>
      <c r="H709" s="20" t="s">
        <v>248</v>
      </c>
      <c r="J709" s="20" t="s">
        <v>256</v>
      </c>
      <c r="K709" s="1" t="s">
        <v>430</v>
      </c>
      <c r="L709" s="1" t="s">
        <v>436</v>
      </c>
      <c r="M709" s="20" t="s">
        <v>258</v>
      </c>
      <c r="N709" s="20" t="s">
        <v>379</v>
      </c>
      <c r="O709" s="1" t="s">
        <v>399</v>
      </c>
      <c r="P709" s="22" t="str">
        <f aca="false">_xlfn.CONCAT(B709,C709,D709,E709,F709)</f>
        <v/>
      </c>
      <c r="Q709" s="1" t="str">
        <f aca="false">_xlfn.CONCAT(H709,I709,J709)</f>
        <v>DAURDE</v>
      </c>
    </row>
    <row r="710" customFormat="false" ht="15" hidden="false" customHeight="false" outlineLevel="0" collapsed="false">
      <c r="G710" s="15" t="n">
        <f aca="false">F710-E710</f>
        <v>0</v>
      </c>
      <c r="H710" s="20" t="s">
        <v>248</v>
      </c>
      <c r="J710" s="20" t="s">
        <v>256</v>
      </c>
      <c r="K710" s="1" t="s">
        <v>430</v>
      </c>
      <c r="L710" s="1" t="s">
        <v>436</v>
      </c>
      <c r="M710" s="20" t="s">
        <v>258</v>
      </c>
      <c r="N710" s="20" t="s">
        <v>379</v>
      </c>
      <c r="O710" s="1" t="s">
        <v>399</v>
      </c>
      <c r="P710" s="22" t="str">
        <f aca="false">_xlfn.CONCAT(B710,C710,D710,E710,F710)</f>
        <v/>
      </c>
      <c r="Q710" s="1" t="str">
        <f aca="false">_xlfn.CONCAT(H710,I710,J710)</f>
        <v>DAURDE</v>
      </c>
    </row>
    <row r="711" customFormat="false" ht="15" hidden="false" customHeight="false" outlineLevel="0" collapsed="false">
      <c r="G711" s="15" t="n">
        <f aca="false">F711-E711</f>
        <v>0</v>
      </c>
      <c r="H711" s="20" t="s">
        <v>248</v>
      </c>
      <c r="J711" s="20" t="s">
        <v>256</v>
      </c>
      <c r="K711" s="1" t="s">
        <v>430</v>
      </c>
      <c r="L711" s="1" t="s">
        <v>436</v>
      </c>
      <c r="M711" s="20" t="s">
        <v>258</v>
      </c>
      <c r="N711" s="20" t="s">
        <v>379</v>
      </c>
      <c r="O711" s="1" t="s">
        <v>399</v>
      </c>
      <c r="P711" s="22" t="str">
        <f aca="false">_xlfn.CONCAT(B711,C711,D711,E711,F711)</f>
        <v/>
      </c>
      <c r="Q711" s="1" t="str">
        <f aca="false">_xlfn.CONCAT(H711,I711,J711)</f>
        <v>DAURDE</v>
      </c>
    </row>
    <row r="712" customFormat="false" ht="15" hidden="false" customHeight="false" outlineLevel="0" collapsed="false">
      <c r="G712" s="15" t="n">
        <f aca="false">F712-E712</f>
        <v>0</v>
      </c>
      <c r="H712" s="20" t="s">
        <v>248</v>
      </c>
      <c r="J712" s="20" t="s">
        <v>256</v>
      </c>
      <c r="K712" s="1" t="s">
        <v>430</v>
      </c>
      <c r="L712" s="1" t="s">
        <v>436</v>
      </c>
      <c r="M712" s="20" t="s">
        <v>258</v>
      </c>
      <c r="N712" s="20" t="s">
        <v>379</v>
      </c>
      <c r="O712" s="1" t="s">
        <v>399</v>
      </c>
      <c r="P712" s="22" t="str">
        <f aca="false">_xlfn.CONCAT(B712,C712,D712,E712,F712)</f>
        <v/>
      </c>
      <c r="Q712" s="1" t="str">
        <f aca="false">_xlfn.CONCAT(H712,I712,J712)</f>
        <v>DAURDE</v>
      </c>
    </row>
    <row r="713" customFormat="false" ht="15" hidden="false" customHeight="false" outlineLevel="0" collapsed="false">
      <c r="G713" s="15" t="n">
        <f aca="false">F713-E713</f>
        <v>0</v>
      </c>
      <c r="H713" s="20" t="s">
        <v>248</v>
      </c>
      <c r="J713" s="20" t="s">
        <v>256</v>
      </c>
      <c r="K713" s="1" t="s">
        <v>430</v>
      </c>
      <c r="L713" s="1" t="s">
        <v>436</v>
      </c>
      <c r="M713" s="20" t="s">
        <v>258</v>
      </c>
      <c r="N713" s="20" t="s">
        <v>379</v>
      </c>
      <c r="O713" s="1" t="s">
        <v>399</v>
      </c>
      <c r="P713" s="22" t="str">
        <f aca="false">_xlfn.CONCAT(B713,C713,D713,E713,F713)</f>
        <v/>
      </c>
      <c r="Q713" s="1" t="str">
        <f aca="false">_xlfn.CONCAT(H713,I713,J713)</f>
        <v>DAURDE</v>
      </c>
    </row>
    <row r="714" customFormat="false" ht="15" hidden="false" customHeight="false" outlineLevel="0" collapsed="false">
      <c r="G714" s="15" t="n">
        <f aca="false">F714-E714</f>
        <v>0</v>
      </c>
      <c r="H714" s="20" t="s">
        <v>248</v>
      </c>
      <c r="J714" s="20" t="s">
        <v>256</v>
      </c>
      <c r="K714" s="1" t="s">
        <v>430</v>
      </c>
      <c r="L714" s="1" t="s">
        <v>436</v>
      </c>
      <c r="M714" s="20" t="s">
        <v>258</v>
      </c>
      <c r="N714" s="20" t="s">
        <v>379</v>
      </c>
      <c r="O714" s="1" t="s">
        <v>399</v>
      </c>
      <c r="P714" s="22" t="str">
        <f aca="false">_xlfn.CONCAT(B714,C714,D714,E714,F714)</f>
        <v/>
      </c>
      <c r="Q714" s="1" t="str">
        <f aca="false">_xlfn.CONCAT(H714,I714,J714)</f>
        <v>DAURDE</v>
      </c>
    </row>
    <row r="715" customFormat="false" ht="15" hidden="false" customHeight="false" outlineLevel="0" collapsed="false">
      <c r="G715" s="15" t="n">
        <f aca="false">F715-E715</f>
        <v>0</v>
      </c>
      <c r="H715" s="20" t="s">
        <v>248</v>
      </c>
      <c r="J715" s="20" t="s">
        <v>256</v>
      </c>
      <c r="K715" s="1" t="s">
        <v>430</v>
      </c>
      <c r="L715" s="1" t="s">
        <v>436</v>
      </c>
      <c r="M715" s="20" t="s">
        <v>258</v>
      </c>
      <c r="N715" s="20" t="s">
        <v>379</v>
      </c>
      <c r="O715" s="1" t="s">
        <v>399</v>
      </c>
      <c r="P715" s="22" t="str">
        <f aca="false">_xlfn.CONCAT(B715,C715,D715,E715,F715)</f>
        <v/>
      </c>
      <c r="Q715" s="1" t="str">
        <f aca="false">_xlfn.CONCAT(H715,I715,J715)</f>
        <v>DAURDE</v>
      </c>
    </row>
    <row r="716" customFormat="false" ht="15" hidden="false" customHeight="false" outlineLevel="0" collapsed="false">
      <c r="G716" s="15" t="n">
        <f aca="false">F716-E716</f>
        <v>0</v>
      </c>
      <c r="H716" s="20" t="s">
        <v>248</v>
      </c>
      <c r="J716" s="20" t="s">
        <v>256</v>
      </c>
      <c r="K716" s="1" t="s">
        <v>430</v>
      </c>
      <c r="L716" s="1" t="s">
        <v>436</v>
      </c>
      <c r="M716" s="20" t="s">
        <v>258</v>
      </c>
      <c r="N716" s="20" t="s">
        <v>379</v>
      </c>
      <c r="O716" s="1" t="s">
        <v>399</v>
      </c>
      <c r="P716" s="22" t="str">
        <f aca="false">_xlfn.CONCAT(B716,C716,D716,E716,F716)</f>
        <v/>
      </c>
      <c r="Q716" s="1" t="str">
        <f aca="false">_xlfn.CONCAT(H716,I716,J716)</f>
        <v>DAURDE</v>
      </c>
    </row>
    <row r="717" customFormat="false" ht="15" hidden="false" customHeight="false" outlineLevel="0" collapsed="false">
      <c r="G717" s="15" t="n">
        <f aca="false">F717-E717</f>
        <v>0</v>
      </c>
      <c r="H717" s="20" t="s">
        <v>248</v>
      </c>
      <c r="J717" s="20" t="s">
        <v>256</v>
      </c>
      <c r="K717" s="1" t="s">
        <v>430</v>
      </c>
      <c r="L717" s="1" t="s">
        <v>436</v>
      </c>
      <c r="M717" s="20" t="s">
        <v>258</v>
      </c>
      <c r="N717" s="20" t="s">
        <v>379</v>
      </c>
      <c r="O717" s="1" t="s">
        <v>399</v>
      </c>
      <c r="P717" s="22" t="str">
        <f aca="false">_xlfn.CONCAT(B717,C717,D717,E717,F717)</f>
        <v/>
      </c>
      <c r="Q717" s="1" t="str">
        <f aca="false">_xlfn.CONCAT(H717,I717,J717)</f>
        <v>DAURDE</v>
      </c>
    </row>
    <row r="718" customFormat="false" ht="15" hidden="false" customHeight="false" outlineLevel="0" collapsed="false">
      <c r="G718" s="15" t="n">
        <f aca="false">F718-E718</f>
        <v>0</v>
      </c>
      <c r="H718" s="20" t="s">
        <v>248</v>
      </c>
      <c r="J718" s="20" t="s">
        <v>256</v>
      </c>
      <c r="K718" s="1" t="s">
        <v>430</v>
      </c>
      <c r="L718" s="1" t="s">
        <v>436</v>
      </c>
      <c r="M718" s="20" t="s">
        <v>258</v>
      </c>
      <c r="N718" s="20" t="s">
        <v>379</v>
      </c>
      <c r="O718" s="1" t="s">
        <v>399</v>
      </c>
      <c r="P718" s="22" t="str">
        <f aca="false">_xlfn.CONCAT(B718,C718,D718,E718,F718)</f>
        <v/>
      </c>
      <c r="Q718" s="1" t="str">
        <f aca="false">_xlfn.CONCAT(H718,I718,J718)</f>
        <v>DAURDE</v>
      </c>
    </row>
    <row r="719" customFormat="false" ht="15" hidden="false" customHeight="false" outlineLevel="0" collapsed="false">
      <c r="G719" s="15" t="n">
        <f aca="false">F719-E719</f>
        <v>0</v>
      </c>
      <c r="H719" s="20" t="s">
        <v>248</v>
      </c>
      <c r="J719" s="20" t="s">
        <v>256</v>
      </c>
      <c r="K719" s="1" t="s">
        <v>430</v>
      </c>
      <c r="L719" s="1" t="s">
        <v>436</v>
      </c>
      <c r="M719" s="20" t="s">
        <v>258</v>
      </c>
      <c r="N719" s="20" t="s">
        <v>379</v>
      </c>
      <c r="O719" s="1" t="s">
        <v>399</v>
      </c>
      <c r="P719" s="22" t="str">
        <f aca="false">_xlfn.CONCAT(B719,C719,D719,E719,F719)</f>
        <v/>
      </c>
      <c r="Q719" s="1" t="str">
        <f aca="false">_xlfn.CONCAT(H719,I719,J719)</f>
        <v>DAURDE</v>
      </c>
    </row>
    <row r="720" customFormat="false" ht="15" hidden="false" customHeight="false" outlineLevel="0" collapsed="false">
      <c r="G720" s="15" t="n">
        <f aca="false">F720-E720</f>
        <v>0</v>
      </c>
      <c r="H720" s="20" t="s">
        <v>248</v>
      </c>
      <c r="J720" s="20" t="s">
        <v>256</v>
      </c>
      <c r="K720" s="1" t="s">
        <v>430</v>
      </c>
      <c r="L720" s="1" t="s">
        <v>436</v>
      </c>
      <c r="M720" s="20" t="s">
        <v>258</v>
      </c>
      <c r="N720" s="20" t="s">
        <v>379</v>
      </c>
      <c r="O720" s="1" t="s">
        <v>399</v>
      </c>
      <c r="P720" s="22" t="str">
        <f aca="false">_xlfn.CONCAT(B720,C720,D720,E720,F720)</f>
        <v/>
      </c>
      <c r="Q720" s="1" t="str">
        <f aca="false">_xlfn.CONCAT(H720,I720,J720)</f>
        <v>DAURDE</v>
      </c>
    </row>
    <row r="721" customFormat="false" ht="15" hidden="false" customHeight="false" outlineLevel="0" collapsed="false">
      <c r="G721" s="15" t="n">
        <f aca="false">F721-E721</f>
        <v>0</v>
      </c>
      <c r="H721" s="20" t="s">
        <v>313</v>
      </c>
      <c r="J721" s="20" t="s">
        <v>230</v>
      </c>
      <c r="K721" s="1" t="s">
        <v>230</v>
      </c>
      <c r="L721" s="1" t="s">
        <v>461</v>
      </c>
      <c r="M721" s="20" t="s">
        <v>288</v>
      </c>
      <c r="N721" s="20" t="s">
        <v>462</v>
      </c>
      <c r="O721" s="1" t="s">
        <v>463</v>
      </c>
      <c r="P721" s="22" t="str">
        <f aca="false">_xlfn.CONCAT(B721,C721,D721,E721,F721)</f>
        <v/>
      </c>
      <c r="Q721" s="1" t="str">
        <f aca="false">_xlfn.CONCAT(H721,I721,J721)</f>
        <v>DPRUFV</v>
      </c>
    </row>
    <row r="722" customFormat="false" ht="15" hidden="false" customHeight="false" outlineLevel="0" collapsed="false">
      <c r="G722" s="15" t="n">
        <f aca="false">F722-E722</f>
        <v>0</v>
      </c>
      <c r="H722" s="20" t="s">
        <v>313</v>
      </c>
      <c r="J722" s="20" t="s">
        <v>230</v>
      </c>
      <c r="K722" s="1" t="s">
        <v>230</v>
      </c>
      <c r="L722" s="1" t="s">
        <v>461</v>
      </c>
      <c r="M722" s="20" t="s">
        <v>288</v>
      </c>
      <c r="N722" s="20" t="s">
        <v>462</v>
      </c>
      <c r="O722" s="1" t="s">
        <v>463</v>
      </c>
      <c r="P722" s="22" t="str">
        <f aca="false">_xlfn.CONCAT(B722,C722,D722,E722,F722)</f>
        <v/>
      </c>
      <c r="Q722" s="1" t="str">
        <f aca="false">_xlfn.CONCAT(H722,I722,J722)</f>
        <v>DPRUFV</v>
      </c>
    </row>
    <row r="723" customFormat="false" ht="15" hidden="false" customHeight="false" outlineLevel="0" collapsed="false">
      <c r="G723" s="15" t="n">
        <f aca="false">F723-E723</f>
        <v>0</v>
      </c>
      <c r="H723" s="20" t="s">
        <v>313</v>
      </c>
      <c r="J723" s="20" t="s">
        <v>230</v>
      </c>
      <c r="K723" s="1" t="s">
        <v>230</v>
      </c>
      <c r="L723" s="1" t="s">
        <v>461</v>
      </c>
      <c r="M723" s="20" t="s">
        <v>288</v>
      </c>
      <c r="N723" s="20" t="s">
        <v>462</v>
      </c>
      <c r="O723" s="1" t="s">
        <v>463</v>
      </c>
      <c r="P723" s="22" t="str">
        <f aca="false">_xlfn.CONCAT(B723,C723,D723,E723,F723)</f>
        <v/>
      </c>
      <c r="Q723" s="1" t="str">
        <f aca="false">_xlfn.CONCAT(H723,I723,J723)</f>
        <v>DPRUFV</v>
      </c>
    </row>
    <row r="724" customFormat="false" ht="15" hidden="false" customHeight="false" outlineLevel="0" collapsed="false">
      <c r="G724" s="15" t="n">
        <f aca="false">F724-E724</f>
        <v>0</v>
      </c>
      <c r="H724" s="20" t="s">
        <v>313</v>
      </c>
      <c r="J724" s="20" t="s">
        <v>230</v>
      </c>
      <c r="K724" s="1" t="s">
        <v>230</v>
      </c>
      <c r="L724" s="1" t="s">
        <v>461</v>
      </c>
      <c r="M724" s="20" t="s">
        <v>288</v>
      </c>
      <c r="N724" s="20" t="s">
        <v>462</v>
      </c>
      <c r="O724" s="1" t="s">
        <v>463</v>
      </c>
      <c r="P724" s="22" t="str">
        <f aca="false">_xlfn.CONCAT(B724,C724,D724,E724,F724)</f>
        <v/>
      </c>
      <c r="Q724" s="1" t="str">
        <f aca="false">_xlfn.CONCAT(H724,I724,J724)</f>
        <v>DPRUFV</v>
      </c>
    </row>
    <row r="725" customFormat="false" ht="15" hidden="false" customHeight="false" outlineLevel="0" collapsed="false">
      <c r="G725" s="15" t="n">
        <f aca="false">F725-E725</f>
        <v>0</v>
      </c>
      <c r="H725" s="20" t="s">
        <v>313</v>
      </c>
      <c r="J725" s="20" t="s">
        <v>230</v>
      </c>
      <c r="K725" s="1" t="s">
        <v>230</v>
      </c>
      <c r="L725" s="1" t="s">
        <v>461</v>
      </c>
      <c r="M725" s="20" t="s">
        <v>288</v>
      </c>
      <c r="N725" s="20" t="s">
        <v>462</v>
      </c>
      <c r="O725" s="1" t="s">
        <v>463</v>
      </c>
      <c r="P725" s="22" t="str">
        <f aca="false">_xlfn.CONCAT(B725,C725,D725,E725,F725)</f>
        <v/>
      </c>
      <c r="Q725" s="1" t="str">
        <f aca="false">_xlfn.CONCAT(H725,I725,J725)</f>
        <v>DPRUFV</v>
      </c>
    </row>
    <row r="726" customFormat="false" ht="15" hidden="false" customHeight="false" outlineLevel="0" collapsed="false">
      <c r="G726" s="15" t="n">
        <f aca="false">F726-E726</f>
        <v>0</v>
      </c>
      <c r="H726" s="20" t="s">
        <v>313</v>
      </c>
      <c r="J726" s="20" t="s">
        <v>230</v>
      </c>
      <c r="K726" s="1" t="s">
        <v>230</v>
      </c>
      <c r="L726" s="1" t="s">
        <v>461</v>
      </c>
      <c r="M726" s="20" t="s">
        <v>288</v>
      </c>
      <c r="N726" s="20" t="s">
        <v>462</v>
      </c>
      <c r="O726" s="1" t="s">
        <v>463</v>
      </c>
      <c r="P726" s="22" t="str">
        <f aca="false">_xlfn.CONCAT(B726,C726,D726,E726,F726)</f>
        <v/>
      </c>
      <c r="Q726" s="1" t="str">
        <f aca="false">_xlfn.CONCAT(H726,I726,J726)</f>
        <v>DPRUFV</v>
      </c>
    </row>
    <row r="727" customFormat="false" ht="15" hidden="false" customHeight="false" outlineLevel="0" collapsed="false">
      <c r="G727" s="15" t="n">
        <f aca="false">F727-E727</f>
        <v>0</v>
      </c>
      <c r="H727" s="20" t="s">
        <v>313</v>
      </c>
      <c r="J727" s="20" t="s">
        <v>230</v>
      </c>
      <c r="K727" s="1" t="s">
        <v>230</v>
      </c>
      <c r="L727" s="1" t="s">
        <v>461</v>
      </c>
      <c r="M727" s="20" t="s">
        <v>288</v>
      </c>
      <c r="N727" s="20" t="s">
        <v>462</v>
      </c>
      <c r="O727" s="1" t="s">
        <v>463</v>
      </c>
      <c r="P727" s="22" t="str">
        <f aca="false">_xlfn.CONCAT(B727,C727,D727,E727,F727)</f>
        <v/>
      </c>
      <c r="Q727" s="1" t="str">
        <f aca="false">_xlfn.CONCAT(H727,I727,J727)</f>
        <v>DPRUFV</v>
      </c>
    </row>
    <row r="728" customFormat="false" ht="15" hidden="false" customHeight="false" outlineLevel="0" collapsed="false">
      <c r="G728" s="15" t="n">
        <f aca="false">F728-E728</f>
        <v>0</v>
      </c>
      <c r="H728" s="20" t="s">
        <v>313</v>
      </c>
      <c r="J728" s="20" t="s">
        <v>230</v>
      </c>
      <c r="K728" s="1" t="s">
        <v>230</v>
      </c>
      <c r="L728" s="1" t="s">
        <v>461</v>
      </c>
      <c r="M728" s="20" t="s">
        <v>288</v>
      </c>
      <c r="N728" s="20" t="s">
        <v>462</v>
      </c>
      <c r="O728" s="1" t="s">
        <v>463</v>
      </c>
      <c r="P728" s="22" t="str">
        <f aca="false">_xlfn.CONCAT(B728,C728,D728,E728,F728)</f>
        <v/>
      </c>
      <c r="Q728" s="1" t="str">
        <f aca="false">_xlfn.CONCAT(H728,I728,J728)</f>
        <v>DPRUFV</v>
      </c>
    </row>
    <row r="729" customFormat="false" ht="15" hidden="false" customHeight="false" outlineLevel="0" collapsed="false">
      <c r="G729" s="15" t="n">
        <f aca="false">F729-E729</f>
        <v>0</v>
      </c>
      <c r="H729" s="20" t="s">
        <v>445</v>
      </c>
      <c r="I729" s="1" t="s">
        <v>263</v>
      </c>
      <c r="J729" s="20" t="s">
        <v>264</v>
      </c>
      <c r="K729" s="1" t="s">
        <v>456</v>
      </c>
      <c r="L729" s="1" t="s">
        <v>457</v>
      </c>
      <c r="M729" s="20" t="s">
        <v>266</v>
      </c>
      <c r="N729" s="20" t="s">
        <v>252</v>
      </c>
      <c r="O729" s="1" t="s">
        <v>458</v>
      </c>
      <c r="P729" s="22" t="str">
        <f aca="false">_xlfn.CONCAT(B729,C729,D729,E729,F729)</f>
        <v/>
      </c>
      <c r="Q729" s="1" t="str">
        <f aca="false">_xlfn.CONCAT(H729,I729,J729)</f>
        <v>LIGRFOCOM</v>
      </c>
    </row>
    <row r="730" customFormat="false" ht="15" hidden="false" customHeight="false" outlineLevel="0" collapsed="false">
      <c r="G730" s="15" t="n">
        <f aca="false">F730-E730</f>
        <v>0</v>
      </c>
      <c r="H730" s="20" t="s">
        <v>445</v>
      </c>
      <c r="I730" s="1" t="s">
        <v>263</v>
      </c>
      <c r="J730" s="20" t="s">
        <v>264</v>
      </c>
      <c r="K730" s="1" t="s">
        <v>456</v>
      </c>
      <c r="L730" s="1" t="s">
        <v>457</v>
      </c>
      <c r="M730" s="20" t="s">
        <v>266</v>
      </c>
      <c r="N730" s="20" t="s">
        <v>252</v>
      </c>
      <c r="O730" s="1" t="s">
        <v>458</v>
      </c>
      <c r="P730" s="22" t="str">
        <f aca="false">_xlfn.CONCAT(B730,C730,D730,E730,F730)</f>
        <v/>
      </c>
      <c r="Q730" s="1" t="str">
        <f aca="false">_xlfn.CONCAT(H730,I730,J730)</f>
        <v>LIGRFOCOM</v>
      </c>
    </row>
    <row r="731" customFormat="false" ht="15" hidden="false" customHeight="false" outlineLevel="0" collapsed="false">
      <c r="G731" s="15" t="n">
        <f aca="false">F731-E731</f>
        <v>0</v>
      </c>
      <c r="H731" s="20" t="s">
        <v>445</v>
      </c>
      <c r="I731" s="1" t="s">
        <v>263</v>
      </c>
      <c r="J731" s="20" t="s">
        <v>264</v>
      </c>
      <c r="K731" s="1" t="s">
        <v>456</v>
      </c>
      <c r="L731" s="1" t="s">
        <v>457</v>
      </c>
      <c r="M731" s="20" t="s">
        <v>266</v>
      </c>
      <c r="N731" s="20" t="s">
        <v>252</v>
      </c>
      <c r="O731" s="1" t="s">
        <v>458</v>
      </c>
      <c r="P731" s="22" t="str">
        <f aca="false">_xlfn.CONCAT(B731,C731,D731,E731,F731)</f>
        <v/>
      </c>
      <c r="Q731" s="1" t="str">
        <f aca="false">_xlfn.CONCAT(H731,I731,J731)</f>
        <v>LIGRFOCOM</v>
      </c>
    </row>
    <row r="732" customFormat="false" ht="15" hidden="false" customHeight="false" outlineLevel="0" collapsed="false">
      <c r="G732" s="15" t="n">
        <f aca="false">F732-E732</f>
        <v>0</v>
      </c>
      <c r="H732" s="20" t="s">
        <v>445</v>
      </c>
      <c r="I732" s="1" t="s">
        <v>263</v>
      </c>
      <c r="J732" s="20" t="s">
        <v>264</v>
      </c>
      <c r="K732" s="1" t="s">
        <v>456</v>
      </c>
      <c r="L732" s="1" t="s">
        <v>457</v>
      </c>
      <c r="M732" s="20" t="s">
        <v>266</v>
      </c>
      <c r="N732" s="20" t="s">
        <v>252</v>
      </c>
      <c r="O732" s="1" t="s">
        <v>458</v>
      </c>
      <c r="P732" s="22" t="str">
        <f aca="false">_xlfn.CONCAT(B732,C732,D732,E732,F732)</f>
        <v/>
      </c>
      <c r="Q732" s="1" t="str">
        <f aca="false">_xlfn.CONCAT(H732,I732,J732)</f>
        <v>LIGRFOCOM</v>
      </c>
    </row>
    <row r="733" customFormat="false" ht="15" hidden="false" customHeight="false" outlineLevel="0" collapsed="false">
      <c r="G733" s="15" t="n">
        <f aca="false">F733-E733</f>
        <v>0</v>
      </c>
      <c r="H733" s="20" t="s">
        <v>445</v>
      </c>
      <c r="I733" s="1" t="s">
        <v>263</v>
      </c>
      <c r="J733" s="20" t="s">
        <v>264</v>
      </c>
      <c r="K733" s="1" t="s">
        <v>456</v>
      </c>
      <c r="L733" s="21" t="s">
        <v>464</v>
      </c>
      <c r="M733" s="20" t="s">
        <v>266</v>
      </c>
      <c r="N733" s="20" t="s">
        <v>252</v>
      </c>
      <c r="O733" s="1" t="s">
        <v>465</v>
      </c>
      <c r="P733" s="22"/>
    </row>
    <row r="734" customFormat="false" ht="15" hidden="false" customHeight="false" outlineLevel="0" collapsed="false">
      <c r="G734" s="15" t="n">
        <f aca="false">F734-E734</f>
        <v>0</v>
      </c>
      <c r="H734" s="20" t="s">
        <v>445</v>
      </c>
      <c r="I734" s="1" t="s">
        <v>263</v>
      </c>
      <c r="J734" s="20" t="s">
        <v>264</v>
      </c>
      <c r="K734" s="1" t="s">
        <v>456</v>
      </c>
      <c r="L734" s="21" t="s">
        <v>464</v>
      </c>
      <c r="M734" s="20" t="s">
        <v>266</v>
      </c>
      <c r="N734" s="20" t="s">
        <v>252</v>
      </c>
      <c r="O734" s="1" t="s">
        <v>465</v>
      </c>
      <c r="P734" s="22"/>
    </row>
    <row r="735" customFormat="false" ht="15" hidden="false" customHeight="false" outlineLevel="0" collapsed="false">
      <c r="G735" s="15" t="n">
        <f aca="false">F735-E735</f>
        <v>0</v>
      </c>
      <c r="H735" s="20" t="s">
        <v>445</v>
      </c>
      <c r="I735" s="1" t="s">
        <v>263</v>
      </c>
      <c r="J735" s="20" t="s">
        <v>264</v>
      </c>
      <c r="K735" s="1" t="s">
        <v>456</v>
      </c>
      <c r="L735" s="21" t="s">
        <v>464</v>
      </c>
      <c r="M735" s="20" t="s">
        <v>266</v>
      </c>
      <c r="N735" s="20" t="s">
        <v>252</v>
      </c>
      <c r="O735" s="1" t="s">
        <v>465</v>
      </c>
      <c r="P735" s="22"/>
    </row>
    <row r="736" customFormat="false" ht="15" hidden="false" customHeight="false" outlineLevel="0" collapsed="false">
      <c r="G736" s="15" t="n">
        <f aca="false">F736-E736</f>
        <v>0</v>
      </c>
      <c r="H736" s="20" t="s">
        <v>445</v>
      </c>
      <c r="I736" s="1" t="s">
        <v>263</v>
      </c>
      <c r="J736" s="20" t="s">
        <v>264</v>
      </c>
      <c r="K736" s="1" t="s">
        <v>456</v>
      </c>
      <c r="L736" s="21" t="s">
        <v>464</v>
      </c>
      <c r="M736" s="20" t="s">
        <v>266</v>
      </c>
      <c r="N736" s="20" t="s">
        <v>252</v>
      </c>
      <c r="O736" s="1" t="s">
        <v>465</v>
      </c>
      <c r="P736" s="22"/>
    </row>
    <row r="737" customFormat="false" ht="15" hidden="false" customHeight="false" outlineLevel="0" collapsed="false">
      <c r="G737" s="15" t="n">
        <f aca="false">F737-E737</f>
        <v>0</v>
      </c>
      <c r="H737" s="20" t="s">
        <v>445</v>
      </c>
      <c r="I737" s="1" t="s">
        <v>263</v>
      </c>
      <c r="J737" s="20" t="s">
        <v>264</v>
      </c>
      <c r="K737" s="1" t="s">
        <v>456</v>
      </c>
      <c r="L737" s="21" t="s">
        <v>464</v>
      </c>
      <c r="M737" s="20" t="s">
        <v>266</v>
      </c>
      <c r="N737" s="20" t="s">
        <v>252</v>
      </c>
      <c r="O737" s="1" t="s">
        <v>465</v>
      </c>
      <c r="P737" s="22"/>
    </row>
    <row r="738" customFormat="false" ht="15" hidden="false" customHeight="false" outlineLevel="0" collapsed="false">
      <c r="G738" s="15" t="n">
        <f aca="false">F738-E738</f>
        <v>0</v>
      </c>
      <c r="H738" s="20" t="s">
        <v>445</v>
      </c>
      <c r="I738" s="1" t="s">
        <v>263</v>
      </c>
      <c r="J738" s="20" t="s">
        <v>264</v>
      </c>
      <c r="K738" s="1" t="s">
        <v>456</v>
      </c>
      <c r="L738" s="21" t="s">
        <v>464</v>
      </c>
      <c r="M738" s="20" t="s">
        <v>266</v>
      </c>
      <c r="N738" s="20" t="s">
        <v>252</v>
      </c>
      <c r="O738" s="1" t="s">
        <v>465</v>
      </c>
      <c r="P738" s="22"/>
    </row>
    <row r="739" customFormat="false" ht="15" hidden="false" customHeight="false" outlineLevel="0" collapsed="false">
      <c r="G739" s="15" t="n">
        <f aca="false">F739-E739</f>
        <v>0</v>
      </c>
      <c r="H739" s="20" t="s">
        <v>445</v>
      </c>
      <c r="I739" s="1" t="s">
        <v>263</v>
      </c>
      <c r="J739" s="20" t="s">
        <v>264</v>
      </c>
      <c r="K739" s="1" t="s">
        <v>456</v>
      </c>
      <c r="L739" s="21" t="s">
        <v>464</v>
      </c>
      <c r="M739" s="20" t="s">
        <v>266</v>
      </c>
      <c r="N739" s="20" t="s">
        <v>252</v>
      </c>
      <c r="O739" s="1" t="s">
        <v>465</v>
      </c>
      <c r="P739" s="22"/>
    </row>
    <row r="740" customFormat="false" ht="15" hidden="false" customHeight="false" outlineLevel="0" collapsed="false">
      <c r="G740" s="15" t="n">
        <f aca="false">F740-E740</f>
        <v>0</v>
      </c>
      <c r="H740" s="20" t="s">
        <v>445</v>
      </c>
      <c r="I740" s="1" t="s">
        <v>263</v>
      </c>
      <c r="J740" s="20" t="s">
        <v>264</v>
      </c>
      <c r="K740" s="1" t="s">
        <v>456</v>
      </c>
      <c r="L740" s="21" t="s">
        <v>464</v>
      </c>
      <c r="M740" s="20" t="s">
        <v>266</v>
      </c>
      <c r="N740" s="20" t="s">
        <v>252</v>
      </c>
      <c r="O740" s="1" t="s">
        <v>465</v>
      </c>
      <c r="P740" s="22"/>
    </row>
    <row r="741" customFormat="false" ht="15" hidden="false" customHeight="false" outlineLevel="0" collapsed="false">
      <c r="G741" s="15" t="n">
        <f aca="false">F741-E741</f>
        <v>0</v>
      </c>
      <c r="H741" s="20" t="s">
        <v>445</v>
      </c>
      <c r="I741" s="1" t="s">
        <v>263</v>
      </c>
      <c r="J741" s="20" t="s">
        <v>264</v>
      </c>
      <c r="K741" s="1" t="s">
        <v>456</v>
      </c>
      <c r="L741" s="21" t="s">
        <v>464</v>
      </c>
      <c r="M741" s="20" t="s">
        <v>266</v>
      </c>
      <c r="N741" s="20" t="s">
        <v>252</v>
      </c>
      <c r="O741" s="1" t="s">
        <v>465</v>
      </c>
      <c r="P741" s="22"/>
    </row>
    <row r="742" customFormat="false" ht="15" hidden="false" customHeight="false" outlineLevel="0" collapsed="false">
      <c r="G742" s="15" t="n">
        <f aca="false">F742-E742</f>
        <v>0</v>
      </c>
      <c r="H742" s="20" t="s">
        <v>445</v>
      </c>
      <c r="I742" s="1" t="s">
        <v>263</v>
      </c>
      <c r="J742" s="20" t="s">
        <v>264</v>
      </c>
      <c r="K742" s="1" t="s">
        <v>456</v>
      </c>
      <c r="L742" s="21" t="s">
        <v>464</v>
      </c>
      <c r="M742" s="20" t="s">
        <v>266</v>
      </c>
      <c r="N742" s="20" t="s">
        <v>252</v>
      </c>
      <c r="O742" s="1" t="s">
        <v>465</v>
      </c>
      <c r="P742" s="22"/>
    </row>
    <row r="743" customFormat="false" ht="15" hidden="false" customHeight="false" outlineLevel="0" collapsed="false">
      <c r="G743" s="15" t="n">
        <f aca="false">F743-E743</f>
        <v>0</v>
      </c>
      <c r="H743" s="20" t="s">
        <v>445</v>
      </c>
      <c r="I743" s="1" t="s">
        <v>263</v>
      </c>
      <c r="J743" s="20" t="s">
        <v>264</v>
      </c>
      <c r="K743" s="1" t="s">
        <v>456</v>
      </c>
      <c r="L743" s="21" t="s">
        <v>464</v>
      </c>
      <c r="M743" s="20" t="s">
        <v>266</v>
      </c>
      <c r="N743" s="20" t="s">
        <v>252</v>
      </c>
      <c r="O743" s="1" t="s">
        <v>465</v>
      </c>
      <c r="P743" s="22"/>
    </row>
    <row r="744" customFormat="false" ht="15" hidden="false" customHeight="false" outlineLevel="0" collapsed="false">
      <c r="G744" s="15" t="n">
        <f aca="false">F744-E744</f>
        <v>0</v>
      </c>
      <c r="H744" s="20" t="s">
        <v>445</v>
      </c>
      <c r="I744" s="1" t="s">
        <v>263</v>
      </c>
      <c r="J744" s="20" t="s">
        <v>264</v>
      </c>
      <c r="K744" s="1" t="s">
        <v>456</v>
      </c>
      <c r="L744" s="21" t="s">
        <v>464</v>
      </c>
      <c r="M744" s="20" t="s">
        <v>266</v>
      </c>
      <c r="N744" s="20" t="s">
        <v>252</v>
      </c>
      <c r="O744" s="1" t="s">
        <v>465</v>
      </c>
      <c r="P744" s="22"/>
    </row>
    <row r="745" customFormat="false" ht="15" hidden="false" customHeight="false" outlineLevel="0" collapsed="false">
      <c r="G745" s="15" t="n">
        <f aca="false">F745-E745</f>
        <v>0</v>
      </c>
      <c r="H745" s="20" t="s">
        <v>445</v>
      </c>
      <c r="I745" s="1" t="s">
        <v>263</v>
      </c>
      <c r="J745" s="20" t="s">
        <v>264</v>
      </c>
      <c r="K745" s="1" t="s">
        <v>456</v>
      </c>
      <c r="L745" s="21" t="s">
        <v>464</v>
      </c>
      <c r="M745" s="20" t="s">
        <v>266</v>
      </c>
      <c r="N745" s="20" t="s">
        <v>252</v>
      </c>
      <c r="O745" s="1" t="s">
        <v>465</v>
      </c>
      <c r="P745" s="22"/>
    </row>
    <row r="746" customFormat="false" ht="15" hidden="false" customHeight="false" outlineLevel="0" collapsed="false">
      <c r="G746" s="15" t="n">
        <f aca="false">F746-E746</f>
        <v>0</v>
      </c>
      <c r="H746" s="20" t="s">
        <v>445</v>
      </c>
      <c r="I746" s="1" t="s">
        <v>263</v>
      </c>
      <c r="J746" s="20" t="s">
        <v>264</v>
      </c>
      <c r="K746" s="1" t="s">
        <v>456</v>
      </c>
      <c r="L746" s="21" t="s">
        <v>464</v>
      </c>
      <c r="M746" s="20" t="s">
        <v>266</v>
      </c>
      <c r="N746" s="20" t="s">
        <v>252</v>
      </c>
      <c r="O746" s="1" t="s">
        <v>465</v>
      </c>
      <c r="P746" s="22"/>
    </row>
    <row r="747" customFormat="false" ht="15" hidden="false" customHeight="false" outlineLevel="0" collapsed="false">
      <c r="G747" s="15" t="n">
        <f aca="false">F747-E747</f>
        <v>0</v>
      </c>
      <c r="H747" s="20" t="s">
        <v>445</v>
      </c>
      <c r="I747" s="1" t="s">
        <v>263</v>
      </c>
      <c r="J747" s="20" t="s">
        <v>264</v>
      </c>
      <c r="K747" s="1" t="s">
        <v>456</v>
      </c>
      <c r="L747" s="21" t="s">
        <v>464</v>
      </c>
      <c r="M747" s="20" t="s">
        <v>266</v>
      </c>
      <c r="N747" s="20" t="s">
        <v>252</v>
      </c>
      <c r="O747" s="1" t="s">
        <v>465</v>
      </c>
      <c r="P747" s="22"/>
    </row>
    <row r="748" customFormat="false" ht="15" hidden="false" customHeight="false" outlineLevel="0" collapsed="false">
      <c r="G748" s="15" t="n">
        <f aca="false">F748-E748</f>
        <v>0</v>
      </c>
      <c r="H748" s="20" t="s">
        <v>445</v>
      </c>
      <c r="I748" s="1" t="s">
        <v>263</v>
      </c>
      <c r="J748" s="20" t="s">
        <v>264</v>
      </c>
      <c r="K748" s="1" t="s">
        <v>456</v>
      </c>
      <c r="L748" s="21" t="s">
        <v>464</v>
      </c>
      <c r="M748" s="20" t="s">
        <v>266</v>
      </c>
      <c r="N748" s="20" t="s">
        <v>252</v>
      </c>
      <c r="O748" s="1" t="s">
        <v>465</v>
      </c>
      <c r="P748" s="22"/>
    </row>
    <row r="749" customFormat="false" ht="15" hidden="false" customHeight="false" outlineLevel="0" collapsed="false">
      <c r="G749" s="15" t="n">
        <f aca="false">F749-E749</f>
        <v>0</v>
      </c>
      <c r="H749" s="20" t="s">
        <v>445</v>
      </c>
      <c r="I749" s="1" t="s">
        <v>263</v>
      </c>
      <c r="J749" s="20" t="s">
        <v>264</v>
      </c>
      <c r="K749" s="1" t="s">
        <v>456</v>
      </c>
      <c r="L749" s="21" t="s">
        <v>464</v>
      </c>
      <c r="M749" s="20" t="s">
        <v>266</v>
      </c>
      <c r="N749" s="20" t="s">
        <v>252</v>
      </c>
      <c r="O749" s="1" t="s">
        <v>465</v>
      </c>
      <c r="P749" s="22"/>
    </row>
    <row r="750" customFormat="false" ht="15" hidden="false" customHeight="false" outlineLevel="0" collapsed="false">
      <c r="G750" s="15" t="n">
        <f aca="false">F750-E750</f>
        <v>0</v>
      </c>
      <c r="H750" s="20" t="s">
        <v>445</v>
      </c>
      <c r="I750" s="1" t="s">
        <v>263</v>
      </c>
      <c r="J750" s="20" t="s">
        <v>264</v>
      </c>
      <c r="K750" s="1" t="s">
        <v>456</v>
      </c>
      <c r="L750" s="21" t="s">
        <v>464</v>
      </c>
      <c r="M750" s="20" t="s">
        <v>266</v>
      </c>
      <c r="N750" s="20" t="s">
        <v>252</v>
      </c>
      <c r="O750" s="1" t="s">
        <v>465</v>
      </c>
      <c r="P750" s="22"/>
    </row>
    <row r="751" customFormat="false" ht="15" hidden="false" customHeight="false" outlineLevel="0" collapsed="false">
      <c r="G751" s="15" t="n">
        <f aca="false">F751-E751</f>
        <v>0</v>
      </c>
      <c r="H751" s="20" t="s">
        <v>313</v>
      </c>
      <c r="J751" s="20" t="s">
        <v>230</v>
      </c>
      <c r="K751" s="1" t="s">
        <v>230</v>
      </c>
      <c r="L751" s="1" t="s">
        <v>466</v>
      </c>
      <c r="M751" s="20" t="s">
        <v>288</v>
      </c>
      <c r="N751" s="20" t="s">
        <v>462</v>
      </c>
      <c r="O751" s="1" t="s">
        <v>463</v>
      </c>
      <c r="P751" s="22" t="str">
        <f aca="false">_xlfn.CONCAT(B751,C751,D751,E751,F751)</f>
        <v/>
      </c>
      <c r="Q751" s="1" t="str">
        <f aca="false">_xlfn.CONCAT(H751,I751,J751)</f>
        <v>DPRUFV</v>
      </c>
    </row>
    <row r="752" customFormat="false" ht="15" hidden="false" customHeight="false" outlineLevel="0" collapsed="false">
      <c r="G752" s="15" t="n">
        <f aca="false">F752-E752</f>
        <v>0</v>
      </c>
      <c r="H752" s="20" t="s">
        <v>313</v>
      </c>
      <c r="J752" s="20" t="s">
        <v>230</v>
      </c>
      <c r="K752" s="1" t="s">
        <v>230</v>
      </c>
      <c r="L752" s="1" t="s">
        <v>466</v>
      </c>
      <c r="M752" s="20" t="s">
        <v>288</v>
      </c>
      <c r="N752" s="20" t="s">
        <v>462</v>
      </c>
      <c r="O752" s="1" t="s">
        <v>463</v>
      </c>
      <c r="P752" s="22" t="str">
        <f aca="false">_xlfn.CONCAT(B752,C752,D752,E752,F752)</f>
        <v/>
      </c>
      <c r="Q752" s="1" t="str">
        <f aca="false">_xlfn.CONCAT(H752,I752,J752)</f>
        <v>DPRUFV</v>
      </c>
    </row>
    <row r="753" customFormat="false" ht="15" hidden="false" customHeight="false" outlineLevel="0" collapsed="false">
      <c r="G753" s="15" t="n">
        <f aca="false">F753-E753</f>
        <v>0</v>
      </c>
      <c r="H753" s="20" t="s">
        <v>313</v>
      </c>
      <c r="J753" s="20" t="s">
        <v>230</v>
      </c>
      <c r="K753" s="1" t="s">
        <v>230</v>
      </c>
      <c r="L753" s="1" t="s">
        <v>466</v>
      </c>
      <c r="M753" s="20" t="s">
        <v>288</v>
      </c>
      <c r="N753" s="20" t="s">
        <v>462</v>
      </c>
      <c r="O753" s="1" t="s">
        <v>463</v>
      </c>
      <c r="P753" s="22" t="str">
        <f aca="false">_xlfn.CONCAT(B753,C753,D753,E753,F753)</f>
        <v/>
      </c>
      <c r="Q753" s="1" t="str">
        <f aca="false">_xlfn.CONCAT(H753,I753,J753)</f>
        <v>DPRUFV</v>
      </c>
    </row>
    <row r="754" customFormat="false" ht="15" hidden="false" customHeight="false" outlineLevel="0" collapsed="false">
      <c r="G754" s="15" t="n">
        <f aca="false">F754-E754</f>
        <v>0</v>
      </c>
      <c r="H754" s="20" t="s">
        <v>313</v>
      </c>
      <c r="J754" s="20" t="s">
        <v>230</v>
      </c>
      <c r="K754" s="1" t="s">
        <v>230</v>
      </c>
      <c r="L754" s="1" t="s">
        <v>466</v>
      </c>
      <c r="M754" s="20" t="s">
        <v>288</v>
      </c>
      <c r="N754" s="20" t="s">
        <v>462</v>
      </c>
      <c r="O754" s="1" t="s">
        <v>463</v>
      </c>
      <c r="P754" s="22" t="str">
        <f aca="false">_xlfn.CONCAT(B754,C754,D754,E754,F754)</f>
        <v/>
      </c>
      <c r="Q754" s="1" t="str">
        <f aca="false">_xlfn.CONCAT(H754,I754,J754)</f>
        <v>DPRUFV</v>
      </c>
    </row>
    <row r="755" customFormat="false" ht="15" hidden="false" customHeight="false" outlineLevel="0" collapsed="false">
      <c r="G755" s="15" t="n">
        <f aca="false">F755-E755</f>
        <v>0</v>
      </c>
      <c r="H755" s="20" t="s">
        <v>313</v>
      </c>
      <c r="J755" s="20" t="s">
        <v>230</v>
      </c>
      <c r="K755" s="1" t="s">
        <v>230</v>
      </c>
      <c r="L755" s="1" t="s">
        <v>466</v>
      </c>
      <c r="M755" s="20" t="s">
        <v>288</v>
      </c>
      <c r="N755" s="20" t="s">
        <v>462</v>
      </c>
      <c r="O755" s="1" t="s">
        <v>463</v>
      </c>
      <c r="P755" s="22" t="str">
        <f aca="false">_xlfn.CONCAT(B755,C755,D755,E755,F755)</f>
        <v/>
      </c>
      <c r="Q755" s="1" t="str">
        <f aca="false">_xlfn.CONCAT(H755,I755,J755)</f>
        <v>DPRUFV</v>
      </c>
    </row>
    <row r="756" customFormat="false" ht="15" hidden="false" customHeight="false" outlineLevel="0" collapsed="false">
      <c r="G756" s="15" t="n">
        <f aca="false">F756-E756</f>
        <v>0</v>
      </c>
      <c r="H756" s="20" t="s">
        <v>313</v>
      </c>
      <c r="J756" s="20" t="s">
        <v>230</v>
      </c>
      <c r="K756" s="1" t="s">
        <v>230</v>
      </c>
      <c r="L756" s="1" t="s">
        <v>466</v>
      </c>
      <c r="M756" s="20" t="s">
        <v>288</v>
      </c>
      <c r="N756" s="20" t="s">
        <v>462</v>
      </c>
      <c r="O756" s="1" t="s">
        <v>463</v>
      </c>
      <c r="P756" s="22" t="str">
        <f aca="false">_xlfn.CONCAT(B756,C756,D756,E756,F756)</f>
        <v/>
      </c>
      <c r="Q756" s="1" t="str">
        <f aca="false">_xlfn.CONCAT(H756,I756,J756)</f>
        <v>DPRUFV</v>
      </c>
    </row>
    <row r="757" customFormat="false" ht="15" hidden="false" customHeight="false" outlineLevel="0" collapsed="false">
      <c r="G757" s="15" t="n">
        <f aca="false">F757-E757</f>
        <v>0</v>
      </c>
      <c r="H757" s="20" t="s">
        <v>313</v>
      </c>
      <c r="J757" s="20" t="s">
        <v>230</v>
      </c>
      <c r="K757" s="1" t="s">
        <v>230</v>
      </c>
      <c r="L757" s="1" t="s">
        <v>466</v>
      </c>
      <c r="M757" s="20" t="s">
        <v>288</v>
      </c>
      <c r="N757" s="20" t="s">
        <v>462</v>
      </c>
      <c r="O757" s="1" t="s">
        <v>463</v>
      </c>
      <c r="P757" s="22" t="str">
        <f aca="false">_xlfn.CONCAT(B757,C757,D757,E757,F757)</f>
        <v/>
      </c>
      <c r="Q757" s="1" t="str">
        <f aca="false">_xlfn.CONCAT(H757,I757,J757)</f>
        <v>DPRUFV</v>
      </c>
    </row>
    <row r="758" customFormat="false" ht="15" hidden="false" customHeight="false" outlineLevel="0" collapsed="false">
      <c r="G758" s="15" t="n">
        <f aca="false">F758-E758</f>
        <v>0</v>
      </c>
      <c r="H758" s="20" t="s">
        <v>248</v>
      </c>
      <c r="J758" s="20" t="s">
        <v>249</v>
      </c>
      <c r="K758" s="1" t="s">
        <v>439</v>
      </c>
      <c r="L758" s="1" t="s">
        <v>467</v>
      </c>
      <c r="M758" s="20" t="s">
        <v>251</v>
      </c>
      <c r="N758" s="20" t="s">
        <v>252</v>
      </c>
      <c r="O758" s="1" t="s">
        <v>468</v>
      </c>
      <c r="P758" s="22" t="str">
        <f aca="false">_xlfn.CONCAT(B758,C758,D758,E758,F758)</f>
        <v/>
      </c>
      <c r="Q758" s="1" t="str">
        <f aca="false">_xlfn.CONCAT(H758,I758,J758)</f>
        <v>DAUINV</v>
      </c>
    </row>
    <row r="759" customFormat="false" ht="15" hidden="false" customHeight="false" outlineLevel="0" collapsed="false">
      <c r="G759" s="15" t="n">
        <f aca="false">F759-E759</f>
        <v>0</v>
      </c>
      <c r="H759" s="20" t="s">
        <v>248</v>
      </c>
      <c r="J759" s="20" t="s">
        <v>249</v>
      </c>
      <c r="K759" s="1" t="s">
        <v>439</v>
      </c>
      <c r="L759" s="1" t="s">
        <v>467</v>
      </c>
      <c r="M759" s="20" t="s">
        <v>251</v>
      </c>
      <c r="N759" s="20" t="s">
        <v>252</v>
      </c>
      <c r="O759" s="1" t="s">
        <v>468</v>
      </c>
      <c r="P759" s="22" t="str">
        <f aca="false">_xlfn.CONCAT(B759,C759,D759,E759,F759)</f>
        <v/>
      </c>
      <c r="Q759" s="1" t="str">
        <f aca="false">_xlfn.CONCAT(H759,I759,J759)</f>
        <v>DAUINV</v>
      </c>
    </row>
    <row r="760" customFormat="false" ht="15" hidden="false" customHeight="false" outlineLevel="0" collapsed="false">
      <c r="G760" s="15" t="n">
        <f aca="false">F760-E760</f>
        <v>0</v>
      </c>
      <c r="H760" s="20" t="s">
        <v>248</v>
      </c>
      <c r="J760" s="20" t="s">
        <v>249</v>
      </c>
      <c r="K760" s="1" t="s">
        <v>439</v>
      </c>
      <c r="L760" s="1" t="s">
        <v>467</v>
      </c>
      <c r="M760" s="20" t="s">
        <v>251</v>
      </c>
      <c r="N760" s="20" t="s">
        <v>252</v>
      </c>
      <c r="O760" s="1" t="s">
        <v>468</v>
      </c>
      <c r="P760" s="22" t="str">
        <f aca="false">_xlfn.CONCAT(B760,C760,D760,E760,F760)</f>
        <v/>
      </c>
      <c r="Q760" s="1" t="str">
        <f aca="false">_xlfn.CONCAT(H760,I760,J760)</f>
        <v>DAUINV</v>
      </c>
    </row>
    <row r="761" customFormat="false" ht="15" hidden="false" customHeight="false" outlineLevel="0" collapsed="false">
      <c r="G761" s="15" t="n">
        <f aca="false">F761-E761</f>
        <v>0</v>
      </c>
      <c r="H761" s="20" t="s">
        <v>248</v>
      </c>
      <c r="J761" s="20" t="s">
        <v>256</v>
      </c>
      <c r="K761" s="1" t="s">
        <v>430</v>
      </c>
      <c r="L761" s="1" t="s">
        <v>436</v>
      </c>
      <c r="M761" s="20" t="s">
        <v>258</v>
      </c>
      <c r="N761" s="20" t="s">
        <v>379</v>
      </c>
      <c r="O761" s="1" t="s">
        <v>399</v>
      </c>
      <c r="P761" s="22" t="str">
        <f aca="false">_xlfn.CONCAT(B761,C761,D761,E761,F761)</f>
        <v/>
      </c>
      <c r="Q761" s="1" t="str">
        <f aca="false">_xlfn.CONCAT(H761,I761,J761)</f>
        <v>DAURDE</v>
      </c>
    </row>
    <row r="762" customFormat="false" ht="15" hidden="false" customHeight="false" outlineLevel="0" collapsed="false">
      <c r="G762" s="15" t="n">
        <f aca="false">F762-E762</f>
        <v>0</v>
      </c>
      <c r="H762" s="20" t="s">
        <v>248</v>
      </c>
      <c r="J762" s="20" t="s">
        <v>256</v>
      </c>
      <c r="K762" s="1" t="s">
        <v>430</v>
      </c>
      <c r="L762" s="1" t="s">
        <v>436</v>
      </c>
      <c r="M762" s="20" t="s">
        <v>258</v>
      </c>
      <c r="N762" s="20" t="s">
        <v>379</v>
      </c>
      <c r="O762" s="1" t="s">
        <v>399</v>
      </c>
      <c r="P762" s="22" t="str">
        <f aca="false">_xlfn.CONCAT(B762,C762,D762,E762,F762)</f>
        <v/>
      </c>
      <c r="Q762" s="1" t="str">
        <f aca="false">_xlfn.CONCAT(H762,I762,J762)</f>
        <v>DAURDE</v>
      </c>
    </row>
    <row r="763" customFormat="false" ht="15" hidden="false" customHeight="false" outlineLevel="0" collapsed="false">
      <c r="G763" s="15" t="n">
        <f aca="false">F763-E763</f>
        <v>0</v>
      </c>
      <c r="H763" s="20" t="s">
        <v>248</v>
      </c>
      <c r="J763" s="20" t="s">
        <v>256</v>
      </c>
      <c r="K763" s="1" t="s">
        <v>430</v>
      </c>
      <c r="L763" s="1" t="s">
        <v>436</v>
      </c>
      <c r="M763" s="20" t="s">
        <v>258</v>
      </c>
      <c r="N763" s="20" t="s">
        <v>379</v>
      </c>
      <c r="O763" s="1" t="s">
        <v>399</v>
      </c>
      <c r="P763" s="22" t="str">
        <f aca="false">_xlfn.CONCAT(B763,C763,D763,E763,F763)</f>
        <v/>
      </c>
      <c r="Q763" s="1" t="str">
        <f aca="false">_xlfn.CONCAT(H763,I763,J763)</f>
        <v>DAURDE</v>
      </c>
    </row>
    <row r="764" customFormat="false" ht="15" hidden="false" customHeight="false" outlineLevel="0" collapsed="false">
      <c r="G764" s="15" t="n">
        <f aca="false">F764-E764</f>
        <v>0</v>
      </c>
      <c r="H764" s="20" t="s">
        <v>248</v>
      </c>
      <c r="J764" s="20" t="s">
        <v>256</v>
      </c>
      <c r="K764" s="1" t="s">
        <v>430</v>
      </c>
      <c r="L764" s="1" t="s">
        <v>436</v>
      </c>
      <c r="M764" s="20" t="s">
        <v>258</v>
      </c>
      <c r="N764" s="20" t="s">
        <v>379</v>
      </c>
      <c r="O764" s="1" t="s">
        <v>399</v>
      </c>
      <c r="P764" s="22" t="str">
        <f aca="false">_xlfn.CONCAT(B764,C764,D764,E764,F764)</f>
        <v/>
      </c>
      <c r="Q764" s="1" t="str">
        <f aca="false">_xlfn.CONCAT(H764,I764,J764)</f>
        <v>DAURDE</v>
      </c>
    </row>
    <row r="765" customFormat="false" ht="15" hidden="false" customHeight="false" outlineLevel="0" collapsed="false">
      <c r="G765" s="15" t="n">
        <f aca="false">F765-E765</f>
        <v>0</v>
      </c>
      <c r="H765" s="20" t="s">
        <v>248</v>
      </c>
      <c r="J765" s="20" t="s">
        <v>256</v>
      </c>
      <c r="K765" s="1" t="s">
        <v>430</v>
      </c>
      <c r="L765" s="1" t="s">
        <v>436</v>
      </c>
      <c r="M765" s="20" t="s">
        <v>258</v>
      </c>
      <c r="N765" s="20" t="s">
        <v>379</v>
      </c>
      <c r="O765" s="1" t="s">
        <v>399</v>
      </c>
      <c r="P765" s="22" t="str">
        <f aca="false">_xlfn.CONCAT(B765,C765,D765,E765,F765)</f>
        <v/>
      </c>
      <c r="Q765" s="1" t="str">
        <f aca="false">_xlfn.CONCAT(H765,I765,J765)</f>
        <v>DAURDE</v>
      </c>
    </row>
    <row r="766" customFormat="false" ht="15" hidden="false" customHeight="false" outlineLevel="0" collapsed="false">
      <c r="G766" s="15" t="n">
        <f aca="false">F766-E766</f>
        <v>0</v>
      </c>
      <c r="H766" s="20" t="s">
        <v>248</v>
      </c>
      <c r="J766" s="20" t="s">
        <v>256</v>
      </c>
      <c r="K766" s="1" t="s">
        <v>430</v>
      </c>
      <c r="L766" s="1" t="s">
        <v>436</v>
      </c>
      <c r="M766" s="20" t="s">
        <v>258</v>
      </c>
      <c r="N766" s="20" t="s">
        <v>379</v>
      </c>
      <c r="O766" s="1" t="s">
        <v>399</v>
      </c>
      <c r="P766" s="22" t="str">
        <f aca="false">_xlfn.CONCAT(B766,C766,D766,E766,F766)</f>
        <v/>
      </c>
      <c r="Q766" s="1" t="str">
        <f aca="false">_xlfn.CONCAT(H766,I766,J766)</f>
        <v>DAURDE</v>
      </c>
    </row>
    <row r="767" customFormat="false" ht="15" hidden="false" customHeight="false" outlineLevel="0" collapsed="false">
      <c r="G767" s="15" t="n">
        <f aca="false">F767-E767</f>
        <v>0</v>
      </c>
      <c r="H767" s="20" t="s">
        <v>248</v>
      </c>
      <c r="J767" s="20" t="s">
        <v>256</v>
      </c>
      <c r="K767" s="1" t="s">
        <v>430</v>
      </c>
      <c r="L767" s="1" t="s">
        <v>436</v>
      </c>
      <c r="M767" s="20" t="s">
        <v>258</v>
      </c>
      <c r="N767" s="20" t="s">
        <v>379</v>
      </c>
      <c r="O767" s="1" t="s">
        <v>399</v>
      </c>
      <c r="P767" s="22" t="str">
        <f aca="false">_xlfn.CONCAT(B767,C767,D767,E767,F767)</f>
        <v/>
      </c>
      <c r="Q767" s="1" t="str">
        <f aca="false">_xlfn.CONCAT(H767,I767,J767)</f>
        <v>DAURDE</v>
      </c>
    </row>
    <row r="768" customFormat="false" ht="15" hidden="false" customHeight="false" outlineLevel="0" collapsed="false">
      <c r="G768" s="15" t="n">
        <f aca="false">F768-E768</f>
        <v>0</v>
      </c>
      <c r="H768" s="20" t="s">
        <v>248</v>
      </c>
      <c r="J768" s="20" t="s">
        <v>256</v>
      </c>
      <c r="K768" s="1" t="s">
        <v>430</v>
      </c>
      <c r="L768" s="1" t="s">
        <v>436</v>
      </c>
      <c r="M768" s="20" t="s">
        <v>258</v>
      </c>
      <c r="N768" s="20" t="s">
        <v>379</v>
      </c>
      <c r="O768" s="1" t="s">
        <v>399</v>
      </c>
      <c r="P768" s="22" t="str">
        <f aca="false">_xlfn.CONCAT(B768,C768,D768,E768,F768)</f>
        <v/>
      </c>
      <c r="Q768" s="1" t="str">
        <f aca="false">_xlfn.CONCAT(H768,I768,J768)</f>
        <v>DAURDE</v>
      </c>
    </row>
    <row r="769" customFormat="false" ht="15" hidden="false" customHeight="false" outlineLevel="0" collapsed="false">
      <c r="G769" s="15" t="n">
        <f aca="false">F769-E769</f>
        <v>0</v>
      </c>
      <c r="H769" s="20" t="s">
        <v>248</v>
      </c>
      <c r="J769" s="20" t="s">
        <v>256</v>
      </c>
      <c r="K769" s="1" t="s">
        <v>430</v>
      </c>
      <c r="L769" s="1" t="s">
        <v>436</v>
      </c>
      <c r="M769" s="20" t="s">
        <v>258</v>
      </c>
      <c r="N769" s="20" t="s">
        <v>379</v>
      </c>
      <c r="O769" s="1" t="s">
        <v>399</v>
      </c>
      <c r="P769" s="22" t="str">
        <f aca="false">_xlfn.CONCAT(B769,C769,D769,E769,F769)</f>
        <v/>
      </c>
      <c r="Q769" s="1" t="str">
        <f aca="false">_xlfn.CONCAT(H769,I769,J769)</f>
        <v>DAURDE</v>
      </c>
    </row>
    <row r="770" customFormat="false" ht="15" hidden="false" customHeight="false" outlineLevel="0" collapsed="false">
      <c r="G770" s="15" t="n">
        <f aca="false">F770-E770</f>
        <v>0</v>
      </c>
      <c r="H770" s="20" t="s">
        <v>248</v>
      </c>
      <c r="J770" s="20" t="s">
        <v>256</v>
      </c>
      <c r="K770" s="1" t="s">
        <v>430</v>
      </c>
      <c r="L770" s="1" t="s">
        <v>436</v>
      </c>
      <c r="M770" s="20" t="s">
        <v>258</v>
      </c>
      <c r="N770" s="20" t="s">
        <v>379</v>
      </c>
      <c r="O770" s="1" t="s">
        <v>399</v>
      </c>
      <c r="P770" s="22" t="str">
        <f aca="false">_xlfn.CONCAT(B770,C770,D770,E770,F770)</f>
        <v/>
      </c>
      <c r="Q770" s="1" t="str">
        <f aca="false">_xlfn.CONCAT(H770,I770,J770)</f>
        <v>DAURDE</v>
      </c>
    </row>
    <row r="771" customFormat="false" ht="15" hidden="false" customHeight="false" outlineLevel="0" collapsed="false">
      <c r="G771" s="15" t="n">
        <f aca="false">F771-E771</f>
        <v>0</v>
      </c>
      <c r="H771" s="20" t="s">
        <v>248</v>
      </c>
      <c r="J771" s="20" t="s">
        <v>256</v>
      </c>
      <c r="K771" s="1" t="s">
        <v>430</v>
      </c>
      <c r="L771" s="1" t="s">
        <v>436</v>
      </c>
      <c r="M771" s="20" t="s">
        <v>258</v>
      </c>
      <c r="N771" s="20" t="s">
        <v>379</v>
      </c>
      <c r="O771" s="1" t="s">
        <v>399</v>
      </c>
      <c r="P771" s="22" t="str">
        <f aca="false">_xlfn.CONCAT(B771,C771,D771,E771,F771)</f>
        <v/>
      </c>
      <c r="Q771" s="1" t="str">
        <f aca="false">_xlfn.CONCAT(H771,I771,J771)</f>
        <v>DAURDE</v>
      </c>
    </row>
    <row r="772" customFormat="false" ht="15" hidden="false" customHeight="false" outlineLevel="0" collapsed="false">
      <c r="G772" s="15" t="n">
        <f aca="false">F772-E772</f>
        <v>0</v>
      </c>
      <c r="H772" s="20" t="s">
        <v>248</v>
      </c>
      <c r="J772" s="20" t="s">
        <v>256</v>
      </c>
      <c r="K772" s="1" t="s">
        <v>430</v>
      </c>
      <c r="L772" s="1" t="s">
        <v>436</v>
      </c>
      <c r="M772" s="20" t="s">
        <v>258</v>
      </c>
      <c r="N772" s="20" t="s">
        <v>379</v>
      </c>
      <c r="O772" s="1" t="s">
        <v>399</v>
      </c>
      <c r="P772" s="22" t="str">
        <f aca="false">_xlfn.CONCAT(B772,C772,D772,E772,F772)</f>
        <v/>
      </c>
      <c r="Q772" s="1" t="str">
        <f aca="false">_xlfn.CONCAT(H772,I772,J772)</f>
        <v>DAURDE</v>
      </c>
    </row>
    <row r="773" customFormat="false" ht="15" hidden="false" customHeight="false" outlineLevel="0" collapsed="false">
      <c r="G773" s="15" t="n">
        <f aca="false">F773-E773</f>
        <v>0</v>
      </c>
      <c r="H773" s="20" t="s">
        <v>248</v>
      </c>
      <c r="J773" s="20" t="s">
        <v>256</v>
      </c>
      <c r="K773" s="1" t="s">
        <v>430</v>
      </c>
      <c r="L773" s="1" t="s">
        <v>436</v>
      </c>
      <c r="M773" s="20" t="s">
        <v>258</v>
      </c>
      <c r="N773" s="20" t="s">
        <v>379</v>
      </c>
      <c r="O773" s="1" t="s">
        <v>399</v>
      </c>
      <c r="P773" s="22" t="str">
        <f aca="false">_xlfn.CONCAT(B773,C773,D773,E773,F773)</f>
        <v/>
      </c>
      <c r="Q773" s="1" t="str">
        <f aca="false">_xlfn.CONCAT(H773,I773,J773)</f>
        <v>DAURDE</v>
      </c>
    </row>
    <row r="774" customFormat="false" ht="15" hidden="false" customHeight="false" outlineLevel="0" collapsed="false">
      <c r="G774" s="15" t="n">
        <f aca="false">F774-E774</f>
        <v>0</v>
      </c>
      <c r="H774" s="20" t="s">
        <v>248</v>
      </c>
      <c r="J774" s="20" t="s">
        <v>256</v>
      </c>
      <c r="K774" s="1" t="s">
        <v>430</v>
      </c>
      <c r="L774" s="1" t="s">
        <v>436</v>
      </c>
      <c r="M774" s="20" t="s">
        <v>258</v>
      </c>
      <c r="N774" s="20" t="s">
        <v>379</v>
      </c>
      <c r="O774" s="1" t="s">
        <v>399</v>
      </c>
      <c r="P774" s="22" t="str">
        <f aca="false">_xlfn.CONCAT(B774,C774,D774,E774,F774)</f>
        <v/>
      </c>
      <c r="Q774" s="1" t="str">
        <f aca="false">_xlfn.CONCAT(H774,I774,J774)</f>
        <v>DAURDE</v>
      </c>
    </row>
    <row r="775" customFormat="false" ht="15" hidden="false" customHeight="false" outlineLevel="0" collapsed="false">
      <c r="G775" s="15" t="n">
        <f aca="false">F775-E775</f>
        <v>0</v>
      </c>
      <c r="H775" s="20" t="s">
        <v>248</v>
      </c>
      <c r="J775" s="20" t="s">
        <v>256</v>
      </c>
      <c r="K775" s="1" t="s">
        <v>430</v>
      </c>
      <c r="L775" s="1" t="s">
        <v>436</v>
      </c>
      <c r="M775" s="20" t="s">
        <v>258</v>
      </c>
      <c r="N775" s="20" t="s">
        <v>379</v>
      </c>
      <c r="O775" s="1" t="s">
        <v>399</v>
      </c>
      <c r="P775" s="22" t="str">
        <f aca="false">_xlfn.CONCAT(B775,C775,D775,E775,F775)</f>
        <v/>
      </c>
      <c r="Q775" s="1" t="str">
        <f aca="false">_xlfn.CONCAT(H775,I775,J775)</f>
        <v>DAURDE</v>
      </c>
    </row>
    <row r="776" customFormat="false" ht="15" hidden="false" customHeight="false" outlineLevel="0" collapsed="false">
      <c r="G776" s="15" t="n">
        <f aca="false">F776-E776</f>
        <v>0</v>
      </c>
      <c r="H776" s="20" t="s">
        <v>248</v>
      </c>
      <c r="J776" s="20" t="s">
        <v>256</v>
      </c>
      <c r="K776" s="1" t="s">
        <v>430</v>
      </c>
      <c r="L776" s="1" t="s">
        <v>436</v>
      </c>
      <c r="M776" s="20" t="s">
        <v>258</v>
      </c>
      <c r="N776" s="20" t="s">
        <v>379</v>
      </c>
      <c r="O776" s="1" t="s">
        <v>399</v>
      </c>
      <c r="P776" s="22" t="str">
        <f aca="false">_xlfn.CONCAT(B776,C776,D776,E776,F776)</f>
        <v/>
      </c>
      <c r="Q776" s="1" t="str">
        <f aca="false">_xlfn.CONCAT(H776,I776,J776)</f>
        <v>DAURDE</v>
      </c>
    </row>
    <row r="777" customFormat="false" ht="15" hidden="false" customHeight="false" outlineLevel="0" collapsed="false">
      <c r="G777" s="15" t="n">
        <f aca="false">F777-E777</f>
        <v>0</v>
      </c>
      <c r="H777" s="20" t="s">
        <v>248</v>
      </c>
      <c r="J777" s="20" t="s">
        <v>256</v>
      </c>
      <c r="K777" s="1" t="s">
        <v>430</v>
      </c>
      <c r="L777" s="1" t="s">
        <v>436</v>
      </c>
      <c r="M777" s="20" t="s">
        <v>258</v>
      </c>
      <c r="N777" s="20" t="s">
        <v>379</v>
      </c>
      <c r="O777" s="1" t="s">
        <v>399</v>
      </c>
      <c r="P777" s="22" t="str">
        <f aca="false">_xlfn.CONCAT(B777,C777,D777,E777,F777)</f>
        <v/>
      </c>
      <c r="Q777" s="1" t="str">
        <f aca="false">_xlfn.CONCAT(H777,I777,J777)</f>
        <v>DAURDE</v>
      </c>
    </row>
    <row r="778" customFormat="false" ht="15" hidden="false" customHeight="false" outlineLevel="0" collapsed="false">
      <c r="G778" s="15" t="n">
        <f aca="false">F778-E778</f>
        <v>0</v>
      </c>
      <c r="H778" s="20" t="s">
        <v>248</v>
      </c>
      <c r="J778" s="20" t="s">
        <v>256</v>
      </c>
      <c r="K778" s="1" t="s">
        <v>430</v>
      </c>
      <c r="L778" s="1" t="s">
        <v>436</v>
      </c>
      <c r="M778" s="20" t="s">
        <v>258</v>
      </c>
      <c r="N778" s="20" t="s">
        <v>379</v>
      </c>
      <c r="O778" s="1" t="s">
        <v>399</v>
      </c>
      <c r="P778" s="22" t="str">
        <f aca="false">_xlfn.CONCAT(B778,C778,D778,E778,F778)</f>
        <v/>
      </c>
      <c r="Q778" s="1" t="str">
        <f aca="false">_xlfn.CONCAT(H778,I778,J778)</f>
        <v>DAURDE</v>
      </c>
    </row>
    <row r="779" customFormat="false" ht="15" hidden="false" customHeight="false" outlineLevel="0" collapsed="false">
      <c r="G779" s="15" t="n">
        <f aca="false">F779-E779</f>
        <v>0</v>
      </c>
      <c r="H779" s="20" t="s">
        <v>248</v>
      </c>
      <c r="J779" s="20" t="s">
        <v>256</v>
      </c>
      <c r="K779" s="1" t="s">
        <v>430</v>
      </c>
      <c r="L779" s="1" t="s">
        <v>436</v>
      </c>
      <c r="M779" s="20" t="s">
        <v>258</v>
      </c>
      <c r="N779" s="20" t="s">
        <v>379</v>
      </c>
      <c r="O779" s="1" t="s">
        <v>399</v>
      </c>
      <c r="P779" s="22" t="str">
        <f aca="false">_xlfn.CONCAT(B779,C779,D779,E779,F779)</f>
        <v/>
      </c>
      <c r="Q779" s="1" t="str">
        <f aca="false">_xlfn.CONCAT(H779,I779,J779)</f>
        <v>DAURDE</v>
      </c>
    </row>
    <row r="780" customFormat="false" ht="15" hidden="false" customHeight="false" outlineLevel="0" collapsed="false">
      <c r="G780" s="15" t="n">
        <f aca="false">F780-E780</f>
        <v>0</v>
      </c>
      <c r="H780" s="20" t="s">
        <v>248</v>
      </c>
      <c r="J780" s="20" t="s">
        <v>256</v>
      </c>
      <c r="K780" s="1" t="s">
        <v>430</v>
      </c>
      <c r="L780" s="1" t="s">
        <v>436</v>
      </c>
      <c r="M780" s="20" t="s">
        <v>258</v>
      </c>
      <c r="N780" s="20" t="s">
        <v>379</v>
      </c>
      <c r="O780" s="1" t="s">
        <v>399</v>
      </c>
      <c r="P780" s="22" t="str">
        <f aca="false">_xlfn.CONCAT(B780,C780,D780,E780,F780)</f>
        <v/>
      </c>
      <c r="Q780" s="1" t="str">
        <f aca="false">_xlfn.CONCAT(H780,I780,J780)</f>
        <v>DAURDE</v>
      </c>
    </row>
    <row r="781" customFormat="false" ht="15" hidden="false" customHeight="false" outlineLevel="0" collapsed="false">
      <c r="G781" s="15" t="n">
        <f aca="false">F781-E781</f>
        <v>0</v>
      </c>
      <c r="H781" s="20" t="s">
        <v>248</v>
      </c>
      <c r="J781" s="20" t="s">
        <v>256</v>
      </c>
      <c r="K781" s="1" t="s">
        <v>430</v>
      </c>
      <c r="L781" s="1" t="s">
        <v>436</v>
      </c>
      <c r="M781" s="20" t="s">
        <v>258</v>
      </c>
      <c r="N781" s="20" t="s">
        <v>379</v>
      </c>
      <c r="O781" s="1" t="s">
        <v>399</v>
      </c>
      <c r="P781" s="22" t="str">
        <f aca="false">_xlfn.CONCAT(B781,C781,D781,E781,F781)</f>
        <v/>
      </c>
      <c r="Q781" s="1" t="str">
        <f aca="false">_xlfn.CONCAT(H781,I781,J781)</f>
        <v>DAURDE</v>
      </c>
    </row>
    <row r="782" customFormat="false" ht="15" hidden="false" customHeight="false" outlineLevel="0" collapsed="false">
      <c r="G782" s="15" t="n">
        <f aca="false">F782-E782</f>
        <v>0</v>
      </c>
      <c r="H782" s="20" t="s">
        <v>248</v>
      </c>
      <c r="J782" s="20" t="s">
        <v>256</v>
      </c>
      <c r="K782" s="1" t="s">
        <v>430</v>
      </c>
      <c r="L782" s="1" t="s">
        <v>436</v>
      </c>
      <c r="M782" s="20" t="s">
        <v>258</v>
      </c>
      <c r="N782" s="20" t="s">
        <v>379</v>
      </c>
      <c r="O782" s="1" t="s">
        <v>399</v>
      </c>
      <c r="P782" s="22" t="str">
        <f aca="false">_xlfn.CONCAT(B782,C782,D782,E782,F782)</f>
        <v/>
      </c>
      <c r="Q782" s="1" t="str">
        <f aca="false">_xlfn.CONCAT(H782,I782,J782)</f>
        <v>DAURDE</v>
      </c>
    </row>
    <row r="783" customFormat="false" ht="15" hidden="false" customHeight="false" outlineLevel="0" collapsed="false">
      <c r="G783" s="15" t="n">
        <f aca="false">F783-E783</f>
        <v>0</v>
      </c>
      <c r="H783" s="20" t="s">
        <v>248</v>
      </c>
      <c r="J783" s="20" t="s">
        <v>256</v>
      </c>
      <c r="K783" s="1" t="s">
        <v>430</v>
      </c>
      <c r="L783" s="1" t="s">
        <v>436</v>
      </c>
      <c r="M783" s="20" t="s">
        <v>258</v>
      </c>
      <c r="N783" s="20" t="s">
        <v>379</v>
      </c>
      <c r="O783" s="1" t="s">
        <v>399</v>
      </c>
      <c r="P783" s="22" t="str">
        <f aca="false">_xlfn.CONCAT(B783,C783,D783,E783,F783)</f>
        <v/>
      </c>
      <c r="Q783" s="1" t="str">
        <f aca="false">_xlfn.CONCAT(H783,I783,J783)</f>
        <v>DAURDE</v>
      </c>
    </row>
    <row r="784" customFormat="false" ht="15" hidden="false" customHeight="false" outlineLevel="0" collapsed="false">
      <c r="G784" s="15" t="n">
        <f aca="false">F784-E784</f>
        <v>0</v>
      </c>
      <c r="H784" s="20" t="s">
        <v>248</v>
      </c>
      <c r="J784" s="20" t="s">
        <v>256</v>
      </c>
      <c r="K784" s="1" t="s">
        <v>430</v>
      </c>
      <c r="L784" s="1" t="s">
        <v>436</v>
      </c>
      <c r="M784" s="20" t="s">
        <v>258</v>
      </c>
      <c r="N784" s="20" t="s">
        <v>379</v>
      </c>
      <c r="O784" s="1" t="s">
        <v>399</v>
      </c>
      <c r="P784" s="22" t="str">
        <f aca="false">_xlfn.CONCAT(B784,C784,D784,E784,F784)</f>
        <v/>
      </c>
      <c r="Q784" s="1" t="str">
        <f aca="false">_xlfn.CONCAT(H784,I784,J784)</f>
        <v>DAURDE</v>
      </c>
    </row>
    <row r="785" customFormat="false" ht="15" hidden="false" customHeight="false" outlineLevel="0" collapsed="false">
      <c r="G785" s="15" t="n">
        <f aca="false">F785-E785</f>
        <v>0</v>
      </c>
      <c r="H785" s="20" t="s">
        <v>248</v>
      </c>
      <c r="J785" s="20" t="s">
        <v>256</v>
      </c>
      <c r="K785" s="1" t="s">
        <v>430</v>
      </c>
      <c r="L785" s="1" t="s">
        <v>436</v>
      </c>
      <c r="M785" s="20" t="s">
        <v>258</v>
      </c>
      <c r="N785" s="20" t="s">
        <v>379</v>
      </c>
      <c r="O785" s="1" t="s">
        <v>399</v>
      </c>
      <c r="P785" s="22" t="str">
        <f aca="false">_xlfn.CONCAT(B785,C785,D785,E785,F785)</f>
        <v/>
      </c>
      <c r="Q785" s="1" t="str">
        <f aca="false">_xlfn.CONCAT(H785,I785,J785)</f>
        <v>DAURDE</v>
      </c>
    </row>
    <row r="786" customFormat="false" ht="15" hidden="false" customHeight="false" outlineLevel="0" collapsed="false">
      <c r="G786" s="15" t="n">
        <f aca="false">F786-E786</f>
        <v>0</v>
      </c>
      <c r="H786" s="20" t="s">
        <v>248</v>
      </c>
      <c r="J786" s="20" t="s">
        <v>256</v>
      </c>
      <c r="K786" s="1" t="s">
        <v>430</v>
      </c>
      <c r="L786" s="1" t="s">
        <v>436</v>
      </c>
      <c r="M786" s="20" t="s">
        <v>258</v>
      </c>
      <c r="N786" s="20" t="s">
        <v>379</v>
      </c>
      <c r="O786" s="1" t="s">
        <v>399</v>
      </c>
      <c r="P786" s="22" t="str">
        <f aca="false">_xlfn.CONCAT(B786,C786,D786,E786,F786)</f>
        <v/>
      </c>
      <c r="Q786" s="1" t="str">
        <f aca="false">_xlfn.CONCAT(H786,I786,J786)</f>
        <v>DAURDE</v>
      </c>
    </row>
    <row r="787" customFormat="false" ht="15" hidden="false" customHeight="false" outlineLevel="0" collapsed="false">
      <c r="G787" s="15" t="n">
        <f aca="false">F787-E787</f>
        <v>0</v>
      </c>
      <c r="H787" s="20" t="s">
        <v>248</v>
      </c>
      <c r="J787" s="20" t="s">
        <v>256</v>
      </c>
      <c r="K787" s="1" t="s">
        <v>430</v>
      </c>
      <c r="L787" s="1" t="s">
        <v>436</v>
      </c>
      <c r="M787" s="20" t="s">
        <v>258</v>
      </c>
      <c r="N787" s="20" t="s">
        <v>379</v>
      </c>
      <c r="O787" s="1" t="s">
        <v>399</v>
      </c>
      <c r="P787" s="22" t="str">
        <f aca="false">_xlfn.CONCAT(B787,C787,D787,E787,F787)</f>
        <v/>
      </c>
      <c r="Q787" s="1" t="str">
        <f aca="false">_xlfn.CONCAT(H787,I787,J787)</f>
        <v>DAURDE</v>
      </c>
    </row>
    <row r="788" customFormat="false" ht="15" hidden="false" customHeight="false" outlineLevel="0" collapsed="false">
      <c r="G788" s="15" t="n">
        <f aca="false">F788-E788</f>
        <v>0</v>
      </c>
      <c r="H788" s="20" t="s">
        <v>248</v>
      </c>
      <c r="J788" s="20" t="s">
        <v>256</v>
      </c>
      <c r="K788" s="1" t="s">
        <v>430</v>
      </c>
      <c r="L788" s="1" t="s">
        <v>436</v>
      </c>
      <c r="M788" s="20" t="s">
        <v>258</v>
      </c>
      <c r="N788" s="20" t="s">
        <v>379</v>
      </c>
      <c r="O788" s="1" t="s">
        <v>399</v>
      </c>
      <c r="P788" s="22" t="str">
        <f aca="false">_xlfn.CONCAT(B788,C788,D788,E788,F788)</f>
        <v/>
      </c>
      <c r="Q788" s="1" t="str">
        <f aca="false">_xlfn.CONCAT(H788,I788,J788)</f>
        <v>DAURDE</v>
      </c>
    </row>
    <row r="789" customFormat="false" ht="15" hidden="false" customHeight="false" outlineLevel="0" collapsed="false">
      <c r="G789" s="15" t="n">
        <f aca="false">F789-E789</f>
        <v>0</v>
      </c>
      <c r="H789" s="20" t="s">
        <v>248</v>
      </c>
      <c r="J789" s="20" t="s">
        <v>256</v>
      </c>
      <c r="K789" s="1" t="s">
        <v>430</v>
      </c>
      <c r="L789" s="1" t="s">
        <v>436</v>
      </c>
      <c r="M789" s="20" t="s">
        <v>258</v>
      </c>
      <c r="N789" s="20" t="s">
        <v>379</v>
      </c>
      <c r="O789" s="1" t="s">
        <v>399</v>
      </c>
      <c r="P789" s="22" t="str">
        <f aca="false">_xlfn.CONCAT(B789,C789,D789,E789,F789)</f>
        <v/>
      </c>
      <c r="Q789" s="1" t="str">
        <f aca="false">_xlfn.CONCAT(H789,I789,J789)</f>
        <v>DAURDE</v>
      </c>
    </row>
    <row r="790" customFormat="false" ht="15" hidden="false" customHeight="false" outlineLevel="0" collapsed="false">
      <c r="G790" s="15" t="n">
        <f aca="false">F790-E790</f>
        <v>0</v>
      </c>
      <c r="H790" s="20" t="s">
        <v>248</v>
      </c>
      <c r="J790" s="20" t="s">
        <v>256</v>
      </c>
      <c r="K790" s="1" t="s">
        <v>430</v>
      </c>
      <c r="L790" s="1" t="s">
        <v>436</v>
      </c>
      <c r="M790" s="20" t="s">
        <v>258</v>
      </c>
      <c r="N790" s="20" t="s">
        <v>379</v>
      </c>
      <c r="O790" s="1" t="s">
        <v>399</v>
      </c>
      <c r="P790" s="22" t="str">
        <f aca="false">_xlfn.CONCAT(B790,C790,D790,E790,F790)</f>
        <v/>
      </c>
      <c r="Q790" s="1" t="str">
        <f aca="false">_xlfn.CONCAT(H790,I790,J790)</f>
        <v>DAURDE</v>
      </c>
    </row>
    <row r="791" customFormat="false" ht="15" hidden="false" customHeight="false" outlineLevel="0" collapsed="false">
      <c r="G791" s="15" t="n">
        <f aca="false">F791-E791</f>
        <v>0</v>
      </c>
      <c r="H791" s="20" t="s">
        <v>248</v>
      </c>
      <c r="J791" s="20" t="s">
        <v>256</v>
      </c>
      <c r="K791" s="1" t="s">
        <v>430</v>
      </c>
      <c r="L791" s="1" t="s">
        <v>436</v>
      </c>
      <c r="M791" s="20" t="s">
        <v>258</v>
      </c>
      <c r="N791" s="20" t="s">
        <v>379</v>
      </c>
      <c r="O791" s="1" t="s">
        <v>399</v>
      </c>
      <c r="P791" s="22" t="str">
        <f aca="false">_xlfn.CONCAT(B791,C791,D791,E791,F791)</f>
        <v/>
      </c>
      <c r="Q791" s="1" t="str">
        <f aca="false">_xlfn.CONCAT(H791,I791,J791)</f>
        <v>DAURDE</v>
      </c>
    </row>
    <row r="792" customFormat="false" ht="15" hidden="false" customHeight="false" outlineLevel="0" collapsed="false">
      <c r="G792" s="15" t="n">
        <f aca="false">F792-E792</f>
        <v>0</v>
      </c>
      <c r="H792" s="20" t="s">
        <v>248</v>
      </c>
      <c r="J792" s="20" t="s">
        <v>256</v>
      </c>
      <c r="K792" s="1" t="s">
        <v>430</v>
      </c>
      <c r="L792" s="1" t="s">
        <v>436</v>
      </c>
      <c r="M792" s="20" t="s">
        <v>258</v>
      </c>
      <c r="N792" s="20" t="s">
        <v>379</v>
      </c>
      <c r="O792" s="1" t="s">
        <v>399</v>
      </c>
      <c r="P792" s="22" t="str">
        <f aca="false">_xlfn.CONCAT(B792,C792,D792,E792,F792)</f>
        <v/>
      </c>
      <c r="Q792" s="1" t="str">
        <f aca="false">_xlfn.CONCAT(H792,I792,J792)</f>
        <v>DAURDE</v>
      </c>
    </row>
    <row r="793" customFormat="false" ht="15" hidden="false" customHeight="false" outlineLevel="0" collapsed="false">
      <c r="G793" s="15" t="n">
        <f aca="false">F793-E793</f>
        <v>0</v>
      </c>
      <c r="H793" s="20" t="s">
        <v>248</v>
      </c>
      <c r="J793" s="20" t="s">
        <v>256</v>
      </c>
      <c r="K793" s="1" t="s">
        <v>430</v>
      </c>
      <c r="L793" s="1" t="s">
        <v>436</v>
      </c>
      <c r="M793" s="20" t="s">
        <v>258</v>
      </c>
      <c r="N793" s="20" t="s">
        <v>379</v>
      </c>
      <c r="O793" s="1" t="s">
        <v>399</v>
      </c>
      <c r="P793" s="22" t="str">
        <f aca="false">_xlfn.CONCAT(B793,C793,D793,E793,F793)</f>
        <v/>
      </c>
      <c r="Q793" s="1" t="str">
        <f aca="false">_xlfn.CONCAT(H793,I793,J793)</f>
        <v>DAURDE</v>
      </c>
    </row>
    <row r="794" customFormat="false" ht="15" hidden="false" customHeight="false" outlineLevel="0" collapsed="false">
      <c r="G794" s="15" t="n">
        <f aca="false">F794-E794</f>
        <v>0</v>
      </c>
      <c r="H794" s="20" t="s">
        <v>248</v>
      </c>
      <c r="J794" s="20" t="s">
        <v>256</v>
      </c>
      <c r="K794" s="1" t="s">
        <v>430</v>
      </c>
      <c r="L794" s="1" t="s">
        <v>436</v>
      </c>
      <c r="M794" s="20" t="s">
        <v>258</v>
      </c>
      <c r="N794" s="20" t="s">
        <v>379</v>
      </c>
      <c r="O794" s="1" t="s">
        <v>399</v>
      </c>
      <c r="P794" s="22" t="str">
        <f aca="false">_xlfn.CONCAT(B794,C794,D794,E794,F794)</f>
        <v/>
      </c>
      <c r="Q794" s="1" t="str">
        <f aca="false">_xlfn.CONCAT(H794,I794,J794)</f>
        <v>DAURDE</v>
      </c>
    </row>
    <row r="795" customFormat="false" ht="15" hidden="false" customHeight="false" outlineLevel="0" collapsed="false">
      <c r="G795" s="15" t="n">
        <f aca="false">F795-E795</f>
        <v>0</v>
      </c>
      <c r="H795" s="20" t="s">
        <v>248</v>
      </c>
      <c r="J795" s="20" t="s">
        <v>256</v>
      </c>
      <c r="K795" s="1" t="s">
        <v>430</v>
      </c>
      <c r="L795" s="1" t="s">
        <v>436</v>
      </c>
      <c r="M795" s="20" t="s">
        <v>258</v>
      </c>
      <c r="N795" s="20" t="s">
        <v>379</v>
      </c>
      <c r="O795" s="1" t="s">
        <v>399</v>
      </c>
      <c r="P795" s="22" t="str">
        <f aca="false">_xlfn.CONCAT(B795,C795,D795,E795,F795)</f>
        <v/>
      </c>
      <c r="Q795" s="1" t="str">
        <f aca="false">_xlfn.CONCAT(H795,I795,J795)</f>
        <v>DAURDE</v>
      </c>
    </row>
    <row r="796" customFormat="false" ht="15" hidden="false" customHeight="false" outlineLevel="0" collapsed="false">
      <c r="G796" s="15" t="n">
        <f aca="false">F796-E796</f>
        <v>0</v>
      </c>
      <c r="H796" s="20" t="s">
        <v>248</v>
      </c>
      <c r="J796" s="20" t="s">
        <v>256</v>
      </c>
      <c r="K796" s="1" t="s">
        <v>430</v>
      </c>
      <c r="L796" s="1" t="s">
        <v>436</v>
      </c>
      <c r="M796" s="20" t="s">
        <v>258</v>
      </c>
      <c r="N796" s="20" t="s">
        <v>379</v>
      </c>
      <c r="O796" s="1" t="s">
        <v>399</v>
      </c>
      <c r="P796" s="22" t="str">
        <f aca="false">_xlfn.CONCAT(B796,C796,D796,E796,F796)</f>
        <v/>
      </c>
      <c r="Q796" s="1" t="str">
        <f aca="false">_xlfn.CONCAT(H796,I796,J796)</f>
        <v>DAURDE</v>
      </c>
    </row>
    <row r="797" customFormat="false" ht="15" hidden="false" customHeight="false" outlineLevel="0" collapsed="false">
      <c r="G797" s="15" t="n">
        <f aca="false">F797-E797</f>
        <v>0</v>
      </c>
      <c r="H797" s="20" t="s">
        <v>248</v>
      </c>
      <c r="J797" s="20" t="s">
        <v>256</v>
      </c>
      <c r="K797" s="1" t="s">
        <v>430</v>
      </c>
      <c r="L797" s="1" t="s">
        <v>436</v>
      </c>
      <c r="M797" s="20" t="s">
        <v>258</v>
      </c>
      <c r="N797" s="20" t="s">
        <v>379</v>
      </c>
      <c r="O797" s="1" t="s">
        <v>399</v>
      </c>
      <c r="P797" s="22" t="str">
        <f aca="false">_xlfn.CONCAT(B797,C797,D797,E797,F797)</f>
        <v/>
      </c>
      <c r="Q797" s="1" t="str">
        <f aca="false">_xlfn.CONCAT(H797,I797,J797)</f>
        <v>DAURDE</v>
      </c>
    </row>
    <row r="798" customFormat="false" ht="15" hidden="false" customHeight="false" outlineLevel="0" collapsed="false">
      <c r="G798" s="15" t="n">
        <f aca="false">F798-E798</f>
        <v>0</v>
      </c>
      <c r="H798" s="20" t="s">
        <v>248</v>
      </c>
      <c r="J798" s="20" t="s">
        <v>256</v>
      </c>
      <c r="K798" s="1" t="s">
        <v>430</v>
      </c>
      <c r="L798" s="1" t="s">
        <v>436</v>
      </c>
      <c r="M798" s="20" t="s">
        <v>258</v>
      </c>
      <c r="N798" s="20" t="s">
        <v>379</v>
      </c>
      <c r="O798" s="1" t="s">
        <v>399</v>
      </c>
      <c r="P798" s="22" t="str">
        <f aca="false">_xlfn.CONCAT(B798,C798,D798,E798,F798)</f>
        <v/>
      </c>
      <c r="Q798" s="1" t="str">
        <f aca="false">_xlfn.CONCAT(H798,I798,J798)</f>
        <v>DAURDE</v>
      </c>
    </row>
    <row r="799" customFormat="false" ht="15" hidden="false" customHeight="false" outlineLevel="0" collapsed="false">
      <c r="G799" s="15" t="n">
        <f aca="false">F799-E799</f>
        <v>0</v>
      </c>
      <c r="H799" s="20" t="s">
        <v>248</v>
      </c>
      <c r="J799" s="20" t="s">
        <v>256</v>
      </c>
      <c r="K799" s="1" t="s">
        <v>430</v>
      </c>
      <c r="L799" s="1" t="s">
        <v>436</v>
      </c>
      <c r="M799" s="20" t="s">
        <v>258</v>
      </c>
      <c r="N799" s="20" t="s">
        <v>379</v>
      </c>
      <c r="O799" s="1" t="s">
        <v>399</v>
      </c>
      <c r="P799" s="22" t="str">
        <f aca="false">_xlfn.CONCAT(B799,C799,D799,E799,F799)</f>
        <v/>
      </c>
      <c r="Q799" s="1" t="str">
        <f aca="false">_xlfn.CONCAT(H799,I799,J799)</f>
        <v>DAURDE</v>
      </c>
    </row>
    <row r="800" customFormat="false" ht="15" hidden="false" customHeight="false" outlineLevel="0" collapsed="false">
      <c r="G800" s="15" t="n">
        <f aca="false">F800-E800</f>
        <v>0</v>
      </c>
      <c r="H800" s="20" t="s">
        <v>248</v>
      </c>
      <c r="J800" s="20" t="s">
        <v>256</v>
      </c>
      <c r="K800" s="1" t="s">
        <v>430</v>
      </c>
      <c r="L800" s="1" t="s">
        <v>436</v>
      </c>
      <c r="M800" s="20" t="s">
        <v>258</v>
      </c>
      <c r="N800" s="20" t="s">
        <v>379</v>
      </c>
      <c r="O800" s="1" t="s">
        <v>399</v>
      </c>
      <c r="P800" s="22" t="str">
        <f aca="false">_xlfn.CONCAT(B800,C800,D800,E800,F800)</f>
        <v/>
      </c>
      <c r="Q800" s="1" t="str">
        <f aca="false">_xlfn.CONCAT(H800,I800,J800)</f>
        <v>DAURDE</v>
      </c>
    </row>
    <row r="801" customFormat="false" ht="15" hidden="false" customHeight="false" outlineLevel="0" collapsed="false">
      <c r="G801" s="15" t="n">
        <f aca="false">F801-E801</f>
        <v>0</v>
      </c>
      <c r="H801" s="20" t="s">
        <v>248</v>
      </c>
      <c r="J801" s="20" t="s">
        <v>256</v>
      </c>
      <c r="K801" s="1" t="s">
        <v>430</v>
      </c>
      <c r="L801" s="1" t="s">
        <v>436</v>
      </c>
      <c r="M801" s="20" t="s">
        <v>258</v>
      </c>
      <c r="N801" s="20" t="s">
        <v>379</v>
      </c>
      <c r="O801" s="1" t="s">
        <v>399</v>
      </c>
      <c r="P801" s="22" t="str">
        <f aca="false">_xlfn.CONCAT(B801,C801,D801,E801,F801)</f>
        <v/>
      </c>
      <c r="Q801" s="1" t="str">
        <f aca="false">_xlfn.CONCAT(H801,I801,J801)</f>
        <v>DAURDE</v>
      </c>
    </row>
    <row r="802" customFormat="false" ht="15" hidden="false" customHeight="false" outlineLevel="0" collapsed="false">
      <c r="G802" s="15" t="n">
        <f aca="false">F802-E802</f>
        <v>0</v>
      </c>
      <c r="H802" s="20" t="s">
        <v>248</v>
      </c>
      <c r="J802" s="20" t="s">
        <v>256</v>
      </c>
      <c r="K802" s="1" t="s">
        <v>430</v>
      </c>
      <c r="L802" s="1" t="s">
        <v>436</v>
      </c>
      <c r="M802" s="20" t="s">
        <v>258</v>
      </c>
      <c r="N802" s="20" t="s">
        <v>379</v>
      </c>
      <c r="O802" s="1" t="s">
        <v>399</v>
      </c>
      <c r="P802" s="22" t="str">
        <f aca="false">_xlfn.CONCAT(B802,C802,D802,E802,F802)</f>
        <v/>
      </c>
      <c r="Q802" s="1" t="str">
        <f aca="false">_xlfn.CONCAT(H802,I802,J802)</f>
        <v>DAURDE</v>
      </c>
    </row>
    <row r="803" customFormat="false" ht="15" hidden="false" customHeight="false" outlineLevel="0" collapsed="false">
      <c r="G803" s="15" t="n">
        <f aca="false">F803-E803</f>
        <v>0</v>
      </c>
      <c r="H803" s="20" t="s">
        <v>248</v>
      </c>
      <c r="J803" s="20" t="s">
        <v>256</v>
      </c>
      <c r="K803" s="1" t="s">
        <v>430</v>
      </c>
      <c r="L803" s="1" t="s">
        <v>436</v>
      </c>
      <c r="M803" s="20" t="s">
        <v>258</v>
      </c>
      <c r="N803" s="20" t="s">
        <v>379</v>
      </c>
      <c r="O803" s="1" t="s">
        <v>399</v>
      </c>
      <c r="P803" s="22" t="str">
        <f aca="false">_xlfn.CONCAT(B803,C803,D803,E803,F803)</f>
        <v/>
      </c>
      <c r="Q803" s="1" t="str">
        <f aca="false">_xlfn.CONCAT(H803,I803,J803)</f>
        <v>DAURDE</v>
      </c>
    </row>
    <row r="804" customFormat="false" ht="15" hidden="false" customHeight="false" outlineLevel="0" collapsed="false">
      <c r="G804" s="15" t="n">
        <f aca="false">F804-E804</f>
        <v>0</v>
      </c>
      <c r="H804" s="20" t="s">
        <v>248</v>
      </c>
      <c r="J804" s="20" t="s">
        <v>256</v>
      </c>
      <c r="K804" s="1" t="s">
        <v>430</v>
      </c>
      <c r="L804" s="1" t="s">
        <v>436</v>
      </c>
      <c r="M804" s="20" t="s">
        <v>258</v>
      </c>
      <c r="N804" s="20" t="s">
        <v>379</v>
      </c>
      <c r="O804" s="1" t="s">
        <v>399</v>
      </c>
      <c r="P804" s="22" t="str">
        <f aca="false">_xlfn.CONCAT(B804,C804,D804,E804,F804)</f>
        <v/>
      </c>
      <c r="Q804" s="1" t="str">
        <f aca="false">_xlfn.CONCAT(H804,I804,J804)</f>
        <v>DAURDE</v>
      </c>
    </row>
    <row r="805" customFormat="false" ht="15" hidden="false" customHeight="false" outlineLevel="0" collapsed="false">
      <c r="G805" s="15" t="n">
        <f aca="false">F805-E805</f>
        <v>0</v>
      </c>
      <c r="H805" s="20" t="s">
        <v>248</v>
      </c>
      <c r="J805" s="20" t="s">
        <v>256</v>
      </c>
      <c r="K805" s="1" t="s">
        <v>430</v>
      </c>
      <c r="L805" s="1" t="s">
        <v>436</v>
      </c>
      <c r="M805" s="20" t="s">
        <v>258</v>
      </c>
      <c r="N805" s="20" t="s">
        <v>379</v>
      </c>
      <c r="O805" s="1" t="s">
        <v>399</v>
      </c>
      <c r="P805" s="22" t="str">
        <f aca="false">_xlfn.CONCAT(B805,C805,D805,E805,F805)</f>
        <v/>
      </c>
      <c r="Q805" s="1" t="str">
        <f aca="false">_xlfn.CONCAT(H805,I805,J805)</f>
        <v>DAURDE</v>
      </c>
    </row>
    <row r="806" customFormat="false" ht="15" hidden="false" customHeight="false" outlineLevel="0" collapsed="false">
      <c r="G806" s="15" t="n">
        <f aca="false">F806-E806</f>
        <v>0</v>
      </c>
      <c r="H806" s="20" t="s">
        <v>248</v>
      </c>
      <c r="J806" s="20" t="s">
        <v>256</v>
      </c>
      <c r="K806" s="1" t="s">
        <v>430</v>
      </c>
      <c r="L806" s="1" t="s">
        <v>436</v>
      </c>
      <c r="M806" s="20" t="s">
        <v>258</v>
      </c>
      <c r="N806" s="20" t="s">
        <v>379</v>
      </c>
      <c r="O806" s="1" t="s">
        <v>399</v>
      </c>
      <c r="P806" s="22" t="str">
        <f aca="false">_xlfn.CONCAT(B806,C806,D806,E806,F806)</f>
        <v/>
      </c>
      <c r="Q806" s="1" t="str">
        <f aca="false">_xlfn.CONCAT(H806,I806,J806)</f>
        <v>DAURDE</v>
      </c>
    </row>
    <row r="807" customFormat="false" ht="15" hidden="false" customHeight="false" outlineLevel="0" collapsed="false">
      <c r="G807" s="15" t="n">
        <f aca="false">F807-E807</f>
        <v>0</v>
      </c>
      <c r="H807" s="20" t="s">
        <v>248</v>
      </c>
      <c r="J807" s="20" t="s">
        <v>256</v>
      </c>
      <c r="K807" s="1" t="s">
        <v>430</v>
      </c>
      <c r="L807" s="1" t="s">
        <v>436</v>
      </c>
      <c r="M807" s="20" t="s">
        <v>258</v>
      </c>
      <c r="N807" s="20" t="s">
        <v>379</v>
      </c>
      <c r="O807" s="1" t="s">
        <v>399</v>
      </c>
      <c r="P807" s="22" t="str">
        <f aca="false">_xlfn.CONCAT(B807,C807,D807,E807,F807)</f>
        <v/>
      </c>
      <c r="Q807" s="1" t="str">
        <f aca="false">_xlfn.CONCAT(H807,I807,J807)</f>
        <v>DAURDE</v>
      </c>
    </row>
    <row r="808" customFormat="false" ht="15" hidden="false" customHeight="false" outlineLevel="0" collapsed="false">
      <c r="G808" s="15" t="n">
        <f aca="false">F808-E808</f>
        <v>0</v>
      </c>
      <c r="H808" s="20" t="s">
        <v>248</v>
      </c>
      <c r="J808" s="20" t="s">
        <v>256</v>
      </c>
      <c r="K808" s="1" t="s">
        <v>430</v>
      </c>
      <c r="L808" s="1" t="s">
        <v>436</v>
      </c>
      <c r="M808" s="20" t="s">
        <v>258</v>
      </c>
      <c r="N808" s="20" t="s">
        <v>379</v>
      </c>
      <c r="O808" s="1" t="s">
        <v>399</v>
      </c>
      <c r="P808" s="22" t="str">
        <f aca="false">_xlfn.CONCAT(B808,C808,D808,E808,F808)</f>
        <v/>
      </c>
      <c r="Q808" s="1" t="str">
        <f aca="false">_xlfn.CONCAT(H808,I808,J808)</f>
        <v>DAURDE</v>
      </c>
    </row>
    <row r="809" customFormat="false" ht="15" hidden="false" customHeight="false" outlineLevel="0" collapsed="false">
      <c r="G809" s="15" t="n">
        <f aca="false">F809-E809</f>
        <v>0</v>
      </c>
      <c r="H809" s="20" t="s">
        <v>248</v>
      </c>
      <c r="J809" s="20" t="s">
        <v>256</v>
      </c>
      <c r="K809" s="1" t="s">
        <v>430</v>
      </c>
      <c r="L809" s="1" t="s">
        <v>436</v>
      </c>
      <c r="M809" s="20" t="s">
        <v>258</v>
      </c>
      <c r="N809" s="20" t="s">
        <v>379</v>
      </c>
      <c r="O809" s="1" t="s">
        <v>399</v>
      </c>
      <c r="P809" s="22" t="str">
        <f aca="false">_xlfn.CONCAT(B809,C809,D809,E809,F809)</f>
        <v/>
      </c>
      <c r="Q809" s="1" t="str">
        <f aca="false">_xlfn.CONCAT(H809,I809,J809)</f>
        <v>DAURDE</v>
      </c>
    </row>
    <row r="810" customFormat="false" ht="15" hidden="false" customHeight="false" outlineLevel="0" collapsed="false">
      <c r="G810" s="15" t="n">
        <f aca="false">F810-E810</f>
        <v>0</v>
      </c>
      <c r="H810" s="20" t="s">
        <v>248</v>
      </c>
      <c r="J810" s="20" t="s">
        <v>256</v>
      </c>
      <c r="K810" s="1" t="s">
        <v>430</v>
      </c>
      <c r="L810" s="1" t="s">
        <v>436</v>
      </c>
      <c r="M810" s="20" t="s">
        <v>258</v>
      </c>
      <c r="N810" s="20" t="s">
        <v>379</v>
      </c>
      <c r="O810" s="1" t="s">
        <v>399</v>
      </c>
      <c r="P810" s="22" t="str">
        <f aca="false">_xlfn.CONCAT(B810,C810,D810,E810,F810)</f>
        <v/>
      </c>
      <c r="Q810" s="1" t="str">
        <f aca="false">_xlfn.CONCAT(H810,I810,J810)</f>
        <v>DAURDE</v>
      </c>
    </row>
    <row r="811" customFormat="false" ht="15" hidden="false" customHeight="false" outlineLevel="0" collapsed="false">
      <c r="G811" s="15" t="n">
        <f aca="false">F811-E811</f>
        <v>0</v>
      </c>
      <c r="H811" s="20" t="s">
        <v>248</v>
      </c>
      <c r="J811" s="20" t="s">
        <v>256</v>
      </c>
      <c r="K811" s="1" t="s">
        <v>430</v>
      </c>
      <c r="L811" s="1" t="s">
        <v>436</v>
      </c>
      <c r="M811" s="20" t="s">
        <v>258</v>
      </c>
      <c r="N811" s="20" t="s">
        <v>379</v>
      </c>
      <c r="O811" s="1" t="s">
        <v>399</v>
      </c>
      <c r="P811" s="22" t="str">
        <f aca="false">_xlfn.CONCAT(B811,C811,D811,E811,F811)</f>
        <v/>
      </c>
      <c r="Q811" s="1" t="str">
        <f aca="false">_xlfn.CONCAT(H811,I811,J811)</f>
        <v>DAURDE</v>
      </c>
    </row>
    <row r="812" customFormat="false" ht="15" hidden="false" customHeight="false" outlineLevel="0" collapsed="false">
      <c r="G812" s="15" t="n">
        <f aca="false">F812-E812</f>
        <v>0</v>
      </c>
      <c r="H812" s="20" t="s">
        <v>248</v>
      </c>
      <c r="J812" s="20" t="s">
        <v>256</v>
      </c>
      <c r="K812" s="1" t="s">
        <v>430</v>
      </c>
      <c r="L812" s="1" t="s">
        <v>436</v>
      </c>
      <c r="M812" s="20" t="s">
        <v>258</v>
      </c>
      <c r="N812" s="20" t="s">
        <v>379</v>
      </c>
      <c r="O812" s="1" t="s">
        <v>399</v>
      </c>
      <c r="P812" s="22" t="str">
        <f aca="false">_xlfn.CONCAT(B812,C812,D812,E812,F812)</f>
        <v/>
      </c>
      <c r="Q812" s="1" t="str">
        <f aca="false">_xlfn.CONCAT(H812,I812,J812)</f>
        <v>DAURDE</v>
      </c>
    </row>
    <row r="813" customFormat="false" ht="15" hidden="false" customHeight="false" outlineLevel="0" collapsed="false">
      <c r="G813" s="15" t="n">
        <f aca="false">F813-E813</f>
        <v>0</v>
      </c>
      <c r="H813" s="20" t="s">
        <v>248</v>
      </c>
      <c r="J813" s="20" t="s">
        <v>256</v>
      </c>
      <c r="K813" s="1" t="s">
        <v>430</v>
      </c>
      <c r="L813" s="1" t="s">
        <v>436</v>
      </c>
      <c r="M813" s="20" t="s">
        <v>258</v>
      </c>
      <c r="N813" s="20" t="s">
        <v>379</v>
      </c>
      <c r="O813" s="1" t="s">
        <v>399</v>
      </c>
      <c r="P813" s="22" t="str">
        <f aca="false">_xlfn.CONCAT(B813,C813,D813,E813,F813)</f>
        <v/>
      </c>
      <c r="Q813" s="1" t="str">
        <f aca="false">_xlfn.CONCAT(H813,I813,J813)</f>
        <v>DAURDE</v>
      </c>
    </row>
    <row r="814" customFormat="false" ht="15" hidden="false" customHeight="false" outlineLevel="0" collapsed="false">
      <c r="G814" s="15" t="n">
        <f aca="false">F814-E814</f>
        <v>0</v>
      </c>
      <c r="H814" s="20" t="s">
        <v>248</v>
      </c>
      <c r="J814" s="20" t="s">
        <v>256</v>
      </c>
      <c r="K814" s="1" t="s">
        <v>430</v>
      </c>
      <c r="L814" s="1" t="s">
        <v>436</v>
      </c>
      <c r="M814" s="20" t="s">
        <v>258</v>
      </c>
      <c r="N814" s="20" t="s">
        <v>379</v>
      </c>
      <c r="O814" s="1" t="s">
        <v>399</v>
      </c>
      <c r="P814" s="22" t="str">
        <f aca="false">_xlfn.CONCAT(B814,C814,D814,E814,F814)</f>
        <v/>
      </c>
      <c r="Q814" s="1" t="str">
        <f aca="false">_xlfn.CONCAT(H814,I814,J814)</f>
        <v>DAURDE</v>
      </c>
    </row>
    <row r="815" customFormat="false" ht="15" hidden="false" customHeight="false" outlineLevel="0" collapsed="false">
      <c r="G815" s="15" t="n">
        <f aca="false">F815-E815</f>
        <v>0</v>
      </c>
      <c r="H815" s="20" t="s">
        <v>248</v>
      </c>
      <c r="J815" s="20" t="s">
        <v>256</v>
      </c>
      <c r="K815" s="1" t="s">
        <v>430</v>
      </c>
      <c r="L815" s="1" t="s">
        <v>436</v>
      </c>
      <c r="M815" s="20" t="s">
        <v>258</v>
      </c>
      <c r="N815" s="20" t="s">
        <v>379</v>
      </c>
      <c r="O815" s="1" t="s">
        <v>399</v>
      </c>
      <c r="P815" s="22" t="str">
        <f aca="false">_xlfn.CONCAT(B815,C815,D815,E815,F815)</f>
        <v/>
      </c>
      <c r="Q815" s="1" t="str">
        <f aca="false">_xlfn.CONCAT(H815,I815,J815)</f>
        <v>DAURDE</v>
      </c>
    </row>
    <row r="816" customFormat="false" ht="15" hidden="false" customHeight="false" outlineLevel="0" collapsed="false">
      <c r="G816" s="15" t="n">
        <f aca="false">F816-E816</f>
        <v>0</v>
      </c>
      <c r="H816" s="20" t="s">
        <v>248</v>
      </c>
      <c r="J816" s="20" t="s">
        <v>256</v>
      </c>
      <c r="K816" s="1" t="s">
        <v>430</v>
      </c>
      <c r="L816" s="1" t="s">
        <v>436</v>
      </c>
      <c r="M816" s="20" t="s">
        <v>258</v>
      </c>
      <c r="N816" s="20" t="s">
        <v>379</v>
      </c>
      <c r="O816" s="1" t="s">
        <v>399</v>
      </c>
      <c r="P816" s="22" t="str">
        <f aca="false">_xlfn.CONCAT(B816,C816,D816,E816,F816)</f>
        <v/>
      </c>
      <c r="Q816" s="1" t="str">
        <f aca="false">_xlfn.CONCAT(H816,I816,J816)</f>
        <v>DAURDE</v>
      </c>
    </row>
    <row r="817" customFormat="false" ht="15" hidden="false" customHeight="false" outlineLevel="0" collapsed="false">
      <c r="G817" s="15" t="n">
        <f aca="false">F817-E817</f>
        <v>0</v>
      </c>
      <c r="H817" s="20" t="s">
        <v>248</v>
      </c>
      <c r="J817" s="20" t="s">
        <v>256</v>
      </c>
      <c r="K817" s="1" t="s">
        <v>430</v>
      </c>
      <c r="L817" s="1" t="s">
        <v>436</v>
      </c>
      <c r="M817" s="20" t="s">
        <v>258</v>
      </c>
      <c r="N817" s="20" t="s">
        <v>379</v>
      </c>
      <c r="O817" s="1" t="s">
        <v>399</v>
      </c>
      <c r="P817" s="22" t="str">
        <f aca="false">_xlfn.CONCAT(B817,C817,D817,E817,F817)</f>
        <v/>
      </c>
      <c r="Q817" s="1" t="str">
        <f aca="false">_xlfn.CONCAT(H817,I817,J817)</f>
        <v>DAURDE</v>
      </c>
    </row>
    <row r="818" customFormat="false" ht="15" hidden="false" customHeight="false" outlineLevel="0" collapsed="false">
      <c r="G818" s="15" t="n">
        <f aca="false">F818-E818</f>
        <v>0</v>
      </c>
      <c r="H818" s="20" t="s">
        <v>248</v>
      </c>
      <c r="J818" s="20" t="s">
        <v>256</v>
      </c>
      <c r="K818" s="1" t="s">
        <v>430</v>
      </c>
      <c r="L818" s="1" t="s">
        <v>436</v>
      </c>
      <c r="M818" s="20" t="s">
        <v>258</v>
      </c>
      <c r="N818" s="20" t="s">
        <v>379</v>
      </c>
      <c r="O818" s="1" t="s">
        <v>399</v>
      </c>
      <c r="P818" s="22" t="str">
        <f aca="false">_xlfn.CONCAT(B818,C818,D818,E818,F818)</f>
        <v/>
      </c>
      <c r="Q818" s="1" t="str">
        <f aca="false">_xlfn.CONCAT(H818,I818,J818)</f>
        <v>DAURDE</v>
      </c>
    </row>
    <row r="819" customFormat="false" ht="15" hidden="false" customHeight="false" outlineLevel="0" collapsed="false">
      <c r="G819" s="15" t="n">
        <f aca="false">F819-E819</f>
        <v>0</v>
      </c>
      <c r="H819" s="20" t="s">
        <v>248</v>
      </c>
      <c r="J819" s="20" t="s">
        <v>256</v>
      </c>
      <c r="K819" s="1" t="s">
        <v>430</v>
      </c>
      <c r="L819" s="1" t="s">
        <v>436</v>
      </c>
      <c r="M819" s="20" t="s">
        <v>258</v>
      </c>
      <c r="N819" s="20" t="s">
        <v>379</v>
      </c>
      <c r="O819" s="1" t="s">
        <v>399</v>
      </c>
      <c r="P819" s="22" t="str">
        <f aca="false">_xlfn.CONCAT(B819,C819,D819,E819,F819)</f>
        <v/>
      </c>
      <c r="Q819" s="1" t="str">
        <f aca="false">_xlfn.CONCAT(H819,I819,J819)</f>
        <v>DAURDE</v>
      </c>
    </row>
    <row r="820" customFormat="false" ht="15" hidden="false" customHeight="false" outlineLevel="0" collapsed="false">
      <c r="G820" s="15" t="n">
        <f aca="false">F820-E820</f>
        <v>0</v>
      </c>
      <c r="H820" s="20" t="s">
        <v>248</v>
      </c>
      <c r="J820" s="20" t="s">
        <v>256</v>
      </c>
      <c r="K820" s="1" t="s">
        <v>430</v>
      </c>
      <c r="L820" s="1" t="s">
        <v>436</v>
      </c>
      <c r="M820" s="20" t="s">
        <v>258</v>
      </c>
      <c r="N820" s="20" t="s">
        <v>379</v>
      </c>
      <c r="O820" s="1" t="s">
        <v>399</v>
      </c>
      <c r="P820" s="22" t="str">
        <f aca="false">_xlfn.CONCAT(B820,C820,D820,E820,F820)</f>
        <v/>
      </c>
      <c r="Q820" s="1" t="str">
        <f aca="false">_xlfn.CONCAT(H820,I820,J820)</f>
        <v>DAURDE</v>
      </c>
    </row>
    <row r="821" customFormat="false" ht="15" hidden="false" customHeight="false" outlineLevel="0" collapsed="false">
      <c r="G821" s="15" t="n">
        <f aca="false">F821-E821</f>
        <v>0</v>
      </c>
      <c r="H821" s="20" t="s">
        <v>248</v>
      </c>
      <c r="J821" s="20" t="s">
        <v>256</v>
      </c>
      <c r="K821" s="1" t="s">
        <v>430</v>
      </c>
      <c r="L821" s="1" t="s">
        <v>436</v>
      </c>
      <c r="M821" s="20" t="s">
        <v>258</v>
      </c>
      <c r="N821" s="20" t="s">
        <v>379</v>
      </c>
      <c r="O821" s="1" t="s">
        <v>399</v>
      </c>
      <c r="P821" s="22" t="str">
        <f aca="false">_xlfn.CONCAT(B821,C821,D821,E821,F821)</f>
        <v/>
      </c>
      <c r="Q821" s="1" t="str">
        <f aca="false">_xlfn.CONCAT(H821,I821,J821)</f>
        <v>DAURDE</v>
      </c>
    </row>
    <row r="822" customFormat="false" ht="15" hidden="false" customHeight="false" outlineLevel="0" collapsed="false">
      <c r="G822" s="15" t="n">
        <f aca="false">F822-E822</f>
        <v>0</v>
      </c>
      <c r="H822" s="20" t="s">
        <v>248</v>
      </c>
      <c r="J822" s="20" t="s">
        <v>256</v>
      </c>
      <c r="K822" s="1" t="s">
        <v>430</v>
      </c>
      <c r="L822" s="1" t="s">
        <v>436</v>
      </c>
      <c r="M822" s="20" t="s">
        <v>258</v>
      </c>
      <c r="N822" s="20" t="s">
        <v>379</v>
      </c>
      <c r="O822" s="1" t="s">
        <v>399</v>
      </c>
      <c r="P822" s="22" t="str">
        <f aca="false">_xlfn.CONCAT(B822,C822,D822,E822,F822)</f>
        <v/>
      </c>
      <c r="Q822" s="1" t="str">
        <f aca="false">_xlfn.CONCAT(H822,I822,J822)</f>
        <v>DAURDE</v>
      </c>
    </row>
    <row r="823" customFormat="false" ht="15" hidden="false" customHeight="false" outlineLevel="0" collapsed="false">
      <c r="G823" s="15" t="n">
        <f aca="false">F823-E823</f>
        <v>0</v>
      </c>
      <c r="H823" s="20" t="s">
        <v>248</v>
      </c>
      <c r="J823" s="20" t="s">
        <v>256</v>
      </c>
      <c r="K823" s="1" t="s">
        <v>430</v>
      </c>
      <c r="L823" s="1" t="s">
        <v>436</v>
      </c>
      <c r="M823" s="20" t="s">
        <v>258</v>
      </c>
      <c r="N823" s="20" t="s">
        <v>379</v>
      </c>
      <c r="O823" s="1" t="s">
        <v>399</v>
      </c>
      <c r="P823" s="22" t="str">
        <f aca="false">_xlfn.CONCAT(B823,C823,D823,E823,F823)</f>
        <v/>
      </c>
      <c r="Q823" s="1" t="str">
        <f aca="false">_xlfn.CONCAT(H823,I823,J823)</f>
        <v>DAURDE</v>
      </c>
    </row>
    <row r="824" customFormat="false" ht="15" hidden="false" customHeight="false" outlineLevel="0" collapsed="false">
      <c r="G824" s="15" t="n">
        <f aca="false">F824-E824</f>
        <v>0</v>
      </c>
      <c r="H824" s="20" t="s">
        <v>248</v>
      </c>
      <c r="J824" s="20" t="s">
        <v>256</v>
      </c>
      <c r="K824" s="1" t="s">
        <v>430</v>
      </c>
      <c r="L824" s="1" t="s">
        <v>436</v>
      </c>
      <c r="M824" s="20" t="s">
        <v>258</v>
      </c>
      <c r="N824" s="20" t="s">
        <v>379</v>
      </c>
      <c r="O824" s="1" t="s">
        <v>399</v>
      </c>
      <c r="P824" s="22" t="str">
        <f aca="false">_xlfn.CONCAT(B824,C824,D824,E824,F824)</f>
        <v/>
      </c>
      <c r="Q824" s="1" t="str">
        <f aca="false">_xlfn.CONCAT(H824,I824,J824)</f>
        <v>DAURDE</v>
      </c>
    </row>
    <row r="825" customFormat="false" ht="15" hidden="false" customHeight="false" outlineLevel="0" collapsed="false">
      <c r="G825" s="15" t="n">
        <f aca="false">F825-E825</f>
        <v>0</v>
      </c>
      <c r="H825" s="20" t="s">
        <v>248</v>
      </c>
      <c r="J825" s="20" t="s">
        <v>256</v>
      </c>
      <c r="K825" s="1" t="s">
        <v>430</v>
      </c>
      <c r="L825" s="1" t="s">
        <v>436</v>
      </c>
      <c r="M825" s="20" t="s">
        <v>258</v>
      </c>
      <c r="N825" s="20" t="s">
        <v>379</v>
      </c>
      <c r="O825" s="1" t="s">
        <v>399</v>
      </c>
      <c r="P825" s="22" t="str">
        <f aca="false">_xlfn.CONCAT(B825,C825,D825,E825,F825)</f>
        <v/>
      </c>
      <c r="Q825" s="1" t="str">
        <f aca="false">_xlfn.CONCAT(H825,I825,J825)</f>
        <v>DAURDE</v>
      </c>
    </row>
    <row r="826" customFormat="false" ht="15" hidden="false" customHeight="false" outlineLevel="0" collapsed="false">
      <c r="G826" s="15" t="n">
        <f aca="false">F826-E826</f>
        <v>0</v>
      </c>
      <c r="H826" s="20" t="s">
        <v>248</v>
      </c>
      <c r="J826" s="20" t="s">
        <v>256</v>
      </c>
      <c r="K826" s="1" t="s">
        <v>430</v>
      </c>
      <c r="L826" s="1" t="s">
        <v>436</v>
      </c>
      <c r="M826" s="20" t="s">
        <v>258</v>
      </c>
      <c r="N826" s="20" t="s">
        <v>379</v>
      </c>
      <c r="O826" s="1" t="s">
        <v>399</v>
      </c>
      <c r="P826" s="22" t="str">
        <f aca="false">_xlfn.CONCAT(B826,C826,D826,E826,F826)</f>
        <v/>
      </c>
      <c r="Q826" s="1" t="str">
        <f aca="false">_xlfn.CONCAT(H826,I826,J826)</f>
        <v>DAURDE</v>
      </c>
    </row>
    <row r="827" customFormat="false" ht="15" hidden="false" customHeight="false" outlineLevel="0" collapsed="false">
      <c r="G827" s="15" t="n">
        <f aca="false">F827-E827</f>
        <v>0</v>
      </c>
      <c r="H827" s="20" t="s">
        <v>248</v>
      </c>
      <c r="J827" s="20" t="s">
        <v>256</v>
      </c>
      <c r="K827" s="1" t="s">
        <v>430</v>
      </c>
      <c r="L827" s="1" t="s">
        <v>436</v>
      </c>
      <c r="M827" s="20" t="s">
        <v>258</v>
      </c>
      <c r="N827" s="20" t="s">
        <v>379</v>
      </c>
      <c r="O827" s="1" t="s">
        <v>399</v>
      </c>
      <c r="P827" s="22" t="str">
        <f aca="false">_xlfn.CONCAT(B827,C827,D827,E827,F827)</f>
        <v/>
      </c>
      <c r="Q827" s="1" t="str">
        <f aca="false">_xlfn.CONCAT(H827,I827,J827)</f>
        <v>DAURDE</v>
      </c>
    </row>
    <row r="828" customFormat="false" ht="15" hidden="false" customHeight="false" outlineLevel="0" collapsed="false">
      <c r="G828" s="15" t="n">
        <f aca="false">F828-E828</f>
        <v>0</v>
      </c>
      <c r="H828" s="20" t="s">
        <v>248</v>
      </c>
      <c r="J828" s="20" t="s">
        <v>256</v>
      </c>
      <c r="K828" s="1" t="s">
        <v>430</v>
      </c>
      <c r="L828" s="1" t="s">
        <v>436</v>
      </c>
      <c r="M828" s="20" t="s">
        <v>258</v>
      </c>
      <c r="N828" s="20" t="s">
        <v>379</v>
      </c>
      <c r="O828" s="1" t="s">
        <v>399</v>
      </c>
      <c r="P828" s="22" t="str">
        <f aca="false">_xlfn.CONCAT(B828,C828,D828,E828,F828)</f>
        <v/>
      </c>
      <c r="Q828" s="1" t="str">
        <f aca="false">_xlfn.CONCAT(H828,I828,J828)</f>
        <v>DAURDE</v>
      </c>
    </row>
    <row r="829" customFormat="false" ht="15" hidden="false" customHeight="false" outlineLevel="0" collapsed="false">
      <c r="G829" s="15" t="n">
        <f aca="false">F829-E829</f>
        <v>0</v>
      </c>
      <c r="H829" s="20" t="s">
        <v>248</v>
      </c>
      <c r="J829" s="20" t="s">
        <v>256</v>
      </c>
      <c r="K829" s="1" t="s">
        <v>430</v>
      </c>
      <c r="L829" s="1" t="s">
        <v>436</v>
      </c>
      <c r="M829" s="20" t="s">
        <v>258</v>
      </c>
      <c r="N829" s="20" t="s">
        <v>379</v>
      </c>
      <c r="O829" s="1" t="s">
        <v>399</v>
      </c>
      <c r="P829" s="22" t="str">
        <f aca="false">_xlfn.CONCAT(B829,C829,D829,E829,F829)</f>
        <v/>
      </c>
      <c r="Q829" s="1" t="str">
        <f aca="false">_xlfn.CONCAT(H829,I829,J829)</f>
        <v>DAURDE</v>
      </c>
    </row>
    <row r="830" customFormat="false" ht="15" hidden="false" customHeight="false" outlineLevel="0" collapsed="false">
      <c r="G830" s="15" t="n">
        <f aca="false">F830-E830</f>
        <v>0</v>
      </c>
      <c r="H830" s="20" t="s">
        <v>248</v>
      </c>
      <c r="J830" s="20" t="s">
        <v>256</v>
      </c>
      <c r="K830" s="1" t="s">
        <v>430</v>
      </c>
      <c r="L830" s="1" t="s">
        <v>436</v>
      </c>
      <c r="M830" s="20" t="s">
        <v>258</v>
      </c>
      <c r="N830" s="20" t="s">
        <v>379</v>
      </c>
      <c r="O830" s="1" t="s">
        <v>399</v>
      </c>
      <c r="P830" s="22" t="str">
        <f aca="false">_xlfn.CONCAT(B830,C830,D830,E830,F830)</f>
        <v/>
      </c>
      <c r="Q830" s="1" t="str">
        <f aca="false">_xlfn.CONCAT(H830,I830,J830)</f>
        <v>DAURDE</v>
      </c>
    </row>
    <row r="831" customFormat="false" ht="15" hidden="false" customHeight="false" outlineLevel="0" collapsed="false">
      <c r="G831" s="15" t="n">
        <f aca="false">F831-E831</f>
        <v>0</v>
      </c>
      <c r="H831" s="20" t="s">
        <v>248</v>
      </c>
      <c r="J831" s="20" t="s">
        <v>256</v>
      </c>
      <c r="K831" s="1" t="s">
        <v>430</v>
      </c>
      <c r="L831" s="1" t="s">
        <v>436</v>
      </c>
      <c r="M831" s="20" t="s">
        <v>258</v>
      </c>
      <c r="N831" s="20" t="s">
        <v>379</v>
      </c>
      <c r="O831" s="1" t="s">
        <v>399</v>
      </c>
      <c r="P831" s="22" t="str">
        <f aca="false">_xlfn.CONCAT(B831,C831,D831,E831,F831)</f>
        <v/>
      </c>
      <c r="Q831" s="1" t="str">
        <f aca="false">_xlfn.CONCAT(H831,I831,J831)</f>
        <v>DAURDE</v>
      </c>
    </row>
    <row r="832" customFormat="false" ht="15" hidden="false" customHeight="false" outlineLevel="0" collapsed="false">
      <c r="G832" s="15" t="n">
        <f aca="false">F832-E832</f>
        <v>0</v>
      </c>
      <c r="H832" s="20" t="s">
        <v>248</v>
      </c>
      <c r="J832" s="20" t="s">
        <v>256</v>
      </c>
      <c r="K832" s="1" t="s">
        <v>430</v>
      </c>
      <c r="L832" s="1" t="s">
        <v>436</v>
      </c>
      <c r="M832" s="20" t="s">
        <v>258</v>
      </c>
      <c r="N832" s="20" t="s">
        <v>379</v>
      </c>
      <c r="O832" s="1" t="s">
        <v>399</v>
      </c>
      <c r="P832" s="22" t="str">
        <f aca="false">_xlfn.CONCAT(B832,C832,D832,E832,F832)</f>
        <v/>
      </c>
      <c r="Q832" s="1" t="str">
        <f aca="false">_xlfn.CONCAT(H832,I832,J832)</f>
        <v>DAURDE</v>
      </c>
    </row>
    <row r="833" customFormat="false" ht="15" hidden="false" customHeight="false" outlineLevel="0" collapsed="false">
      <c r="G833" s="15" t="n">
        <f aca="false">F833-E833</f>
        <v>0</v>
      </c>
      <c r="H833" s="20" t="s">
        <v>248</v>
      </c>
      <c r="J833" s="20" t="s">
        <v>256</v>
      </c>
      <c r="K833" s="1" t="s">
        <v>430</v>
      </c>
      <c r="L833" s="1" t="s">
        <v>436</v>
      </c>
      <c r="M833" s="20" t="s">
        <v>258</v>
      </c>
      <c r="N833" s="20" t="s">
        <v>379</v>
      </c>
      <c r="O833" s="1" t="s">
        <v>399</v>
      </c>
      <c r="P833" s="22" t="str">
        <f aca="false">_xlfn.CONCAT(B833,C833,D833,E833,F833)</f>
        <v/>
      </c>
      <c r="Q833" s="1" t="str">
        <f aca="false">_xlfn.CONCAT(H833,I833,J833)</f>
        <v>DAURDE</v>
      </c>
    </row>
    <row r="834" customFormat="false" ht="15" hidden="false" customHeight="false" outlineLevel="0" collapsed="false">
      <c r="G834" s="15" t="n">
        <f aca="false">F834-E834</f>
        <v>0</v>
      </c>
      <c r="H834" s="20" t="s">
        <v>248</v>
      </c>
      <c r="J834" s="20" t="s">
        <v>256</v>
      </c>
      <c r="K834" s="1" t="s">
        <v>430</v>
      </c>
      <c r="L834" s="1" t="s">
        <v>436</v>
      </c>
      <c r="M834" s="20" t="s">
        <v>258</v>
      </c>
      <c r="N834" s="20" t="s">
        <v>379</v>
      </c>
      <c r="O834" s="1" t="s">
        <v>399</v>
      </c>
      <c r="P834" s="22" t="str">
        <f aca="false">_xlfn.CONCAT(B834,C834,D834,E834,F834)</f>
        <v/>
      </c>
      <c r="Q834" s="1" t="str">
        <f aca="false">_xlfn.CONCAT(H834,I834,J834)</f>
        <v>DAURDE</v>
      </c>
    </row>
    <row r="835" customFormat="false" ht="15" hidden="false" customHeight="false" outlineLevel="0" collapsed="false">
      <c r="G835" s="15" t="n">
        <f aca="false">F835-E835</f>
        <v>0</v>
      </c>
      <c r="H835" s="20" t="s">
        <v>248</v>
      </c>
      <c r="J835" s="20" t="s">
        <v>256</v>
      </c>
      <c r="K835" s="1" t="s">
        <v>430</v>
      </c>
      <c r="L835" s="1" t="s">
        <v>436</v>
      </c>
      <c r="M835" s="20" t="s">
        <v>258</v>
      </c>
      <c r="N835" s="20" t="s">
        <v>379</v>
      </c>
      <c r="O835" s="1" t="s">
        <v>399</v>
      </c>
      <c r="P835" s="22" t="str">
        <f aca="false">_xlfn.CONCAT(B835,C835,D835,E835,F835)</f>
        <v/>
      </c>
      <c r="Q835" s="1" t="str">
        <f aca="false">_xlfn.CONCAT(H835,I835,J835)</f>
        <v>DAURDE</v>
      </c>
    </row>
    <row r="836" customFormat="false" ht="15" hidden="false" customHeight="false" outlineLevel="0" collapsed="false">
      <c r="G836" s="15" t="n">
        <f aca="false">F836-E836</f>
        <v>0</v>
      </c>
      <c r="H836" s="20" t="s">
        <v>248</v>
      </c>
      <c r="J836" s="20" t="s">
        <v>256</v>
      </c>
      <c r="K836" s="1" t="s">
        <v>430</v>
      </c>
      <c r="L836" s="1" t="s">
        <v>436</v>
      </c>
      <c r="M836" s="20" t="s">
        <v>258</v>
      </c>
      <c r="N836" s="20" t="s">
        <v>379</v>
      </c>
      <c r="O836" s="1" t="s">
        <v>399</v>
      </c>
      <c r="P836" s="22" t="str">
        <f aca="false">_xlfn.CONCAT(B836,C836,D836,E836,F836)</f>
        <v/>
      </c>
      <c r="Q836" s="1" t="str">
        <f aca="false">_xlfn.CONCAT(H836,I836,J836)</f>
        <v>DAURDE</v>
      </c>
    </row>
    <row r="837" customFormat="false" ht="15" hidden="false" customHeight="false" outlineLevel="0" collapsed="false">
      <c r="G837" s="15" t="n">
        <f aca="false">F837-E837</f>
        <v>0</v>
      </c>
      <c r="H837" s="20" t="s">
        <v>248</v>
      </c>
      <c r="J837" s="20" t="s">
        <v>256</v>
      </c>
      <c r="K837" s="1" t="s">
        <v>430</v>
      </c>
      <c r="L837" s="1" t="s">
        <v>436</v>
      </c>
      <c r="M837" s="20" t="s">
        <v>258</v>
      </c>
      <c r="N837" s="20" t="s">
        <v>379</v>
      </c>
      <c r="O837" s="1" t="s">
        <v>399</v>
      </c>
      <c r="P837" s="22" t="str">
        <f aca="false">_xlfn.CONCAT(B837,C837,D837,E837,F837)</f>
        <v/>
      </c>
      <c r="Q837" s="1" t="str">
        <f aca="false">_xlfn.CONCAT(H837,I837,J837)</f>
        <v>DAURDE</v>
      </c>
    </row>
    <row r="838" customFormat="false" ht="15" hidden="false" customHeight="false" outlineLevel="0" collapsed="false">
      <c r="G838" s="15" t="n">
        <f aca="false">F838-E838</f>
        <v>0</v>
      </c>
      <c r="H838" s="20" t="s">
        <v>248</v>
      </c>
      <c r="J838" s="20" t="s">
        <v>256</v>
      </c>
      <c r="K838" s="1" t="s">
        <v>430</v>
      </c>
      <c r="L838" s="1" t="s">
        <v>436</v>
      </c>
      <c r="M838" s="20" t="s">
        <v>258</v>
      </c>
      <c r="N838" s="20" t="s">
        <v>379</v>
      </c>
      <c r="O838" s="1" t="s">
        <v>399</v>
      </c>
      <c r="P838" s="22" t="str">
        <f aca="false">_xlfn.CONCAT(B838,C838,D838,E838,F838)</f>
        <v/>
      </c>
      <c r="Q838" s="1" t="str">
        <f aca="false">_xlfn.CONCAT(H838,I838,J838)</f>
        <v>DAURDE</v>
      </c>
    </row>
    <row r="839" customFormat="false" ht="15" hidden="false" customHeight="false" outlineLevel="0" collapsed="false">
      <c r="G839" s="15" t="n">
        <f aca="false">F839-E839</f>
        <v>0</v>
      </c>
      <c r="H839" s="20" t="s">
        <v>248</v>
      </c>
      <c r="J839" s="20" t="s">
        <v>256</v>
      </c>
      <c r="K839" s="1" t="s">
        <v>430</v>
      </c>
      <c r="L839" s="1" t="s">
        <v>436</v>
      </c>
      <c r="M839" s="20" t="s">
        <v>258</v>
      </c>
      <c r="N839" s="20" t="s">
        <v>379</v>
      </c>
      <c r="O839" s="1" t="s">
        <v>399</v>
      </c>
      <c r="P839" s="22" t="str">
        <f aca="false">_xlfn.CONCAT(B839,C839,D839,E839,F839)</f>
        <v/>
      </c>
      <c r="Q839" s="1" t="str">
        <f aca="false">_xlfn.CONCAT(H839,I839,J839)</f>
        <v>DAURDE</v>
      </c>
    </row>
    <row r="840" customFormat="false" ht="15" hidden="false" customHeight="false" outlineLevel="0" collapsed="false">
      <c r="G840" s="15" t="n">
        <f aca="false">F840-E840</f>
        <v>0</v>
      </c>
      <c r="H840" s="20" t="s">
        <v>248</v>
      </c>
      <c r="J840" s="20" t="s">
        <v>256</v>
      </c>
      <c r="K840" s="1" t="s">
        <v>430</v>
      </c>
      <c r="L840" s="1" t="s">
        <v>436</v>
      </c>
      <c r="M840" s="20" t="s">
        <v>258</v>
      </c>
      <c r="N840" s="20" t="s">
        <v>379</v>
      </c>
      <c r="O840" s="1" t="s">
        <v>399</v>
      </c>
      <c r="P840" s="22" t="str">
        <f aca="false">_xlfn.CONCAT(B840,C840,D840,E840,F840)</f>
        <v/>
      </c>
      <c r="Q840" s="1" t="str">
        <f aca="false">_xlfn.CONCAT(H840,I840,J840)</f>
        <v>DAURDE</v>
      </c>
    </row>
    <row r="841" customFormat="false" ht="15" hidden="false" customHeight="false" outlineLevel="0" collapsed="false">
      <c r="G841" s="15" t="n">
        <f aca="false">F841-E841</f>
        <v>0</v>
      </c>
      <c r="H841" s="20" t="s">
        <v>248</v>
      </c>
      <c r="J841" s="20" t="s">
        <v>256</v>
      </c>
      <c r="K841" s="1" t="s">
        <v>430</v>
      </c>
      <c r="L841" s="1" t="s">
        <v>436</v>
      </c>
      <c r="M841" s="20" t="s">
        <v>258</v>
      </c>
      <c r="N841" s="20" t="s">
        <v>379</v>
      </c>
      <c r="O841" s="1" t="s">
        <v>399</v>
      </c>
      <c r="P841" s="22" t="str">
        <f aca="false">_xlfn.CONCAT(B841,C841,D841,E841,F841)</f>
        <v/>
      </c>
      <c r="Q841" s="1" t="str">
        <f aca="false">_xlfn.CONCAT(H841,I841,J841)</f>
        <v>DAURDE</v>
      </c>
    </row>
    <row r="842" customFormat="false" ht="15" hidden="false" customHeight="false" outlineLevel="0" collapsed="false">
      <c r="G842" s="15" t="n">
        <f aca="false">F842-E842</f>
        <v>0</v>
      </c>
      <c r="H842" s="20" t="s">
        <v>248</v>
      </c>
      <c r="J842" s="20" t="s">
        <v>256</v>
      </c>
      <c r="K842" s="1" t="s">
        <v>430</v>
      </c>
      <c r="L842" s="1" t="s">
        <v>436</v>
      </c>
      <c r="M842" s="20" t="s">
        <v>258</v>
      </c>
      <c r="N842" s="20" t="s">
        <v>379</v>
      </c>
      <c r="O842" s="1" t="s">
        <v>399</v>
      </c>
      <c r="P842" s="22" t="str">
        <f aca="false">_xlfn.CONCAT(B842,C842,D842,E842,F842)</f>
        <v/>
      </c>
      <c r="Q842" s="1" t="str">
        <f aca="false">_xlfn.CONCAT(H842,I842,J842)</f>
        <v>DAURDE</v>
      </c>
    </row>
    <row r="843" customFormat="false" ht="15" hidden="false" customHeight="false" outlineLevel="0" collapsed="false">
      <c r="G843" s="15" t="n">
        <f aca="false">F843-E843</f>
        <v>0</v>
      </c>
      <c r="H843" s="20" t="s">
        <v>248</v>
      </c>
      <c r="J843" s="20" t="s">
        <v>256</v>
      </c>
      <c r="K843" s="1" t="s">
        <v>430</v>
      </c>
      <c r="L843" s="1" t="s">
        <v>436</v>
      </c>
      <c r="M843" s="20" t="s">
        <v>258</v>
      </c>
      <c r="N843" s="20" t="s">
        <v>379</v>
      </c>
      <c r="O843" s="1" t="s">
        <v>399</v>
      </c>
      <c r="P843" s="22" t="str">
        <f aca="false">_xlfn.CONCAT(B843,C843,D843,E843,F843)</f>
        <v/>
      </c>
      <c r="Q843" s="1" t="str">
        <f aca="false">_xlfn.CONCAT(H843,I843,J843)</f>
        <v>DAURDE</v>
      </c>
    </row>
    <row r="844" customFormat="false" ht="15" hidden="false" customHeight="false" outlineLevel="0" collapsed="false">
      <c r="G844" s="15" t="n">
        <f aca="false">F844-E844</f>
        <v>0</v>
      </c>
      <c r="H844" s="20" t="s">
        <v>248</v>
      </c>
      <c r="J844" s="20" t="s">
        <v>256</v>
      </c>
      <c r="K844" s="1" t="s">
        <v>430</v>
      </c>
      <c r="L844" s="1" t="s">
        <v>436</v>
      </c>
      <c r="M844" s="20" t="s">
        <v>258</v>
      </c>
      <c r="N844" s="20" t="s">
        <v>379</v>
      </c>
      <c r="O844" s="1" t="s">
        <v>399</v>
      </c>
      <c r="P844" s="22" t="str">
        <f aca="false">_xlfn.CONCAT(B844,C844,D844,E844,F844)</f>
        <v/>
      </c>
      <c r="Q844" s="1" t="str">
        <f aca="false">_xlfn.CONCAT(H844,I844,J844)</f>
        <v>DAURDE</v>
      </c>
    </row>
    <row r="845" customFormat="false" ht="15" hidden="false" customHeight="false" outlineLevel="0" collapsed="false">
      <c r="G845" s="15" t="n">
        <f aca="false">F845-E845</f>
        <v>0</v>
      </c>
      <c r="H845" s="20" t="s">
        <v>248</v>
      </c>
      <c r="J845" s="20" t="s">
        <v>256</v>
      </c>
      <c r="K845" s="1" t="s">
        <v>430</v>
      </c>
      <c r="L845" s="1" t="s">
        <v>436</v>
      </c>
      <c r="M845" s="20" t="s">
        <v>258</v>
      </c>
      <c r="N845" s="20" t="s">
        <v>379</v>
      </c>
      <c r="O845" s="1" t="s">
        <v>399</v>
      </c>
      <c r="P845" s="22" t="str">
        <f aca="false">_xlfn.CONCAT(B845,C845,D845,E845,F845)</f>
        <v/>
      </c>
      <c r="Q845" s="1" t="str">
        <f aca="false">_xlfn.CONCAT(H845,I845,J845)</f>
        <v>DAURDE</v>
      </c>
    </row>
    <row r="846" customFormat="false" ht="15" hidden="false" customHeight="false" outlineLevel="0" collapsed="false">
      <c r="G846" s="15" t="n">
        <f aca="false">F846-E846</f>
        <v>0</v>
      </c>
      <c r="H846" s="20" t="s">
        <v>248</v>
      </c>
      <c r="J846" s="20" t="s">
        <v>256</v>
      </c>
      <c r="K846" s="1" t="s">
        <v>430</v>
      </c>
      <c r="L846" s="1" t="s">
        <v>436</v>
      </c>
      <c r="M846" s="20" t="s">
        <v>258</v>
      </c>
      <c r="N846" s="20" t="s">
        <v>379</v>
      </c>
      <c r="O846" s="1" t="s">
        <v>399</v>
      </c>
      <c r="P846" s="22" t="str">
        <f aca="false">_xlfn.CONCAT(B846,C846,D846,E846,F846)</f>
        <v/>
      </c>
      <c r="Q846" s="1" t="str">
        <f aca="false">_xlfn.CONCAT(H846,I846,J846)</f>
        <v>DAURDE</v>
      </c>
    </row>
    <row r="847" customFormat="false" ht="15" hidden="false" customHeight="false" outlineLevel="0" collapsed="false">
      <c r="G847" s="15" t="n">
        <f aca="false">F847-E847</f>
        <v>0</v>
      </c>
      <c r="H847" s="20" t="s">
        <v>248</v>
      </c>
      <c r="J847" s="20" t="s">
        <v>256</v>
      </c>
      <c r="K847" s="1" t="s">
        <v>430</v>
      </c>
      <c r="L847" s="1" t="s">
        <v>436</v>
      </c>
      <c r="M847" s="20" t="s">
        <v>258</v>
      </c>
      <c r="N847" s="20" t="s">
        <v>379</v>
      </c>
      <c r="O847" s="1" t="s">
        <v>399</v>
      </c>
      <c r="P847" s="22" t="str">
        <f aca="false">_xlfn.CONCAT(B847,C847,D847,E847,F847)</f>
        <v/>
      </c>
      <c r="Q847" s="1" t="str">
        <f aca="false">_xlfn.CONCAT(H847,I847,J847)</f>
        <v>DAURDE</v>
      </c>
    </row>
    <row r="848" customFormat="false" ht="15" hidden="false" customHeight="false" outlineLevel="0" collapsed="false">
      <c r="G848" s="15" t="n">
        <f aca="false">F848-E848</f>
        <v>0</v>
      </c>
      <c r="H848" s="20" t="s">
        <v>248</v>
      </c>
      <c r="J848" s="20" t="s">
        <v>256</v>
      </c>
      <c r="K848" s="1" t="s">
        <v>430</v>
      </c>
      <c r="L848" s="1" t="s">
        <v>436</v>
      </c>
      <c r="M848" s="20" t="s">
        <v>258</v>
      </c>
      <c r="N848" s="20" t="s">
        <v>379</v>
      </c>
      <c r="O848" s="1" t="s">
        <v>399</v>
      </c>
      <c r="P848" s="22" t="str">
        <f aca="false">_xlfn.CONCAT(B848,C848,D848,E848,F848)</f>
        <v/>
      </c>
      <c r="Q848" s="1" t="str">
        <f aca="false">_xlfn.CONCAT(H848,I848,J848)</f>
        <v>DAURDE</v>
      </c>
    </row>
    <row r="849" customFormat="false" ht="15" hidden="false" customHeight="false" outlineLevel="0" collapsed="false">
      <c r="G849" s="15" t="n">
        <f aca="false">F849-E849</f>
        <v>0</v>
      </c>
      <c r="H849" s="20" t="s">
        <v>248</v>
      </c>
      <c r="J849" s="20" t="s">
        <v>256</v>
      </c>
      <c r="K849" s="1" t="s">
        <v>430</v>
      </c>
      <c r="L849" s="1" t="s">
        <v>469</v>
      </c>
      <c r="M849" s="20" t="s">
        <v>258</v>
      </c>
      <c r="N849" s="20" t="s">
        <v>379</v>
      </c>
      <c r="O849" s="1" t="s">
        <v>470</v>
      </c>
      <c r="P849" s="22" t="str">
        <f aca="false">_xlfn.CONCAT(B849,C849,D849,E849,F849)</f>
        <v/>
      </c>
      <c r="Q849" s="1" t="str">
        <f aca="false">_xlfn.CONCAT(H849,I849,J849)</f>
        <v>DAURDE</v>
      </c>
    </row>
    <row r="850" customFormat="false" ht="15" hidden="false" customHeight="false" outlineLevel="0" collapsed="false">
      <c r="G850" s="15" t="n">
        <f aca="false">F850-E850</f>
        <v>0</v>
      </c>
      <c r="H850" s="20" t="s">
        <v>248</v>
      </c>
      <c r="J850" s="20" t="s">
        <v>256</v>
      </c>
      <c r="K850" s="1" t="s">
        <v>430</v>
      </c>
      <c r="L850" s="1" t="s">
        <v>469</v>
      </c>
      <c r="M850" s="20" t="s">
        <v>258</v>
      </c>
      <c r="N850" s="20" t="s">
        <v>379</v>
      </c>
      <c r="O850" s="1" t="s">
        <v>470</v>
      </c>
      <c r="P850" s="22" t="str">
        <f aca="false">_xlfn.CONCAT(B850,C850,D850,E850,F850)</f>
        <v/>
      </c>
      <c r="Q850" s="1" t="str">
        <f aca="false">_xlfn.CONCAT(H850,I850,J850)</f>
        <v>DAURDE</v>
      </c>
    </row>
    <row r="851" customFormat="false" ht="15" hidden="false" customHeight="false" outlineLevel="0" collapsed="false">
      <c r="G851" s="15" t="n">
        <f aca="false">F851-E851</f>
        <v>0</v>
      </c>
      <c r="H851" s="20" t="s">
        <v>248</v>
      </c>
      <c r="J851" s="20" t="s">
        <v>256</v>
      </c>
      <c r="K851" s="1" t="s">
        <v>430</v>
      </c>
      <c r="L851" s="1" t="s">
        <v>469</v>
      </c>
      <c r="M851" s="20" t="s">
        <v>258</v>
      </c>
      <c r="N851" s="20" t="s">
        <v>379</v>
      </c>
      <c r="O851" s="20" t="s">
        <v>470</v>
      </c>
      <c r="P851" s="22" t="str">
        <f aca="false">_xlfn.CONCAT(B851,C851,D851,E851,F851)</f>
        <v/>
      </c>
      <c r="Q851" s="1" t="str">
        <f aca="false">_xlfn.CONCAT(H851,I851,J851)</f>
        <v>DAURDE</v>
      </c>
    </row>
    <row r="852" customFormat="false" ht="15" hidden="false" customHeight="false" outlineLevel="0" collapsed="false">
      <c r="G852" s="15" t="n">
        <f aca="false">F852-E852</f>
        <v>0</v>
      </c>
      <c r="H852" s="20" t="s">
        <v>248</v>
      </c>
      <c r="J852" s="20" t="s">
        <v>256</v>
      </c>
      <c r="K852" s="1" t="s">
        <v>430</v>
      </c>
      <c r="L852" s="1" t="s">
        <v>469</v>
      </c>
      <c r="M852" s="20" t="s">
        <v>258</v>
      </c>
      <c r="N852" s="20" t="s">
        <v>379</v>
      </c>
      <c r="O852" s="20" t="s">
        <v>470</v>
      </c>
      <c r="P852" s="22" t="str">
        <f aca="false">_xlfn.CONCAT(B852,C852,D852,E852,F852)</f>
        <v/>
      </c>
      <c r="Q852" s="1" t="str">
        <f aca="false">_xlfn.CONCAT(H852,I852,J852)</f>
        <v>DAURDE</v>
      </c>
    </row>
    <row r="853" customFormat="false" ht="15" hidden="false" customHeight="false" outlineLevel="0" collapsed="false">
      <c r="G853" s="15" t="n">
        <f aca="false">F853-E853</f>
        <v>0</v>
      </c>
      <c r="H853" s="20" t="s">
        <v>248</v>
      </c>
      <c r="J853" s="20" t="s">
        <v>256</v>
      </c>
      <c r="K853" s="1" t="s">
        <v>430</v>
      </c>
      <c r="L853" s="1" t="s">
        <v>469</v>
      </c>
      <c r="M853" s="20" t="s">
        <v>258</v>
      </c>
      <c r="N853" s="20" t="s">
        <v>379</v>
      </c>
      <c r="O853" s="20" t="s">
        <v>470</v>
      </c>
      <c r="P853" s="22" t="str">
        <f aca="false">_xlfn.CONCAT(B853,C853,D853,E853,F853)</f>
        <v/>
      </c>
      <c r="Q853" s="1" t="str">
        <f aca="false">_xlfn.CONCAT(H853,I853,J853)</f>
        <v>DAURDE</v>
      </c>
    </row>
    <row r="854" customFormat="false" ht="15" hidden="false" customHeight="false" outlineLevel="0" collapsed="false">
      <c r="G854" s="15" t="n">
        <f aca="false">F854-E854</f>
        <v>0</v>
      </c>
      <c r="H854" s="20" t="s">
        <v>248</v>
      </c>
      <c r="J854" s="20" t="s">
        <v>256</v>
      </c>
      <c r="K854" s="1" t="s">
        <v>430</v>
      </c>
      <c r="L854" s="1" t="s">
        <v>469</v>
      </c>
      <c r="M854" s="20" t="s">
        <v>258</v>
      </c>
      <c r="N854" s="20" t="s">
        <v>379</v>
      </c>
      <c r="O854" s="20" t="s">
        <v>470</v>
      </c>
      <c r="P854" s="22" t="str">
        <f aca="false">_xlfn.CONCAT(B854,C854,D854,E854,F854)</f>
        <v/>
      </c>
      <c r="Q854" s="1" t="str">
        <f aca="false">_xlfn.CONCAT(H854,I854,J854)</f>
        <v>DAURDE</v>
      </c>
    </row>
    <row r="855" customFormat="false" ht="15" hidden="false" customHeight="false" outlineLevel="0" collapsed="false">
      <c r="G855" s="15" t="n">
        <f aca="false">F855-E855</f>
        <v>0</v>
      </c>
      <c r="H855" s="20" t="s">
        <v>248</v>
      </c>
      <c r="J855" s="20" t="s">
        <v>256</v>
      </c>
      <c r="K855" s="1" t="s">
        <v>430</v>
      </c>
      <c r="L855" s="1" t="s">
        <v>469</v>
      </c>
      <c r="M855" s="20" t="s">
        <v>258</v>
      </c>
      <c r="N855" s="20" t="s">
        <v>379</v>
      </c>
      <c r="O855" s="20" t="s">
        <v>470</v>
      </c>
      <c r="P855" s="22" t="str">
        <f aca="false">_xlfn.CONCAT(B855,C855,D855,E855,F855)</f>
        <v/>
      </c>
      <c r="Q855" s="1" t="str">
        <f aca="false">_xlfn.CONCAT(H855,I855,J855)</f>
        <v>DAURDE</v>
      </c>
    </row>
    <row r="856" customFormat="false" ht="15" hidden="false" customHeight="false" outlineLevel="0" collapsed="false">
      <c r="G856" s="15" t="n">
        <f aca="false">F856-E856</f>
        <v>0</v>
      </c>
      <c r="H856" s="20" t="s">
        <v>248</v>
      </c>
      <c r="J856" s="20" t="s">
        <v>256</v>
      </c>
      <c r="K856" s="1" t="s">
        <v>430</v>
      </c>
      <c r="L856" s="1" t="s">
        <v>257</v>
      </c>
      <c r="M856" s="20" t="s">
        <v>258</v>
      </c>
      <c r="N856" s="20" t="s">
        <v>379</v>
      </c>
      <c r="O856" s="1" t="s">
        <v>399</v>
      </c>
      <c r="P856" s="22" t="str">
        <f aca="false">_xlfn.CONCAT(B856,C856,D856,E856,F856)</f>
        <v/>
      </c>
      <c r="Q856" s="1" t="str">
        <f aca="false">_xlfn.CONCAT(H856,I856,J856)</f>
        <v>DAURDE</v>
      </c>
    </row>
    <row r="857" customFormat="false" ht="15" hidden="false" customHeight="false" outlineLevel="0" collapsed="false">
      <c r="G857" s="15" t="n">
        <f aca="false">F857-E857</f>
        <v>0</v>
      </c>
      <c r="H857" s="20" t="s">
        <v>248</v>
      </c>
      <c r="J857" s="20" t="s">
        <v>256</v>
      </c>
      <c r="K857" s="1" t="s">
        <v>430</v>
      </c>
      <c r="L857" s="1" t="s">
        <v>257</v>
      </c>
      <c r="M857" s="20" t="s">
        <v>258</v>
      </c>
      <c r="N857" s="20" t="s">
        <v>379</v>
      </c>
      <c r="O857" s="1" t="s">
        <v>399</v>
      </c>
      <c r="P857" s="22" t="str">
        <f aca="false">_xlfn.CONCAT(B857,C857,D857,E857,F857)</f>
        <v/>
      </c>
      <c r="Q857" s="1" t="str">
        <f aca="false">_xlfn.CONCAT(H857,I857,J857)</f>
        <v>DAURDE</v>
      </c>
    </row>
    <row r="858" customFormat="false" ht="15" hidden="false" customHeight="false" outlineLevel="0" collapsed="false">
      <c r="G858" s="15" t="n">
        <f aca="false">F858-E858</f>
        <v>0</v>
      </c>
      <c r="H858" s="20" t="s">
        <v>248</v>
      </c>
      <c r="J858" s="20" t="s">
        <v>256</v>
      </c>
      <c r="K858" s="1" t="s">
        <v>430</v>
      </c>
      <c r="L858" s="1" t="s">
        <v>257</v>
      </c>
      <c r="M858" s="20" t="s">
        <v>258</v>
      </c>
      <c r="N858" s="20" t="s">
        <v>379</v>
      </c>
      <c r="O858" s="1" t="s">
        <v>399</v>
      </c>
      <c r="P858" s="22" t="str">
        <f aca="false">_xlfn.CONCAT(B858,C858,D858,E858,F858)</f>
        <v/>
      </c>
      <c r="Q858" s="1" t="str">
        <f aca="false">_xlfn.CONCAT(H858,I858,J858)</f>
        <v>DAURDE</v>
      </c>
    </row>
    <row r="859" customFormat="false" ht="15" hidden="false" customHeight="false" outlineLevel="0" collapsed="false">
      <c r="G859" s="15" t="n">
        <f aca="false">F859-E859</f>
        <v>0</v>
      </c>
      <c r="H859" s="20" t="s">
        <v>248</v>
      </c>
      <c r="J859" s="20" t="s">
        <v>256</v>
      </c>
      <c r="K859" s="1" t="s">
        <v>430</v>
      </c>
      <c r="L859" s="1" t="s">
        <v>257</v>
      </c>
      <c r="M859" s="20" t="s">
        <v>258</v>
      </c>
      <c r="N859" s="20" t="s">
        <v>379</v>
      </c>
      <c r="O859" s="1" t="s">
        <v>399</v>
      </c>
      <c r="P859" s="22" t="str">
        <f aca="false">_xlfn.CONCAT(B859,C859,D859,E859,F859)</f>
        <v/>
      </c>
      <c r="Q859" s="1" t="str">
        <f aca="false">_xlfn.CONCAT(H859,I859,J859)</f>
        <v>DAURDE</v>
      </c>
    </row>
    <row r="860" customFormat="false" ht="15" hidden="false" customHeight="false" outlineLevel="0" collapsed="false">
      <c r="G860" s="15" t="n">
        <f aca="false">F860-E860</f>
        <v>0</v>
      </c>
      <c r="H860" s="20" t="s">
        <v>248</v>
      </c>
      <c r="J860" s="20" t="s">
        <v>256</v>
      </c>
      <c r="K860" s="1" t="s">
        <v>430</v>
      </c>
      <c r="L860" s="1" t="s">
        <v>257</v>
      </c>
      <c r="M860" s="20" t="s">
        <v>258</v>
      </c>
      <c r="N860" s="20" t="s">
        <v>379</v>
      </c>
      <c r="O860" s="1" t="s">
        <v>399</v>
      </c>
      <c r="P860" s="22" t="str">
        <f aca="false">_xlfn.CONCAT(B860,C860,D860,E860,F860)</f>
        <v/>
      </c>
      <c r="Q860" s="1" t="str">
        <f aca="false">_xlfn.CONCAT(H860,I860,J860)</f>
        <v>DAURDE</v>
      </c>
    </row>
    <row r="861" customFormat="false" ht="15" hidden="false" customHeight="false" outlineLevel="0" collapsed="false">
      <c r="G861" s="15" t="n">
        <f aca="false">F861-E861</f>
        <v>0</v>
      </c>
      <c r="H861" s="20" t="s">
        <v>248</v>
      </c>
      <c r="J861" s="20" t="s">
        <v>256</v>
      </c>
      <c r="K861" s="1" t="s">
        <v>430</v>
      </c>
      <c r="L861" s="1" t="s">
        <v>471</v>
      </c>
      <c r="M861" s="20" t="s">
        <v>258</v>
      </c>
      <c r="N861" s="20" t="s">
        <v>379</v>
      </c>
      <c r="O861" s="1" t="s">
        <v>470</v>
      </c>
      <c r="P861" s="22" t="str">
        <f aca="false">_xlfn.CONCAT(B861,C861,D861,E861,F861)</f>
        <v/>
      </c>
      <c r="Q861" s="1" t="str">
        <f aca="false">_xlfn.CONCAT(H861,I861,J861)</f>
        <v>DAURDE</v>
      </c>
    </row>
    <row r="862" customFormat="false" ht="15" hidden="false" customHeight="false" outlineLevel="0" collapsed="false">
      <c r="G862" s="15" t="n">
        <f aca="false">F862-E862</f>
        <v>0</v>
      </c>
      <c r="H862" s="20" t="s">
        <v>248</v>
      </c>
      <c r="J862" s="20" t="s">
        <v>256</v>
      </c>
      <c r="K862" s="1" t="s">
        <v>430</v>
      </c>
      <c r="L862" s="1" t="s">
        <v>471</v>
      </c>
      <c r="M862" s="20" t="s">
        <v>258</v>
      </c>
      <c r="N862" s="20" t="s">
        <v>379</v>
      </c>
      <c r="O862" s="1" t="s">
        <v>470</v>
      </c>
      <c r="P862" s="22" t="str">
        <f aca="false">_xlfn.CONCAT(B862,C862,D862,E862,F862)</f>
        <v/>
      </c>
      <c r="Q862" s="1" t="str">
        <f aca="false">_xlfn.CONCAT(H862,I862,J862)</f>
        <v>DAURDE</v>
      </c>
    </row>
    <row r="863" customFormat="false" ht="15" hidden="false" customHeight="false" outlineLevel="0" collapsed="false">
      <c r="G863" s="15" t="n">
        <f aca="false">F863-E863</f>
        <v>0</v>
      </c>
      <c r="H863" s="20" t="s">
        <v>248</v>
      </c>
      <c r="J863" s="20" t="s">
        <v>256</v>
      </c>
      <c r="K863" s="1" t="s">
        <v>430</v>
      </c>
      <c r="L863" s="1" t="s">
        <v>471</v>
      </c>
      <c r="M863" s="20" t="s">
        <v>258</v>
      </c>
      <c r="N863" s="20" t="s">
        <v>379</v>
      </c>
      <c r="O863" s="1" t="s">
        <v>470</v>
      </c>
      <c r="P863" s="22" t="str">
        <f aca="false">_xlfn.CONCAT(B863,C863,D863,E863,F863)</f>
        <v/>
      </c>
      <c r="Q863" s="1" t="str">
        <f aca="false">_xlfn.CONCAT(H863,I863,J863)</f>
        <v>DAURDE</v>
      </c>
    </row>
    <row r="864" customFormat="false" ht="15" hidden="false" customHeight="false" outlineLevel="0" collapsed="false">
      <c r="G864" s="15" t="n">
        <f aca="false">F864-E864</f>
        <v>0</v>
      </c>
      <c r="H864" s="20" t="s">
        <v>248</v>
      </c>
      <c r="J864" s="20" t="s">
        <v>256</v>
      </c>
      <c r="K864" s="1" t="s">
        <v>430</v>
      </c>
      <c r="L864" s="1" t="s">
        <v>471</v>
      </c>
      <c r="M864" s="20" t="s">
        <v>258</v>
      </c>
      <c r="N864" s="20" t="s">
        <v>379</v>
      </c>
      <c r="O864" s="1" t="s">
        <v>470</v>
      </c>
      <c r="P864" s="22" t="str">
        <f aca="false">_xlfn.CONCAT(B864,C864,D864,E864,F864)</f>
        <v/>
      </c>
      <c r="Q864" s="1" t="str">
        <f aca="false">_xlfn.CONCAT(H864,I864,J864)</f>
        <v>DAURDE</v>
      </c>
    </row>
    <row r="865" customFormat="false" ht="15" hidden="false" customHeight="false" outlineLevel="0" collapsed="false">
      <c r="G865" s="15" t="n">
        <f aca="false">F865-E865</f>
        <v>0</v>
      </c>
      <c r="H865" s="20" t="s">
        <v>248</v>
      </c>
      <c r="J865" s="20" t="s">
        <v>256</v>
      </c>
      <c r="K865" s="1" t="s">
        <v>430</v>
      </c>
      <c r="L865" s="1" t="s">
        <v>471</v>
      </c>
      <c r="M865" s="20" t="s">
        <v>258</v>
      </c>
      <c r="N865" s="20" t="s">
        <v>379</v>
      </c>
      <c r="O865" s="1" t="s">
        <v>470</v>
      </c>
      <c r="P865" s="22" t="str">
        <f aca="false">_xlfn.CONCAT(B865,C865,D865,E865,F865)</f>
        <v/>
      </c>
      <c r="Q865" s="1" t="str">
        <f aca="false">_xlfn.CONCAT(H865,I865,J865)</f>
        <v>DAURDE</v>
      </c>
    </row>
    <row r="866" customFormat="false" ht="15" hidden="false" customHeight="false" outlineLevel="0" collapsed="false">
      <c r="G866" s="15" t="n">
        <f aca="false">F866-E866</f>
        <v>0</v>
      </c>
      <c r="H866" s="20" t="s">
        <v>248</v>
      </c>
      <c r="J866" s="20" t="s">
        <v>256</v>
      </c>
      <c r="K866" s="1" t="s">
        <v>430</v>
      </c>
      <c r="L866" s="1" t="s">
        <v>471</v>
      </c>
      <c r="M866" s="20" t="s">
        <v>258</v>
      </c>
      <c r="N866" s="20" t="s">
        <v>379</v>
      </c>
      <c r="O866" s="1" t="s">
        <v>470</v>
      </c>
      <c r="P866" s="22" t="str">
        <f aca="false">_xlfn.CONCAT(B866,C866,D866,E866,F866)</f>
        <v/>
      </c>
      <c r="Q866" s="1" t="str">
        <f aca="false">_xlfn.CONCAT(H866,I866,J866)</f>
        <v>DAURDE</v>
      </c>
    </row>
    <row r="867" customFormat="false" ht="15" hidden="false" customHeight="false" outlineLevel="0" collapsed="false">
      <c r="G867" s="15" t="n">
        <f aca="false">F867-E867</f>
        <v>0</v>
      </c>
      <c r="H867" s="20" t="s">
        <v>248</v>
      </c>
      <c r="J867" s="20" t="s">
        <v>256</v>
      </c>
      <c r="K867" s="1" t="s">
        <v>430</v>
      </c>
      <c r="L867" s="1" t="s">
        <v>471</v>
      </c>
      <c r="M867" s="20" t="s">
        <v>258</v>
      </c>
      <c r="N867" s="20" t="s">
        <v>379</v>
      </c>
      <c r="O867" s="1" t="s">
        <v>470</v>
      </c>
      <c r="P867" s="22" t="str">
        <f aca="false">_xlfn.CONCAT(B867,C867,D867,E867,F867)</f>
        <v/>
      </c>
      <c r="Q867" s="1" t="str">
        <f aca="false">_xlfn.CONCAT(H867,I867,J867)</f>
        <v>DAURDE</v>
      </c>
    </row>
    <row r="868" customFormat="false" ht="15" hidden="false" customHeight="false" outlineLevel="0" collapsed="false">
      <c r="G868" s="15" t="n">
        <f aca="false">F868-E868</f>
        <v>0</v>
      </c>
      <c r="H868" s="20" t="s">
        <v>248</v>
      </c>
      <c r="J868" s="20" t="s">
        <v>256</v>
      </c>
      <c r="K868" s="1" t="s">
        <v>430</v>
      </c>
      <c r="L868" s="1" t="s">
        <v>471</v>
      </c>
      <c r="M868" s="20" t="s">
        <v>258</v>
      </c>
      <c r="N868" s="20" t="s">
        <v>379</v>
      </c>
      <c r="O868" s="1" t="s">
        <v>470</v>
      </c>
      <c r="P868" s="22" t="str">
        <f aca="false">_xlfn.CONCAT(B868,C868,D868,E868,F868)</f>
        <v/>
      </c>
      <c r="Q868" s="1" t="str">
        <f aca="false">_xlfn.CONCAT(H868,I868,J868)</f>
        <v>DAURDE</v>
      </c>
    </row>
    <row r="869" customFormat="false" ht="15" hidden="false" customHeight="false" outlineLevel="0" collapsed="false">
      <c r="G869" s="15" t="n">
        <f aca="false">F869-E869</f>
        <v>0</v>
      </c>
      <c r="H869" s="20" t="s">
        <v>248</v>
      </c>
      <c r="J869" s="20" t="s">
        <v>256</v>
      </c>
      <c r="K869" s="1" t="s">
        <v>430</v>
      </c>
      <c r="L869" s="1" t="s">
        <v>471</v>
      </c>
      <c r="M869" s="20" t="s">
        <v>258</v>
      </c>
      <c r="N869" s="20" t="s">
        <v>379</v>
      </c>
      <c r="O869" s="1" t="s">
        <v>470</v>
      </c>
      <c r="P869" s="22" t="str">
        <f aca="false">_xlfn.CONCAT(B869,C869,D869,E869,F869)</f>
        <v/>
      </c>
      <c r="Q869" s="1" t="str">
        <f aca="false">_xlfn.CONCAT(H869,I869,J869)</f>
        <v>DAURDE</v>
      </c>
    </row>
    <row r="870" customFormat="false" ht="15" hidden="false" customHeight="false" outlineLevel="0" collapsed="false">
      <c r="G870" s="15" t="n">
        <f aca="false">F870-E870</f>
        <v>0</v>
      </c>
      <c r="H870" s="20" t="s">
        <v>248</v>
      </c>
      <c r="J870" s="20" t="s">
        <v>256</v>
      </c>
      <c r="K870" s="1" t="s">
        <v>430</v>
      </c>
      <c r="L870" s="1" t="s">
        <v>471</v>
      </c>
      <c r="M870" s="20" t="s">
        <v>258</v>
      </c>
      <c r="N870" s="20" t="s">
        <v>379</v>
      </c>
      <c r="O870" s="1" t="s">
        <v>470</v>
      </c>
      <c r="P870" s="22" t="str">
        <f aca="false">_xlfn.CONCAT(B870,C870,D870,E870,F870)</f>
        <v/>
      </c>
      <c r="Q870" s="1" t="str">
        <f aca="false">_xlfn.CONCAT(H870,I870,J870)</f>
        <v>DAURDE</v>
      </c>
    </row>
    <row r="871" customFormat="false" ht="15" hidden="false" customHeight="false" outlineLevel="0" collapsed="false">
      <c r="G871" s="15" t="n">
        <f aca="false">F871-E871</f>
        <v>0</v>
      </c>
      <c r="H871" s="20" t="s">
        <v>248</v>
      </c>
      <c r="J871" s="20" t="s">
        <v>256</v>
      </c>
      <c r="K871" s="1" t="s">
        <v>430</v>
      </c>
      <c r="L871" s="1" t="s">
        <v>471</v>
      </c>
      <c r="M871" s="20" t="s">
        <v>258</v>
      </c>
      <c r="N871" s="20" t="s">
        <v>379</v>
      </c>
      <c r="O871" s="1" t="s">
        <v>470</v>
      </c>
      <c r="P871" s="22" t="str">
        <f aca="false">_xlfn.CONCAT(B871,C871,D871,E871,F871)</f>
        <v/>
      </c>
      <c r="Q871" s="1" t="str">
        <f aca="false">_xlfn.CONCAT(H871,I871,J871)</f>
        <v>DAURDE</v>
      </c>
    </row>
    <row r="872" customFormat="false" ht="15" hidden="false" customHeight="false" outlineLevel="0" collapsed="false">
      <c r="G872" s="15" t="n">
        <f aca="false">F872-E872</f>
        <v>0</v>
      </c>
      <c r="H872" s="20" t="s">
        <v>248</v>
      </c>
      <c r="J872" s="20" t="s">
        <v>256</v>
      </c>
      <c r="K872" s="1" t="s">
        <v>430</v>
      </c>
      <c r="L872" s="1" t="s">
        <v>471</v>
      </c>
      <c r="M872" s="20" t="s">
        <v>258</v>
      </c>
      <c r="N872" s="20" t="s">
        <v>379</v>
      </c>
      <c r="O872" s="1" t="s">
        <v>470</v>
      </c>
      <c r="P872" s="22" t="str">
        <f aca="false">_xlfn.CONCAT(B872,C872,D872,E872,F872)</f>
        <v/>
      </c>
      <c r="Q872" s="1" t="str">
        <f aca="false">_xlfn.CONCAT(H872,I872,J872)</f>
        <v>DAURDE</v>
      </c>
    </row>
    <row r="873" customFormat="false" ht="15" hidden="false" customHeight="false" outlineLevel="0" collapsed="false">
      <c r="G873" s="15" t="n">
        <f aca="false">F873-E873</f>
        <v>0</v>
      </c>
      <c r="H873" s="20" t="s">
        <v>248</v>
      </c>
      <c r="J873" s="20" t="s">
        <v>256</v>
      </c>
      <c r="K873" s="1" t="s">
        <v>430</v>
      </c>
      <c r="L873" s="1" t="s">
        <v>471</v>
      </c>
      <c r="M873" s="20" t="s">
        <v>258</v>
      </c>
      <c r="N873" s="20" t="s">
        <v>379</v>
      </c>
      <c r="O873" s="1" t="s">
        <v>470</v>
      </c>
      <c r="P873" s="22" t="str">
        <f aca="false">_xlfn.CONCAT(B873,C873,D873,E873,F873)</f>
        <v/>
      </c>
      <c r="Q873" s="1" t="str">
        <f aca="false">_xlfn.CONCAT(H873,I873,J873)</f>
        <v>DAURDE</v>
      </c>
    </row>
    <row r="874" customFormat="false" ht="15" hidden="false" customHeight="false" outlineLevel="0" collapsed="false">
      <c r="G874" s="15" t="n">
        <f aca="false">F874-E874</f>
        <v>0</v>
      </c>
      <c r="H874" s="20" t="s">
        <v>248</v>
      </c>
      <c r="J874" s="20" t="s">
        <v>256</v>
      </c>
      <c r="K874" s="1" t="s">
        <v>430</v>
      </c>
      <c r="L874" s="1" t="s">
        <v>471</v>
      </c>
      <c r="M874" s="20" t="s">
        <v>258</v>
      </c>
      <c r="N874" s="20" t="s">
        <v>379</v>
      </c>
      <c r="O874" s="1" t="s">
        <v>470</v>
      </c>
      <c r="P874" s="22" t="str">
        <f aca="false">_xlfn.CONCAT(B874,C874,D874,E874,F874)</f>
        <v/>
      </c>
      <c r="Q874" s="1" t="str">
        <f aca="false">_xlfn.CONCAT(H874,I874,J874)</f>
        <v>DAURDE</v>
      </c>
    </row>
    <row r="875" customFormat="false" ht="15" hidden="false" customHeight="false" outlineLevel="0" collapsed="false">
      <c r="G875" s="15" t="n">
        <f aca="false">F875-E875</f>
        <v>0</v>
      </c>
      <c r="H875" s="20" t="s">
        <v>248</v>
      </c>
      <c r="J875" s="20" t="s">
        <v>256</v>
      </c>
      <c r="K875" s="1" t="s">
        <v>430</v>
      </c>
      <c r="L875" s="1" t="s">
        <v>471</v>
      </c>
      <c r="M875" s="20" t="s">
        <v>258</v>
      </c>
      <c r="N875" s="20" t="s">
        <v>379</v>
      </c>
      <c r="O875" s="1" t="s">
        <v>470</v>
      </c>
      <c r="P875" s="22" t="str">
        <f aca="false">_xlfn.CONCAT(B875,C875,D875,E875,F875)</f>
        <v/>
      </c>
      <c r="Q875" s="1" t="str">
        <f aca="false">_xlfn.CONCAT(H875,I875,J875)</f>
        <v>DAURDE</v>
      </c>
    </row>
    <row r="876" customFormat="false" ht="15" hidden="false" customHeight="false" outlineLevel="0" collapsed="false">
      <c r="G876" s="15" t="n">
        <f aca="false">F876-E876</f>
        <v>0</v>
      </c>
      <c r="H876" s="20" t="s">
        <v>248</v>
      </c>
      <c r="J876" s="20" t="s">
        <v>256</v>
      </c>
      <c r="K876" s="1" t="s">
        <v>430</v>
      </c>
      <c r="L876" s="1" t="s">
        <v>471</v>
      </c>
      <c r="M876" s="20" t="s">
        <v>258</v>
      </c>
      <c r="N876" s="20" t="s">
        <v>379</v>
      </c>
      <c r="O876" s="1" t="s">
        <v>470</v>
      </c>
      <c r="P876" s="22" t="str">
        <f aca="false">_xlfn.CONCAT(B876,C876,D876,E876,F876)</f>
        <v/>
      </c>
      <c r="Q876" s="1" t="str">
        <f aca="false">_xlfn.CONCAT(H876,I876,J876)</f>
        <v>DAURDE</v>
      </c>
    </row>
    <row r="877" customFormat="false" ht="15" hidden="false" customHeight="false" outlineLevel="0" collapsed="false">
      <c r="G877" s="15" t="n">
        <f aca="false">F877-E877</f>
        <v>0</v>
      </c>
      <c r="H877" s="20" t="s">
        <v>248</v>
      </c>
      <c r="J877" s="20" t="s">
        <v>256</v>
      </c>
      <c r="K877" s="1" t="s">
        <v>430</v>
      </c>
      <c r="L877" s="1" t="s">
        <v>471</v>
      </c>
      <c r="M877" s="20" t="s">
        <v>258</v>
      </c>
      <c r="N877" s="20" t="s">
        <v>379</v>
      </c>
      <c r="O877" s="1" t="s">
        <v>470</v>
      </c>
      <c r="P877" s="22" t="str">
        <f aca="false">_xlfn.CONCAT(B877,C877,D877,E877,F877)</f>
        <v/>
      </c>
      <c r="Q877" s="1" t="str">
        <f aca="false">_xlfn.CONCAT(H877,I877,J877)</f>
        <v>DAURDE</v>
      </c>
    </row>
    <row r="878" customFormat="false" ht="15" hidden="false" customHeight="false" outlineLevel="0" collapsed="false">
      <c r="G878" s="15" t="n">
        <f aca="false">F878-E878</f>
        <v>0</v>
      </c>
      <c r="H878" s="20" t="s">
        <v>248</v>
      </c>
      <c r="J878" s="20" t="s">
        <v>256</v>
      </c>
      <c r="K878" s="1" t="s">
        <v>430</v>
      </c>
      <c r="L878" s="1" t="s">
        <v>471</v>
      </c>
      <c r="M878" s="20" t="s">
        <v>258</v>
      </c>
      <c r="N878" s="20" t="s">
        <v>379</v>
      </c>
      <c r="O878" s="1" t="s">
        <v>470</v>
      </c>
      <c r="P878" s="22" t="str">
        <f aca="false">_xlfn.CONCAT(B878,C878,D878,E878,F878)</f>
        <v/>
      </c>
      <c r="Q878" s="1" t="str">
        <f aca="false">_xlfn.CONCAT(H878,I878,J878)</f>
        <v>DAURDE</v>
      </c>
    </row>
    <row r="879" customFormat="false" ht="15" hidden="false" customHeight="false" outlineLevel="0" collapsed="false">
      <c r="G879" s="15" t="n">
        <f aca="false">F879-E879</f>
        <v>0</v>
      </c>
      <c r="H879" s="20" t="s">
        <v>248</v>
      </c>
      <c r="J879" s="20" t="s">
        <v>256</v>
      </c>
      <c r="K879" s="1" t="s">
        <v>430</v>
      </c>
      <c r="L879" s="1" t="s">
        <v>471</v>
      </c>
      <c r="M879" s="20" t="s">
        <v>258</v>
      </c>
      <c r="N879" s="20" t="s">
        <v>379</v>
      </c>
      <c r="O879" s="1" t="s">
        <v>470</v>
      </c>
      <c r="P879" s="22" t="str">
        <f aca="false">_xlfn.CONCAT(B879,C879,D879,E879,F879)</f>
        <v/>
      </c>
      <c r="Q879" s="1" t="str">
        <f aca="false">_xlfn.CONCAT(H879,I879,J879)</f>
        <v>DAURDE</v>
      </c>
    </row>
    <row r="880" customFormat="false" ht="15" hidden="false" customHeight="false" outlineLevel="0" collapsed="false">
      <c r="G880" s="15" t="n">
        <f aca="false">F880-E880</f>
        <v>0</v>
      </c>
      <c r="H880" s="20" t="s">
        <v>248</v>
      </c>
      <c r="J880" s="20" t="s">
        <v>256</v>
      </c>
      <c r="K880" s="1" t="s">
        <v>430</v>
      </c>
      <c r="L880" s="1" t="s">
        <v>471</v>
      </c>
      <c r="M880" s="20" t="s">
        <v>258</v>
      </c>
      <c r="N880" s="20" t="s">
        <v>379</v>
      </c>
      <c r="O880" s="1" t="s">
        <v>470</v>
      </c>
      <c r="P880" s="22" t="str">
        <f aca="false">_xlfn.CONCAT(B880,C880,D880,E880,F880)</f>
        <v/>
      </c>
      <c r="Q880" s="1" t="str">
        <f aca="false">_xlfn.CONCAT(H880,I880,J880)</f>
        <v>DAURDE</v>
      </c>
    </row>
    <row r="881" customFormat="false" ht="15" hidden="false" customHeight="false" outlineLevel="0" collapsed="false">
      <c r="G881" s="15" t="n">
        <f aca="false">F881-E881</f>
        <v>0</v>
      </c>
      <c r="H881" s="20" t="s">
        <v>248</v>
      </c>
      <c r="J881" s="20" t="s">
        <v>256</v>
      </c>
      <c r="K881" s="1" t="s">
        <v>430</v>
      </c>
      <c r="L881" s="1" t="s">
        <v>471</v>
      </c>
      <c r="M881" s="20" t="s">
        <v>258</v>
      </c>
      <c r="N881" s="20" t="s">
        <v>379</v>
      </c>
      <c r="O881" s="1" t="s">
        <v>470</v>
      </c>
      <c r="P881" s="22" t="str">
        <f aca="false">_xlfn.CONCAT(B881,C881,D881,E881,F881)</f>
        <v/>
      </c>
      <c r="Q881" s="1" t="str">
        <f aca="false">_xlfn.CONCAT(H881,I881,J881)</f>
        <v>DAURDE</v>
      </c>
    </row>
    <row r="882" customFormat="false" ht="15" hidden="false" customHeight="false" outlineLevel="0" collapsed="false">
      <c r="G882" s="15" t="n">
        <f aca="false">F882-E882</f>
        <v>0</v>
      </c>
      <c r="H882" s="20" t="s">
        <v>248</v>
      </c>
      <c r="J882" s="20" t="s">
        <v>256</v>
      </c>
      <c r="K882" s="1" t="s">
        <v>430</v>
      </c>
      <c r="L882" s="1" t="s">
        <v>471</v>
      </c>
      <c r="M882" s="20" t="s">
        <v>258</v>
      </c>
      <c r="N882" s="20" t="s">
        <v>379</v>
      </c>
      <c r="O882" s="1" t="s">
        <v>470</v>
      </c>
      <c r="P882" s="22" t="str">
        <f aca="false">_xlfn.CONCAT(B882,C882,D882,E882,F882)</f>
        <v/>
      </c>
      <c r="Q882" s="1" t="str">
        <f aca="false">_xlfn.CONCAT(H882,I882,J882)</f>
        <v>DAURDE</v>
      </c>
    </row>
    <row r="883" customFormat="false" ht="15" hidden="false" customHeight="false" outlineLevel="0" collapsed="false">
      <c r="G883" s="15" t="n">
        <f aca="false">F883-E883</f>
        <v>0</v>
      </c>
      <c r="H883" s="20" t="s">
        <v>248</v>
      </c>
      <c r="J883" s="20" t="s">
        <v>256</v>
      </c>
      <c r="K883" s="1" t="s">
        <v>430</v>
      </c>
      <c r="L883" s="1" t="s">
        <v>471</v>
      </c>
      <c r="M883" s="20" t="s">
        <v>258</v>
      </c>
      <c r="N883" s="20" t="s">
        <v>379</v>
      </c>
      <c r="O883" s="1" t="s">
        <v>470</v>
      </c>
      <c r="P883" s="22" t="str">
        <f aca="false">_xlfn.CONCAT(B883,C883,D883,E883,F883)</f>
        <v/>
      </c>
      <c r="Q883" s="1" t="str">
        <f aca="false">_xlfn.CONCAT(H883,I883,J883)</f>
        <v>DAURDE</v>
      </c>
    </row>
    <row r="884" customFormat="false" ht="15" hidden="false" customHeight="false" outlineLevel="0" collapsed="false">
      <c r="G884" s="15" t="n">
        <f aca="false">F884-E884</f>
        <v>0</v>
      </c>
      <c r="H884" s="20" t="s">
        <v>248</v>
      </c>
      <c r="J884" s="20" t="s">
        <v>256</v>
      </c>
      <c r="K884" s="1" t="s">
        <v>430</v>
      </c>
      <c r="L884" s="1" t="s">
        <v>471</v>
      </c>
      <c r="M884" s="20" t="s">
        <v>258</v>
      </c>
      <c r="N884" s="20" t="s">
        <v>379</v>
      </c>
      <c r="O884" s="1" t="s">
        <v>470</v>
      </c>
      <c r="P884" s="22" t="str">
        <f aca="false">_xlfn.CONCAT(B884,C884,D884,E884,F884)</f>
        <v/>
      </c>
      <c r="Q884" s="1" t="str">
        <f aca="false">_xlfn.CONCAT(H884,I884,J884)</f>
        <v>DAURDE</v>
      </c>
    </row>
    <row r="885" customFormat="false" ht="15" hidden="false" customHeight="false" outlineLevel="0" collapsed="false">
      <c r="G885" s="15" t="n">
        <f aca="false">F885-E885</f>
        <v>0</v>
      </c>
      <c r="H885" s="20" t="s">
        <v>248</v>
      </c>
      <c r="J885" s="20" t="s">
        <v>256</v>
      </c>
      <c r="K885" s="1" t="s">
        <v>430</v>
      </c>
      <c r="L885" s="1" t="s">
        <v>471</v>
      </c>
      <c r="M885" s="20" t="s">
        <v>258</v>
      </c>
      <c r="N885" s="20" t="s">
        <v>379</v>
      </c>
      <c r="O885" s="1" t="s">
        <v>470</v>
      </c>
      <c r="P885" s="22" t="str">
        <f aca="false">_xlfn.CONCAT(B885,C885,D885,E885,F885)</f>
        <v/>
      </c>
      <c r="Q885" s="1" t="str">
        <f aca="false">_xlfn.CONCAT(H885,I885,J885)</f>
        <v>DAURDE</v>
      </c>
    </row>
    <row r="886" customFormat="false" ht="15" hidden="false" customHeight="false" outlineLevel="0" collapsed="false">
      <c r="G886" s="15" t="n">
        <f aca="false">F886-E886</f>
        <v>0</v>
      </c>
      <c r="H886" s="20" t="s">
        <v>248</v>
      </c>
      <c r="J886" s="20" t="s">
        <v>256</v>
      </c>
      <c r="K886" s="1" t="s">
        <v>430</v>
      </c>
      <c r="L886" s="1" t="s">
        <v>471</v>
      </c>
      <c r="M886" s="20" t="s">
        <v>258</v>
      </c>
      <c r="N886" s="20" t="s">
        <v>379</v>
      </c>
      <c r="O886" s="1" t="s">
        <v>470</v>
      </c>
      <c r="P886" s="22" t="str">
        <f aca="false">_xlfn.CONCAT(B886,C886,D886,E886,F886)</f>
        <v/>
      </c>
      <c r="Q886" s="1" t="str">
        <f aca="false">_xlfn.CONCAT(H886,I886,J886)</f>
        <v>DAURDE</v>
      </c>
    </row>
    <row r="887" customFormat="false" ht="15" hidden="false" customHeight="false" outlineLevel="0" collapsed="false">
      <c r="G887" s="15" t="n">
        <f aca="false">F887-E887</f>
        <v>0</v>
      </c>
      <c r="H887" s="20" t="s">
        <v>248</v>
      </c>
      <c r="J887" s="20" t="s">
        <v>256</v>
      </c>
      <c r="K887" s="1" t="s">
        <v>430</v>
      </c>
      <c r="L887" s="1" t="s">
        <v>471</v>
      </c>
      <c r="M887" s="20" t="s">
        <v>258</v>
      </c>
      <c r="N887" s="20" t="s">
        <v>379</v>
      </c>
      <c r="O887" s="1" t="s">
        <v>470</v>
      </c>
      <c r="P887" s="22" t="str">
        <f aca="false">_xlfn.CONCAT(B887,C887,D887,E887,F887)</f>
        <v/>
      </c>
      <c r="Q887" s="1" t="str">
        <f aca="false">_xlfn.CONCAT(H887,I887,J887)</f>
        <v>DAURDE</v>
      </c>
    </row>
    <row r="888" customFormat="false" ht="15" hidden="false" customHeight="false" outlineLevel="0" collapsed="false">
      <c r="G888" s="15" t="n">
        <f aca="false">F888-E888</f>
        <v>0</v>
      </c>
      <c r="H888" s="20" t="s">
        <v>248</v>
      </c>
      <c r="J888" s="20" t="s">
        <v>256</v>
      </c>
      <c r="K888" s="1" t="s">
        <v>430</v>
      </c>
      <c r="L888" s="1" t="s">
        <v>471</v>
      </c>
      <c r="M888" s="20" t="s">
        <v>258</v>
      </c>
      <c r="N888" s="20" t="s">
        <v>379</v>
      </c>
      <c r="O888" s="1" t="s">
        <v>470</v>
      </c>
      <c r="P888" s="22" t="str">
        <f aca="false">_xlfn.CONCAT(B888,C888,D888,E888,F888)</f>
        <v/>
      </c>
      <c r="Q888" s="1" t="str">
        <f aca="false">_xlfn.CONCAT(H888,I888,J888)</f>
        <v>DAURDE</v>
      </c>
    </row>
    <row r="889" customFormat="false" ht="15" hidden="false" customHeight="false" outlineLevel="0" collapsed="false">
      <c r="G889" s="15" t="n">
        <f aca="false">F889-E889</f>
        <v>0</v>
      </c>
      <c r="H889" s="20" t="s">
        <v>248</v>
      </c>
      <c r="J889" s="20" t="s">
        <v>256</v>
      </c>
      <c r="K889" s="1" t="s">
        <v>430</v>
      </c>
      <c r="L889" s="1" t="s">
        <v>471</v>
      </c>
      <c r="M889" s="20" t="s">
        <v>258</v>
      </c>
      <c r="N889" s="20" t="s">
        <v>379</v>
      </c>
      <c r="O889" s="1" t="s">
        <v>470</v>
      </c>
      <c r="P889" s="22" t="str">
        <f aca="false">_xlfn.CONCAT(B889,C889,D889,E889,F889)</f>
        <v/>
      </c>
      <c r="Q889" s="1" t="str">
        <f aca="false">_xlfn.CONCAT(H889,I889,J889)</f>
        <v>DAURDE</v>
      </c>
    </row>
    <row r="890" customFormat="false" ht="15" hidden="false" customHeight="false" outlineLevel="0" collapsed="false">
      <c r="G890" s="15" t="n">
        <f aca="false">F890-E890</f>
        <v>0</v>
      </c>
      <c r="H890" s="20" t="s">
        <v>248</v>
      </c>
      <c r="J890" s="20" t="s">
        <v>256</v>
      </c>
      <c r="K890" s="1" t="s">
        <v>430</v>
      </c>
      <c r="L890" s="1" t="s">
        <v>471</v>
      </c>
      <c r="M890" s="20" t="s">
        <v>258</v>
      </c>
      <c r="N890" s="20" t="s">
        <v>379</v>
      </c>
      <c r="O890" s="1" t="s">
        <v>470</v>
      </c>
      <c r="P890" s="22" t="str">
        <f aca="false">_xlfn.CONCAT(B890,C890,D890,E890,F890)</f>
        <v/>
      </c>
      <c r="Q890" s="1" t="str">
        <f aca="false">_xlfn.CONCAT(H890,I890,J890)</f>
        <v>DAURDE</v>
      </c>
    </row>
    <row r="891" customFormat="false" ht="15" hidden="false" customHeight="false" outlineLevel="0" collapsed="false">
      <c r="G891" s="15" t="n">
        <f aca="false">F891-E891</f>
        <v>0</v>
      </c>
      <c r="H891" s="20" t="s">
        <v>248</v>
      </c>
      <c r="J891" s="20" t="s">
        <v>256</v>
      </c>
      <c r="K891" s="1" t="s">
        <v>430</v>
      </c>
      <c r="L891" s="1" t="s">
        <v>471</v>
      </c>
      <c r="M891" s="20" t="s">
        <v>258</v>
      </c>
      <c r="N891" s="20" t="s">
        <v>379</v>
      </c>
      <c r="O891" s="1" t="s">
        <v>470</v>
      </c>
      <c r="P891" s="22" t="str">
        <f aca="false">_xlfn.CONCAT(B891,C891,D891,E891,F891)</f>
        <v/>
      </c>
      <c r="Q891" s="1" t="str">
        <f aca="false">_xlfn.CONCAT(H891,I891,J891)</f>
        <v>DAURDE</v>
      </c>
    </row>
    <row r="892" customFormat="false" ht="15" hidden="false" customHeight="false" outlineLevel="0" collapsed="false">
      <c r="G892" s="15" t="n">
        <f aca="false">F892-E892</f>
        <v>0</v>
      </c>
      <c r="H892" s="20" t="s">
        <v>248</v>
      </c>
      <c r="J892" s="20" t="s">
        <v>256</v>
      </c>
      <c r="K892" s="1" t="s">
        <v>430</v>
      </c>
      <c r="L892" s="1" t="s">
        <v>471</v>
      </c>
      <c r="M892" s="20" t="s">
        <v>258</v>
      </c>
      <c r="N892" s="20" t="s">
        <v>379</v>
      </c>
      <c r="O892" s="1" t="s">
        <v>470</v>
      </c>
      <c r="P892" s="22" t="str">
        <f aca="false">_xlfn.CONCAT(B892,C892,D892,E892,F892)</f>
        <v/>
      </c>
      <c r="Q892" s="1" t="str">
        <f aca="false">_xlfn.CONCAT(H892,I892,J892)</f>
        <v>DAURDE</v>
      </c>
    </row>
    <row r="893" customFormat="false" ht="15" hidden="false" customHeight="false" outlineLevel="0" collapsed="false">
      <c r="G893" s="15" t="n">
        <f aca="false">F893-E893</f>
        <v>0</v>
      </c>
      <c r="H893" s="20" t="s">
        <v>248</v>
      </c>
      <c r="J893" s="20" t="s">
        <v>256</v>
      </c>
      <c r="K893" s="1" t="s">
        <v>430</v>
      </c>
      <c r="L893" s="1" t="s">
        <v>471</v>
      </c>
      <c r="M893" s="20" t="s">
        <v>258</v>
      </c>
      <c r="N893" s="20" t="s">
        <v>379</v>
      </c>
      <c r="O893" s="1" t="s">
        <v>470</v>
      </c>
      <c r="P893" s="22" t="str">
        <f aca="false">_xlfn.CONCAT(B893,C893,D893,E893,F893)</f>
        <v/>
      </c>
      <c r="Q893" s="1" t="str">
        <f aca="false">_xlfn.CONCAT(H893,I893,J893)</f>
        <v>DAURDE</v>
      </c>
    </row>
    <row r="894" customFormat="false" ht="15" hidden="false" customHeight="false" outlineLevel="0" collapsed="false">
      <c r="G894" s="15" t="n">
        <f aca="false">F894-E894</f>
        <v>0</v>
      </c>
      <c r="H894" s="20" t="s">
        <v>248</v>
      </c>
      <c r="J894" s="20" t="s">
        <v>256</v>
      </c>
      <c r="K894" s="1" t="s">
        <v>430</v>
      </c>
      <c r="L894" s="1" t="s">
        <v>471</v>
      </c>
      <c r="M894" s="20" t="s">
        <v>258</v>
      </c>
      <c r="N894" s="20" t="s">
        <v>379</v>
      </c>
      <c r="O894" s="1" t="s">
        <v>470</v>
      </c>
      <c r="P894" s="22" t="str">
        <f aca="false">_xlfn.CONCAT(B894,C894,D894,E894,F894)</f>
        <v/>
      </c>
      <c r="Q894" s="1" t="str">
        <f aca="false">_xlfn.CONCAT(H894,I894,J894)</f>
        <v>DAURDE</v>
      </c>
    </row>
    <row r="895" customFormat="false" ht="15" hidden="false" customHeight="false" outlineLevel="0" collapsed="false">
      <c r="G895" s="15" t="n">
        <f aca="false">F895-E895</f>
        <v>0</v>
      </c>
      <c r="H895" s="20" t="s">
        <v>248</v>
      </c>
      <c r="J895" s="20" t="s">
        <v>256</v>
      </c>
      <c r="K895" s="1" t="s">
        <v>430</v>
      </c>
      <c r="L895" s="1" t="s">
        <v>471</v>
      </c>
      <c r="M895" s="20" t="s">
        <v>258</v>
      </c>
      <c r="N895" s="20" t="s">
        <v>379</v>
      </c>
      <c r="O895" s="1" t="s">
        <v>470</v>
      </c>
      <c r="P895" s="22" t="str">
        <f aca="false">_xlfn.CONCAT(B895,C895,D895,E895,F895)</f>
        <v/>
      </c>
      <c r="Q895" s="1" t="str">
        <f aca="false">_xlfn.CONCAT(H895,I895,J895)</f>
        <v>DAURDE</v>
      </c>
    </row>
    <row r="896" customFormat="false" ht="15" hidden="false" customHeight="false" outlineLevel="0" collapsed="false">
      <c r="G896" s="15" t="n">
        <f aca="false">F896-E896</f>
        <v>0</v>
      </c>
      <c r="H896" s="20" t="s">
        <v>248</v>
      </c>
      <c r="J896" s="20" t="s">
        <v>256</v>
      </c>
      <c r="K896" s="1" t="s">
        <v>430</v>
      </c>
      <c r="L896" s="1" t="s">
        <v>471</v>
      </c>
      <c r="M896" s="20" t="s">
        <v>258</v>
      </c>
      <c r="N896" s="20" t="s">
        <v>379</v>
      </c>
      <c r="O896" s="1" t="s">
        <v>470</v>
      </c>
      <c r="P896" s="22" t="str">
        <f aca="false">_xlfn.CONCAT(B896,C896,D896,E896,F896)</f>
        <v/>
      </c>
      <c r="Q896" s="1" t="str">
        <f aca="false">_xlfn.CONCAT(H896,I896,J896)</f>
        <v>DAURDE</v>
      </c>
    </row>
    <row r="897" customFormat="false" ht="15" hidden="false" customHeight="false" outlineLevel="0" collapsed="false">
      <c r="G897" s="15" t="n">
        <f aca="false">F897-E897</f>
        <v>0</v>
      </c>
      <c r="H897" s="20" t="s">
        <v>248</v>
      </c>
      <c r="J897" s="20" t="s">
        <v>256</v>
      </c>
      <c r="K897" s="1" t="s">
        <v>430</v>
      </c>
      <c r="L897" s="1" t="s">
        <v>471</v>
      </c>
      <c r="M897" s="20" t="s">
        <v>258</v>
      </c>
      <c r="N897" s="20" t="s">
        <v>379</v>
      </c>
      <c r="O897" s="1" t="s">
        <v>470</v>
      </c>
      <c r="P897" s="22" t="str">
        <f aca="false">_xlfn.CONCAT(B897,C897,D897,E897,F897)</f>
        <v/>
      </c>
      <c r="Q897" s="1" t="str">
        <f aca="false">_xlfn.CONCAT(H897,I897,J897)</f>
        <v>DAURDE</v>
      </c>
    </row>
    <row r="898" customFormat="false" ht="15" hidden="false" customHeight="false" outlineLevel="0" collapsed="false">
      <c r="G898" s="15" t="n">
        <f aca="false">F898-E898</f>
        <v>0</v>
      </c>
      <c r="H898" s="20" t="s">
        <v>248</v>
      </c>
      <c r="J898" s="20" t="s">
        <v>256</v>
      </c>
      <c r="K898" s="1" t="s">
        <v>430</v>
      </c>
      <c r="L898" s="1" t="s">
        <v>471</v>
      </c>
      <c r="M898" s="20" t="s">
        <v>258</v>
      </c>
      <c r="N898" s="20" t="s">
        <v>379</v>
      </c>
      <c r="O898" s="1" t="s">
        <v>470</v>
      </c>
      <c r="P898" s="22" t="str">
        <f aca="false">_xlfn.CONCAT(B898,C898,D898,E898,F898)</f>
        <v/>
      </c>
      <c r="Q898" s="1" t="str">
        <f aca="false">_xlfn.CONCAT(H898,I898,J898)</f>
        <v>DAURDE</v>
      </c>
    </row>
    <row r="899" customFormat="false" ht="15" hidden="false" customHeight="false" outlineLevel="0" collapsed="false">
      <c r="G899" s="15" t="n">
        <f aca="false">F899-E899</f>
        <v>0</v>
      </c>
      <c r="H899" s="20" t="s">
        <v>248</v>
      </c>
      <c r="J899" s="20" t="s">
        <v>256</v>
      </c>
      <c r="K899" s="1" t="s">
        <v>430</v>
      </c>
      <c r="L899" s="1" t="s">
        <v>471</v>
      </c>
      <c r="M899" s="20" t="s">
        <v>258</v>
      </c>
      <c r="N899" s="20" t="s">
        <v>379</v>
      </c>
      <c r="O899" s="1" t="s">
        <v>470</v>
      </c>
      <c r="P899" s="22" t="str">
        <f aca="false">_xlfn.CONCAT(B899,C899,D899,E899,F899)</f>
        <v/>
      </c>
      <c r="Q899" s="1" t="str">
        <f aca="false">_xlfn.CONCAT(H899,I899,J899)</f>
        <v>DAURDE</v>
      </c>
    </row>
    <row r="900" customFormat="false" ht="15" hidden="false" customHeight="false" outlineLevel="0" collapsed="false">
      <c r="G900" s="15" t="n">
        <f aca="false">F900-E900</f>
        <v>0</v>
      </c>
      <c r="H900" s="20" t="s">
        <v>248</v>
      </c>
      <c r="J900" s="20" t="s">
        <v>256</v>
      </c>
      <c r="K900" s="1" t="s">
        <v>430</v>
      </c>
      <c r="L900" s="1" t="s">
        <v>471</v>
      </c>
      <c r="M900" s="20" t="s">
        <v>258</v>
      </c>
      <c r="N900" s="20" t="s">
        <v>379</v>
      </c>
      <c r="O900" s="1" t="s">
        <v>470</v>
      </c>
      <c r="P900" s="22" t="str">
        <f aca="false">_xlfn.CONCAT(B900,C900,D900,E900,F900)</f>
        <v/>
      </c>
      <c r="Q900" s="1" t="str">
        <f aca="false">_xlfn.CONCAT(H900,I900,J900)</f>
        <v>DAURDE</v>
      </c>
    </row>
    <row r="901" customFormat="false" ht="15" hidden="false" customHeight="false" outlineLevel="0" collapsed="false">
      <c r="G901" s="15" t="n">
        <f aca="false">F901-E901</f>
        <v>0</v>
      </c>
      <c r="H901" s="20" t="s">
        <v>248</v>
      </c>
      <c r="J901" s="20" t="s">
        <v>256</v>
      </c>
      <c r="K901" s="1" t="s">
        <v>430</v>
      </c>
      <c r="L901" s="1" t="s">
        <v>471</v>
      </c>
      <c r="M901" s="20" t="s">
        <v>258</v>
      </c>
      <c r="N901" s="20" t="s">
        <v>379</v>
      </c>
      <c r="O901" s="1" t="s">
        <v>470</v>
      </c>
      <c r="P901" s="22" t="str">
        <f aca="false">_xlfn.CONCAT(B901,C901,D901,E901,F901)</f>
        <v/>
      </c>
      <c r="Q901" s="1" t="str">
        <f aca="false">_xlfn.CONCAT(H901,I901,J901)</f>
        <v>DAURDE</v>
      </c>
    </row>
    <row r="902" customFormat="false" ht="15" hidden="false" customHeight="false" outlineLevel="0" collapsed="false">
      <c r="G902" s="15" t="n">
        <f aca="false">F902-E902</f>
        <v>0</v>
      </c>
      <c r="H902" s="20" t="s">
        <v>248</v>
      </c>
      <c r="J902" s="20" t="s">
        <v>256</v>
      </c>
      <c r="K902" s="1" t="s">
        <v>430</v>
      </c>
      <c r="L902" s="1" t="s">
        <v>436</v>
      </c>
      <c r="M902" s="20" t="s">
        <v>258</v>
      </c>
      <c r="N902" s="20" t="s">
        <v>379</v>
      </c>
      <c r="O902" s="1" t="s">
        <v>399</v>
      </c>
      <c r="P902" s="22" t="str">
        <f aca="false">_xlfn.CONCAT(B902,C902,D902,E902,F902)</f>
        <v/>
      </c>
      <c r="Q902" s="1" t="str">
        <f aca="false">_xlfn.CONCAT(H902,I902,J902)</f>
        <v>DAURDE</v>
      </c>
    </row>
    <row r="903" customFormat="false" ht="15" hidden="false" customHeight="false" outlineLevel="0" collapsed="false">
      <c r="G903" s="15" t="n">
        <f aca="false">F903-E903</f>
        <v>0</v>
      </c>
      <c r="H903" s="20" t="s">
        <v>248</v>
      </c>
      <c r="J903" s="20" t="s">
        <v>256</v>
      </c>
      <c r="K903" s="1" t="s">
        <v>430</v>
      </c>
      <c r="L903" s="1" t="s">
        <v>436</v>
      </c>
      <c r="M903" s="20" t="s">
        <v>258</v>
      </c>
      <c r="N903" s="20" t="s">
        <v>379</v>
      </c>
      <c r="O903" s="1" t="s">
        <v>399</v>
      </c>
      <c r="P903" s="22" t="str">
        <f aca="false">_xlfn.CONCAT(B903,C903,D903,E903,F903)</f>
        <v/>
      </c>
      <c r="Q903" s="1" t="str">
        <f aca="false">_xlfn.CONCAT(H903,I903,J903)</f>
        <v>DAURDE</v>
      </c>
    </row>
    <row r="904" customFormat="false" ht="15" hidden="false" customHeight="false" outlineLevel="0" collapsed="false">
      <c r="G904" s="15" t="n">
        <f aca="false">F904-E904</f>
        <v>0</v>
      </c>
      <c r="H904" s="20" t="s">
        <v>248</v>
      </c>
      <c r="J904" s="20" t="s">
        <v>256</v>
      </c>
      <c r="K904" s="1" t="s">
        <v>430</v>
      </c>
      <c r="L904" s="1" t="s">
        <v>436</v>
      </c>
      <c r="M904" s="20" t="s">
        <v>258</v>
      </c>
      <c r="N904" s="20" t="s">
        <v>379</v>
      </c>
      <c r="O904" s="1" t="s">
        <v>399</v>
      </c>
      <c r="P904" s="22" t="str">
        <f aca="false">_xlfn.CONCAT(B904,C904,D904,E904,F904)</f>
        <v/>
      </c>
      <c r="Q904" s="1" t="str">
        <f aca="false">_xlfn.CONCAT(H904,I904,J904)</f>
        <v>DAURDE</v>
      </c>
    </row>
    <row r="905" customFormat="false" ht="15" hidden="false" customHeight="false" outlineLevel="0" collapsed="false">
      <c r="G905" s="15" t="n">
        <f aca="false">F905-E905</f>
        <v>0</v>
      </c>
      <c r="H905" s="20" t="s">
        <v>248</v>
      </c>
      <c r="J905" s="20" t="s">
        <v>256</v>
      </c>
      <c r="K905" s="1" t="s">
        <v>430</v>
      </c>
      <c r="L905" s="1" t="s">
        <v>436</v>
      </c>
      <c r="M905" s="20" t="s">
        <v>258</v>
      </c>
      <c r="N905" s="20" t="s">
        <v>379</v>
      </c>
      <c r="O905" s="1" t="s">
        <v>399</v>
      </c>
      <c r="P905" s="22" t="str">
        <f aca="false">_xlfn.CONCAT(B905,C905,D905,E905,F905)</f>
        <v/>
      </c>
      <c r="Q905" s="1" t="str">
        <f aca="false">_xlfn.CONCAT(H905,I905,J905)</f>
        <v>DAURDE</v>
      </c>
    </row>
    <row r="906" customFormat="false" ht="15" hidden="false" customHeight="false" outlineLevel="0" collapsed="false">
      <c r="G906" s="15" t="n">
        <f aca="false">F906-E906</f>
        <v>0</v>
      </c>
      <c r="H906" s="20" t="s">
        <v>248</v>
      </c>
      <c r="J906" s="20" t="s">
        <v>256</v>
      </c>
      <c r="K906" s="1" t="s">
        <v>430</v>
      </c>
      <c r="L906" s="1" t="s">
        <v>436</v>
      </c>
      <c r="M906" s="20" t="s">
        <v>258</v>
      </c>
      <c r="N906" s="20" t="s">
        <v>379</v>
      </c>
      <c r="O906" s="1" t="s">
        <v>399</v>
      </c>
      <c r="P906" s="22" t="str">
        <f aca="false">_xlfn.CONCAT(B906,C906,D906,E906,F906)</f>
        <v/>
      </c>
      <c r="Q906" s="1" t="str">
        <f aca="false">_xlfn.CONCAT(H906,I906,J906)</f>
        <v>DAURDE</v>
      </c>
    </row>
    <row r="907" customFormat="false" ht="15" hidden="false" customHeight="false" outlineLevel="0" collapsed="false">
      <c r="G907" s="15" t="n">
        <f aca="false">F907-E907</f>
        <v>0</v>
      </c>
      <c r="H907" s="20" t="s">
        <v>248</v>
      </c>
      <c r="J907" s="20" t="s">
        <v>256</v>
      </c>
      <c r="K907" s="1" t="s">
        <v>430</v>
      </c>
      <c r="L907" s="1" t="s">
        <v>436</v>
      </c>
      <c r="M907" s="20" t="s">
        <v>258</v>
      </c>
      <c r="N907" s="20" t="s">
        <v>379</v>
      </c>
      <c r="O907" s="1" t="s">
        <v>399</v>
      </c>
      <c r="P907" s="22" t="str">
        <f aca="false">_xlfn.CONCAT(B907,C907,D907,E907,F907)</f>
        <v/>
      </c>
      <c r="Q907" s="1" t="str">
        <f aca="false">_xlfn.CONCAT(H907,I907,J907)</f>
        <v>DAURDE</v>
      </c>
    </row>
    <row r="908" customFormat="false" ht="15" hidden="false" customHeight="false" outlineLevel="0" collapsed="false">
      <c r="G908" s="15" t="n">
        <f aca="false">F908-E908</f>
        <v>0</v>
      </c>
      <c r="H908" s="20" t="s">
        <v>248</v>
      </c>
      <c r="J908" s="20" t="s">
        <v>256</v>
      </c>
      <c r="K908" s="1" t="s">
        <v>430</v>
      </c>
      <c r="L908" s="1" t="s">
        <v>436</v>
      </c>
      <c r="M908" s="20" t="s">
        <v>258</v>
      </c>
      <c r="N908" s="20" t="s">
        <v>379</v>
      </c>
      <c r="O908" s="1" t="s">
        <v>399</v>
      </c>
      <c r="P908" s="22" t="str">
        <f aca="false">_xlfn.CONCAT(B908,C908,D908,E908,F908)</f>
        <v/>
      </c>
      <c r="Q908" s="1" t="str">
        <f aca="false">_xlfn.CONCAT(H908,I908,J908)</f>
        <v>DAURDE</v>
      </c>
    </row>
    <row r="909" customFormat="false" ht="15" hidden="false" customHeight="false" outlineLevel="0" collapsed="false">
      <c r="G909" s="15" t="n">
        <f aca="false">F909-E909</f>
        <v>0</v>
      </c>
      <c r="H909" s="20" t="s">
        <v>248</v>
      </c>
      <c r="J909" s="20" t="s">
        <v>256</v>
      </c>
      <c r="K909" s="1" t="s">
        <v>430</v>
      </c>
      <c r="L909" s="1" t="s">
        <v>436</v>
      </c>
      <c r="M909" s="20" t="s">
        <v>258</v>
      </c>
      <c r="N909" s="20" t="s">
        <v>379</v>
      </c>
      <c r="O909" s="1" t="s">
        <v>399</v>
      </c>
      <c r="P909" s="22" t="str">
        <f aca="false">_xlfn.CONCAT(B909,C909,D909,E909,F909)</f>
        <v/>
      </c>
      <c r="Q909" s="1" t="str">
        <f aca="false">_xlfn.CONCAT(H909,I909,J909)</f>
        <v>DAURDE</v>
      </c>
    </row>
    <row r="910" customFormat="false" ht="15" hidden="false" customHeight="false" outlineLevel="0" collapsed="false">
      <c r="G910" s="15" t="n">
        <f aca="false">F910-E910</f>
        <v>0</v>
      </c>
      <c r="H910" s="20" t="s">
        <v>248</v>
      </c>
      <c r="J910" s="20" t="s">
        <v>256</v>
      </c>
      <c r="K910" s="1" t="s">
        <v>430</v>
      </c>
      <c r="L910" s="1" t="s">
        <v>436</v>
      </c>
      <c r="M910" s="20" t="s">
        <v>258</v>
      </c>
      <c r="N910" s="20" t="s">
        <v>379</v>
      </c>
      <c r="O910" s="1" t="s">
        <v>399</v>
      </c>
      <c r="P910" s="22" t="str">
        <f aca="false">_xlfn.CONCAT(B910,C910,D910,E910,F910)</f>
        <v/>
      </c>
      <c r="Q910" s="1" t="str">
        <f aca="false">_xlfn.CONCAT(H910,I910,J910)</f>
        <v>DAURDE</v>
      </c>
    </row>
    <row r="911" customFormat="false" ht="15" hidden="false" customHeight="false" outlineLevel="0" collapsed="false">
      <c r="G911" s="15" t="n">
        <f aca="false">F911-E911</f>
        <v>0</v>
      </c>
      <c r="H911" s="20" t="s">
        <v>248</v>
      </c>
      <c r="J911" s="20" t="s">
        <v>256</v>
      </c>
      <c r="K911" s="1" t="s">
        <v>430</v>
      </c>
      <c r="L911" s="1" t="s">
        <v>436</v>
      </c>
      <c r="M911" s="20" t="s">
        <v>258</v>
      </c>
      <c r="N911" s="20" t="s">
        <v>379</v>
      </c>
      <c r="O911" s="1" t="s">
        <v>399</v>
      </c>
      <c r="P911" s="22" t="str">
        <f aca="false">_xlfn.CONCAT(B911,C911,D911,E911,F911)</f>
        <v/>
      </c>
      <c r="Q911" s="1" t="str">
        <f aca="false">_xlfn.CONCAT(H911,I911,J911)</f>
        <v>DAURDE</v>
      </c>
    </row>
    <row r="912" customFormat="false" ht="15" hidden="false" customHeight="false" outlineLevel="0" collapsed="false">
      <c r="G912" s="15" t="n">
        <f aca="false">F912-E912</f>
        <v>0</v>
      </c>
      <c r="H912" s="20" t="s">
        <v>248</v>
      </c>
      <c r="J912" s="20" t="s">
        <v>256</v>
      </c>
      <c r="K912" s="1" t="s">
        <v>430</v>
      </c>
      <c r="L912" s="1" t="s">
        <v>436</v>
      </c>
      <c r="M912" s="20" t="s">
        <v>258</v>
      </c>
      <c r="N912" s="20" t="s">
        <v>379</v>
      </c>
      <c r="O912" s="1" t="s">
        <v>399</v>
      </c>
      <c r="P912" s="22" t="str">
        <f aca="false">_xlfn.CONCAT(B912,C912,D912,E912,F912)</f>
        <v/>
      </c>
      <c r="Q912" s="1" t="str">
        <f aca="false">_xlfn.CONCAT(H912,I912,J912)</f>
        <v>DAURDE</v>
      </c>
    </row>
    <row r="913" customFormat="false" ht="15" hidden="false" customHeight="false" outlineLevel="0" collapsed="false">
      <c r="G913" s="15" t="n">
        <f aca="false">F913-E913</f>
        <v>0</v>
      </c>
      <c r="H913" s="20" t="s">
        <v>248</v>
      </c>
      <c r="J913" s="20" t="s">
        <v>256</v>
      </c>
      <c r="K913" s="1" t="s">
        <v>430</v>
      </c>
      <c r="L913" s="1" t="s">
        <v>436</v>
      </c>
      <c r="M913" s="20" t="s">
        <v>258</v>
      </c>
      <c r="N913" s="20" t="s">
        <v>379</v>
      </c>
      <c r="O913" s="1" t="s">
        <v>399</v>
      </c>
      <c r="P913" s="22" t="str">
        <f aca="false">_xlfn.CONCAT(B913,C913,D913,E913,F913)</f>
        <v/>
      </c>
      <c r="Q913" s="1" t="str">
        <f aca="false">_xlfn.CONCAT(H913,I913,J913)</f>
        <v>DAURDE</v>
      </c>
    </row>
    <row r="914" customFormat="false" ht="15" hidden="false" customHeight="false" outlineLevel="0" collapsed="false">
      <c r="G914" s="15" t="n">
        <f aca="false">F914-E914</f>
        <v>0</v>
      </c>
      <c r="H914" s="20" t="s">
        <v>248</v>
      </c>
      <c r="J914" s="20" t="s">
        <v>256</v>
      </c>
      <c r="K914" s="1" t="s">
        <v>430</v>
      </c>
      <c r="L914" s="1" t="s">
        <v>436</v>
      </c>
      <c r="M914" s="20" t="s">
        <v>258</v>
      </c>
      <c r="N914" s="20" t="s">
        <v>379</v>
      </c>
      <c r="O914" s="1" t="s">
        <v>399</v>
      </c>
      <c r="P914" s="22" t="str">
        <f aca="false">_xlfn.CONCAT(B914,C914,D914,E914,F914)</f>
        <v/>
      </c>
      <c r="Q914" s="1" t="str">
        <f aca="false">_xlfn.CONCAT(H914,I914,J914)</f>
        <v>DAURDE</v>
      </c>
    </row>
    <row r="915" customFormat="false" ht="15" hidden="false" customHeight="false" outlineLevel="0" collapsed="false">
      <c r="G915" s="15" t="n">
        <f aca="false">F915-E915</f>
        <v>0</v>
      </c>
      <c r="H915" s="20" t="s">
        <v>248</v>
      </c>
      <c r="J915" s="20" t="s">
        <v>256</v>
      </c>
      <c r="K915" s="1" t="s">
        <v>430</v>
      </c>
      <c r="L915" s="1" t="s">
        <v>436</v>
      </c>
      <c r="M915" s="20" t="s">
        <v>258</v>
      </c>
      <c r="N915" s="20" t="s">
        <v>379</v>
      </c>
      <c r="O915" s="1" t="s">
        <v>399</v>
      </c>
      <c r="P915" s="22" t="str">
        <f aca="false">_xlfn.CONCAT(B915,C915,D915,E915,F915)</f>
        <v/>
      </c>
      <c r="Q915" s="1" t="str">
        <f aca="false">_xlfn.CONCAT(H915,I915,J915)</f>
        <v>DAURDE</v>
      </c>
    </row>
    <row r="916" customFormat="false" ht="15" hidden="false" customHeight="false" outlineLevel="0" collapsed="false">
      <c r="G916" s="15" t="n">
        <f aca="false">F916-E916</f>
        <v>0</v>
      </c>
      <c r="H916" s="20" t="s">
        <v>248</v>
      </c>
      <c r="J916" s="20" t="s">
        <v>256</v>
      </c>
      <c r="K916" s="1" t="s">
        <v>430</v>
      </c>
      <c r="L916" s="1" t="s">
        <v>436</v>
      </c>
      <c r="M916" s="20" t="s">
        <v>258</v>
      </c>
      <c r="N916" s="20" t="s">
        <v>379</v>
      </c>
      <c r="O916" s="1" t="s">
        <v>399</v>
      </c>
      <c r="P916" s="22" t="str">
        <f aca="false">_xlfn.CONCAT(B916,C916,D916,E916,F916)</f>
        <v/>
      </c>
      <c r="Q916" s="1" t="str">
        <f aca="false">_xlfn.CONCAT(H916,I916,J916)</f>
        <v>DAURDE</v>
      </c>
    </row>
    <row r="917" customFormat="false" ht="15" hidden="false" customHeight="false" outlineLevel="0" collapsed="false">
      <c r="G917" s="15" t="n">
        <f aca="false">F917-E917</f>
        <v>0</v>
      </c>
      <c r="H917" s="20" t="s">
        <v>248</v>
      </c>
      <c r="J917" s="20" t="s">
        <v>256</v>
      </c>
      <c r="K917" s="1" t="s">
        <v>430</v>
      </c>
      <c r="L917" s="1" t="s">
        <v>436</v>
      </c>
      <c r="M917" s="20" t="s">
        <v>258</v>
      </c>
      <c r="N917" s="20" t="s">
        <v>379</v>
      </c>
      <c r="O917" s="1" t="s">
        <v>399</v>
      </c>
      <c r="P917" s="22" t="str">
        <f aca="false">_xlfn.CONCAT(B917,C917,D917,E917,F917)</f>
        <v/>
      </c>
      <c r="Q917" s="1" t="str">
        <f aca="false">_xlfn.CONCAT(H917,I917,J917)</f>
        <v>DAURDE</v>
      </c>
    </row>
    <row r="918" customFormat="false" ht="15" hidden="false" customHeight="false" outlineLevel="0" collapsed="false">
      <c r="G918" s="15" t="n">
        <f aca="false">F918-E918</f>
        <v>0</v>
      </c>
      <c r="H918" s="20" t="s">
        <v>248</v>
      </c>
      <c r="J918" s="20" t="s">
        <v>256</v>
      </c>
      <c r="K918" s="1" t="s">
        <v>430</v>
      </c>
      <c r="L918" s="1" t="s">
        <v>436</v>
      </c>
      <c r="M918" s="20" t="s">
        <v>258</v>
      </c>
      <c r="N918" s="20" t="s">
        <v>379</v>
      </c>
      <c r="O918" s="1" t="s">
        <v>399</v>
      </c>
      <c r="P918" s="22" t="str">
        <f aca="false">_xlfn.CONCAT(B918,C918,D918,E918,F918)</f>
        <v/>
      </c>
      <c r="Q918" s="1" t="str">
        <f aca="false">_xlfn.CONCAT(H918,I918,J918)</f>
        <v>DAURDE</v>
      </c>
    </row>
    <row r="919" customFormat="false" ht="15" hidden="false" customHeight="false" outlineLevel="0" collapsed="false">
      <c r="G919" s="15" t="n">
        <f aca="false">F919-E919</f>
        <v>0</v>
      </c>
      <c r="H919" s="20" t="s">
        <v>248</v>
      </c>
      <c r="J919" s="20" t="s">
        <v>256</v>
      </c>
      <c r="K919" s="1" t="s">
        <v>430</v>
      </c>
      <c r="L919" s="1" t="s">
        <v>436</v>
      </c>
      <c r="M919" s="20" t="s">
        <v>258</v>
      </c>
      <c r="N919" s="20" t="s">
        <v>379</v>
      </c>
      <c r="O919" s="1" t="s">
        <v>399</v>
      </c>
      <c r="P919" s="22" t="str">
        <f aca="false">_xlfn.CONCAT(B919,C919,D919,E919,F919)</f>
        <v/>
      </c>
      <c r="Q919" s="1" t="str">
        <f aca="false">_xlfn.CONCAT(H919,I919,J919)</f>
        <v>DAURDE</v>
      </c>
    </row>
    <row r="920" customFormat="false" ht="15" hidden="false" customHeight="false" outlineLevel="0" collapsed="false">
      <c r="G920" s="15" t="n">
        <f aca="false">F920-E920</f>
        <v>0</v>
      </c>
      <c r="H920" s="20" t="s">
        <v>248</v>
      </c>
      <c r="J920" s="20" t="s">
        <v>256</v>
      </c>
      <c r="K920" s="1" t="s">
        <v>430</v>
      </c>
      <c r="L920" s="1" t="s">
        <v>436</v>
      </c>
      <c r="M920" s="20" t="s">
        <v>258</v>
      </c>
      <c r="N920" s="20" t="s">
        <v>379</v>
      </c>
      <c r="O920" s="1" t="s">
        <v>399</v>
      </c>
      <c r="P920" s="22" t="str">
        <f aca="false">_xlfn.CONCAT(B920,C920,D920,E920,F920)</f>
        <v/>
      </c>
      <c r="Q920" s="1" t="str">
        <f aca="false">_xlfn.CONCAT(H920,I920,J920)</f>
        <v>DAURDE</v>
      </c>
    </row>
    <row r="921" customFormat="false" ht="15" hidden="false" customHeight="false" outlineLevel="0" collapsed="false">
      <c r="G921" s="15" t="n">
        <f aca="false">F921-E921</f>
        <v>0</v>
      </c>
      <c r="H921" s="20" t="s">
        <v>248</v>
      </c>
      <c r="J921" s="20" t="s">
        <v>256</v>
      </c>
      <c r="K921" s="1" t="s">
        <v>430</v>
      </c>
      <c r="L921" s="1" t="s">
        <v>436</v>
      </c>
      <c r="M921" s="20" t="s">
        <v>258</v>
      </c>
      <c r="N921" s="20" t="s">
        <v>379</v>
      </c>
      <c r="O921" s="1" t="s">
        <v>399</v>
      </c>
      <c r="P921" s="22" t="str">
        <f aca="false">_xlfn.CONCAT(B921,C921,D921,E921,F921)</f>
        <v/>
      </c>
      <c r="Q921" s="1" t="str">
        <f aca="false">_xlfn.CONCAT(H921,I921,J921)</f>
        <v>DAURDE</v>
      </c>
    </row>
    <row r="922" customFormat="false" ht="15" hidden="false" customHeight="false" outlineLevel="0" collapsed="false">
      <c r="G922" s="15" t="n">
        <f aca="false">F922-E922</f>
        <v>0</v>
      </c>
      <c r="H922" s="20" t="s">
        <v>248</v>
      </c>
      <c r="J922" s="20" t="s">
        <v>256</v>
      </c>
      <c r="K922" s="1" t="s">
        <v>430</v>
      </c>
      <c r="L922" s="1" t="s">
        <v>436</v>
      </c>
      <c r="M922" s="20" t="s">
        <v>258</v>
      </c>
      <c r="N922" s="20" t="s">
        <v>379</v>
      </c>
      <c r="O922" s="1" t="s">
        <v>399</v>
      </c>
      <c r="P922" s="22" t="str">
        <f aca="false">_xlfn.CONCAT(B922,C922,D922,E922,F922)</f>
        <v/>
      </c>
      <c r="Q922" s="1" t="str">
        <f aca="false">_xlfn.CONCAT(H922,I922,J922)</f>
        <v>DAURDE</v>
      </c>
    </row>
    <row r="923" customFormat="false" ht="15" hidden="false" customHeight="false" outlineLevel="0" collapsed="false">
      <c r="G923" s="15" t="n">
        <f aca="false">F923-E923</f>
        <v>0</v>
      </c>
      <c r="H923" s="20" t="s">
        <v>248</v>
      </c>
      <c r="J923" s="20" t="s">
        <v>256</v>
      </c>
      <c r="K923" s="1" t="s">
        <v>430</v>
      </c>
      <c r="L923" s="1" t="s">
        <v>436</v>
      </c>
      <c r="M923" s="20" t="s">
        <v>258</v>
      </c>
      <c r="N923" s="20" t="s">
        <v>379</v>
      </c>
      <c r="O923" s="1" t="s">
        <v>399</v>
      </c>
      <c r="P923" s="22" t="str">
        <f aca="false">_xlfn.CONCAT(B923,C923,D923,E923,F923)</f>
        <v/>
      </c>
      <c r="Q923" s="1" t="str">
        <f aca="false">_xlfn.CONCAT(H923,I923,J923)</f>
        <v>DAURDE</v>
      </c>
    </row>
    <row r="924" customFormat="false" ht="15" hidden="false" customHeight="false" outlineLevel="0" collapsed="false">
      <c r="G924" s="15" t="n">
        <f aca="false">F924-E924</f>
        <v>0</v>
      </c>
      <c r="H924" s="20" t="s">
        <v>248</v>
      </c>
      <c r="J924" s="20" t="s">
        <v>256</v>
      </c>
      <c r="K924" s="1" t="s">
        <v>430</v>
      </c>
      <c r="L924" s="1" t="s">
        <v>436</v>
      </c>
      <c r="M924" s="20" t="s">
        <v>258</v>
      </c>
      <c r="N924" s="20" t="s">
        <v>379</v>
      </c>
      <c r="O924" s="1" t="s">
        <v>399</v>
      </c>
      <c r="P924" s="22" t="str">
        <f aca="false">_xlfn.CONCAT(B924,C924,D924,E924,F924)</f>
        <v/>
      </c>
      <c r="Q924" s="1" t="str">
        <f aca="false">_xlfn.CONCAT(H924,I924,J924)</f>
        <v>DAURDE</v>
      </c>
    </row>
    <row r="925" customFormat="false" ht="15" hidden="false" customHeight="false" outlineLevel="0" collapsed="false">
      <c r="G925" s="15" t="n">
        <f aca="false">F925-E925</f>
        <v>0</v>
      </c>
      <c r="H925" s="20" t="s">
        <v>248</v>
      </c>
      <c r="J925" s="20" t="s">
        <v>256</v>
      </c>
      <c r="K925" s="1" t="s">
        <v>430</v>
      </c>
      <c r="L925" s="1" t="s">
        <v>436</v>
      </c>
      <c r="M925" s="20" t="s">
        <v>258</v>
      </c>
      <c r="N925" s="20" t="s">
        <v>379</v>
      </c>
      <c r="O925" s="1" t="s">
        <v>399</v>
      </c>
      <c r="P925" s="22" t="str">
        <f aca="false">_xlfn.CONCAT(B925,C925,D925,E925,F925)</f>
        <v/>
      </c>
      <c r="Q925" s="1" t="str">
        <f aca="false">_xlfn.CONCAT(H925,I925,J925)</f>
        <v>DAURDE</v>
      </c>
    </row>
    <row r="926" customFormat="false" ht="15" hidden="false" customHeight="false" outlineLevel="0" collapsed="false">
      <c r="G926" s="15" t="n">
        <f aca="false">F926-E926</f>
        <v>0</v>
      </c>
      <c r="H926" s="20" t="s">
        <v>248</v>
      </c>
      <c r="J926" s="20" t="s">
        <v>256</v>
      </c>
      <c r="K926" s="1" t="s">
        <v>430</v>
      </c>
      <c r="L926" s="1" t="s">
        <v>436</v>
      </c>
      <c r="M926" s="20" t="s">
        <v>258</v>
      </c>
      <c r="N926" s="20" t="s">
        <v>379</v>
      </c>
      <c r="O926" s="1" t="s">
        <v>399</v>
      </c>
      <c r="P926" s="22" t="str">
        <f aca="false">_xlfn.CONCAT(B926,C926,D926,E926,F926)</f>
        <v/>
      </c>
      <c r="Q926" s="1" t="str">
        <f aca="false">_xlfn.CONCAT(H926,I926,J926)</f>
        <v>DAURDE</v>
      </c>
    </row>
    <row r="927" customFormat="false" ht="15" hidden="false" customHeight="false" outlineLevel="0" collapsed="false">
      <c r="G927" s="15" t="n">
        <f aca="false">F927-E927</f>
        <v>0</v>
      </c>
      <c r="H927" s="20" t="s">
        <v>248</v>
      </c>
      <c r="J927" s="20" t="s">
        <v>256</v>
      </c>
      <c r="K927" s="1" t="s">
        <v>430</v>
      </c>
      <c r="L927" s="1" t="s">
        <v>436</v>
      </c>
      <c r="M927" s="20" t="s">
        <v>258</v>
      </c>
      <c r="N927" s="20" t="s">
        <v>379</v>
      </c>
      <c r="O927" s="1" t="s">
        <v>399</v>
      </c>
      <c r="P927" s="22" t="str">
        <f aca="false">_xlfn.CONCAT(B927,C927,D927,E927,F927)</f>
        <v/>
      </c>
      <c r="Q927" s="1" t="str">
        <f aca="false">_xlfn.CONCAT(H927,I927,J927)</f>
        <v>DAURDE</v>
      </c>
    </row>
    <row r="928" customFormat="false" ht="15" hidden="false" customHeight="false" outlineLevel="0" collapsed="false">
      <c r="G928" s="15" t="n">
        <f aca="false">F928-E928</f>
        <v>0</v>
      </c>
      <c r="H928" s="20" t="s">
        <v>248</v>
      </c>
      <c r="J928" s="20" t="s">
        <v>256</v>
      </c>
      <c r="K928" s="1" t="s">
        <v>430</v>
      </c>
      <c r="L928" s="1" t="s">
        <v>436</v>
      </c>
      <c r="M928" s="20" t="s">
        <v>258</v>
      </c>
      <c r="N928" s="20" t="s">
        <v>379</v>
      </c>
      <c r="O928" s="1" t="s">
        <v>399</v>
      </c>
      <c r="P928" s="22" t="str">
        <f aca="false">_xlfn.CONCAT(B928,C928,D928,E928,F928)</f>
        <v/>
      </c>
      <c r="Q928" s="1" t="str">
        <f aca="false">_xlfn.CONCAT(H928,I928,J928)</f>
        <v>DAURDE</v>
      </c>
    </row>
    <row r="929" customFormat="false" ht="15" hidden="false" customHeight="false" outlineLevel="0" collapsed="false">
      <c r="G929" s="15" t="n">
        <f aca="false">F929-E929</f>
        <v>0</v>
      </c>
      <c r="H929" s="20" t="s">
        <v>248</v>
      </c>
      <c r="J929" s="20" t="s">
        <v>256</v>
      </c>
      <c r="K929" s="1" t="s">
        <v>430</v>
      </c>
      <c r="L929" s="1" t="s">
        <v>436</v>
      </c>
      <c r="M929" s="20" t="s">
        <v>258</v>
      </c>
      <c r="N929" s="20" t="s">
        <v>379</v>
      </c>
      <c r="O929" s="1" t="s">
        <v>399</v>
      </c>
      <c r="P929" s="22" t="str">
        <f aca="false">_xlfn.CONCAT(B929,C929,D929,E929,F929)</f>
        <v/>
      </c>
      <c r="Q929" s="1" t="str">
        <f aca="false">_xlfn.CONCAT(H929,I929,J929)</f>
        <v>DAURDE</v>
      </c>
    </row>
    <row r="930" customFormat="false" ht="15" hidden="false" customHeight="false" outlineLevel="0" collapsed="false">
      <c r="G930" s="15" t="n">
        <f aca="false">F930-E930</f>
        <v>0</v>
      </c>
      <c r="H930" s="20" t="s">
        <v>248</v>
      </c>
      <c r="J930" s="20" t="s">
        <v>256</v>
      </c>
      <c r="K930" s="1" t="s">
        <v>430</v>
      </c>
      <c r="L930" s="1" t="s">
        <v>436</v>
      </c>
      <c r="M930" s="20" t="s">
        <v>258</v>
      </c>
      <c r="N930" s="20" t="s">
        <v>379</v>
      </c>
      <c r="O930" s="1" t="s">
        <v>399</v>
      </c>
      <c r="P930" s="22" t="str">
        <f aca="false">_xlfn.CONCAT(B930,C930,D930,E930,F930)</f>
        <v/>
      </c>
      <c r="Q930" s="1" t="str">
        <f aca="false">_xlfn.CONCAT(H930,I930,J930)</f>
        <v>DAURDE</v>
      </c>
    </row>
    <row r="931" customFormat="false" ht="15" hidden="false" customHeight="false" outlineLevel="0" collapsed="false">
      <c r="G931" s="15" t="n">
        <f aca="false">F931-E931</f>
        <v>0</v>
      </c>
      <c r="H931" s="20" t="s">
        <v>248</v>
      </c>
      <c r="J931" s="20" t="s">
        <v>256</v>
      </c>
      <c r="K931" s="1" t="s">
        <v>430</v>
      </c>
      <c r="L931" s="1" t="s">
        <v>436</v>
      </c>
      <c r="M931" s="20" t="s">
        <v>258</v>
      </c>
      <c r="N931" s="20" t="s">
        <v>379</v>
      </c>
      <c r="O931" s="1" t="s">
        <v>399</v>
      </c>
      <c r="P931" s="22" t="str">
        <f aca="false">_xlfn.CONCAT(B931,C931,D931,E931,F931)</f>
        <v/>
      </c>
      <c r="Q931" s="1" t="str">
        <f aca="false">_xlfn.CONCAT(H931,I931,J931)</f>
        <v>DAURDE</v>
      </c>
    </row>
    <row r="932" customFormat="false" ht="15" hidden="false" customHeight="false" outlineLevel="0" collapsed="false">
      <c r="G932" s="15" t="n">
        <f aca="false">F932-E932</f>
        <v>0</v>
      </c>
      <c r="H932" s="20" t="s">
        <v>248</v>
      </c>
      <c r="J932" s="20" t="s">
        <v>256</v>
      </c>
      <c r="K932" s="1" t="s">
        <v>430</v>
      </c>
      <c r="L932" s="1" t="s">
        <v>436</v>
      </c>
      <c r="M932" s="20" t="s">
        <v>258</v>
      </c>
      <c r="N932" s="20" t="s">
        <v>379</v>
      </c>
      <c r="O932" s="1" t="s">
        <v>399</v>
      </c>
      <c r="P932" s="22" t="str">
        <f aca="false">_xlfn.CONCAT(B932,C932,D932,E932,F932)</f>
        <v/>
      </c>
      <c r="Q932" s="1" t="str">
        <f aca="false">_xlfn.CONCAT(H932,I932,J932)</f>
        <v>DAURDE</v>
      </c>
    </row>
    <row r="933" customFormat="false" ht="15" hidden="false" customHeight="false" outlineLevel="0" collapsed="false">
      <c r="G933" s="15" t="n">
        <f aca="false">F933-E933</f>
        <v>0</v>
      </c>
      <c r="H933" s="20" t="s">
        <v>248</v>
      </c>
      <c r="J933" s="20" t="s">
        <v>256</v>
      </c>
      <c r="K933" s="1" t="s">
        <v>430</v>
      </c>
      <c r="L933" s="1" t="s">
        <v>436</v>
      </c>
      <c r="M933" s="20" t="s">
        <v>258</v>
      </c>
      <c r="N933" s="20" t="s">
        <v>379</v>
      </c>
      <c r="O933" s="1" t="s">
        <v>399</v>
      </c>
      <c r="P933" s="22" t="str">
        <f aca="false">_xlfn.CONCAT(B933,C933,D933,E933,F933)</f>
        <v/>
      </c>
      <c r="Q933" s="1" t="str">
        <f aca="false">_xlfn.CONCAT(H933,I933,J933)</f>
        <v>DAURDE</v>
      </c>
    </row>
    <row r="934" customFormat="false" ht="15" hidden="false" customHeight="false" outlineLevel="0" collapsed="false">
      <c r="G934" s="15" t="n">
        <f aca="false">F934-E934</f>
        <v>0</v>
      </c>
      <c r="H934" s="20" t="s">
        <v>248</v>
      </c>
      <c r="J934" s="20" t="s">
        <v>256</v>
      </c>
      <c r="K934" s="1" t="s">
        <v>430</v>
      </c>
      <c r="L934" s="1" t="s">
        <v>436</v>
      </c>
      <c r="M934" s="20" t="s">
        <v>258</v>
      </c>
      <c r="N934" s="20" t="s">
        <v>379</v>
      </c>
      <c r="O934" s="1" t="s">
        <v>399</v>
      </c>
      <c r="P934" s="22" t="str">
        <f aca="false">_xlfn.CONCAT(B934,C934,D934,E934,F934)</f>
        <v/>
      </c>
      <c r="Q934" s="1" t="str">
        <f aca="false">_xlfn.CONCAT(H934,I934,J934)</f>
        <v>DAURDE</v>
      </c>
    </row>
    <row r="935" customFormat="false" ht="15" hidden="false" customHeight="false" outlineLevel="0" collapsed="false">
      <c r="G935" s="15" t="n">
        <f aca="false">F935-E935</f>
        <v>0</v>
      </c>
      <c r="H935" s="20" t="s">
        <v>248</v>
      </c>
      <c r="J935" s="20" t="s">
        <v>256</v>
      </c>
      <c r="K935" s="1" t="s">
        <v>430</v>
      </c>
      <c r="L935" s="1" t="s">
        <v>436</v>
      </c>
      <c r="M935" s="20" t="s">
        <v>258</v>
      </c>
      <c r="N935" s="20" t="s">
        <v>379</v>
      </c>
      <c r="O935" s="1" t="s">
        <v>399</v>
      </c>
      <c r="P935" s="22" t="str">
        <f aca="false">_xlfn.CONCAT(B935,C935,D935,E935,F935)</f>
        <v/>
      </c>
      <c r="Q935" s="1" t="str">
        <f aca="false">_xlfn.CONCAT(H935,I935,J935)</f>
        <v>DAURDE</v>
      </c>
    </row>
    <row r="936" customFormat="false" ht="15" hidden="false" customHeight="false" outlineLevel="0" collapsed="false">
      <c r="G936" s="15" t="n">
        <f aca="false">F936-E936</f>
        <v>0</v>
      </c>
      <c r="H936" s="20" t="s">
        <v>248</v>
      </c>
      <c r="J936" s="20" t="s">
        <v>256</v>
      </c>
      <c r="K936" s="1" t="s">
        <v>430</v>
      </c>
      <c r="L936" s="1" t="s">
        <v>436</v>
      </c>
      <c r="M936" s="20" t="s">
        <v>258</v>
      </c>
      <c r="N936" s="20" t="s">
        <v>379</v>
      </c>
      <c r="O936" s="1" t="s">
        <v>399</v>
      </c>
      <c r="P936" s="22" t="str">
        <f aca="false">_xlfn.CONCAT(B936,C936,D936,E936,F936)</f>
        <v/>
      </c>
      <c r="Q936" s="1" t="str">
        <f aca="false">_xlfn.CONCAT(H936,I936,J936)</f>
        <v>DAURDE</v>
      </c>
    </row>
    <row r="937" customFormat="false" ht="15" hidden="false" customHeight="false" outlineLevel="0" collapsed="false">
      <c r="G937" s="15" t="n">
        <f aca="false">F937-E937</f>
        <v>0</v>
      </c>
      <c r="H937" s="20" t="s">
        <v>248</v>
      </c>
      <c r="J937" s="20" t="s">
        <v>256</v>
      </c>
      <c r="K937" s="1" t="s">
        <v>430</v>
      </c>
      <c r="L937" s="1" t="s">
        <v>436</v>
      </c>
      <c r="M937" s="20" t="s">
        <v>258</v>
      </c>
      <c r="N937" s="20" t="s">
        <v>379</v>
      </c>
      <c r="O937" s="1" t="s">
        <v>399</v>
      </c>
      <c r="P937" s="22" t="str">
        <f aca="false">_xlfn.CONCAT(B937,C937,D937,E937,F937)</f>
        <v/>
      </c>
      <c r="Q937" s="1" t="str">
        <f aca="false">_xlfn.CONCAT(H937,I937,J937)</f>
        <v>DAURDE</v>
      </c>
    </row>
    <row r="938" customFormat="false" ht="15" hidden="false" customHeight="false" outlineLevel="0" collapsed="false">
      <c r="G938" s="15" t="n">
        <f aca="false">F938-E938</f>
        <v>0</v>
      </c>
      <c r="H938" s="20" t="s">
        <v>248</v>
      </c>
      <c r="J938" s="20" t="s">
        <v>256</v>
      </c>
      <c r="K938" s="1" t="s">
        <v>430</v>
      </c>
      <c r="L938" s="1" t="s">
        <v>436</v>
      </c>
      <c r="M938" s="20" t="s">
        <v>258</v>
      </c>
      <c r="N938" s="20" t="s">
        <v>379</v>
      </c>
      <c r="O938" s="1" t="s">
        <v>399</v>
      </c>
      <c r="P938" s="22" t="str">
        <f aca="false">_xlfn.CONCAT(B938,C938,D938,E938,F938)</f>
        <v/>
      </c>
      <c r="Q938" s="1" t="str">
        <f aca="false">_xlfn.CONCAT(H938,I938,J938)</f>
        <v>DAURDE</v>
      </c>
    </row>
    <row r="939" customFormat="false" ht="15" hidden="false" customHeight="false" outlineLevel="0" collapsed="false">
      <c r="G939" s="15" t="n">
        <f aca="false">F939-E939</f>
        <v>0</v>
      </c>
      <c r="H939" s="20" t="s">
        <v>248</v>
      </c>
      <c r="J939" s="20" t="s">
        <v>256</v>
      </c>
      <c r="K939" s="1" t="s">
        <v>430</v>
      </c>
      <c r="L939" s="1" t="s">
        <v>436</v>
      </c>
      <c r="M939" s="20" t="s">
        <v>258</v>
      </c>
      <c r="N939" s="20" t="s">
        <v>379</v>
      </c>
      <c r="O939" s="1" t="s">
        <v>399</v>
      </c>
      <c r="P939" s="22" t="str">
        <f aca="false">_xlfn.CONCAT(B939,C939,D939,E939,F939)</f>
        <v/>
      </c>
      <c r="Q939" s="1" t="str">
        <f aca="false">_xlfn.CONCAT(H939,I939,J939)</f>
        <v>DAURDE</v>
      </c>
    </row>
    <row r="940" customFormat="false" ht="15" hidden="false" customHeight="false" outlineLevel="0" collapsed="false">
      <c r="G940" s="15" t="n">
        <f aca="false">F940-E940</f>
        <v>0</v>
      </c>
      <c r="H940" s="20" t="s">
        <v>248</v>
      </c>
      <c r="J940" s="20" t="s">
        <v>256</v>
      </c>
      <c r="K940" s="1" t="s">
        <v>430</v>
      </c>
      <c r="L940" s="1" t="s">
        <v>436</v>
      </c>
      <c r="M940" s="20" t="s">
        <v>258</v>
      </c>
      <c r="N940" s="20" t="s">
        <v>379</v>
      </c>
      <c r="O940" s="1" t="s">
        <v>399</v>
      </c>
      <c r="P940" s="22" t="str">
        <f aca="false">_xlfn.CONCAT(B940,C940,D940,E940,F940)</f>
        <v/>
      </c>
      <c r="Q940" s="1" t="str">
        <f aca="false">_xlfn.CONCAT(H940,I940,J940)</f>
        <v>DAURDE</v>
      </c>
    </row>
    <row r="941" customFormat="false" ht="15" hidden="false" customHeight="false" outlineLevel="0" collapsed="false">
      <c r="G941" s="15" t="n">
        <f aca="false">F941-E941</f>
        <v>0</v>
      </c>
      <c r="H941" s="20" t="s">
        <v>248</v>
      </c>
      <c r="J941" s="20" t="s">
        <v>256</v>
      </c>
      <c r="K941" s="1" t="s">
        <v>430</v>
      </c>
      <c r="L941" s="1" t="s">
        <v>436</v>
      </c>
      <c r="M941" s="20" t="s">
        <v>258</v>
      </c>
      <c r="N941" s="20" t="s">
        <v>379</v>
      </c>
      <c r="O941" s="1" t="s">
        <v>399</v>
      </c>
      <c r="P941" s="22" t="str">
        <f aca="false">_xlfn.CONCAT(B941,C941,D941,E941,F941)</f>
        <v/>
      </c>
      <c r="Q941" s="1" t="str">
        <f aca="false">_xlfn.CONCAT(H941,I941,J941)</f>
        <v>DAURDE</v>
      </c>
    </row>
    <row r="942" customFormat="false" ht="15" hidden="false" customHeight="false" outlineLevel="0" collapsed="false">
      <c r="G942" s="15" t="n">
        <f aca="false">F942-E942</f>
        <v>0</v>
      </c>
      <c r="H942" s="20" t="s">
        <v>248</v>
      </c>
      <c r="J942" s="20" t="s">
        <v>256</v>
      </c>
      <c r="K942" s="1" t="s">
        <v>430</v>
      </c>
      <c r="L942" s="1" t="s">
        <v>436</v>
      </c>
      <c r="M942" s="20" t="s">
        <v>258</v>
      </c>
      <c r="N942" s="20" t="s">
        <v>379</v>
      </c>
      <c r="O942" s="1" t="s">
        <v>399</v>
      </c>
      <c r="P942" s="22" t="str">
        <f aca="false">_xlfn.CONCAT(B942,C942,D942,E942,F942)</f>
        <v/>
      </c>
      <c r="Q942" s="1" t="str">
        <f aca="false">_xlfn.CONCAT(H942,I942,J942)</f>
        <v>DAURDE</v>
      </c>
    </row>
    <row r="943" customFormat="false" ht="15" hidden="false" customHeight="false" outlineLevel="0" collapsed="false">
      <c r="G943" s="15" t="n">
        <f aca="false">F943-E943</f>
        <v>0</v>
      </c>
      <c r="H943" s="20" t="s">
        <v>248</v>
      </c>
      <c r="J943" s="20" t="s">
        <v>256</v>
      </c>
      <c r="K943" s="1" t="s">
        <v>430</v>
      </c>
      <c r="L943" s="1" t="s">
        <v>436</v>
      </c>
      <c r="M943" s="20" t="s">
        <v>258</v>
      </c>
      <c r="N943" s="20" t="s">
        <v>379</v>
      </c>
      <c r="O943" s="1" t="s">
        <v>399</v>
      </c>
      <c r="P943" s="22" t="str">
        <f aca="false">_xlfn.CONCAT(B943,C943,D943,E943,F943)</f>
        <v/>
      </c>
      <c r="Q943" s="1" t="str">
        <f aca="false">_xlfn.CONCAT(H943,I943,J943)</f>
        <v>DAURDE</v>
      </c>
    </row>
    <row r="944" customFormat="false" ht="15" hidden="false" customHeight="false" outlineLevel="0" collapsed="false">
      <c r="G944" s="15" t="n">
        <f aca="false">F944-E944</f>
        <v>0</v>
      </c>
      <c r="H944" s="20" t="s">
        <v>248</v>
      </c>
      <c r="J944" s="20" t="s">
        <v>256</v>
      </c>
      <c r="K944" s="1" t="s">
        <v>430</v>
      </c>
      <c r="L944" s="1" t="s">
        <v>436</v>
      </c>
      <c r="M944" s="20" t="s">
        <v>258</v>
      </c>
      <c r="N944" s="20" t="s">
        <v>379</v>
      </c>
      <c r="O944" s="1" t="s">
        <v>399</v>
      </c>
      <c r="P944" s="22" t="str">
        <f aca="false">_xlfn.CONCAT(B944,C944,D944,E944,F944)</f>
        <v/>
      </c>
      <c r="Q944" s="1" t="str">
        <f aca="false">_xlfn.CONCAT(H944,I944,J944)</f>
        <v>DAURDE</v>
      </c>
    </row>
    <row r="945" customFormat="false" ht="15" hidden="false" customHeight="false" outlineLevel="0" collapsed="false">
      <c r="G945" s="15" t="n">
        <f aca="false">F945-E945</f>
        <v>0</v>
      </c>
      <c r="H945" s="20" t="s">
        <v>248</v>
      </c>
      <c r="J945" s="20" t="s">
        <v>256</v>
      </c>
      <c r="K945" s="1" t="s">
        <v>430</v>
      </c>
      <c r="L945" s="1" t="s">
        <v>436</v>
      </c>
      <c r="M945" s="20" t="s">
        <v>258</v>
      </c>
      <c r="N945" s="20" t="s">
        <v>379</v>
      </c>
      <c r="O945" s="1" t="s">
        <v>399</v>
      </c>
      <c r="P945" s="22" t="str">
        <f aca="false">_xlfn.CONCAT(B945,C945,D945,E945,F945)</f>
        <v/>
      </c>
      <c r="Q945" s="1" t="str">
        <f aca="false">_xlfn.CONCAT(H945,I945,J945)</f>
        <v>DAURDE</v>
      </c>
    </row>
    <row r="946" customFormat="false" ht="15" hidden="false" customHeight="false" outlineLevel="0" collapsed="false">
      <c r="G946" s="15" t="n">
        <f aca="false">F946-E946</f>
        <v>0</v>
      </c>
      <c r="H946" s="20" t="s">
        <v>248</v>
      </c>
      <c r="J946" s="20" t="s">
        <v>256</v>
      </c>
      <c r="K946" s="1" t="s">
        <v>430</v>
      </c>
      <c r="L946" s="1" t="s">
        <v>469</v>
      </c>
      <c r="M946" s="20" t="s">
        <v>258</v>
      </c>
      <c r="N946" s="20" t="s">
        <v>379</v>
      </c>
      <c r="O946" s="1" t="s">
        <v>470</v>
      </c>
      <c r="P946" s="22" t="str">
        <f aca="false">_xlfn.CONCAT(B946,C946,D946,E946,F946)</f>
        <v/>
      </c>
      <c r="Q946" s="1" t="str">
        <f aca="false">_xlfn.CONCAT(H946,I946,J946)</f>
        <v>DAURDE</v>
      </c>
    </row>
    <row r="947" customFormat="false" ht="15" hidden="false" customHeight="false" outlineLevel="0" collapsed="false">
      <c r="G947" s="15" t="n">
        <f aca="false">F947-E947</f>
        <v>0</v>
      </c>
      <c r="H947" s="20" t="s">
        <v>248</v>
      </c>
      <c r="J947" s="20" t="s">
        <v>256</v>
      </c>
      <c r="K947" s="1" t="s">
        <v>430</v>
      </c>
      <c r="L947" s="1" t="s">
        <v>469</v>
      </c>
      <c r="M947" s="20" t="s">
        <v>258</v>
      </c>
      <c r="N947" s="20" t="s">
        <v>379</v>
      </c>
      <c r="O947" s="1" t="s">
        <v>470</v>
      </c>
      <c r="P947" s="22" t="str">
        <f aca="false">_xlfn.CONCAT(B947,C947,D947,E947,F947)</f>
        <v/>
      </c>
      <c r="Q947" s="1" t="str">
        <f aca="false">_xlfn.CONCAT(H947,I947,J947)</f>
        <v>DAURDE</v>
      </c>
    </row>
    <row r="948" customFormat="false" ht="15" hidden="false" customHeight="false" outlineLevel="0" collapsed="false">
      <c r="G948" s="15" t="n">
        <f aca="false">F948-E948</f>
        <v>0</v>
      </c>
      <c r="H948" s="20" t="s">
        <v>248</v>
      </c>
      <c r="J948" s="20" t="s">
        <v>256</v>
      </c>
      <c r="K948" s="1" t="s">
        <v>430</v>
      </c>
      <c r="L948" s="1" t="s">
        <v>469</v>
      </c>
      <c r="M948" s="20" t="s">
        <v>258</v>
      </c>
      <c r="N948" s="20" t="s">
        <v>379</v>
      </c>
      <c r="O948" s="1" t="s">
        <v>470</v>
      </c>
      <c r="P948" s="22" t="str">
        <f aca="false">_xlfn.CONCAT(B948,C948,D948,E948,F948)</f>
        <v/>
      </c>
      <c r="Q948" s="1" t="str">
        <f aca="false">_xlfn.CONCAT(H948,I948,J948)</f>
        <v>DAURDE</v>
      </c>
    </row>
    <row r="949" customFormat="false" ht="15" hidden="false" customHeight="false" outlineLevel="0" collapsed="false">
      <c r="G949" s="15" t="n">
        <f aca="false">F949-E949</f>
        <v>0</v>
      </c>
      <c r="H949" s="20" t="s">
        <v>248</v>
      </c>
      <c r="J949" s="20" t="s">
        <v>256</v>
      </c>
      <c r="K949" s="1" t="s">
        <v>430</v>
      </c>
      <c r="L949" s="1" t="s">
        <v>469</v>
      </c>
      <c r="M949" s="20" t="s">
        <v>258</v>
      </c>
      <c r="N949" s="20" t="s">
        <v>379</v>
      </c>
      <c r="O949" s="1" t="s">
        <v>470</v>
      </c>
      <c r="P949" s="22" t="str">
        <f aca="false">_xlfn.CONCAT(B949,C949,D949,E949,F949)</f>
        <v/>
      </c>
      <c r="Q949" s="1" t="str">
        <f aca="false">_xlfn.CONCAT(H949,I949,J949)</f>
        <v>DAURDE</v>
      </c>
    </row>
    <row r="950" customFormat="false" ht="15" hidden="false" customHeight="false" outlineLevel="0" collapsed="false">
      <c r="G950" s="15" t="n">
        <f aca="false">F950-E950</f>
        <v>0</v>
      </c>
      <c r="H950" s="20" t="s">
        <v>248</v>
      </c>
      <c r="J950" s="20" t="s">
        <v>256</v>
      </c>
      <c r="K950" s="1" t="s">
        <v>430</v>
      </c>
      <c r="L950" s="1" t="s">
        <v>469</v>
      </c>
      <c r="M950" s="20" t="s">
        <v>258</v>
      </c>
      <c r="N950" s="20" t="s">
        <v>379</v>
      </c>
      <c r="O950" s="1" t="s">
        <v>470</v>
      </c>
      <c r="P950" s="22" t="str">
        <f aca="false">_xlfn.CONCAT(B950,C950,D950,E950,F950)</f>
        <v/>
      </c>
      <c r="Q950" s="1" t="str">
        <f aca="false">_xlfn.CONCAT(H950,I950,J950)</f>
        <v>DAURDE</v>
      </c>
    </row>
    <row r="951" customFormat="false" ht="15" hidden="false" customHeight="false" outlineLevel="0" collapsed="false">
      <c r="G951" s="15" t="n">
        <f aca="false">F951-E951</f>
        <v>0</v>
      </c>
      <c r="H951" s="20" t="s">
        <v>248</v>
      </c>
      <c r="J951" s="20" t="s">
        <v>256</v>
      </c>
      <c r="K951" s="1" t="s">
        <v>430</v>
      </c>
      <c r="L951" s="1" t="s">
        <v>469</v>
      </c>
      <c r="M951" s="20" t="s">
        <v>258</v>
      </c>
      <c r="N951" s="20" t="s">
        <v>379</v>
      </c>
      <c r="O951" s="1" t="s">
        <v>470</v>
      </c>
      <c r="P951" s="22" t="str">
        <f aca="false">_xlfn.CONCAT(B951,C951,D951,E951,F951)</f>
        <v/>
      </c>
      <c r="Q951" s="1" t="str">
        <f aca="false">_xlfn.CONCAT(H951,I951,J951)</f>
        <v>DAURDE</v>
      </c>
    </row>
    <row r="952" customFormat="false" ht="15" hidden="false" customHeight="false" outlineLevel="0" collapsed="false">
      <c r="G952" s="15" t="n">
        <f aca="false">F952-E952</f>
        <v>0</v>
      </c>
      <c r="H952" s="20" t="s">
        <v>248</v>
      </c>
      <c r="J952" s="20" t="s">
        <v>256</v>
      </c>
      <c r="K952" s="1" t="s">
        <v>430</v>
      </c>
      <c r="L952" s="1" t="s">
        <v>469</v>
      </c>
      <c r="M952" s="20" t="s">
        <v>258</v>
      </c>
      <c r="N952" s="20" t="s">
        <v>379</v>
      </c>
      <c r="O952" s="1" t="s">
        <v>470</v>
      </c>
      <c r="P952" s="22" t="str">
        <f aca="false">_xlfn.CONCAT(B952,C952,D952,E952,F952)</f>
        <v/>
      </c>
      <c r="Q952" s="1" t="str">
        <f aca="false">_xlfn.CONCAT(H952,I952,J952)</f>
        <v>DAURDE</v>
      </c>
    </row>
    <row r="953" customFormat="false" ht="15" hidden="false" customHeight="false" outlineLevel="0" collapsed="false">
      <c r="G953" s="15" t="n">
        <f aca="false">F953-E953</f>
        <v>0</v>
      </c>
      <c r="H953" s="20" t="s">
        <v>248</v>
      </c>
      <c r="J953" s="20" t="s">
        <v>256</v>
      </c>
      <c r="K953" s="1" t="s">
        <v>430</v>
      </c>
      <c r="L953" s="1" t="s">
        <v>469</v>
      </c>
      <c r="M953" s="20" t="s">
        <v>258</v>
      </c>
      <c r="N953" s="20" t="s">
        <v>379</v>
      </c>
      <c r="O953" s="1" t="s">
        <v>470</v>
      </c>
      <c r="P953" s="22" t="str">
        <f aca="false">_xlfn.CONCAT(B953,C953,D953,E953,F953)</f>
        <v/>
      </c>
      <c r="Q953" s="1" t="str">
        <f aca="false">_xlfn.CONCAT(H953,I953,J953)</f>
        <v>DAURDE</v>
      </c>
    </row>
    <row r="954" customFormat="false" ht="15" hidden="false" customHeight="false" outlineLevel="0" collapsed="false">
      <c r="G954" s="15" t="n">
        <f aca="false">F954-E954</f>
        <v>0</v>
      </c>
      <c r="H954" s="20" t="s">
        <v>248</v>
      </c>
      <c r="J954" s="20" t="s">
        <v>256</v>
      </c>
      <c r="K954" s="1" t="s">
        <v>430</v>
      </c>
      <c r="L954" s="1" t="s">
        <v>469</v>
      </c>
      <c r="M954" s="20" t="s">
        <v>258</v>
      </c>
      <c r="N954" s="20" t="s">
        <v>379</v>
      </c>
      <c r="O954" s="1" t="s">
        <v>470</v>
      </c>
      <c r="P954" s="22" t="str">
        <f aca="false">_xlfn.CONCAT(B954,C954,D954,E954,F954)</f>
        <v/>
      </c>
      <c r="Q954" s="1" t="str">
        <f aca="false">_xlfn.CONCAT(H954,I954,J954)</f>
        <v>DAURDE</v>
      </c>
    </row>
    <row r="955" customFormat="false" ht="15" hidden="false" customHeight="false" outlineLevel="0" collapsed="false">
      <c r="G955" s="15" t="n">
        <f aca="false">F955-E955</f>
        <v>0</v>
      </c>
      <c r="H955" s="20" t="s">
        <v>248</v>
      </c>
      <c r="J955" s="20" t="s">
        <v>256</v>
      </c>
      <c r="K955" s="1" t="s">
        <v>430</v>
      </c>
      <c r="L955" s="1" t="s">
        <v>469</v>
      </c>
      <c r="M955" s="20" t="s">
        <v>258</v>
      </c>
      <c r="N955" s="20" t="s">
        <v>379</v>
      </c>
      <c r="O955" s="1" t="s">
        <v>470</v>
      </c>
      <c r="P955" s="22" t="str">
        <f aca="false">_xlfn.CONCAT(B955,C955,D955,E955,F955)</f>
        <v/>
      </c>
      <c r="Q955" s="1" t="str">
        <f aca="false">_xlfn.CONCAT(H955,I955,J955)</f>
        <v>DAURDE</v>
      </c>
    </row>
    <row r="956" customFormat="false" ht="15" hidden="false" customHeight="false" outlineLevel="0" collapsed="false">
      <c r="G956" s="15" t="n">
        <f aca="false">F956-E956</f>
        <v>0</v>
      </c>
      <c r="H956" s="20" t="s">
        <v>248</v>
      </c>
      <c r="J956" s="20" t="s">
        <v>256</v>
      </c>
      <c r="K956" s="1" t="s">
        <v>430</v>
      </c>
      <c r="L956" s="1" t="s">
        <v>469</v>
      </c>
      <c r="M956" s="20" t="s">
        <v>258</v>
      </c>
      <c r="N956" s="20" t="s">
        <v>379</v>
      </c>
      <c r="O956" s="1" t="s">
        <v>470</v>
      </c>
      <c r="P956" s="22" t="str">
        <f aca="false">_xlfn.CONCAT(B956,C956,D956,E956,F956)</f>
        <v/>
      </c>
      <c r="Q956" s="1" t="str">
        <f aca="false">_xlfn.CONCAT(H956,I956,J956)</f>
        <v>DAURDE</v>
      </c>
    </row>
    <row r="957" customFormat="false" ht="15" hidden="false" customHeight="false" outlineLevel="0" collapsed="false">
      <c r="G957" s="15" t="n">
        <f aca="false">F957-E957</f>
        <v>0</v>
      </c>
      <c r="H957" s="20" t="s">
        <v>248</v>
      </c>
      <c r="J957" s="20" t="s">
        <v>256</v>
      </c>
      <c r="K957" s="1" t="s">
        <v>430</v>
      </c>
      <c r="L957" s="1" t="s">
        <v>469</v>
      </c>
      <c r="M957" s="20" t="s">
        <v>258</v>
      </c>
      <c r="N957" s="20" t="s">
        <v>379</v>
      </c>
      <c r="O957" s="1" t="s">
        <v>470</v>
      </c>
      <c r="P957" s="22" t="str">
        <f aca="false">_xlfn.CONCAT(B957,C957,D957,E957,F957)</f>
        <v/>
      </c>
      <c r="Q957" s="1" t="str">
        <f aca="false">_xlfn.CONCAT(H957,I957,J957)</f>
        <v>DAURDE</v>
      </c>
    </row>
    <row r="958" customFormat="false" ht="15" hidden="false" customHeight="false" outlineLevel="0" collapsed="false">
      <c r="G958" s="15" t="n">
        <f aca="false">F958-E958</f>
        <v>0</v>
      </c>
      <c r="H958" s="20" t="s">
        <v>248</v>
      </c>
      <c r="J958" s="20" t="s">
        <v>256</v>
      </c>
      <c r="K958" s="1" t="s">
        <v>430</v>
      </c>
      <c r="L958" s="1" t="s">
        <v>469</v>
      </c>
      <c r="M958" s="20" t="s">
        <v>258</v>
      </c>
      <c r="N958" s="20" t="s">
        <v>379</v>
      </c>
      <c r="O958" s="1" t="s">
        <v>470</v>
      </c>
      <c r="P958" s="22" t="str">
        <f aca="false">_xlfn.CONCAT(B958,C958,D958,E958,F958)</f>
        <v/>
      </c>
      <c r="Q958" s="1" t="str">
        <f aca="false">_xlfn.CONCAT(H958,I958,J958)</f>
        <v>DAURDE</v>
      </c>
    </row>
    <row r="959" customFormat="false" ht="15" hidden="false" customHeight="false" outlineLevel="0" collapsed="false">
      <c r="G959" s="15" t="n">
        <f aca="false">F959-E959</f>
        <v>0</v>
      </c>
      <c r="H959" s="20" t="s">
        <v>248</v>
      </c>
      <c r="J959" s="20" t="s">
        <v>256</v>
      </c>
      <c r="K959" s="1" t="s">
        <v>430</v>
      </c>
      <c r="L959" s="1" t="s">
        <v>469</v>
      </c>
      <c r="M959" s="20" t="s">
        <v>258</v>
      </c>
      <c r="N959" s="20" t="s">
        <v>379</v>
      </c>
      <c r="O959" s="1" t="s">
        <v>470</v>
      </c>
      <c r="P959" s="22" t="str">
        <f aca="false">_xlfn.CONCAT(B959,C959,D959,E959,F959)</f>
        <v/>
      </c>
      <c r="Q959" s="1" t="str">
        <f aca="false">_xlfn.CONCAT(H959,I959,J959)</f>
        <v>DAURDE</v>
      </c>
    </row>
    <row r="960" customFormat="false" ht="15" hidden="false" customHeight="false" outlineLevel="0" collapsed="false">
      <c r="B960" s="24"/>
      <c r="C960" s="24"/>
      <c r="D960" s="27"/>
      <c r="E960" s="27"/>
      <c r="F960" s="27"/>
      <c r="G960" s="28" t="n">
        <f aca="false">F960-E960</f>
        <v>0</v>
      </c>
      <c r="H960" s="24" t="s">
        <v>313</v>
      </c>
      <c r="I960" s="24"/>
      <c r="J960" s="24" t="s">
        <v>230</v>
      </c>
      <c r="K960" s="24" t="s">
        <v>230</v>
      </c>
      <c r="L960" s="24" t="s">
        <v>472</v>
      </c>
      <c r="M960" s="24" t="s">
        <v>443</v>
      </c>
      <c r="N960" s="24" t="s">
        <v>289</v>
      </c>
      <c r="O960" s="24" t="s">
        <v>473</v>
      </c>
      <c r="P960" s="25"/>
      <c r="Q960" s="24"/>
    </row>
    <row r="961" customFormat="false" ht="15" hidden="false" customHeight="false" outlineLevel="0" collapsed="false">
      <c r="B961" s="24"/>
      <c r="C961" s="24"/>
      <c r="D961" s="27"/>
      <c r="E961" s="27"/>
      <c r="F961" s="27"/>
      <c r="G961" s="28" t="n">
        <f aca="false">F961-E961</f>
        <v>0</v>
      </c>
      <c r="H961" s="24" t="s">
        <v>313</v>
      </c>
      <c r="I961" s="24"/>
      <c r="J961" s="24" t="s">
        <v>230</v>
      </c>
      <c r="K961" s="24" t="s">
        <v>230</v>
      </c>
      <c r="L961" s="24" t="s">
        <v>474</v>
      </c>
      <c r="M961" s="24" t="s">
        <v>443</v>
      </c>
      <c r="N961" s="24" t="s">
        <v>289</v>
      </c>
      <c r="O961" s="24" t="s">
        <v>473</v>
      </c>
      <c r="P961" s="25"/>
      <c r="Q961" s="24"/>
    </row>
    <row r="962" customFormat="false" ht="15" hidden="false" customHeight="false" outlineLevel="0" collapsed="false">
      <c r="B962" s="24"/>
      <c r="C962" s="24"/>
      <c r="D962" s="27"/>
      <c r="E962" s="27"/>
      <c r="F962" s="27"/>
      <c r="G962" s="28" t="n">
        <f aca="false">F962-E962</f>
        <v>0</v>
      </c>
      <c r="H962" s="24" t="s">
        <v>313</v>
      </c>
      <c r="I962" s="24"/>
      <c r="J962" s="24" t="s">
        <v>249</v>
      </c>
      <c r="K962" s="24" t="s">
        <v>439</v>
      </c>
      <c r="L962" s="24" t="s">
        <v>475</v>
      </c>
      <c r="M962" s="24" t="s">
        <v>251</v>
      </c>
      <c r="N962" s="24" t="s">
        <v>284</v>
      </c>
      <c r="O962" s="24" t="s">
        <v>476</v>
      </c>
      <c r="P962" s="25"/>
      <c r="Q962" s="1" t="str">
        <f aca="false">_xlfn.CONCAT(H962,I962,J962)</f>
        <v>DPRINV</v>
      </c>
    </row>
    <row r="963" customFormat="false" ht="15" hidden="false" customHeight="false" outlineLevel="0" collapsed="false">
      <c r="G963" s="15" t="n">
        <f aca="false">F963-E963</f>
        <v>0</v>
      </c>
      <c r="H963" s="20" t="s">
        <v>313</v>
      </c>
      <c r="J963" s="20" t="s">
        <v>249</v>
      </c>
      <c r="K963" s="1" t="s">
        <v>439</v>
      </c>
      <c r="L963" s="1" t="s">
        <v>477</v>
      </c>
      <c r="M963" s="20" t="s">
        <v>251</v>
      </c>
      <c r="N963" s="20" t="s">
        <v>252</v>
      </c>
      <c r="O963" s="1" t="s">
        <v>478</v>
      </c>
      <c r="P963" s="22" t="str">
        <f aca="false">_xlfn.CONCAT(B963,C963,D963,E963,F963)</f>
        <v/>
      </c>
      <c r="Q963" s="1" t="str">
        <f aca="false">_xlfn.CONCAT(H963,I963,J963)</f>
        <v>DPRINV</v>
      </c>
    </row>
    <row r="964" customFormat="false" ht="15" hidden="false" customHeight="false" outlineLevel="0" collapsed="false">
      <c r="G964" s="15" t="n">
        <f aca="false">F964-E964</f>
        <v>0</v>
      </c>
      <c r="H964" s="20" t="s">
        <v>248</v>
      </c>
      <c r="J964" s="20" t="s">
        <v>256</v>
      </c>
      <c r="K964" s="1" t="s">
        <v>430</v>
      </c>
      <c r="L964" s="1" t="s">
        <v>257</v>
      </c>
      <c r="M964" s="20" t="s">
        <v>258</v>
      </c>
      <c r="N964" s="20" t="s">
        <v>259</v>
      </c>
      <c r="O964" s="1" t="s">
        <v>479</v>
      </c>
      <c r="P964" s="22" t="str">
        <f aca="false">_xlfn.CONCAT(B964,C964,D964,E964,F964)</f>
        <v/>
      </c>
      <c r="Q964" s="1" t="str">
        <f aca="false">_xlfn.CONCAT(H964,I964,J964)</f>
        <v>DAURDE</v>
      </c>
    </row>
    <row r="965" customFormat="false" ht="15" hidden="false" customHeight="false" outlineLevel="0" collapsed="false">
      <c r="G965" s="15" t="n">
        <f aca="false">F965-E965</f>
        <v>0</v>
      </c>
      <c r="H965" s="20" t="s">
        <v>248</v>
      </c>
      <c r="J965" s="20" t="s">
        <v>256</v>
      </c>
      <c r="K965" s="1" t="s">
        <v>430</v>
      </c>
      <c r="L965" s="1" t="s">
        <v>257</v>
      </c>
      <c r="M965" s="20" t="s">
        <v>258</v>
      </c>
      <c r="N965" s="20" t="s">
        <v>259</v>
      </c>
      <c r="O965" s="1" t="s">
        <v>479</v>
      </c>
      <c r="P965" s="22" t="str">
        <f aca="false">_xlfn.CONCAT(B965,C965,D965,E965,F965)</f>
        <v/>
      </c>
      <c r="Q965" s="1" t="str">
        <f aca="false">_xlfn.CONCAT(H965,I965,J965)</f>
        <v>DAURDE</v>
      </c>
    </row>
    <row r="966" customFormat="false" ht="15" hidden="false" customHeight="false" outlineLevel="0" collapsed="false">
      <c r="G966" s="15" t="n">
        <f aca="false">F966-E966</f>
        <v>0</v>
      </c>
      <c r="H966" s="20" t="s">
        <v>248</v>
      </c>
      <c r="J966" s="20" t="s">
        <v>256</v>
      </c>
      <c r="K966" s="1" t="s">
        <v>430</v>
      </c>
      <c r="L966" s="1" t="s">
        <v>257</v>
      </c>
      <c r="M966" s="20" t="s">
        <v>258</v>
      </c>
      <c r="N966" s="20" t="s">
        <v>259</v>
      </c>
      <c r="O966" s="1" t="s">
        <v>479</v>
      </c>
      <c r="P966" s="22" t="str">
        <f aca="false">_xlfn.CONCAT(B966,C966,D966,E966,F966)</f>
        <v/>
      </c>
      <c r="Q966" s="1" t="str">
        <f aca="false">_xlfn.CONCAT(H966,I966,J966)</f>
        <v>DAURDE</v>
      </c>
    </row>
    <row r="967" customFormat="false" ht="15" hidden="false" customHeight="false" outlineLevel="0" collapsed="false">
      <c r="G967" s="15" t="n">
        <f aca="false">F967-E967</f>
        <v>0</v>
      </c>
      <c r="H967" s="20" t="s">
        <v>248</v>
      </c>
      <c r="J967" s="20" t="s">
        <v>256</v>
      </c>
      <c r="K967" s="1" t="s">
        <v>430</v>
      </c>
      <c r="L967" s="1" t="s">
        <v>257</v>
      </c>
      <c r="M967" s="20" t="s">
        <v>258</v>
      </c>
      <c r="N967" s="20" t="s">
        <v>259</v>
      </c>
      <c r="O967" s="1" t="s">
        <v>479</v>
      </c>
      <c r="P967" s="22" t="str">
        <f aca="false">_xlfn.CONCAT(B967,C967,D967,E967,F967)</f>
        <v/>
      </c>
      <c r="Q967" s="1" t="str">
        <f aca="false">_xlfn.CONCAT(H967,I967,J967)</f>
        <v>DAURDE</v>
      </c>
    </row>
    <row r="968" customFormat="false" ht="15" hidden="false" customHeight="false" outlineLevel="0" collapsed="false">
      <c r="G968" s="15" t="n">
        <f aca="false">F968-E968</f>
        <v>0</v>
      </c>
      <c r="H968" s="20" t="s">
        <v>248</v>
      </c>
      <c r="J968" s="20" t="s">
        <v>256</v>
      </c>
      <c r="K968" s="1" t="s">
        <v>430</v>
      </c>
      <c r="L968" s="1" t="s">
        <v>257</v>
      </c>
      <c r="M968" s="20" t="s">
        <v>258</v>
      </c>
      <c r="N968" s="20" t="s">
        <v>259</v>
      </c>
      <c r="O968" s="1" t="s">
        <v>479</v>
      </c>
      <c r="P968" s="22" t="str">
        <f aca="false">_xlfn.CONCAT(B968,C968,D968,E968,F968)</f>
        <v/>
      </c>
      <c r="Q968" s="1" t="str">
        <f aca="false">_xlfn.CONCAT(H968,I968,J968)</f>
        <v>DAURDE</v>
      </c>
    </row>
    <row r="969" customFormat="false" ht="15" hidden="false" customHeight="false" outlineLevel="0" collapsed="false">
      <c r="G969" s="15" t="n">
        <f aca="false">F969-E969</f>
        <v>0</v>
      </c>
      <c r="H969" s="20" t="s">
        <v>445</v>
      </c>
      <c r="I969" s="1" t="s">
        <v>263</v>
      </c>
      <c r="J969" s="20" t="s">
        <v>264</v>
      </c>
      <c r="K969" s="1" t="s">
        <v>456</v>
      </c>
      <c r="L969" s="1" t="s">
        <v>480</v>
      </c>
      <c r="M969" s="20" t="s">
        <v>266</v>
      </c>
      <c r="N969" s="20" t="s">
        <v>252</v>
      </c>
      <c r="O969" s="1" t="s">
        <v>481</v>
      </c>
      <c r="P969" s="22" t="str">
        <f aca="false">_xlfn.CONCAT(B969,C969,D969,E969,F969)</f>
        <v/>
      </c>
      <c r="Q969" s="1" t="str">
        <f aca="false">_xlfn.CONCAT(H969,I969,J969)</f>
        <v>LIGRFOCOM</v>
      </c>
    </row>
    <row r="970" customFormat="false" ht="15" hidden="false" customHeight="false" outlineLevel="0" collapsed="false">
      <c r="G970" s="15" t="n">
        <f aca="false">F970-E970</f>
        <v>0</v>
      </c>
      <c r="H970" s="20" t="s">
        <v>445</v>
      </c>
      <c r="I970" s="1" t="s">
        <v>263</v>
      </c>
      <c r="J970" s="20" t="s">
        <v>264</v>
      </c>
      <c r="K970" s="1" t="s">
        <v>456</v>
      </c>
      <c r="L970" s="1" t="s">
        <v>480</v>
      </c>
      <c r="M970" s="20" t="s">
        <v>266</v>
      </c>
      <c r="N970" s="20" t="s">
        <v>252</v>
      </c>
      <c r="O970" s="1" t="s">
        <v>481</v>
      </c>
      <c r="P970" s="22" t="str">
        <f aca="false">_xlfn.CONCAT(B970,C970,D970,E970,F970)</f>
        <v/>
      </c>
      <c r="Q970" s="1" t="str">
        <f aca="false">_xlfn.CONCAT(H970,I970,J970)</f>
        <v>LIGRFOCOM</v>
      </c>
    </row>
    <row r="971" customFormat="false" ht="15" hidden="false" customHeight="false" outlineLevel="0" collapsed="false">
      <c r="G971" s="15" t="n">
        <f aca="false">F971-E971</f>
        <v>0</v>
      </c>
      <c r="H971" s="20" t="s">
        <v>445</v>
      </c>
      <c r="I971" s="1" t="s">
        <v>263</v>
      </c>
      <c r="J971" s="20" t="s">
        <v>264</v>
      </c>
      <c r="K971" s="1" t="s">
        <v>456</v>
      </c>
      <c r="L971" s="1" t="s">
        <v>480</v>
      </c>
      <c r="M971" s="20" t="s">
        <v>266</v>
      </c>
      <c r="N971" s="20" t="s">
        <v>252</v>
      </c>
      <c r="O971" s="1" t="s">
        <v>481</v>
      </c>
      <c r="P971" s="22" t="str">
        <f aca="false">_xlfn.CONCAT(B971,C971,D971,E971,F971)</f>
        <v/>
      </c>
      <c r="Q971" s="1" t="str">
        <f aca="false">_xlfn.CONCAT(H971,I971,J971)</f>
        <v>LIGRFOCOM</v>
      </c>
    </row>
    <row r="972" customFormat="false" ht="15" hidden="false" customHeight="false" outlineLevel="0" collapsed="false">
      <c r="G972" s="15" t="n">
        <f aca="false">F972-E972</f>
        <v>0</v>
      </c>
      <c r="H972" s="20" t="s">
        <v>445</v>
      </c>
      <c r="I972" s="1" t="s">
        <v>263</v>
      </c>
      <c r="J972" s="20" t="s">
        <v>264</v>
      </c>
      <c r="K972" s="1" t="s">
        <v>456</v>
      </c>
      <c r="L972" s="1" t="s">
        <v>480</v>
      </c>
      <c r="M972" s="20" t="s">
        <v>266</v>
      </c>
      <c r="N972" s="20" t="s">
        <v>252</v>
      </c>
      <c r="O972" s="1" t="s">
        <v>481</v>
      </c>
      <c r="P972" s="22" t="str">
        <f aca="false">_xlfn.CONCAT(B972,C972,D972,E972,F972)</f>
        <v/>
      </c>
      <c r="Q972" s="1" t="str">
        <f aca="false">_xlfn.CONCAT(H972,I972,J972)</f>
        <v>LIGRFOCOM</v>
      </c>
    </row>
    <row r="973" customFormat="false" ht="15" hidden="false" customHeight="false" outlineLevel="0" collapsed="false">
      <c r="G973" s="15" t="n">
        <f aca="false">F973-E973</f>
        <v>0</v>
      </c>
      <c r="H973" s="20" t="s">
        <v>445</v>
      </c>
      <c r="I973" s="1" t="s">
        <v>263</v>
      </c>
      <c r="J973" s="20" t="s">
        <v>264</v>
      </c>
      <c r="K973" s="1" t="s">
        <v>456</v>
      </c>
      <c r="L973" s="1" t="s">
        <v>480</v>
      </c>
      <c r="M973" s="20" t="s">
        <v>266</v>
      </c>
      <c r="N973" s="20" t="s">
        <v>252</v>
      </c>
      <c r="O973" s="1" t="s">
        <v>481</v>
      </c>
      <c r="P973" s="22" t="str">
        <f aca="false">_xlfn.CONCAT(B973,C973,D973,E973,F973)</f>
        <v/>
      </c>
      <c r="Q973" s="1" t="str">
        <f aca="false">_xlfn.CONCAT(H973,I973,J973)</f>
        <v>LIGRFOCOM</v>
      </c>
    </row>
    <row r="974" customFormat="false" ht="15" hidden="false" customHeight="false" outlineLevel="0" collapsed="false">
      <c r="G974" s="15" t="n">
        <f aca="false">F974-E974</f>
        <v>0</v>
      </c>
      <c r="H974" s="20" t="s">
        <v>445</v>
      </c>
      <c r="I974" s="1" t="s">
        <v>263</v>
      </c>
      <c r="J974" s="20" t="s">
        <v>264</v>
      </c>
      <c r="K974" s="1" t="s">
        <v>456</v>
      </c>
      <c r="L974" s="1" t="s">
        <v>480</v>
      </c>
      <c r="M974" s="20" t="s">
        <v>266</v>
      </c>
      <c r="N974" s="20" t="s">
        <v>252</v>
      </c>
      <c r="O974" s="1" t="s">
        <v>481</v>
      </c>
      <c r="P974" s="22" t="str">
        <f aca="false">_xlfn.CONCAT(B974,C974,D974,E974,F974)</f>
        <v/>
      </c>
      <c r="Q974" s="1" t="str">
        <f aca="false">_xlfn.CONCAT(H974,I974,J974)</f>
        <v>LIGRFOCOM</v>
      </c>
    </row>
    <row r="975" customFormat="false" ht="15" hidden="false" customHeight="false" outlineLevel="0" collapsed="false">
      <c r="G975" s="15" t="n">
        <f aca="false">F975-E975</f>
        <v>0</v>
      </c>
      <c r="H975" s="20" t="s">
        <v>445</v>
      </c>
      <c r="I975" s="1" t="s">
        <v>263</v>
      </c>
      <c r="J975" s="20" t="s">
        <v>264</v>
      </c>
      <c r="K975" s="1" t="s">
        <v>456</v>
      </c>
      <c r="L975" s="1" t="s">
        <v>480</v>
      </c>
      <c r="M975" s="20" t="s">
        <v>266</v>
      </c>
      <c r="N975" s="20" t="s">
        <v>252</v>
      </c>
      <c r="O975" s="1" t="s">
        <v>481</v>
      </c>
      <c r="P975" s="22" t="str">
        <f aca="false">_xlfn.CONCAT(B975,C975,D975,E975,F975)</f>
        <v/>
      </c>
      <c r="Q975" s="1" t="str">
        <f aca="false">_xlfn.CONCAT(H975,I975,J975)</f>
        <v>LIGRFOCOM</v>
      </c>
    </row>
    <row r="976" customFormat="false" ht="15" hidden="false" customHeight="false" outlineLevel="0" collapsed="false">
      <c r="G976" s="15" t="n">
        <f aca="false">F976-E976</f>
        <v>0</v>
      </c>
      <c r="H976" s="20" t="s">
        <v>445</v>
      </c>
      <c r="I976" s="1" t="s">
        <v>263</v>
      </c>
      <c r="J976" s="20" t="s">
        <v>264</v>
      </c>
      <c r="K976" s="1" t="s">
        <v>456</v>
      </c>
      <c r="L976" s="1" t="s">
        <v>480</v>
      </c>
      <c r="M976" s="20" t="s">
        <v>266</v>
      </c>
      <c r="N976" s="20" t="s">
        <v>252</v>
      </c>
      <c r="O976" s="1" t="s">
        <v>481</v>
      </c>
      <c r="P976" s="22" t="str">
        <f aca="false">_xlfn.CONCAT(B976,C976,D976,E976,F976)</f>
        <v/>
      </c>
      <c r="Q976" s="1" t="str">
        <f aca="false">_xlfn.CONCAT(H976,I976,J976)</f>
        <v>LIGRFOCOM</v>
      </c>
    </row>
    <row r="977" customFormat="false" ht="15" hidden="false" customHeight="false" outlineLevel="0" collapsed="false">
      <c r="G977" s="15" t="n">
        <f aca="false">F977-E977</f>
        <v>0</v>
      </c>
      <c r="H977" s="20" t="s">
        <v>445</v>
      </c>
      <c r="I977" s="1" t="s">
        <v>263</v>
      </c>
      <c r="J977" s="20" t="s">
        <v>264</v>
      </c>
      <c r="K977" s="1" t="s">
        <v>456</v>
      </c>
      <c r="L977" s="1" t="s">
        <v>480</v>
      </c>
      <c r="M977" s="20" t="s">
        <v>266</v>
      </c>
      <c r="N977" s="20" t="s">
        <v>252</v>
      </c>
      <c r="O977" s="1" t="s">
        <v>481</v>
      </c>
      <c r="P977" s="22" t="str">
        <f aca="false">_xlfn.CONCAT(B977,C977,D977,E977,F977)</f>
        <v/>
      </c>
      <c r="Q977" s="1" t="str">
        <f aca="false">_xlfn.CONCAT(H977,I977,J977)</f>
        <v>LIGRFOCOM</v>
      </c>
    </row>
    <row r="978" customFormat="false" ht="15" hidden="false" customHeight="false" outlineLevel="0" collapsed="false">
      <c r="G978" s="15" t="n">
        <f aca="false">F978-E978</f>
        <v>0</v>
      </c>
      <c r="H978" s="20" t="s">
        <v>445</v>
      </c>
      <c r="I978" s="1" t="s">
        <v>263</v>
      </c>
      <c r="J978" s="20" t="s">
        <v>264</v>
      </c>
      <c r="K978" s="1" t="s">
        <v>456</v>
      </c>
      <c r="L978" s="1" t="s">
        <v>480</v>
      </c>
      <c r="M978" s="20" t="s">
        <v>266</v>
      </c>
      <c r="N978" s="20" t="s">
        <v>252</v>
      </c>
      <c r="O978" s="1" t="s">
        <v>481</v>
      </c>
      <c r="P978" s="22" t="str">
        <f aca="false">_xlfn.CONCAT(B978,C978,D978,E978,F978)</f>
        <v/>
      </c>
      <c r="Q978" s="1" t="str">
        <f aca="false">_xlfn.CONCAT(H978,I978,J978)</f>
        <v>LIGRFOCOM</v>
      </c>
    </row>
    <row r="979" customFormat="false" ht="15" hidden="false" customHeight="false" outlineLevel="0" collapsed="false">
      <c r="G979" s="15" t="n">
        <f aca="false">F979-E979</f>
        <v>0</v>
      </c>
      <c r="H979" s="20" t="s">
        <v>248</v>
      </c>
      <c r="J979" s="20" t="s">
        <v>256</v>
      </c>
      <c r="K979" s="1" t="s">
        <v>430</v>
      </c>
      <c r="L979" s="1" t="s">
        <v>257</v>
      </c>
      <c r="M979" s="20" t="s">
        <v>258</v>
      </c>
      <c r="N979" s="20" t="s">
        <v>259</v>
      </c>
      <c r="O979" s="1" t="s">
        <v>479</v>
      </c>
      <c r="P979" s="22" t="str">
        <f aca="false">_xlfn.CONCAT(B979,C979,D979,E979,F979)</f>
        <v/>
      </c>
      <c r="Q979" s="1" t="str">
        <f aca="false">_xlfn.CONCAT(H979,I979,J979)</f>
        <v>DAURDE</v>
      </c>
    </row>
    <row r="980" customFormat="false" ht="15" hidden="false" customHeight="false" outlineLevel="0" collapsed="false">
      <c r="G980" s="15" t="n">
        <f aca="false">F980-E980</f>
        <v>0</v>
      </c>
      <c r="H980" s="20" t="s">
        <v>248</v>
      </c>
      <c r="J980" s="20" t="s">
        <v>256</v>
      </c>
      <c r="K980" s="1" t="s">
        <v>430</v>
      </c>
      <c r="L980" s="1" t="s">
        <v>257</v>
      </c>
      <c r="M980" s="20" t="s">
        <v>258</v>
      </c>
      <c r="N980" s="20" t="s">
        <v>259</v>
      </c>
      <c r="O980" s="1" t="s">
        <v>479</v>
      </c>
      <c r="P980" s="22" t="str">
        <f aca="false">_xlfn.CONCAT(B980,C980,D980,E980,F980)</f>
        <v/>
      </c>
      <c r="Q980" s="1" t="str">
        <f aca="false">_xlfn.CONCAT(H980,I980,J980)</f>
        <v>DAURDE</v>
      </c>
    </row>
    <row r="981" customFormat="false" ht="15" hidden="false" customHeight="false" outlineLevel="0" collapsed="false">
      <c r="G981" s="15" t="n">
        <f aca="false">F981-E981</f>
        <v>0</v>
      </c>
      <c r="H981" s="20" t="s">
        <v>248</v>
      </c>
      <c r="J981" s="20" t="s">
        <v>256</v>
      </c>
      <c r="K981" s="1" t="s">
        <v>430</v>
      </c>
      <c r="L981" s="1" t="s">
        <v>257</v>
      </c>
      <c r="M981" s="20" t="s">
        <v>258</v>
      </c>
      <c r="N981" s="20" t="s">
        <v>259</v>
      </c>
      <c r="O981" s="1" t="s">
        <v>479</v>
      </c>
      <c r="P981" s="22" t="str">
        <f aca="false">_xlfn.CONCAT(B981,C981,D981,E981,F981)</f>
        <v/>
      </c>
      <c r="Q981" s="1" t="str">
        <f aca="false">_xlfn.CONCAT(H981,I981,J981)</f>
        <v>DAURDE</v>
      </c>
    </row>
    <row r="982" customFormat="false" ht="15" hidden="false" customHeight="false" outlineLevel="0" collapsed="false">
      <c r="G982" s="15" t="n">
        <f aca="false">F982-E982</f>
        <v>0</v>
      </c>
      <c r="H982" s="20" t="s">
        <v>248</v>
      </c>
      <c r="J982" s="20" t="s">
        <v>256</v>
      </c>
      <c r="K982" s="1" t="s">
        <v>430</v>
      </c>
      <c r="L982" s="1" t="s">
        <v>257</v>
      </c>
      <c r="M982" s="20" t="s">
        <v>258</v>
      </c>
      <c r="N982" s="20" t="s">
        <v>259</v>
      </c>
      <c r="O982" s="1" t="s">
        <v>479</v>
      </c>
      <c r="P982" s="22" t="str">
        <f aca="false">_xlfn.CONCAT(B982,C982,D982,E982,F982)</f>
        <v/>
      </c>
      <c r="Q982" s="1" t="str">
        <f aca="false">_xlfn.CONCAT(H982,I982,J982)</f>
        <v>DAURDE</v>
      </c>
    </row>
    <row r="983" customFormat="false" ht="15" hidden="false" customHeight="false" outlineLevel="0" collapsed="false">
      <c r="G983" s="15" t="n">
        <f aca="false">F983-E983</f>
        <v>0</v>
      </c>
      <c r="H983" s="20" t="s">
        <v>248</v>
      </c>
      <c r="J983" s="20" t="s">
        <v>256</v>
      </c>
      <c r="K983" s="1" t="s">
        <v>430</v>
      </c>
      <c r="L983" s="1" t="s">
        <v>257</v>
      </c>
      <c r="M983" s="20" t="s">
        <v>258</v>
      </c>
      <c r="N983" s="20" t="s">
        <v>259</v>
      </c>
      <c r="O983" s="1" t="s">
        <v>479</v>
      </c>
      <c r="P983" s="22" t="str">
        <f aca="false">_xlfn.CONCAT(B983,C983,D983,E983,F983)</f>
        <v/>
      </c>
      <c r="Q983" s="1" t="str">
        <f aca="false">_xlfn.CONCAT(H983,I983,J983)</f>
        <v>DAURDE</v>
      </c>
    </row>
    <row r="984" customFormat="false" ht="15" hidden="false" customHeight="false" outlineLevel="0" collapsed="false">
      <c r="G984" s="15" t="n">
        <f aca="false">F984-E984</f>
        <v>0</v>
      </c>
      <c r="H984" s="20" t="s">
        <v>248</v>
      </c>
      <c r="J984" s="20" t="s">
        <v>256</v>
      </c>
      <c r="K984" s="1" t="s">
        <v>430</v>
      </c>
      <c r="L984" s="1" t="s">
        <v>257</v>
      </c>
      <c r="M984" s="20" t="s">
        <v>258</v>
      </c>
      <c r="N984" s="20" t="s">
        <v>259</v>
      </c>
      <c r="O984" s="1" t="s">
        <v>479</v>
      </c>
      <c r="P984" s="22" t="str">
        <f aca="false">_xlfn.CONCAT(B984,C984,D984,E984,F984)</f>
        <v/>
      </c>
      <c r="Q984" s="1" t="str">
        <f aca="false">_xlfn.CONCAT(H984,I984,J984)</f>
        <v>DAURDE</v>
      </c>
    </row>
    <row r="985" customFormat="false" ht="15" hidden="false" customHeight="false" outlineLevel="0" collapsed="false">
      <c r="G985" s="15" t="n">
        <f aca="false">F985-E985</f>
        <v>0</v>
      </c>
      <c r="H985" s="20" t="s">
        <v>248</v>
      </c>
      <c r="J985" s="20" t="s">
        <v>256</v>
      </c>
      <c r="K985" s="1" t="s">
        <v>430</v>
      </c>
      <c r="L985" s="1" t="s">
        <v>257</v>
      </c>
      <c r="M985" s="20" t="s">
        <v>258</v>
      </c>
      <c r="N985" s="20" t="s">
        <v>259</v>
      </c>
      <c r="O985" s="1" t="s">
        <v>479</v>
      </c>
      <c r="P985" s="22" t="str">
        <f aca="false">_xlfn.CONCAT(B985,C985,D985,E985,F985)</f>
        <v/>
      </c>
      <c r="Q985" s="1" t="str">
        <f aca="false">_xlfn.CONCAT(H985,I985,J985)</f>
        <v>DAURDE</v>
      </c>
    </row>
    <row r="986" customFormat="false" ht="15" hidden="false" customHeight="false" outlineLevel="0" collapsed="false">
      <c r="G986" s="15" t="n">
        <f aca="false">F986-E986</f>
        <v>0</v>
      </c>
      <c r="H986" s="20" t="s">
        <v>248</v>
      </c>
      <c r="J986" s="20" t="s">
        <v>256</v>
      </c>
      <c r="K986" s="1" t="s">
        <v>430</v>
      </c>
      <c r="L986" s="1" t="s">
        <v>257</v>
      </c>
      <c r="M986" s="20" t="s">
        <v>258</v>
      </c>
      <c r="N986" s="20" t="s">
        <v>259</v>
      </c>
      <c r="O986" s="1" t="s">
        <v>479</v>
      </c>
      <c r="P986" s="22" t="str">
        <f aca="false">_xlfn.CONCAT(B986,C986,D986,E986,F986)</f>
        <v/>
      </c>
      <c r="Q986" s="1" t="str">
        <f aca="false">_xlfn.CONCAT(H986,I986,J986)</f>
        <v>DAURDE</v>
      </c>
    </row>
    <row r="987" customFormat="false" ht="15" hidden="false" customHeight="false" outlineLevel="0" collapsed="false">
      <c r="G987" s="15" t="n">
        <f aca="false">F987-E987</f>
        <v>0</v>
      </c>
      <c r="H987" s="20" t="s">
        <v>248</v>
      </c>
      <c r="J987" s="20" t="s">
        <v>256</v>
      </c>
      <c r="K987" s="1" t="s">
        <v>430</v>
      </c>
      <c r="L987" s="1" t="s">
        <v>257</v>
      </c>
      <c r="M987" s="20" t="s">
        <v>258</v>
      </c>
      <c r="N987" s="20" t="s">
        <v>259</v>
      </c>
      <c r="O987" s="1" t="s">
        <v>479</v>
      </c>
      <c r="P987" s="22" t="str">
        <f aca="false">_xlfn.CONCAT(B987,C987,D987,E987,F987)</f>
        <v/>
      </c>
      <c r="Q987" s="1" t="str">
        <f aca="false">_xlfn.CONCAT(H987,I987,J987)</f>
        <v>DAURDE</v>
      </c>
    </row>
    <row r="988" customFormat="false" ht="15" hidden="false" customHeight="false" outlineLevel="0" collapsed="false">
      <c r="G988" s="15" t="n">
        <f aca="false">F988-E988</f>
        <v>0</v>
      </c>
      <c r="H988" s="20" t="s">
        <v>248</v>
      </c>
      <c r="J988" s="20" t="s">
        <v>256</v>
      </c>
      <c r="K988" s="1" t="s">
        <v>430</v>
      </c>
      <c r="L988" s="1" t="s">
        <v>482</v>
      </c>
      <c r="M988" s="20" t="s">
        <v>258</v>
      </c>
      <c r="N988" s="20" t="s">
        <v>259</v>
      </c>
      <c r="O988" s="1" t="s">
        <v>479</v>
      </c>
      <c r="P988" s="22" t="str">
        <f aca="false">_xlfn.CONCAT(B988,C988,D988,E988,F988)</f>
        <v/>
      </c>
      <c r="Q988" s="1" t="str">
        <f aca="false">_xlfn.CONCAT(H988,I988,J988)</f>
        <v>DAURDE</v>
      </c>
    </row>
    <row r="989" customFormat="false" ht="15" hidden="false" customHeight="false" outlineLevel="0" collapsed="false">
      <c r="G989" s="15" t="n">
        <f aca="false">F989-E989</f>
        <v>0</v>
      </c>
      <c r="H989" s="20" t="s">
        <v>248</v>
      </c>
      <c r="J989" s="20" t="s">
        <v>256</v>
      </c>
      <c r="K989" s="1" t="s">
        <v>430</v>
      </c>
      <c r="L989" s="1" t="s">
        <v>482</v>
      </c>
      <c r="M989" s="20" t="s">
        <v>258</v>
      </c>
      <c r="N989" s="20" t="s">
        <v>259</v>
      </c>
      <c r="O989" s="1" t="s">
        <v>479</v>
      </c>
      <c r="P989" s="22" t="str">
        <f aca="false">_xlfn.CONCAT(B989,C989,D989,E989,F989)</f>
        <v/>
      </c>
      <c r="Q989" s="1" t="str">
        <f aca="false">_xlfn.CONCAT(H989,I989,J989)</f>
        <v>DAURDE</v>
      </c>
    </row>
    <row r="990" customFormat="false" ht="15" hidden="false" customHeight="false" outlineLevel="0" collapsed="false">
      <c r="G990" s="15" t="n">
        <f aca="false">F990-E990</f>
        <v>0</v>
      </c>
      <c r="H990" s="20" t="s">
        <v>248</v>
      </c>
      <c r="J990" s="20" t="s">
        <v>256</v>
      </c>
      <c r="K990" s="1" t="s">
        <v>430</v>
      </c>
      <c r="L990" s="1" t="s">
        <v>482</v>
      </c>
      <c r="M990" s="20" t="s">
        <v>258</v>
      </c>
      <c r="N990" s="20" t="s">
        <v>259</v>
      </c>
      <c r="O990" s="1" t="s">
        <v>479</v>
      </c>
      <c r="P990" s="22" t="str">
        <f aca="false">_xlfn.CONCAT(B990,C990,D990,E990,F990)</f>
        <v/>
      </c>
      <c r="Q990" s="1" t="str">
        <f aca="false">_xlfn.CONCAT(H990,I990,J990)</f>
        <v>DAURDE</v>
      </c>
    </row>
    <row r="991" customFormat="false" ht="15" hidden="false" customHeight="false" outlineLevel="0" collapsed="false">
      <c r="G991" s="15" t="n">
        <f aca="false">F991-E991</f>
        <v>0</v>
      </c>
      <c r="H991" s="20" t="s">
        <v>248</v>
      </c>
      <c r="J991" s="20" t="s">
        <v>256</v>
      </c>
      <c r="K991" s="1" t="s">
        <v>430</v>
      </c>
      <c r="L991" s="1" t="s">
        <v>482</v>
      </c>
      <c r="M991" s="20" t="s">
        <v>258</v>
      </c>
      <c r="N991" s="20" t="s">
        <v>259</v>
      </c>
      <c r="O991" s="1" t="s">
        <v>479</v>
      </c>
      <c r="P991" s="22" t="str">
        <f aca="false">_xlfn.CONCAT(B991,C991,D991,E991,F991)</f>
        <v/>
      </c>
      <c r="Q991" s="1" t="str">
        <f aca="false">_xlfn.CONCAT(H991,I991,J991)</f>
        <v>DAURDE</v>
      </c>
    </row>
    <row r="992" customFormat="false" ht="15" hidden="false" customHeight="false" outlineLevel="0" collapsed="false">
      <c r="G992" s="15" t="n">
        <f aca="false">F992-E992</f>
        <v>0</v>
      </c>
      <c r="H992" s="20" t="s">
        <v>313</v>
      </c>
      <c r="J992" s="20" t="s">
        <v>249</v>
      </c>
      <c r="K992" s="1" t="s">
        <v>439</v>
      </c>
      <c r="L992" s="1" t="s">
        <v>483</v>
      </c>
      <c r="M992" s="20" t="s">
        <v>251</v>
      </c>
      <c r="N992" s="20" t="s">
        <v>252</v>
      </c>
      <c r="O992" s="1" t="s">
        <v>484</v>
      </c>
      <c r="P992" s="22" t="str">
        <f aca="false">_xlfn.CONCAT(B992,C992,D992,E992,F992)</f>
        <v/>
      </c>
      <c r="Q992" s="1" t="str">
        <f aca="false">_xlfn.CONCAT(H992,I992,J992)</f>
        <v>DPRINV</v>
      </c>
    </row>
    <row r="993" customFormat="false" ht="15" hidden="false" customHeight="false" outlineLevel="0" collapsed="false">
      <c r="G993" s="15" t="n">
        <f aca="false">F993-E993</f>
        <v>0</v>
      </c>
      <c r="H993" s="20" t="s">
        <v>248</v>
      </c>
      <c r="J993" s="20" t="s">
        <v>256</v>
      </c>
      <c r="K993" s="1" t="s">
        <v>430</v>
      </c>
      <c r="L993" s="1" t="s">
        <v>257</v>
      </c>
      <c r="M993" s="20" t="s">
        <v>258</v>
      </c>
      <c r="N993" s="20" t="s">
        <v>259</v>
      </c>
      <c r="O993" s="1" t="s">
        <v>479</v>
      </c>
      <c r="P993" s="22" t="str">
        <f aca="false">_xlfn.CONCAT(B993,C993,D993,E993,F993)</f>
        <v/>
      </c>
      <c r="Q993" s="1" t="str">
        <f aca="false">_xlfn.CONCAT(H993,I993,J993)</f>
        <v>DAURDE</v>
      </c>
    </row>
    <row r="994" customFormat="false" ht="15" hidden="false" customHeight="false" outlineLevel="0" collapsed="false">
      <c r="G994" s="15" t="n">
        <f aca="false">F994-E994</f>
        <v>0</v>
      </c>
      <c r="H994" s="20" t="s">
        <v>248</v>
      </c>
      <c r="J994" s="20" t="s">
        <v>256</v>
      </c>
      <c r="K994" s="1" t="s">
        <v>430</v>
      </c>
      <c r="L994" s="1" t="s">
        <v>257</v>
      </c>
      <c r="M994" s="20" t="s">
        <v>258</v>
      </c>
      <c r="N994" s="20" t="s">
        <v>259</v>
      </c>
      <c r="O994" s="1" t="s">
        <v>479</v>
      </c>
      <c r="P994" s="22" t="str">
        <f aca="false">_xlfn.CONCAT(B994,C994,D994,E994,F994)</f>
        <v/>
      </c>
      <c r="Q994" s="1" t="str">
        <f aca="false">_xlfn.CONCAT(H994,I994,J994)</f>
        <v>DAURDE</v>
      </c>
    </row>
    <row r="995" customFormat="false" ht="15" hidden="false" customHeight="false" outlineLevel="0" collapsed="false">
      <c r="G995" s="15" t="n">
        <f aca="false">F995-E995</f>
        <v>0</v>
      </c>
      <c r="H995" s="20" t="s">
        <v>248</v>
      </c>
      <c r="J995" s="20" t="s">
        <v>256</v>
      </c>
      <c r="K995" s="1" t="s">
        <v>430</v>
      </c>
      <c r="L995" s="1" t="s">
        <v>257</v>
      </c>
      <c r="M995" s="20" t="s">
        <v>258</v>
      </c>
      <c r="N995" s="20" t="s">
        <v>259</v>
      </c>
      <c r="O995" s="1" t="s">
        <v>479</v>
      </c>
      <c r="P995" s="22" t="str">
        <f aca="false">_xlfn.CONCAT(B995,C995,D995,E995,F995)</f>
        <v/>
      </c>
      <c r="Q995" s="1" t="str">
        <f aca="false">_xlfn.CONCAT(H995,I995,J995)</f>
        <v>DAURDE</v>
      </c>
    </row>
    <row r="996" customFormat="false" ht="15" hidden="false" customHeight="false" outlineLevel="0" collapsed="false">
      <c r="G996" s="15" t="n">
        <f aca="false">F996-E996</f>
        <v>0</v>
      </c>
      <c r="H996" s="20" t="s">
        <v>248</v>
      </c>
      <c r="J996" s="20" t="s">
        <v>256</v>
      </c>
      <c r="K996" s="1" t="s">
        <v>430</v>
      </c>
      <c r="L996" s="1" t="s">
        <v>257</v>
      </c>
      <c r="M996" s="20" t="s">
        <v>258</v>
      </c>
      <c r="N996" s="20" t="s">
        <v>259</v>
      </c>
      <c r="O996" s="1" t="s">
        <v>479</v>
      </c>
      <c r="P996" s="22" t="str">
        <f aca="false">_xlfn.CONCAT(B996,C996,D996,E996,F996)</f>
        <v/>
      </c>
      <c r="Q996" s="1" t="str">
        <f aca="false">_xlfn.CONCAT(H996,I996,J996)</f>
        <v>DAURDE</v>
      </c>
    </row>
    <row r="997" customFormat="false" ht="15" hidden="false" customHeight="false" outlineLevel="0" collapsed="false">
      <c r="G997" s="15" t="n">
        <f aca="false">F997-E997</f>
        <v>0</v>
      </c>
      <c r="H997" s="20" t="s">
        <v>248</v>
      </c>
      <c r="J997" s="20" t="s">
        <v>256</v>
      </c>
      <c r="K997" s="1" t="s">
        <v>430</v>
      </c>
      <c r="L997" s="1" t="s">
        <v>257</v>
      </c>
      <c r="M997" s="20" t="s">
        <v>258</v>
      </c>
      <c r="N997" s="20" t="s">
        <v>259</v>
      </c>
      <c r="O997" s="1" t="s">
        <v>479</v>
      </c>
      <c r="P997" s="22" t="str">
        <f aca="false">_xlfn.CONCAT(B997,C997,D997,E997,F997)</f>
        <v/>
      </c>
      <c r="Q997" s="1" t="str">
        <f aca="false">_xlfn.CONCAT(H997,I997,J997)</f>
        <v>DAURDE</v>
      </c>
    </row>
    <row r="998" customFormat="false" ht="15" hidden="false" customHeight="false" outlineLevel="0" collapsed="false">
      <c r="G998" s="15" t="n">
        <f aca="false">F998-E998</f>
        <v>0</v>
      </c>
      <c r="H998" s="20" t="s">
        <v>248</v>
      </c>
      <c r="J998" s="20" t="s">
        <v>256</v>
      </c>
      <c r="K998" s="1" t="s">
        <v>430</v>
      </c>
      <c r="L998" s="1" t="s">
        <v>436</v>
      </c>
      <c r="M998" s="20" t="s">
        <v>258</v>
      </c>
      <c r="N998" s="20" t="s">
        <v>259</v>
      </c>
      <c r="O998" s="1" t="s">
        <v>479</v>
      </c>
      <c r="P998" s="22" t="str">
        <f aca="false">_xlfn.CONCAT(B998,C998,D998,E998,F998)</f>
        <v/>
      </c>
      <c r="Q998" s="1" t="str">
        <f aca="false">_xlfn.CONCAT(H998,I998,J998)</f>
        <v>DAURDE</v>
      </c>
    </row>
    <row r="999" customFormat="false" ht="15" hidden="false" customHeight="false" outlineLevel="0" collapsed="false">
      <c r="G999" s="15" t="n">
        <f aca="false">F999-E999</f>
        <v>0</v>
      </c>
      <c r="H999" s="20" t="s">
        <v>248</v>
      </c>
      <c r="J999" s="20" t="s">
        <v>256</v>
      </c>
      <c r="K999" s="1" t="s">
        <v>430</v>
      </c>
      <c r="L999" s="1" t="s">
        <v>436</v>
      </c>
      <c r="M999" s="20" t="s">
        <v>258</v>
      </c>
      <c r="N999" s="20" t="s">
        <v>259</v>
      </c>
      <c r="O999" s="1" t="s">
        <v>479</v>
      </c>
      <c r="P999" s="22" t="str">
        <f aca="false">_xlfn.CONCAT(B999,C999,D999,E999,F999)</f>
        <v/>
      </c>
      <c r="Q999" s="1" t="str">
        <f aca="false">_xlfn.CONCAT(H999,I999,J999)</f>
        <v>DAURDE</v>
      </c>
    </row>
    <row r="1000" customFormat="false" ht="15" hidden="false" customHeight="false" outlineLevel="0" collapsed="false">
      <c r="G1000" s="15" t="n">
        <f aca="false">F1000-E1000</f>
        <v>0</v>
      </c>
      <c r="H1000" s="20" t="s">
        <v>248</v>
      </c>
      <c r="J1000" s="20" t="s">
        <v>256</v>
      </c>
      <c r="K1000" s="1" t="s">
        <v>430</v>
      </c>
      <c r="L1000" s="1" t="s">
        <v>436</v>
      </c>
      <c r="M1000" s="20" t="s">
        <v>258</v>
      </c>
      <c r="N1000" s="20" t="s">
        <v>259</v>
      </c>
      <c r="O1000" s="1" t="s">
        <v>479</v>
      </c>
      <c r="P1000" s="22" t="str">
        <f aca="false">_xlfn.CONCAT(B1000,C1000,D1000,E1000,F1000)</f>
        <v/>
      </c>
      <c r="Q1000" s="1" t="str">
        <f aca="false">_xlfn.CONCAT(H1000,I1000,J1000)</f>
        <v>DAURDE</v>
      </c>
    </row>
    <row r="1001" customFormat="false" ht="15" hidden="false" customHeight="false" outlineLevel="0" collapsed="false">
      <c r="G1001" s="15" t="n">
        <f aca="false">F1001-E1001</f>
        <v>0</v>
      </c>
      <c r="H1001" s="20" t="s">
        <v>248</v>
      </c>
      <c r="J1001" s="20" t="s">
        <v>256</v>
      </c>
      <c r="K1001" s="1" t="s">
        <v>430</v>
      </c>
      <c r="L1001" s="1" t="s">
        <v>436</v>
      </c>
      <c r="M1001" s="20" t="s">
        <v>258</v>
      </c>
      <c r="N1001" s="20" t="s">
        <v>259</v>
      </c>
      <c r="O1001" s="1" t="s">
        <v>479</v>
      </c>
      <c r="P1001" s="22" t="str">
        <f aca="false">_xlfn.CONCAT(B1001,C1001,D1001,E1001,F1001)</f>
        <v/>
      </c>
      <c r="Q1001" s="1" t="str">
        <f aca="false">_xlfn.CONCAT(H1001,I1001,J1001)</f>
        <v>DAURDE</v>
      </c>
    </row>
    <row r="1002" customFormat="false" ht="15" hidden="false" customHeight="false" outlineLevel="0" collapsed="false">
      <c r="G1002" s="15" t="n">
        <f aca="false">F1002-E1002</f>
        <v>0</v>
      </c>
      <c r="H1002" s="20" t="s">
        <v>248</v>
      </c>
      <c r="J1002" s="20" t="s">
        <v>256</v>
      </c>
      <c r="K1002" s="1" t="s">
        <v>430</v>
      </c>
      <c r="L1002" s="1" t="s">
        <v>436</v>
      </c>
      <c r="M1002" s="20" t="s">
        <v>258</v>
      </c>
      <c r="N1002" s="20" t="s">
        <v>259</v>
      </c>
      <c r="O1002" s="1" t="s">
        <v>479</v>
      </c>
      <c r="P1002" s="22" t="str">
        <f aca="false">_xlfn.CONCAT(B1002,C1002,D1002,E1002,F1002)</f>
        <v/>
      </c>
      <c r="Q1002" s="1" t="str">
        <f aca="false">_xlfn.CONCAT(H1002,I1002,J1002)</f>
        <v>DAURDE</v>
      </c>
    </row>
    <row r="1003" customFormat="false" ht="15" hidden="false" customHeight="false" outlineLevel="0" collapsed="false">
      <c r="G1003" s="15" t="n">
        <f aca="false">F1003-E1003</f>
        <v>0</v>
      </c>
      <c r="H1003" s="20" t="s">
        <v>248</v>
      </c>
      <c r="J1003" s="20" t="s">
        <v>256</v>
      </c>
      <c r="K1003" s="1" t="s">
        <v>430</v>
      </c>
      <c r="L1003" s="1" t="s">
        <v>436</v>
      </c>
      <c r="M1003" s="20" t="s">
        <v>258</v>
      </c>
      <c r="N1003" s="20" t="s">
        <v>259</v>
      </c>
      <c r="O1003" s="1" t="s">
        <v>479</v>
      </c>
      <c r="P1003" s="22" t="str">
        <f aca="false">_xlfn.CONCAT(B1003,C1003,D1003,E1003,F1003)</f>
        <v/>
      </c>
      <c r="Q1003" s="1" t="str">
        <f aca="false">_xlfn.CONCAT(H1003,I1003,J1003)</f>
        <v>DAURDE</v>
      </c>
    </row>
    <row r="1004" customFormat="false" ht="41.75" hidden="false" customHeight="false" outlineLevel="0" collapsed="false">
      <c r="G1004" s="15" t="n">
        <f aca="false">F1004-E1004</f>
        <v>0</v>
      </c>
      <c r="H1004" s="20" t="s">
        <v>248</v>
      </c>
      <c r="J1004" s="20" t="s">
        <v>256</v>
      </c>
      <c r="K1004" s="1" t="s">
        <v>430</v>
      </c>
      <c r="L1004" s="1" t="s">
        <v>485</v>
      </c>
      <c r="M1004" s="20" t="s">
        <v>258</v>
      </c>
      <c r="N1004" s="20" t="s">
        <v>259</v>
      </c>
      <c r="O1004" s="21" t="s">
        <v>486</v>
      </c>
      <c r="P1004" s="22" t="str">
        <f aca="false">_xlfn.CONCAT(B1004,C1004,D1004,E1004,F1004)</f>
        <v/>
      </c>
      <c r="Q1004" s="1" t="str">
        <f aca="false">_xlfn.CONCAT(H1004,I1004,J1004)</f>
        <v>DAURDE</v>
      </c>
    </row>
    <row r="1005" customFormat="false" ht="41.75" hidden="false" customHeight="false" outlineLevel="0" collapsed="false">
      <c r="G1005" s="15" t="n">
        <f aca="false">F1005-E1005</f>
        <v>0</v>
      </c>
      <c r="H1005" s="20" t="s">
        <v>248</v>
      </c>
      <c r="J1005" s="20" t="s">
        <v>256</v>
      </c>
      <c r="K1005" s="1" t="s">
        <v>430</v>
      </c>
      <c r="L1005" s="1" t="s">
        <v>485</v>
      </c>
      <c r="M1005" s="20" t="s">
        <v>258</v>
      </c>
      <c r="N1005" s="20" t="s">
        <v>259</v>
      </c>
      <c r="O1005" s="21" t="s">
        <v>486</v>
      </c>
      <c r="P1005" s="22" t="str">
        <f aca="false">_xlfn.CONCAT(B1005,C1005,D1005,E1005,F1005)</f>
        <v/>
      </c>
      <c r="Q1005" s="1" t="str">
        <f aca="false">_xlfn.CONCAT(H1005,I1005,J1005)</f>
        <v>DAURDE</v>
      </c>
    </row>
    <row r="1006" customFormat="false" ht="41.75" hidden="false" customHeight="false" outlineLevel="0" collapsed="false">
      <c r="G1006" s="15" t="n">
        <f aca="false">F1006-E1006</f>
        <v>0</v>
      </c>
      <c r="H1006" s="20" t="s">
        <v>248</v>
      </c>
      <c r="J1006" s="20" t="s">
        <v>256</v>
      </c>
      <c r="K1006" s="1" t="s">
        <v>430</v>
      </c>
      <c r="L1006" s="1" t="s">
        <v>485</v>
      </c>
      <c r="M1006" s="20" t="s">
        <v>258</v>
      </c>
      <c r="N1006" s="20" t="s">
        <v>259</v>
      </c>
      <c r="O1006" s="21" t="s">
        <v>486</v>
      </c>
      <c r="P1006" s="22" t="str">
        <f aca="false">_xlfn.CONCAT(B1006,C1006,D1006,E1006,F1006)</f>
        <v/>
      </c>
      <c r="Q1006" s="1" t="str">
        <f aca="false">_xlfn.CONCAT(H1006,I1006,J1006)</f>
        <v>DAURDE</v>
      </c>
    </row>
    <row r="1007" customFormat="false" ht="41.75" hidden="false" customHeight="false" outlineLevel="0" collapsed="false">
      <c r="G1007" s="15" t="n">
        <f aca="false">F1007-E1007</f>
        <v>0</v>
      </c>
      <c r="H1007" s="20" t="s">
        <v>248</v>
      </c>
      <c r="J1007" s="20" t="s">
        <v>256</v>
      </c>
      <c r="K1007" s="1" t="s">
        <v>430</v>
      </c>
      <c r="L1007" s="1" t="s">
        <v>485</v>
      </c>
      <c r="M1007" s="20" t="s">
        <v>258</v>
      </c>
      <c r="N1007" s="20" t="s">
        <v>259</v>
      </c>
      <c r="O1007" s="21" t="s">
        <v>486</v>
      </c>
      <c r="P1007" s="22" t="str">
        <f aca="false">_xlfn.CONCAT(B1007,C1007,D1007,E1007,F1007)</f>
        <v/>
      </c>
      <c r="Q1007" s="1" t="str">
        <f aca="false">_xlfn.CONCAT(H1007,I1007,J1007)</f>
        <v>DAURDE</v>
      </c>
    </row>
    <row r="1008" customFormat="false" ht="41.75" hidden="false" customHeight="false" outlineLevel="0" collapsed="false">
      <c r="G1008" s="15" t="n">
        <f aca="false">F1008-E1008</f>
        <v>0</v>
      </c>
      <c r="H1008" s="20" t="s">
        <v>248</v>
      </c>
      <c r="J1008" s="20" t="s">
        <v>256</v>
      </c>
      <c r="K1008" s="1" t="s">
        <v>430</v>
      </c>
      <c r="L1008" s="1" t="s">
        <v>485</v>
      </c>
      <c r="M1008" s="20" t="s">
        <v>258</v>
      </c>
      <c r="N1008" s="20" t="s">
        <v>259</v>
      </c>
      <c r="O1008" s="21" t="s">
        <v>486</v>
      </c>
      <c r="P1008" s="22" t="str">
        <f aca="false">_xlfn.CONCAT(B1008,C1008,D1008,E1008,F1008)</f>
        <v/>
      </c>
      <c r="Q1008" s="1" t="str">
        <f aca="false">_xlfn.CONCAT(H1008,I1008,J1008)</f>
        <v>DAURDE</v>
      </c>
    </row>
    <row r="1009" customFormat="false" ht="41.75" hidden="false" customHeight="false" outlineLevel="0" collapsed="false">
      <c r="G1009" s="15" t="n">
        <f aca="false">F1009-E1009</f>
        <v>0</v>
      </c>
      <c r="H1009" s="20" t="s">
        <v>248</v>
      </c>
      <c r="J1009" s="20" t="s">
        <v>256</v>
      </c>
      <c r="K1009" s="1" t="s">
        <v>430</v>
      </c>
      <c r="L1009" s="1" t="s">
        <v>485</v>
      </c>
      <c r="M1009" s="20" t="s">
        <v>258</v>
      </c>
      <c r="N1009" s="20" t="s">
        <v>259</v>
      </c>
      <c r="O1009" s="21" t="s">
        <v>486</v>
      </c>
      <c r="P1009" s="22" t="str">
        <f aca="false">_xlfn.CONCAT(B1009,C1009,D1009,E1009,F1009)</f>
        <v/>
      </c>
      <c r="Q1009" s="1" t="str">
        <f aca="false">_xlfn.CONCAT(H1009,I1009,J1009)</f>
        <v>DAURDE</v>
      </c>
    </row>
    <row r="1010" customFormat="false" ht="41.75" hidden="false" customHeight="false" outlineLevel="0" collapsed="false">
      <c r="G1010" s="15" t="n">
        <f aca="false">F1010-E1010</f>
        <v>0</v>
      </c>
      <c r="H1010" s="20" t="s">
        <v>248</v>
      </c>
      <c r="J1010" s="20" t="s">
        <v>256</v>
      </c>
      <c r="K1010" s="1" t="s">
        <v>430</v>
      </c>
      <c r="L1010" s="1" t="s">
        <v>485</v>
      </c>
      <c r="M1010" s="20" t="s">
        <v>258</v>
      </c>
      <c r="N1010" s="20" t="s">
        <v>259</v>
      </c>
      <c r="O1010" s="21" t="s">
        <v>486</v>
      </c>
      <c r="P1010" s="22" t="str">
        <f aca="false">_xlfn.CONCAT(B1010,C1010,D1010,E1010,F1010)</f>
        <v/>
      </c>
      <c r="Q1010" s="1" t="str">
        <f aca="false">_xlfn.CONCAT(H1010,I1010,J1010)</f>
        <v>DAURDE</v>
      </c>
    </row>
    <row r="1011" customFormat="false" ht="41.75" hidden="false" customHeight="false" outlineLevel="0" collapsed="false">
      <c r="G1011" s="15" t="n">
        <f aca="false">F1011-E1011</f>
        <v>0</v>
      </c>
      <c r="H1011" s="20" t="s">
        <v>248</v>
      </c>
      <c r="J1011" s="20" t="s">
        <v>256</v>
      </c>
      <c r="K1011" s="1" t="s">
        <v>430</v>
      </c>
      <c r="L1011" s="1" t="s">
        <v>485</v>
      </c>
      <c r="M1011" s="20" t="s">
        <v>258</v>
      </c>
      <c r="N1011" s="20" t="s">
        <v>259</v>
      </c>
      <c r="O1011" s="21" t="s">
        <v>486</v>
      </c>
      <c r="P1011" s="22" t="str">
        <f aca="false">_xlfn.CONCAT(B1011,C1011,D1011,E1011,F1011)</f>
        <v/>
      </c>
      <c r="Q1011" s="1" t="str">
        <f aca="false">_xlfn.CONCAT(H1011,I1011,J1011)</f>
        <v>DAURDE</v>
      </c>
    </row>
    <row r="1012" customFormat="false" ht="41.75" hidden="false" customHeight="false" outlineLevel="0" collapsed="false">
      <c r="G1012" s="15" t="n">
        <f aca="false">F1012-E1012</f>
        <v>0</v>
      </c>
      <c r="H1012" s="20" t="s">
        <v>248</v>
      </c>
      <c r="J1012" s="20" t="s">
        <v>256</v>
      </c>
      <c r="K1012" s="1" t="s">
        <v>430</v>
      </c>
      <c r="L1012" s="1" t="s">
        <v>485</v>
      </c>
      <c r="M1012" s="20" t="s">
        <v>258</v>
      </c>
      <c r="N1012" s="20" t="s">
        <v>259</v>
      </c>
      <c r="O1012" s="21" t="s">
        <v>486</v>
      </c>
      <c r="P1012" s="22" t="str">
        <f aca="false">_xlfn.CONCAT(B1012,C1012,D1012,E1012,F1012)</f>
        <v/>
      </c>
      <c r="Q1012" s="1" t="str">
        <f aca="false">_xlfn.CONCAT(H1012,I1012,J1012)</f>
        <v>DAURDE</v>
      </c>
    </row>
    <row r="1013" customFormat="false" ht="41.75" hidden="false" customHeight="false" outlineLevel="0" collapsed="false">
      <c r="G1013" s="15" t="n">
        <f aca="false">F1013-E1013</f>
        <v>0</v>
      </c>
      <c r="H1013" s="20" t="s">
        <v>248</v>
      </c>
      <c r="J1013" s="20" t="s">
        <v>256</v>
      </c>
      <c r="K1013" s="1" t="s">
        <v>430</v>
      </c>
      <c r="L1013" s="1" t="s">
        <v>485</v>
      </c>
      <c r="M1013" s="20" t="s">
        <v>258</v>
      </c>
      <c r="N1013" s="20" t="s">
        <v>259</v>
      </c>
      <c r="O1013" s="21" t="s">
        <v>486</v>
      </c>
      <c r="P1013" s="22" t="str">
        <f aca="false">_xlfn.CONCAT(B1013,C1013,D1013,E1013,F1013)</f>
        <v/>
      </c>
      <c r="Q1013" s="1" t="str">
        <f aca="false">_xlfn.CONCAT(H1013,I1013,J1013)</f>
        <v>DAURDE</v>
      </c>
    </row>
    <row r="1014" customFormat="false" ht="41.75" hidden="false" customHeight="false" outlineLevel="0" collapsed="false">
      <c r="G1014" s="15" t="n">
        <f aca="false">F1014-E1014</f>
        <v>0</v>
      </c>
      <c r="H1014" s="20" t="s">
        <v>248</v>
      </c>
      <c r="J1014" s="20" t="s">
        <v>256</v>
      </c>
      <c r="K1014" s="1" t="s">
        <v>430</v>
      </c>
      <c r="L1014" s="1" t="s">
        <v>485</v>
      </c>
      <c r="M1014" s="20" t="s">
        <v>258</v>
      </c>
      <c r="N1014" s="20" t="s">
        <v>259</v>
      </c>
      <c r="O1014" s="21" t="s">
        <v>486</v>
      </c>
      <c r="P1014" s="22" t="str">
        <f aca="false">_xlfn.CONCAT(B1014,C1014,D1014,E1014,F1014)</f>
        <v/>
      </c>
      <c r="Q1014" s="1" t="str">
        <f aca="false">_xlfn.CONCAT(H1014,I1014,J1014)</f>
        <v>DAURDE</v>
      </c>
    </row>
    <row r="1015" customFormat="false" ht="41.75" hidden="false" customHeight="false" outlineLevel="0" collapsed="false">
      <c r="G1015" s="15" t="n">
        <f aca="false">F1015-E1015</f>
        <v>0</v>
      </c>
      <c r="H1015" s="20" t="s">
        <v>248</v>
      </c>
      <c r="J1015" s="20" t="s">
        <v>256</v>
      </c>
      <c r="K1015" s="1" t="s">
        <v>430</v>
      </c>
      <c r="L1015" s="1" t="s">
        <v>485</v>
      </c>
      <c r="M1015" s="20" t="s">
        <v>258</v>
      </c>
      <c r="N1015" s="20" t="s">
        <v>259</v>
      </c>
      <c r="O1015" s="21" t="s">
        <v>486</v>
      </c>
      <c r="P1015" s="22" t="str">
        <f aca="false">_xlfn.CONCAT(B1015,C1015,D1015,E1015,F1015)</f>
        <v/>
      </c>
      <c r="Q1015" s="1" t="str">
        <f aca="false">_xlfn.CONCAT(H1015,I1015,J1015)</f>
        <v>DAURDE</v>
      </c>
    </row>
    <row r="1016" customFormat="false" ht="41.75" hidden="false" customHeight="false" outlineLevel="0" collapsed="false">
      <c r="G1016" s="15" t="n">
        <f aca="false">F1016-E1016</f>
        <v>0</v>
      </c>
      <c r="H1016" s="20" t="s">
        <v>248</v>
      </c>
      <c r="J1016" s="20" t="s">
        <v>256</v>
      </c>
      <c r="K1016" s="1" t="s">
        <v>430</v>
      </c>
      <c r="L1016" s="1" t="s">
        <v>485</v>
      </c>
      <c r="M1016" s="20" t="s">
        <v>258</v>
      </c>
      <c r="N1016" s="20" t="s">
        <v>259</v>
      </c>
      <c r="O1016" s="21" t="s">
        <v>486</v>
      </c>
      <c r="P1016" s="22" t="str">
        <f aca="false">_xlfn.CONCAT(B1016,C1016,D1016,E1016,F1016)</f>
        <v/>
      </c>
      <c r="Q1016" s="1" t="str">
        <f aca="false">_xlfn.CONCAT(H1016,I1016,J1016)</f>
        <v>DAURDE</v>
      </c>
    </row>
    <row r="1017" customFormat="false" ht="41.75" hidden="false" customHeight="false" outlineLevel="0" collapsed="false">
      <c r="G1017" s="15" t="n">
        <f aca="false">F1017-E1017</f>
        <v>0</v>
      </c>
      <c r="H1017" s="20" t="s">
        <v>248</v>
      </c>
      <c r="J1017" s="20" t="s">
        <v>256</v>
      </c>
      <c r="K1017" s="1" t="s">
        <v>430</v>
      </c>
      <c r="L1017" s="1" t="s">
        <v>485</v>
      </c>
      <c r="M1017" s="20" t="s">
        <v>258</v>
      </c>
      <c r="N1017" s="20" t="s">
        <v>259</v>
      </c>
      <c r="O1017" s="21" t="s">
        <v>486</v>
      </c>
      <c r="P1017" s="22" t="str">
        <f aca="false">_xlfn.CONCAT(B1017,C1017,D1017,E1017,F1017)</f>
        <v/>
      </c>
      <c r="Q1017" s="1" t="str">
        <f aca="false">_xlfn.CONCAT(H1017,I1017,J1017)</f>
        <v>DAURDE</v>
      </c>
    </row>
    <row r="1018" customFormat="false" ht="41.75" hidden="false" customHeight="false" outlineLevel="0" collapsed="false">
      <c r="G1018" s="15" t="n">
        <f aca="false">F1018-E1018</f>
        <v>0</v>
      </c>
      <c r="H1018" s="20" t="s">
        <v>248</v>
      </c>
      <c r="J1018" s="20" t="s">
        <v>256</v>
      </c>
      <c r="K1018" s="1" t="s">
        <v>430</v>
      </c>
      <c r="L1018" s="1" t="s">
        <v>485</v>
      </c>
      <c r="M1018" s="20" t="s">
        <v>258</v>
      </c>
      <c r="N1018" s="20" t="s">
        <v>259</v>
      </c>
      <c r="O1018" s="21" t="s">
        <v>486</v>
      </c>
      <c r="P1018" s="22" t="str">
        <f aca="false">_xlfn.CONCAT(B1018,C1018,D1018,E1018,F1018)</f>
        <v/>
      </c>
      <c r="Q1018" s="1" t="str">
        <f aca="false">_xlfn.CONCAT(H1018,I1018,J1018)</f>
        <v>DAURDE</v>
      </c>
    </row>
    <row r="1019" customFormat="false" ht="41.75" hidden="false" customHeight="false" outlineLevel="0" collapsed="false">
      <c r="G1019" s="15" t="n">
        <f aca="false">F1019-E1019</f>
        <v>0</v>
      </c>
      <c r="H1019" s="20" t="s">
        <v>248</v>
      </c>
      <c r="J1019" s="20" t="s">
        <v>256</v>
      </c>
      <c r="K1019" s="1" t="s">
        <v>430</v>
      </c>
      <c r="L1019" s="1" t="s">
        <v>485</v>
      </c>
      <c r="M1019" s="20" t="s">
        <v>258</v>
      </c>
      <c r="N1019" s="20" t="s">
        <v>259</v>
      </c>
      <c r="O1019" s="21" t="s">
        <v>486</v>
      </c>
      <c r="P1019" s="22" t="str">
        <f aca="false">_xlfn.CONCAT(B1019,C1019,D1019,E1019,F1019)</f>
        <v/>
      </c>
      <c r="Q1019" s="1" t="str">
        <f aca="false">_xlfn.CONCAT(H1019,I1019,J1019)</f>
        <v>DAURDE</v>
      </c>
    </row>
    <row r="1020" customFormat="false" ht="41.75" hidden="false" customHeight="false" outlineLevel="0" collapsed="false">
      <c r="G1020" s="15" t="n">
        <f aca="false">F1020-E1020</f>
        <v>0</v>
      </c>
      <c r="H1020" s="20" t="s">
        <v>248</v>
      </c>
      <c r="J1020" s="20" t="s">
        <v>256</v>
      </c>
      <c r="K1020" s="1" t="s">
        <v>430</v>
      </c>
      <c r="L1020" s="1" t="s">
        <v>485</v>
      </c>
      <c r="M1020" s="20" t="s">
        <v>258</v>
      </c>
      <c r="N1020" s="20" t="s">
        <v>259</v>
      </c>
      <c r="O1020" s="21" t="s">
        <v>486</v>
      </c>
      <c r="P1020" s="22" t="str">
        <f aca="false">_xlfn.CONCAT(B1020,C1020,D1020,E1020,F1020)</f>
        <v/>
      </c>
      <c r="Q1020" s="1" t="str">
        <f aca="false">_xlfn.CONCAT(H1020,I1020,J1020)</f>
        <v>DAURDE</v>
      </c>
    </row>
    <row r="1021" customFormat="false" ht="41.75" hidden="false" customHeight="false" outlineLevel="0" collapsed="false">
      <c r="G1021" s="15" t="n">
        <f aca="false">F1021-E1021</f>
        <v>0</v>
      </c>
      <c r="H1021" s="20" t="s">
        <v>248</v>
      </c>
      <c r="J1021" s="20" t="s">
        <v>256</v>
      </c>
      <c r="K1021" s="1" t="s">
        <v>430</v>
      </c>
      <c r="L1021" s="1" t="s">
        <v>485</v>
      </c>
      <c r="M1021" s="20" t="s">
        <v>258</v>
      </c>
      <c r="N1021" s="20" t="s">
        <v>259</v>
      </c>
      <c r="O1021" s="21" t="s">
        <v>486</v>
      </c>
      <c r="P1021" s="22" t="str">
        <f aca="false">_xlfn.CONCAT(B1021,C1021,D1021,E1021,F1021)</f>
        <v/>
      </c>
      <c r="Q1021" s="1" t="str">
        <f aca="false">_xlfn.CONCAT(H1021,I1021,J1021)</f>
        <v>DAURDE</v>
      </c>
    </row>
    <row r="1022" customFormat="false" ht="41.75" hidden="false" customHeight="false" outlineLevel="0" collapsed="false">
      <c r="G1022" s="15" t="n">
        <f aca="false">F1022-E1022</f>
        <v>0</v>
      </c>
      <c r="H1022" s="20" t="s">
        <v>248</v>
      </c>
      <c r="J1022" s="20" t="s">
        <v>256</v>
      </c>
      <c r="K1022" s="1" t="s">
        <v>430</v>
      </c>
      <c r="L1022" s="1" t="s">
        <v>485</v>
      </c>
      <c r="M1022" s="20" t="s">
        <v>258</v>
      </c>
      <c r="N1022" s="20" t="s">
        <v>259</v>
      </c>
      <c r="O1022" s="21" t="s">
        <v>486</v>
      </c>
      <c r="P1022" s="22" t="str">
        <f aca="false">_xlfn.CONCAT(B1022,C1022,D1022,E1022,F1022)</f>
        <v/>
      </c>
      <c r="Q1022" s="1" t="str">
        <f aca="false">_xlfn.CONCAT(H1022,I1022,J1022)</f>
        <v>DAURDE</v>
      </c>
    </row>
    <row r="1023" customFormat="false" ht="41.75" hidden="false" customHeight="false" outlineLevel="0" collapsed="false">
      <c r="G1023" s="15" t="n">
        <f aca="false">F1023-E1023</f>
        <v>0</v>
      </c>
      <c r="H1023" s="20" t="s">
        <v>248</v>
      </c>
      <c r="J1023" s="20" t="s">
        <v>256</v>
      </c>
      <c r="K1023" s="1" t="s">
        <v>430</v>
      </c>
      <c r="L1023" s="1" t="s">
        <v>485</v>
      </c>
      <c r="M1023" s="20" t="s">
        <v>258</v>
      </c>
      <c r="N1023" s="20" t="s">
        <v>259</v>
      </c>
      <c r="O1023" s="21" t="s">
        <v>486</v>
      </c>
      <c r="P1023" s="22" t="str">
        <f aca="false">_xlfn.CONCAT(B1023,C1023,D1023,E1023,F1023)</f>
        <v/>
      </c>
      <c r="Q1023" s="1" t="str">
        <f aca="false">_xlfn.CONCAT(H1023,I1023,J1023)</f>
        <v>DAURDE</v>
      </c>
    </row>
    <row r="1024" customFormat="false" ht="15" hidden="false" customHeight="false" outlineLevel="0" collapsed="false">
      <c r="G1024" s="15" t="n">
        <f aca="false">F1024-E1024</f>
        <v>0</v>
      </c>
      <c r="H1024" s="20" t="s">
        <v>445</v>
      </c>
      <c r="I1024" s="1" t="s">
        <v>263</v>
      </c>
      <c r="J1024" s="20" t="s">
        <v>264</v>
      </c>
      <c r="K1024" s="1" t="s">
        <v>456</v>
      </c>
      <c r="L1024" s="1" t="s">
        <v>487</v>
      </c>
      <c r="M1024" s="20" t="s">
        <v>266</v>
      </c>
      <c r="N1024" s="20" t="s">
        <v>252</v>
      </c>
      <c r="O1024" s="1" t="s">
        <v>488</v>
      </c>
      <c r="P1024" s="22" t="str">
        <f aca="false">_xlfn.CONCAT(B1024,C1024,D1024,E1024,F1024)</f>
        <v/>
      </c>
      <c r="Q1024" s="1" t="str">
        <f aca="false">_xlfn.CONCAT(H1024,I1024,J1024)</f>
        <v>LIGRFOCOM</v>
      </c>
    </row>
    <row r="1025" customFormat="false" ht="15" hidden="false" customHeight="false" outlineLevel="0" collapsed="false">
      <c r="G1025" s="15" t="n">
        <f aca="false">F1025-E1025</f>
        <v>0</v>
      </c>
      <c r="H1025" s="20" t="s">
        <v>445</v>
      </c>
      <c r="I1025" s="1" t="s">
        <v>263</v>
      </c>
      <c r="J1025" s="20" t="s">
        <v>264</v>
      </c>
      <c r="K1025" s="1" t="s">
        <v>456</v>
      </c>
      <c r="L1025" s="1" t="s">
        <v>487</v>
      </c>
      <c r="M1025" s="20" t="s">
        <v>266</v>
      </c>
      <c r="N1025" s="20" t="s">
        <v>252</v>
      </c>
      <c r="O1025" s="1" t="s">
        <v>488</v>
      </c>
      <c r="P1025" s="22" t="str">
        <f aca="false">_xlfn.CONCAT(B1025,C1025,D1025,E1025,F1025)</f>
        <v/>
      </c>
      <c r="Q1025" s="1" t="str">
        <f aca="false">_xlfn.CONCAT(H1025,I1025,J1025)</f>
        <v>LIGRFOCOM</v>
      </c>
    </row>
    <row r="1026" customFormat="false" ht="15" hidden="false" customHeight="false" outlineLevel="0" collapsed="false">
      <c r="G1026" s="15" t="n">
        <f aca="false">F1026-E1026</f>
        <v>0</v>
      </c>
      <c r="H1026" s="20" t="s">
        <v>445</v>
      </c>
      <c r="I1026" s="1" t="s">
        <v>263</v>
      </c>
      <c r="J1026" s="20" t="s">
        <v>264</v>
      </c>
      <c r="K1026" s="1" t="s">
        <v>456</v>
      </c>
      <c r="L1026" s="1" t="s">
        <v>487</v>
      </c>
      <c r="M1026" s="20" t="s">
        <v>266</v>
      </c>
      <c r="N1026" s="20" t="s">
        <v>252</v>
      </c>
      <c r="O1026" s="1" t="s">
        <v>488</v>
      </c>
      <c r="P1026" s="22" t="str">
        <f aca="false">_xlfn.CONCAT(B1026,C1026,D1026,E1026,F1026)</f>
        <v/>
      </c>
      <c r="Q1026" s="1" t="str">
        <f aca="false">_xlfn.CONCAT(H1026,I1026,J1026)</f>
        <v>LIGRFOCOM</v>
      </c>
    </row>
    <row r="1027" customFormat="false" ht="15" hidden="false" customHeight="false" outlineLevel="0" collapsed="false">
      <c r="G1027" s="15" t="n">
        <f aca="false">F1027-E1027</f>
        <v>0</v>
      </c>
      <c r="H1027" s="20" t="s">
        <v>445</v>
      </c>
      <c r="I1027" s="1" t="s">
        <v>263</v>
      </c>
      <c r="J1027" s="20" t="s">
        <v>264</v>
      </c>
      <c r="K1027" s="1" t="s">
        <v>456</v>
      </c>
      <c r="L1027" s="1" t="s">
        <v>487</v>
      </c>
      <c r="M1027" s="20" t="s">
        <v>266</v>
      </c>
      <c r="N1027" s="20" t="s">
        <v>252</v>
      </c>
      <c r="O1027" s="1" t="s">
        <v>488</v>
      </c>
      <c r="P1027" s="22" t="str">
        <f aca="false">_xlfn.CONCAT(B1027,C1027,D1027,E1027,F1027)</f>
        <v/>
      </c>
      <c r="Q1027" s="1" t="str">
        <f aca="false">_xlfn.CONCAT(H1027,I1027,J1027)</f>
        <v>LIGRFOCOM</v>
      </c>
    </row>
    <row r="1028" customFormat="false" ht="15" hidden="false" customHeight="false" outlineLevel="0" collapsed="false">
      <c r="G1028" s="15" t="n">
        <f aca="false">F1028-E1028</f>
        <v>0</v>
      </c>
      <c r="H1028" s="20" t="s">
        <v>445</v>
      </c>
      <c r="I1028" s="1" t="s">
        <v>263</v>
      </c>
      <c r="J1028" s="20" t="s">
        <v>264</v>
      </c>
      <c r="K1028" s="1" t="s">
        <v>456</v>
      </c>
      <c r="L1028" s="1" t="s">
        <v>487</v>
      </c>
      <c r="M1028" s="20" t="s">
        <v>266</v>
      </c>
      <c r="N1028" s="20" t="s">
        <v>252</v>
      </c>
      <c r="O1028" s="1" t="s">
        <v>488</v>
      </c>
      <c r="P1028" s="22" t="str">
        <f aca="false">_xlfn.CONCAT(B1028,C1028,D1028,E1028,F1028)</f>
        <v/>
      </c>
      <c r="Q1028" s="1" t="str">
        <f aca="false">_xlfn.CONCAT(H1028,I1028,J1028)</f>
        <v>LIGRFOCOM</v>
      </c>
    </row>
    <row r="1029" customFormat="false" ht="15" hidden="false" customHeight="false" outlineLevel="0" collapsed="false">
      <c r="G1029" s="15" t="n">
        <f aca="false">F1029-E1029</f>
        <v>0</v>
      </c>
      <c r="H1029" s="20" t="s">
        <v>445</v>
      </c>
      <c r="I1029" s="1" t="s">
        <v>263</v>
      </c>
      <c r="J1029" s="20" t="s">
        <v>264</v>
      </c>
      <c r="K1029" s="1" t="s">
        <v>456</v>
      </c>
      <c r="L1029" s="1" t="s">
        <v>487</v>
      </c>
      <c r="M1029" s="20" t="s">
        <v>266</v>
      </c>
      <c r="N1029" s="20" t="s">
        <v>252</v>
      </c>
      <c r="O1029" s="1" t="s">
        <v>488</v>
      </c>
      <c r="P1029" s="22" t="str">
        <f aca="false">_xlfn.CONCAT(B1029,C1029,D1029,E1029,F1029)</f>
        <v/>
      </c>
      <c r="Q1029" s="1" t="str">
        <f aca="false">_xlfn.CONCAT(H1029,I1029,J1029)</f>
        <v>LIGRFOCOM</v>
      </c>
    </row>
    <row r="1030" customFormat="false" ht="15" hidden="false" customHeight="false" outlineLevel="0" collapsed="false">
      <c r="G1030" s="15" t="n">
        <f aca="false">F1030-E1030</f>
        <v>0</v>
      </c>
      <c r="H1030" s="20" t="s">
        <v>445</v>
      </c>
      <c r="I1030" s="1" t="s">
        <v>263</v>
      </c>
      <c r="J1030" s="20" t="s">
        <v>264</v>
      </c>
      <c r="K1030" s="1" t="s">
        <v>456</v>
      </c>
      <c r="L1030" s="1" t="s">
        <v>487</v>
      </c>
      <c r="M1030" s="20" t="s">
        <v>266</v>
      </c>
      <c r="N1030" s="20" t="s">
        <v>252</v>
      </c>
      <c r="O1030" s="1" t="s">
        <v>488</v>
      </c>
      <c r="P1030" s="22" t="str">
        <f aca="false">_xlfn.CONCAT(B1030,C1030,D1030,E1030,F1030)</f>
        <v/>
      </c>
      <c r="Q1030" s="1" t="str">
        <f aca="false">_xlfn.CONCAT(H1030,I1030,J1030)</f>
        <v>LIGRFOCOM</v>
      </c>
    </row>
    <row r="1031" customFormat="false" ht="15" hidden="false" customHeight="false" outlineLevel="0" collapsed="false">
      <c r="G1031" s="15" t="n">
        <f aca="false">F1031-E1031</f>
        <v>0</v>
      </c>
      <c r="H1031" s="20" t="s">
        <v>445</v>
      </c>
      <c r="I1031" s="1" t="s">
        <v>263</v>
      </c>
      <c r="J1031" s="20" t="s">
        <v>264</v>
      </c>
      <c r="K1031" s="1" t="s">
        <v>456</v>
      </c>
      <c r="L1031" s="1" t="s">
        <v>487</v>
      </c>
      <c r="M1031" s="20" t="s">
        <v>266</v>
      </c>
      <c r="N1031" s="20" t="s">
        <v>252</v>
      </c>
      <c r="O1031" s="1" t="s">
        <v>488</v>
      </c>
      <c r="P1031" s="22" t="str">
        <f aca="false">_xlfn.CONCAT(B1031,C1031,D1031,E1031,F1031)</f>
        <v/>
      </c>
      <c r="Q1031" s="1" t="str">
        <f aca="false">_xlfn.CONCAT(H1031,I1031,J1031)</f>
        <v>LIGRFOCOM</v>
      </c>
    </row>
    <row r="1032" customFormat="false" ht="15" hidden="false" customHeight="false" outlineLevel="0" collapsed="false">
      <c r="G1032" s="15" t="n">
        <f aca="false">F1032-E1032</f>
        <v>0</v>
      </c>
      <c r="H1032" s="20" t="s">
        <v>445</v>
      </c>
      <c r="I1032" s="1" t="s">
        <v>263</v>
      </c>
      <c r="J1032" s="20" t="s">
        <v>264</v>
      </c>
      <c r="K1032" s="1" t="s">
        <v>456</v>
      </c>
      <c r="L1032" s="1" t="s">
        <v>487</v>
      </c>
      <c r="M1032" s="20" t="s">
        <v>266</v>
      </c>
      <c r="N1032" s="20" t="s">
        <v>252</v>
      </c>
      <c r="O1032" s="1" t="s">
        <v>488</v>
      </c>
      <c r="P1032" s="22" t="str">
        <f aca="false">_xlfn.CONCAT(B1032,C1032,D1032,E1032,F1032)</f>
        <v/>
      </c>
      <c r="Q1032" s="1" t="str">
        <f aca="false">_xlfn.CONCAT(H1032,I1032,J1032)</f>
        <v>LIGRFOCOM</v>
      </c>
    </row>
    <row r="1033" customFormat="false" ht="15" hidden="false" customHeight="false" outlineLevel="0" collapsed="false">
      <c r="G1033" s="15" t="n">
        <f aca="false">F1033-E1033</f>
        <v>0</v>
      </c>
      <c r="H1033" s="20" t="s">
        <v>445</v>
      </c>
      <c r="I1033" s="1" t="s">
        <v>263</v>
      </c>
      <c r="J1033" s="20" t="s">
        <v>264</v>
      </c>
      <c r="K1033" s="1" t="s">
        <v>456</v>
      </c>
      <c r="L1033" s="1" t="s">
        <v>487</v>
      </c>
      <c r="M1033" s="20" t="s">
        <v>266</v>
      </c>
      <c r="N1033" s="20" t="s">
        <v>252</v>
      </c>
      <c r="O1033" s="1" t="s">
        <v>488</v>
      </c>
      <c r="P1033" s="22" t="str">
        <f aca="false">_xlfn.CONCAT(B1033,C1033,D1033,E1033,F1033)</f>
        <v/>
      </c>
      <c r="Q1033" s="1" t="str">
        <f aca="false">_xlfn.CONCAT(H1033,I1033,J1033)</f>
        <v>LIGRFOCOM</v>
      </c>
    </row>
    <row r="1034" customFormat="false" ht="15" hidden="false" customHeight="false" outlineLevel="0" collapsed="false">
      <c r="G1034" s="15" t="n">
        <f aca="false">F1034-E1034</f>
        <v>0</v>
      </c>
      <c r="H1034" s="20" t="s">
        <v>445</v>
      </c>
      <c r="I1034" s="1" t="s">
        <v>263</v>
      </c>
      <c r="J1034" s="20" t="s">
        <v>264</v>
      </c>
      <c r="K1034" s="1" t="s">
        <v>456</v>
      </c>
      <c r="L1034" s="1" t="s">
        <v>487</v>
      </c>
      <c r="M1034" s="20" t="s">
        <v>266</v>
      </c>
      <c r="N1034" s="20" t="s">
        <v>252</v>
      </c>
      <c r="O1034" s="1" t="s">
        <v>488</v>
      </c>
      <c r="P1034" s="22" t="str">
        <f aca="false">_xlfn.CONCAT(B1034,C1034,D1034,E1034,F1034)</f>
        <v/>
      </c>
      <c r="Q1034" s="1" t="str">
        <f aca="false">_xlfn.CONCAT(H1034,I1034,J1034)</f>
        <v>LIGRFOCOM</v>
      </c>
    </row>
    <row r="1035" customFormat="false" ht="15" hidden="false" customHeight="false" outlineLevel="0" collapsed="false">
      <c r="G1035" s="15" t="n">
        <f aca="false">F1035-E1035</f>
        <v>0</v>
      </c>
      <c r="H1035" s="20" t="s">
        <v>445</v>
      </c>
      <c r="I1035" s="1" t="s">
        <v>263</v>
      </c>
      <c r="J1035" s="20" t="s">
        <v>264</v>
      </c>
      <c r="K1035" s="1" t="s">
        <v>456</v>
      </c>
      <c r="L1035" s="1" t="s">
        <v>487</v>
      </c>
      <c r="M1035" s="20" t="s">
        <v>266</v>
      </c>
      <c r="N1035" s="20" t="s">
        <v>252</v>
      </c>
      <c r="O1035" s="1" t="s">
        <v>488</v>
      </c>
      <c r="P1035" s="22" t="str">
        <f aca="false">_xlfn.CONCAT(B1035,C1035,D1035,E1035,F1035)</f>
        <v/>
      </c>
      <c r="Q1035" s="1" t="str">
        <f aca="false">_xlfn.CONCAT(H1035,I1035,J1035)</f>
        <v>LIGRFOCOM</v>
      </c>
    </row>
    <row r="1036" customFormat="false" ht="15" hidden="false" customHeight="false" outlineLevel="0" collapsed="false">
      <c r="G1036" s="15" t="n">
        <f aca="false">F1036-E1036</f>
        <v>0</v>
      </c>
      <c r="H1036" s="20" t="s">
        <v>445</v>
      </c>
      <c r="I1036" s="1" t="s">
        <v>263</v>
      </c>
      <c r="J1036" s="20" t="s">
        <v>264</v>
      </c>
      <c r="K1036" s="1" t="s">
        <v>456</v>
      </c>
      <c r="L1036" s="1" t="s">
        <v>487</v>
      </c>
      <c r="M1036" s="20" t="s">
        <v>266</v>
      </c>
      <c r="N1036" s="20" t="s">
        <v>252</v>
      </c>
      <c r="O1036" s="1" t="s">
        <v>488</v>
      </c>
      <c r="P1036" s="22" t="str">
        <f aca="false">_xlfn.CONCAT(B1036,C1036,D1036,E1036,F1036)</f>
        <v/>
      </c>
      <c r="Q1036" s="1" t="str">
        <f aca="false">_xlfn.CONCAT(H1036,I1036,J1036)</f>
        <v>LIGRFOCOM</v>
      </c>
    </row>
    <row r="1037" customFormat="false" ht="15" hidden="false" customHeight="false" outlineLevel="0" collapsed="false">
      <c r="G1037" s="15" t="n">
        <f aca="false">F1037-E1037</f>
        <v>0</v>
      </c>
      <c r="H1037" s="20" t="s">
        <v>445</v>
      </c>
      <c r="I1037" s="1" t="s">
        <v>263</v>
      </c>
      <c r="J1037" s="20" t="s">
        <v>264</v>
      </c>
      <c r="K1037" s="1" t="s">
        <v>456</v>
      </c>
      <c r="L1037" s="1" t="s">
        <v>487</v>
      </c>
      <c r="M1037" s="20" t="s">
        <v>266</v>
      </c>
      <c r="N1037" s="20" t="s">
        <v>252</v>
      </c>
      <c r="O1037" s="1" t="s">
        <v>488</v>
      </c>
      <c r="P1037" s="22" t="str">
        <f aca="false">_xlfn.CONCAT(B1037,C1037,D1037,E1037,F1037)</f>
        <v/>
      </c>
      <c r="Q1037" s="1" t="str">
        <f aca="false">_xlfn.CONCAT(H1037,I1037,J1037)</f>
        <v>LIGRFOCOM</v>
      </c>
    </row>
    <row r="1038" customFormat="false" ht="15" hidden="false" customHeight="false" outlineLevel="0" collapsed="false">
      <c r="G1038" s="15" t="n">
        <f aca="false">F1038-E1038</f>
        <v>0</v>
      </c>
      <c r="H1038" s="20" t="s">
        <v>445</v>
      </c>
      <c r="I1038" s="1" t="s">
        <v>263</v>
      </c>
      <c r="J1038" s="20" t="s">
        <v>264</v>
      </c>
      <c r="K1038" s="1" t="s">
        <v>456</v>
      </c>
      <c r="L1038" s="1" t="s">
        <v>487</v>
      </c>
      <c r="M1038" s="20" t="s">
        <v>266</v>
      </c>
      <c r="N1038" s="20" t="s">
        <v>252</v>
      </c>
      <c r="O1038" s="1" t="s">
        <v>488</v>
      </c>
      <c r="P1038" s="22" t="str">
        <f aca="false">_xlfn.CONCAT(B1038,C1038,D1038,E1038,F1038)</f>
        <v/>
      </c>
      <c r="Q1038" s="1" t="str">
        <f aca="false">_xlfn.CONCAT(H1038,I1038,J1038)</f>
        <v>LIGRFOCOM</v>
      </c>
    </row>
    <row r="1039" customFormat="false" ht="15" hidden="false" customHeight="false" outlineLevel="0" collapsed="false">
      <c r="G1039" s="15" t="n">
        <f aca="false">F1039-E1039</f>
        <v>0</v>
      </c>
      <c r="H1039" s="20" t="s">
        <v>445</v>
      </c>
      <c r="I1039" s="1" t="s">
        <v>263</v>
      </c>
      <c r="J1039" s="20" t="s">
        <v>264</v>
      </c>
      <c r="K1039" s="1" t="s">
        <v>456</v>
      </c>
      <c r="L1039" s="1" t="s">
        <v>487</v>
      </c>
      <c r="M1039" s="20" t="s">
        <v>266</v>
      </c>
      <c r="N1039" s="20" t="s">
        <v>252</v>
      </c>
      <c r="O1039" s="1" t="s">
        <v>488</v>
      </c>
      <c r="P1039" s="22" t="str">
        <f aca="false">_xlfn.CONCAT(B1039,C1039,D1039,E1039,F1039)</f>
        <v/>
      </c>
      <c r="Q1039" s="1" t="str">
        <f aca="false">_xlfn.CONCAT(H1039,I1039,J1039)</f>
        <v>LIGRFOCOM</v>
      </c>
    </row>
    <row r="1040" customFormat="false" ht="15" hidden="false" customHeight="false" outlineLevel="0" collapsed="false">
      <c r="G1040" s="15" t="n">
        <f aca="false">F1040-E1040</f>
        <v>0</v>
      </c>
      <c r="H1040" s="20" t="s">
        <v>445</v>
      </c>
      <c r="I1040" s="1" t="s">
        <v>263</v>
      </c>
      <c r="J1040" s="20" t="s">
        <v>264</v>
      </c>
      <c r="K1040" s="1" t="s">
        <v>456</v>
      </c>
      <c r="L1040" s="1" t="s">
        <v>487</v>
      </c>
      <c r="M1040" s="20" t="s">
        <v>266</v>
      </c>
      <c r="N1040" s="20" t="s">
        <v>252</v>
      </c>
      <c r="O1040" s="1" t="s">
        <v>488</v>
      </c>
      <c r="P1040" s="22" t="str">
        <f aca="false">_xlfn.CONCAT(B1040,C1040,D1040,E1040,F1040)</f>
        <v/>
      </c>
      <c r="Q1040" s="1" t="str">
        <f aca="false">_xlfn.CONCAT(H1040,I1040,J1040)</f>
        <v>LIGRFOCOM</v>
      </c>
    </row>
    <row r="1041" customFormat="false" ht="15" hidden="false" customHeight="false" outlineLevel="0" collapsed="false">
      <c r="G1041" s="15" t="n">
        <f aca="false">F1041-E1041</f>
        <v>0</v>
      </c>
      <c r="H1041" s="20" t="s">
        <v>445</v>
      </c>
      <c r="I1041" s="1" t="s">
        <v>263</v>
      </c>
      <c r="J1041" s="20" t="s">
        <v>264</v>
      </c>
      <c r="K1041" s="1" t="s">
        <v>456</v>
      </c>
      <c r="L1041" s="1" t="s">
        <v>487</v>
      </c>
      <c r="M1041" s="20" t="s">
        <v>266</v>
      </c>
      <c r="N1041" s="20" t="s">
        <v>252</v>
      </c>
      <c r="O1041" s="1" t="s">
        <v>488</v>
      </c>
      <c r="P1041" s="22" t="str">
        <f aca="false">_xlfn.CONCAT(B1041,C1041,D1041,E1041,F1041)</f>
        <v/>
      </c>
      <c r="Q1041" s="1" t="str">
        <f aca="false">_xlfn.CONCAT(H1041,I1041,J1041)</f>
        <v>LIGRFOCOM</v>
      </c>
    </row>
    <row r="1042" customFormat="false" ht="15" hidden="false" customHeight="false" outlineLevel="0" collapsed="false">
      <c r="G1042" s="15" t="n">
        <f aca="false">F1042-E1042</f>
        <v>0</v>
      </c>
      <c r="H1042" s="20" t="s">
        <v>445</v>
      </c>
      <c r="I1042" s="1" t="s">
        <v>263</v>
      </c>
      <c r="J1042" s="20" t="s">
        <v>264</v>
      </c>
      <c r="K1042" s="1" t="s">
        <v>456</v>
      </c>
      <c r="L1042" s="1" t="s">
        <v>487</v>
      </c>
      <c r="M1042" s="20" t="s">
        <v>266</v>
      </c>
      <c r="N1042" s="20" t="s">
        <v>252</v>
      </c>
      <c r="O1042" s="1" t="s">
        <v>488</v>
      </c>
      <c r="P1042" s="22" t="str">
        <f aca="false">_xlfn.CONCAT(B1042,C1042,D1042,E1042,F1042)</f>
        <v/>
      </c>
      <c r="Q1042" s="1" t="str">
        <f aca="false">_xlfn.CONCAT(H1042,I1042,J1042)</f>
        <v>LIGRFOCOM</v>
      </c>
    </row>
    <row r="1043" customFormat="false" ht="15" hidden="false" customHeight="false" outlineLevel="0" collapsed="false">
      <c r="G1043" s="15" t="n">
        <f aca="false">F1043-E1043</f>
        <v>0</v>
      </c>
      <c r="H1043" s="20" t="s">
        <v>445</v>
      </c>
      <c r="I1043" s="1" t="s">
        <v>263</v>
      </c>
      <c r="J1043" s="20" t="s">
        <v>264</v>
      </c>
      <c r="K1043" s="1" t="s">
        <v>456</v>
      </c>
      <c r="L1043" s="1" t="s">
        <v>487</v>
      </c>
      <c r="M1043" s="20" t="s">
        <v>266</v>
      </c>
      <c r="N1043" s="20" t="s">
        <v>252</v>
      </c>
      <c r="O1043" s="1" t="s">
        <v>488</v>
      </c>
      <c r="P1043" s="22" t="str">
        <f aca="false">_xlfn.CONCAT(B1043,C1043,D1043,E1043,F1043)</f>
        <v/>
      </c>
      <c r="Q1043" s="1" t="str">
        <f aca="false">_xlfn.CONCAT(H1043,I1043,J1043)</f>
        <v>LIGRFOCOM</v>
      </c>
    </row>
    <row r="1044" customFormat="false" ht="15" hidden="false" customHeight="false" outlineLevel="0" collapsed="false">
      <c r="G1044" s="15" t="n">
        <f aca="false">F1044-E1044</f>
        <v>0</v>
      </c>
      <c r="H1044" s="20" t="s">
        <v>445</v>
      </c>
      <c r="I1044" s="1" t="s">
        <v>263</v>
      </c>
      <c r="J1044" s="20" t="s">
        <v>264</v>
      </c>
      <c r="K1044" s="1" t="s">
        <v>456</v>
      </c>
      <c r="L1044" s="1" t="s">
        <v>487</v>
      </c>
      <c r="M1044" s="20" t="s">
        <v>266</v>
      </c>
      <c r="N1044" s="20" t="s">
        <v>252</v>
      </c>
      <c r="O1044" s="1" t="s">
        <v>488</v>
      </c>
      <c r="P1044" s="22" t="str">
        <f aca="false">_xlfn.CONCAT(B1044,C1044,D1044,E1044,F1044)</f>
        <v/>
      </c>
      <c r="Q1044" s="1" t="str">
        <f aca="false">_xlfn.CONCAT(H1044,I1044,J1044)</f>
        <v>LIGRFOCOM</v>
      </c>
    </row>
    <row r="1045" customFormat="false" ht="15" hidden="false" customHeight="false" outlineLevel="0" collapsed="false">
      <c r="G1045" s="15" t="n">
        <f aca="false">F1045-E1045</f>
        <v>0</v>
      </c>
      <c r="H1045" s="20" t="s">
        <v>445</v>
      </c>
      <c r="I1045" s="1" t="s">
        <v>263</v>
      </c>
      <c r="J1045" s="20" t="s">
        <v>264</v>
      </c>
      <c r="K1045" s="1" t="s">
        <v>456</v>
      </c>
      <c r="L1045" s="1" t="s">
        <v>487</v>
      </c>
      <c r="M1045" s="20" t="s">
        <v>266</v>
      </c>
      <c r="N1045" s="20" t="s">
        <v>252</v>
      </c>
      <c r="O1045" s="1" t="s">
        <v>488</v>
      </c>
      <c r="P1045" s="22" t="str">
        <f aca="false">_xlfn.CONCAT(B1045,C1045,D1045,E1045,F1045)</f>
        <v/>
      </c>
      <c r="Q1045" s="1" t="str">
        <f aca="false">_xlfn.CONCAT(H1045,I1045,J1045)</f>
        <v>LIGRFOCOM</v>
      </c>
    </row>
    <row r="1046" customFormat="false" ht="15" hidden="false" customHeight="false" outlineLevel="0" collapsed="false">
      <c r="G1046" s="15" t="n">
        <f aca="false">F1046-E1046</f>
        <v>0</v>
      </c>
      <c r="H1046" s="20" t="s">
        <v>445</v>
      </c>
      <c r="I1046" s="1" t="s">
        <v>263</v>
      </c>
      <c r="J1046" s="20" t="s">
        <v>264</v>
      </c>
      <c r="K1046" s="1" t="s">
        <v>456</v>
      </c>
      <c r="L1046" s="1" t="s">
        <v>487</v>
      </c>
      <c r="M1046" s="20" t="s">
        <v>266</v>
      </c>
      <c r="N1046" s="20" t="s">
        <v>252</v>
      </c>
      <c r="O1046" s="1" t="s">
        <v>488</v>
      </c>
      <c r="P1046" s="22" t="str">
        <f aca="false">_xlfn.CONCAT(B1046,C1046,D1046,E1046,F1046)</f>
        <v/>
      </c>
      <c r="Q1046" s="1" t="str">
        <f aca="false">_xlfn.CONCAT(H1046,I1046,J1046)</f>
        <v>LIGRFOCOM</v>
      </c>
    </row>
    <row r="1047" customFormat="false" ht="15" hidden="false" customHeight="false" outlineLevel="0" collapsed="false">
      <c r="G1047" s="15" t="n">
        <f aca="false">F1047-E1047</f>
        <v>0</v>
      </c>
      <c r="H1047" s="20" t="s">
        <v>445</v>
      </c>
      <c r="I1047" s="1" t="s">
        <v>263</v>
      </c>
      <c r="J1047" s="20" t="s">
        <v>264</v>
      </c>
      <c r="K1047" s="1" t="s">
        <v>456</v>
      </c>
      <c r="L1047" s="1" t="s">
        <v>487</v>
      </c>
      <c r="M1047" s="20" t="s">
        <v>266</v>
      </c>
      <c r="N1047" s="20" t="s">
        <v>252</v>
      </c>
      <c r="O1047" s="1" t="s">
        <v>488</v>
      </c>
      <c r="P1047" s="22" t="str">
        <f aca="false">_xlfn.CONCAT(B1047,C1047,D1047,E1047,F1047)</f>
        <v/>
      </c>
      <c r="Q1047" s="1" t="str">
        <f aca="false">_xlfn.CONCAT(H1047,I1047,J1047)</f>
        <v>LIGRFOCOM</v>
      </c>
    </row>
    <row r="1048" customFormat="false" ht="15" hidden="false" customHeight="false" outlineLevel="0" collapsed="false">
      <c r="G1048" s="15" t="n">
        <f aca="false">F1048-E1048</f>
        <v>0</v>
      </c>
      <c r="H1048" s="20" t="s">
        <v>445</v>
      </c>
      <c r="I1048" s="1" t="s">
        <v>263</v>
      </c>
      <c r="J1048" s="20" t="s">
        <v>264</v>
      </c>
      <c r="K1048" s="1" t="s">
        <v>456</v>
      </c>
      <c r="L1048" s="1" t="s">
        <v>487</v>
      </c>
      <c r="M1048" s="20" t="s">
        <v>266</v>
      </c>
      <c r="N1048" s="20" t="s">
        <v>252</v>
      </c>
      <c r="O1048" s="1" t="s">
        <v>488</v>
      </c>
      <c r="P1048" s="22" t="str">
        <f aca="false">_xlfn.CONCAT(B1048,C1048,D1048,E1048,F1048)</f>
        <v/>
      </c>
      <c r="Q1048" s="1" t="str">
        <f aca="false">_xlfn.CONCAT(H1048,I1048,J1048)</f>
        <v>LIGRFOCOM</v>
      </c>
    </row>
    <row r="1049" customFormat="false" ht="15" hidden="false" customHeight="false" outlineLevel="0" collapsed="false">
      <c r="G1049" s="15" t="n">
        <f aca="false">F1049-E1049</f>
        <v>0</v>
      </c>
      <c r="H1049" s="20" t="s">
        <v>445</v>
      </c>
      <c r="I1049" s="1" t="s">
        <v>263</v>
      </c>
      <c r="J1049" s="20" t="s">
        <v>264</v>
      </c>
      <c r="K1049" s="1" t="s">
        <v>456</v>
      </c>
      <c r="L1049" s="1" t="s">
        <v>487</v>
      </c>
      <c r="M1049" s="20" t="s">
        <v>266</v>
      </c>
      <c r="N1049" s="20" t="s">
        <v>252</v>
      </c>
      <c r="O1049" s="1" t="s">
        <v>488</v>
      </c>
      <c r="P1049" s="22" t="str">
        <f aca="false">_xlfn.CONCAT(B1049,C1049,D1049,E1049,F1049)</f>
        <v/>
      </c>
      <c r="Q1049" s="1" t="str">
        <f aca="false">_xlfn.CONCAT(H1049,I1049,J1049)</f>
        <v>LIGRFOCOM</v>
      </c>
    </row>
    <row r="1050" customFormat="false" ht="15" hidden="false" customHeight="false" outlineLevel="0" collapsed="false">
      <c r="G1050" s="15" t="n">
        <f aca="false">F1050-E1050</f>
        <v>0</v>
      </c>
      <c r="H1050" s="20" t="s">
        <v>445</v>
      </c>
      <c r="I1050" s="1" t="s">
        <v>263</v>
      </c>
      <c r="J1050" s="20" t="s">
        <v>264</v>
      </c>
      <c r="K1050" s="1" t="s">
        <v>456</v>
      </c>
      <c r="L1050" s="1" t="s">
        <v>487</v>
      </c>
      <c r="M1050" s="20" t="s">
        <v>266</v>
      </c>
      <c r="N1050" s="20" t="s">
        <v>252</v>
      </c>
      <c r="O1050" s="1" t="s">
        <v>488</v>
      </c>
      <c r="P1050" s="22" t="str">
        <f aca="false">_xlfn.CONCAT(B1050,C1050,D1050,E1050,F1050)</f>
        <v/>
      </c>
      <c r="Q1050" s="1" t="str">
        <f aca="false">_xlfn.CONCAT(H1050,I1050,J1050)</f>
        <v>LIGRFOCOM</v>
      </c>
    </row>
    <row r="1051" customFormat="false" ht="15" hidden="false" customHeight="false" outlineLevel="0" collapsed="false">
      <c r="G1051" s="15" t="n">
        <f aca="false">F1051-E1051</f>
        <v>0</v>
      </c>
      <c r="H1051" s="20" t="s">
        <v>445</v>
      </c>
      <c r="I1051" s="1" t="s">
        <v>263</v>
      </c>
      <c r="J1051" s="20" t="s">
        <v>264</v>
      </c>
      <c r="K1051" s="1" t="s">
        <v>456</v>
      </c>
      <c r="L1051" s="1" t="s">
        <v>487</v>
      </c>
      <c r="M1051" s="20" t="s">
        <v>266</v>
      </c>
      <c r="N1051" s="20" t="s">
        <v>252</v>
      </c>
      <c r="O1051" s="1" t="s">
        <v>488</v>
      </c>
      <c r="P1051" s="22" t="str">
        <f aca="false">_xlfn.CONCAT(B1051,C1051,D1051,E1051,F1051)</f>
        <v/>
      </c>
      <c r="Q1051" s="1" t="str">
        <f aca="false">_xlfn.CONCAT(H1051,I1051,J1051)</f>
        <v>LIGRFOCOM</v>
      </c>
    </row>
    <row r="1052" customFormat="false" ht="15" hidden="false" customHeight="false" outlineLevel="0" collapsed="false">
      <c r="G1052" s="15" t="n">
        <f aca="false">F1052-E1052</f>
        <v>0</v>
      </c>
      <c r="H1052" s="20" t="s">
        <v>445</v>
      </c>
      <c r="I1052" s="1" t="s">
        <v>263</v>
      </c>
      <c r="J1052" s="20" t="s">
        <v>264</v>
      </c>
      <c r="K1052" s="1" t="s">
        <v>456</v>
      </c>
      <c r="L1052" s="1" t="s">
        <v>487</v>
      </c>
      <c r="M1052" s="20" t="s">
        <v>266</v>
      </c>
      <c r="N1052" s="20" t="s">
        <v>252</v>
      </c>
      <c r="O1052" s="1" t="s">
        <v>488</v>
      </c>
      <c r="P1052" s="22" t="str">
        <f aca="false">_xlfn.CONCAT(B1052,C1052,D1052,E1052,F1052)</f>
        <v/>
      </c>
      <c r="Q1052" s="1" t="str">
        <f aca="false">_xlfn.CONCAT(H1052,I1052,J1052)</f>
        <v>LIGRFOCOM</v>
      </c>
    </row>
    <row r="1053" customFormat="false" ht="15" hidden="false" customHeight="false" outlineLevel="0" collapsed="false">
      <c r="G1053" s="15" t="n">
        <f aca="false">F1053-E1053</f>
        <v>0</v>
      </c>
      <c r="H1053" s="20" t="s">
        <v>248</v>
      </c>
      <c r="J1053" s="20" t="s">
        <v>256</v>
      </c>
      <c r="K1053" s="1" t="s">
        <v>430</v>
      </c>
      <c r="L1053" s="1" t="s">
        <v>489</v>
      </c>
      <c r="M1053" s="20" t="s">
        <v>251</v>
      </c>
      <c r="N1053" s="20" t="s">
        <v>252</v>
      </c>
      <c r="O1053" s="1" t="s">
        <v>490</v>
      </c>
      <c r="P1053" s="22" t="str">
        <f aca="false">_xlfn.CONCAT(B1053,C1053,D1053,E1053,F1053)</f>
        <v/>
      </c>
      <c r="Q1053" s="1" t="str">
        <f aca="false">_xlfn.CONCAT(H1053,I1053,J1053)</f>
        <v>DAURDE</v>
      </c>
    </row>
    <row r="1054" customFormat="false" ht="15" hidden="false" customHeight="false" outlineLevel="0" collapsed="false">
      <c r="G1054" s="15" t="n">
        <f aca="false">F1054-E1054</f>
        <v>0</v>
      </c>
      <c r="H1054" s="20" t="s">
        <v>445</v>
      </c>
      <c r="I1054" s="1" t="s">
        <v>263</v>
      </c>
      <c r="J1054" s="20" t="s">
        <v>264</v>
      </c>
      <c r="K1054" s="1" t="s">
        <v>456</v>
      </c>
      <c r="L1054" s="1" t="s">
        <v>491</v>
      </c>
      <c r="M1054" s="20" t="s">
        <v>266</v>
      </c>
      <c r="N1054" s="20" t="s">
        <v>267</v>
      </c>
      <c r="O1054" s="1" t="s">
        <v>492</v>
      </c>
      <c r="P1054" s="22" t="str">
        <f aca="false">_xlfn.CONCAT(B1054,C1054,D1054,E1054,F1054)</f>
        <v/>
      </c>
      <c r="Q1054" s="1" t="str">
        <f aca="false">_xlfn.CONCAT(H1054,I1054,J1054)</f>
        <v>LIGRFOCOM</v>
      </c>
    </row>
    <row r="1055" customFormat="false" ht="15" hidden="false" customHeight="false" outlineLevel="0" collapsed="false">
      <c r="G1055" s="15" t="n">
        <f aca="false">F1055-E1055</f>
        <v>0</v>
      </c>
      <c r="H1055" s="20" t="s">
        <v>445</v>
      </c>
      <c r="I1055" s="1" t="s">
        <v>263</v>
      </c>
      <c r="J1055" s="20" t="s">
        <v>264</v>
      </c>
      <c r="K1055" s="1" t="s">
        <v>456</v>
      </c>
      <c r="L1055" s="1" t="s">
        <v>491</v>
      </c>
      <c r="M1055" s="20" t="s">
        <v>266</v>
      </c>
      <c r="N1055" s="20" t="s">
        <v>267</v>
      </c>
      <c r="O1055" s="1" t="s">
        <v>492</v>
      </c>
      <c r="P1055" s="22" t="str">
        <f aca="false">_xlfn.CONCAT(B1055,C1055,D1055,E1055,F1055)</f>
        <v/>
      </c>
      <c r="Q1055" s="1" t="str">
        <f aca="false">_xlfn.CONCAT(H1055,I1055,J1055)</f>
        <v>LIGRFOCOM</v>
      </c>
    </row>
    <row r="1056" customFormat="false" ht="15" hidden="false" customHeight="false" outlineLevel="0" collapsed="false">
      <c r="G1056" s="15" t="n">
        <f aca="false">F1056-E1056</f>
        <v>0</v>
      </c>
      <c r="H1056" s="20" t="s">
        <v>445</v>
      </c>
      <c r="I1056" s="1" t="s">
        <v>263</v>
      </c>
      <c r="J1056" s="20" t="s">
        <v>264</v>
      </c>
      <c r="K1056" s="1" t="s">
        <v>456</v>
      </c>
      <c r="L1056" s="1" t="s">
        <v>491</v>
      </c>
      <c r="M1056" s="20" t="s">
        <v>266</v>
      </c>
      <c r="N1056" s="20" t="s">
        <v>267</v>
      </c>
      <c r="O1056" s="1" t="s">
        <v>492</v>
      </c>
      <c r="P1056" s="22" t="str">
        <f aca="false">_xlfn.CONCAT(B1056,C1056,D1056,E1056,F1056)</f>
        <v/>
      </c>
      <c r="Q1056" s="1" t="str">
        <f aca="false">_xlfn.CONCAT(H1056,I1056,J1056)</f>
        <v>LIGRFOCOM</v>
      </c>
    </row>
    <row r="1057" customFormat="false" ht="15" hidden="false" customHeight="false" outlineLevel="0" collapsed="false">
      <c r="G1057" s="15" t="n">
        <f aca="false">F1057-E1057</f>
        <v>0</v>
      </c>
      <c r="H1057" s="20" t="s">
        <v>445</v>
      </c>
      <c r="I1057" s="1" t="s">
        <v>263</v>
      </c>
      <c r="J1057" s="20" t="s">
        <v>264</v>
      </c>
      <c r="K1057" s="1" t="s">
        <v>456</v>
      </c>
      <c r="L1057" s="1" t="s">
        <v>491</v>
      </c>
      <c r="M1057" s="20" t="s">
        <v>266</v>
      </c>
      <c r="N1057" s="20" t="s">
        <v>267</v>
      </c>
      <c r="O1057" s="1" t="s">
        <v>492</v>
      </c>
      <c r="P1057" s="22" t="str">
        <f aca="false">_xlfn.CONCAT(B1057,C1057,D1057,E1057,F1057)</f>
        <v/>
      </c>
      <c r="Q1057" s="1" t="str">
        <f aca="false">_xlfn.CONCAT(H1057,I1057,J1057)</f>
        <v>LIGRFOCOM</v>
      </c>
    </row>
    <row r="1058" customFormat="false" ht="15" hidden="false" customHeight="false" outlineLevel="0" collapsed="false">
      <c r="G1058" s="15" t="n">
        <f aca="false">F1058-E1058</f>
        <v>0</v>
      </c>
      <c r="H1058" s="20" t="s">
        <v>248</v>
      </c>
      <c r="J1058" s="20" t="s">
        <v>249</v>
      </c>
      <c r="K1058" s="1" t="s">
        <v>439</v>
      </c>
      <c r="L1058" s="1" t="s">
        <v>489</v>
      </c>
      <c r="M1058" s="20" t="s">
        <v>418</v>
      </c>
      <c r="N1058" s="20" t="s">
        <v>252</v>
      </c>
      <c r="O1058" s="1" t="s">
        <v>493</v>
      </c>
      <c r="P1058" s="22" t="str">
        <f aca="false">_xlfn.CONCAT(B1058,C1058,D1058,E1058,F1058)</f>
        <v/>
      </c>
      <c r="Q1058" s="1" t="str">
        <f aca="false">_xlfn.CONCAT(H1058,I1058,J1058)</f>
        <v>DAUINV</v>
      </c>
    </row>
    <row r="1059" customFormat="false" ht="15" hidden="false" customHeight="false" outlineLevel="0" collapsed="false">
      <c r="G1059" s="15" t="n">
        <f aca="false">F1059-E1059</f>
        <v>0</v>
      </c>
      <c r="H1059" s="20" t="s">
        <v>313</v>
      </c>
      <c r="J1059" s="20" t="s">
        <v>230</v>
      </c>
      <c r="K1059" s="1" t="s">
        <v>230</v>
      </c>
      <c r="L1059" s="1" t="s">
        <v>494</v>
      </c>
      <c r="M1059" s="20" t="s">
        <v>288</v>
      </c>
      <c r="N1059" s="20" t="s">
        <v>315</v>
      </c>
      <c r="O1059" s="1" t="s">
        <v>495</v>
      </c>
      <c r="P1059" s="22" t="str">
        <f aca="false">_xlfn.CONCAT(B1059,C1059,D1059,E1059,F1059)</f>
        <v/>
      </c>
      <c r="Q1059" s="1" t="str">
        <f aca="false">_xlfn.CONCAT(H1059,I1059,J1059)</f>
        <v>DPRUFV</v>
      </c>
    </row>
    <row r="1060" customFormat="false" ht="15" hidden="false" customHeight="false" outlineLevel="0" collapsed="false">
      <c r="G1060" s="15" t="n">
        <f aca="false">F1060-E1060</f>
        <v>0</v>
      </c>
      <c r="H1060" s="20" t="s">
        <v>313</v>
      </c>
      <c r="J1060" s="20" t="s">
        <v>230</v>
      </c>
      <c r="K1060" s="1" t="s">
        <v>230</v>
      </c>
      <c r="L1060" s="1" t="s">
        <v>494</v>
      </c>
      <c r="M1060" s="20" t="s">
        <v>288</v>
      </c>
      <c r="N1060" s="20" t="s">
        <v>315</v>
      </c>
      <c r="O1060" s="1" t="s">
        <v>495</v>
      </c>
      <c r="P1060" s="22" t="str">
        <f aca="false">_xlfn.CONCAT(B1060,C1060,D1060,E1060,F1060)</f>
        <v/>
      </c>
      <c r="Q1060" s="1" t="str">
        <f aca="false">_xlfn.CONCAT(H1060,I1060,J1060)</f>
        <v>DPRUFV</v>
      </c>
    </row>
    <row r="1061" customFormat="false" ht="15" hidden="false" customHeight="false" outlineLevel="0" collapsed="false">
      <c r="G1061" s="15" t="n">
        <f aca="false">F1061-E1061</f>
        <v>0</v>
      </c>
      <c r="H1061" s="20" t="s">
        <v>313</v>
      </c>
      <c r="J1061" s="20" t="s">
        <v>230</v>
      </c>
      <c r="K1061" s="1" t="s">
        <v>230</v>
      </c>
      <c r="L1061" s="1" t="s">
        <v>494</v>
      </c>
      <c r="M1061" s="20" t="s">
        <v>288</v>
      </c>
      <c r="N1061" s="20" t="s">
        <v>315</v>
      </c>
      <c r="O1061" s="1" t="s">
        <v>495</v>
      </c>
      <c r="P1061" s="22" t="str">
        <f aca="false">_xlfn.CONCAT(B1061,C1061,D1061,E1061,F1061)</f>
        <v/>
      </c>
      <c r="Q1061" s="1" t="str">
        <f aca="false">_xlfn.CONCAT(H1061,I1061,J1061)</f>
        <v>DPRUFV</v>
      </c>
    </row>
    <row r="1062" customFormat="false" ht="15" hidden="false" customHeight="false" outlineLevel="0" collapsed="false">
      <c r="G1062" s="15" t="n">
        <f aca="false">F1062-E1062</f>
        <v>0</v>
      </c>
      <c r="H1062" s="20" t="s">
        <v>313</v>
      </c>
      <c r="J1062" s="20" t="s">
        <v>230</v>
      </c>
      <c r="K1062" s="1" t="s">
        <v>230</v>
      </c>
      <c r="L1062" s="1" t="s">
        <v>494</v>
      </c>
      <c r="M1062" s="20" t="s">
        <v>288</v>
      </c>
      <c r="N1062" s="20" t="s">
        <v>315</v>
      </c>
      <c r="O1062" s="1" t="s">
        <v>495</v>
      </c>
      <c r="P1062" s="22" t="str">
        <f aca="false">_xlfn.CONCAT(B1062,C1062,D1062,E1062,F1062)</f>
        <v/>
      </c>
      <c r="Q1062" s="1" t="str">
        <f aca="false">_xlfn.CONCAT(H1062,I1062,J1062)</f>
        <v>DPRUFV</v>
      </c>
    </row>
    <row r="1063" customFormat="false" ht="15" hidden="false" customHeight="false" outlineLevel="0" collapsed="false">
      <c r="G1063" s="15" t="n">
        <f aca="false">F1063-E1063</f>
        <v>0</v>
      </c>
      <c r="H1063" s="20" t="s">
        <v>313</v>
      </c>
      <c r="J1063" s="20" t="s">
        <v>230</v>
      </c>
      <c r="K1063" s="1" t="s">
        <v>230</v>
      </c>
      <c r="L1063" s="1" t="s">
        <v>494</v>
      </c>
      <c r="M1063" s="20" t="s">
        <v>288</v>
      </c>
      <c r="N1063" s="20" t="s">
        <v>315</v>
      </c>
      <c r="O1063" s="1" t="s">
        <v>495</v>
      </c>
      <c r="P1063" s="22" t="str">
        <f aca="false">_xlfn.CONCAT(B1063,C1063,D1063,E1063,F1063)</f>
        <v/>
      </c>
      <c r="Q1063" s="1" t="str">
        <f aca="false">_xlfn.CONCAT(H1063,I1063,J1063)</f>
        <v>DPRUFV</v>
      </c>
    </row>
    <row r="1064" customFormat="false" ht="15" hidden="false" customHeight="false" outlineLevel="0" collapsed="false">
      <c r="G1064" s="15" t="n">
        <f aca="false">F1064-E1064</f>
        <v>0</v>
      </c>
      <c r="H1064" s="20" t="s">
        <v>313</v>
      </c>
      <c r="J1064" s="20" t="s">
        <v>230</v>
      </c>
      <c r="K1064" s="1" t="s">
        <v>230</v>
      </c>
      <c r="L1064" s="1" t="s">
        <v>494</v>
      </c>
      <c r="M1064" s="20" t="s">
        <v>288</v>
      </c>
      <c r="N1064" s="20" t="s">
        <v>315</v>
      </c>
      <c r="O1064" s="1" t="s">
        <v>495</v>
      </c>
      <c r="P1064" s="22" t="str">
        <f aca="false">_xlfn.CONCAT(B1064,C1064,D1064,E1064,F1064)</f>
        <v/>
      </c>
      <c r="Q1064" s="1" t="str">
        <f aca="false">_xlfn.CONCAT(H1064,I1064,J1064)</f>
        <v>DPRUFV</v>
      </c>
    </row>
    <row r="1065" customFormat="false" ht="15" hidden="false" customHeight="false" outlineLevel="0" collapsed="false">
      <c r="G1065" s="15" t="n">
        <f aca="false">F1065-E1065</f>
        <v>0</v>
      </c>
      <c r="H1065" s="20" t="s">
        <v>313</v>
      </c>
      <c r="J1065" s="20" t="s">
        <v>230</v>
      </c>
      <c r="K1065" s="1" t="s">
        <v>230</v>
      </c>
      <c r="L1065" s="1" t="s">
        <v>494</v>
      </c>
      <c r="M1065" s="20" t="s">
        <v>288</v>
      </c>
      <c r="N1065" s="20" t="s">
        <v>315</v>
      </c>
      <c r="O1065" s="1" t="s">
        <v>495</v>
      </c>
      <c r="P1065" s="22" t="str">
        <f aca="false">_xlfn.CONCAT(B1065,C1065,D1065,E1065,F1065)</f>
        <v/>
      </c>
      <c r="Q1065" s="1" t="str">
        <f aca="false">_xlfn.CONCAT(H1065,I1065,J1065)</f>
        <v>DPRUFV</v>
      </c>
    </row>
    <row r="1066" customFormat="false" ht="15" hidden="false" customHeight="false" outlineLevel="0" collapsed="false">
      <c r="G1066" s="15" t="n">
        <f aca="false">F1066-E1066</f>
        <v>0</v>
      </c>
      <c r="H1066" s="20" t="s">
        <v>313</v>
      </c>
      <c r="J1066" s="20" t="s">
        <v>230</v>
      </c>
      <c r="K1066" s="1" t="s">
        <v>230</v>
      </c>
      <c r="L1066" s="1" t="s">
        <v>494</v>
      </c>
      <c r="M1066" s="20" t="s">
        <v>288</v>
      </c>
      <c r="N1066" s="20" t="s">
        <v>315</v>
      </c>
      <c r="O1066" s="1" t="s">
        <v>495</v>
      </c>
      <c r="P1066" s="22" t="str">
        <f aca="false">_xlfn.CONCAT(B1066,C1066,D1066,E1066,F1066)</f>
        <v/>
      </c>
      <c r="Q1066" s="1" t="str">
        <f aca="false">_xlfn.CONCAT(H1066,I1066,J1066)</f>
        <v>DPRUFV</v>
      </c>
    </row>
    <row r="1067" customFormat="false" ht="15" hidden="false" customHeight="false" outlineLevel="0" collapsed="false">
      <c r="G1067" s="15" t="n">
        <f aca="false">F1067-E1067</f>
        <v>0</v>
      </c>
      <c r="H1067" s="20" t="s">
        <v>313</v>
      </c>
      <c r="J1067" s="20" t="s">
        <v>230</v>
      </c>
      <c r="K1067" s="1" t="s">
        <v>230</v>
      </c>
      <c r="L1067" s="1" t="s">
        <v>494</v>
      </c>
      <c r="M1067" s="20" t="s">
        <v>288</v>
      </c>
      <c r="N1067" s="20" t="s">
        <v>315</v>
      </c>
      <c r="O1067" s="1" t="s">
        <v>495</v>
      </c>
      <c r="P1067" s="22" t="str">
        <f aca="false">_xlfn.CONCAT(B1067,C1067,D1067,E1067,F1067)</f>
        <v/>
      </c>
      <c r="Q1067" s="1" t="str">
        <f aca="false">_xlfn.CONCAT(H1067,I1067,J1067)</f>
        <v>DPRUFV</v>
      </c>
    </row>
    <row r="1068" customFormat="false" ht="15" hidden="false" customHeight="false" outlineLevel="0" collapsed="false">
      <c r="G1068" s="15" t="n">
        <f aca="false">F1068-E1068</f>
        <v>0</v>
      </c>
      <c r="H1068" s="20" t="s">
        <v>313</v>
      </c>
      <c r="J1068" s="20" t="s">
        <v>230</v>
      </c>
      <c r="K1068" s="1" t="s">
        <v>230</v>
      </c>
      <c r="L1068" s="1" t="s">
        <v>494</v>
      </c>
      <c r="M1068" s="20" t="s">
        <v>288</v>
      </c>
      <c r="N1068" s="20" t="s">
        <v>315</v>
      </c>
      <c r="O1068" s="1" t="s">
        <v>495</v>
      </c>
      <c r="P1068" s="22" t="str">
        <f aca="false">_xlfn.CONCAT(B1068,C1068,D1068,E1068,F1068)</f>
        <v/>
      </c>
      <c r="Q1068" s="1" t="str">
        <f aca="false">_xlfn.CONCAT(H1068,I1068,J1068)</f>
        <v>DPRUFV</v>
      </c>
    </row>
    <row r="1069" customFormat="false" ht="15" hidden="false" customHeight="false" outlineLevel="0" collapsed="false">
      <c r="G1069" s="15" t="n">
        <f aca="false">F1069-E1069</f>
        <v>0</v>
      </c>
      <c r="H1069" s="20" t="s">
        <v>313</v>
      </c>
      <c r="J1069" s="20" t="s">
        <v>230</v>
      </c>
      <c r="K1069" s="1" t="s">
        <v>230</v>
      </c>
      <c r="L1069" s="1" t="s">
        <v>494</v>
      </c>
      <c r="M1069" s="20" t="s">
        <v>288</v>
      </c>
      <c r="N1069" s="20" t="s">
        <v>315</v>
      </c>
      <c r="O1069" s="1" t="s">
        <v>495</v>
      </c>
      <c r="P1069" s="22" t="str">
        <f aca="false">_xlfn.CONCAT(B1069,C1069,D1069,E1069,F1069)</f>
        <v/>
      </c>
      <c r="Q1069" s="1" t="str">
        <f aca="false">_xlfn.CONCAT(H1069,I1069,J1069)</f>
        <v>DPRUFV</v>
      </c>
    </row>
    <row r="1070" customFormat="false" ht="15" hidden="false" customHeight="false" outlineLevel="0" collapsed="false">
      <c r="G1070" s="15" t="n">
        <f aca="false">F1070-E1070</f>
        <v>0</v>
      </c>
      <c r="H1070" s="20" t="s">
        <v>313</v>
      </c>
      <c r="J1070" s="20" t="s">
        <v>230</v>
      </c>
      <c r="K1070" s="1" t="s">
        <v>230</v>
      </c>
      <c r="L1070" s="1" t="s">
        <v>494</v>
      </c>
      <c r="M1070" s="20" t="s">
        <v>288</v>
      </c>
      <c r="N1070" s="20" t="s">
        <v>315</v>
      </c>
      <c r="O1070" s="1" t="s">
        <v>495</v>
      </c>
      <c r="P1070" s="22" t="str">
        <f aca="false">_xlfn.CONCAT(B1070,C1070,D1070,E1070,F1070)</f>
        <v/>
      </c>
      <c r="Q1070" s="1" t="str">
        <f aca="false">_xlfn.CONCAT(H1070,I1070,J1070)</f>
        <v>DPRUFV</v>
      </c>
    </row>
    <row r="1071" customFormat="false" ht="15" hidden="false" customHeight="false" outlineLevel="0" collapsed="false">
      <c r="G1071" s="15" t="n">
        <f aca="false">F1071-E1071</f>
        <v>0</v>
      </c>
      <c r="H1071" s="20" t="s">
        <v>248</v>
      </c>
      <c r="J1071" s="20" t="s">
        <v>256</v>
      </c>
      <c r="K1071" s="1" t="s">
        <v>430</v>
      </c>
      <c r="L1071" s="1" t="s">
        <v>257</v>
      </c>
      <c r="M1071" s="20" t="s">
        <v>258</v>
      </c>
      <c r="N1071" s="20" t="s">
        <v>259</v>
      </c>
      <c r="O1071" s="1" t="s">
        <v>495</v>
      </c>
      <c r="P1071" s="22" t="str">
        <f aca="false">_xlfn.CONCAT(B1071,C1071,D1071,E1071,F1071)</f>
        <v/>
      </c>
      <c r="Q1071" s="1" t="str">
        <f aca="false">_xlfn.CONCAT(H1071,I1071,J1071)</f>
        <v>DAURDE</v>
      </c>
    </row>
    <row r="1072" customFormat="false" ht="15" hidden="false" customHeight="false" outlineLevel="0" collapsed="false">
      <c r="G1072" s="15" t="n">
        <f aca="false">F1072-E1072</f>
        <v>0</v>
      </c>
      <c r="H1072" s="20" t="s">
        <v>248</v>
      </c>
      <c r="J1072" s="20" t="s">
        <v>256</v>
      </c>
      <c r="K1072" s="1" t="s">
        <v>430</v>
      </c>
      <c r="L1072" s="1" t="s">
        <v>257</v>
      </c>
      <c r="M1072" s="20" t="s">
        <v>258</v>
      </c>
      <c r="N1072" s="20" t="s">
        <v>259</v>
      </c>
      <c r="O1072" s="1" t="s">
        <v>495</v>
      </c>
      <c r="P1072" s="22" t="str">
        <f aca="false">_xlfn.CONCAT(B1072,C1072,D1072,E1072,F1072)</f>
        <v/>
      </c>
      <c r="Q1072" s="1" t="str">
        <f aca="false">_xlfn.CONCAT(H1072,I1072,J1072)</f>
        <v>DAURDE</v>
      </c>
    </row>
    <row r="1073" customFormat="false" ht="15" hidden="false" customHeight="false" outlineLevel="0" collapsed="false">
      <c r="G1073" s="15" t="n">
        <f aca="false">F1073-E1073</f>
        <v>0</v>
      </c>
      <c r="H1073" s="20" t="s">
        <v>248</v>
      </c>
      <c r="J1073" s="20" t="s">
        <v>256</v>
      </c>
      <c r="K1073" s="1" t="s">
        <v>430</v>
      </c>
      <c r="L1073" s="1" t="s">
        <v>257</v>
      </c>
      <c r="M1073" s="20" t="s">
        <v>258</v>
      </c>
      <c r="N1073" s="20" t="s">
        <v>259</v>
      </c>
      <c r="O1073" s="1" t="s">
        <v>495</v>
      </c>
      <c r="P1073" s="22" t="str">
        <f aca="false">_xlfn.CONCAT(B1073,C1073,D1073,E1073,F1073)</f>
        <v/>
      </c>
      <c r="Q1073" s="1" t="str">
        <f aca="false">_xlfn.CONCAT(H1073,I1073,J1073)</f>
        <v>DAURDE</v>
      </c>
    </row>
    <row r="1074" customFormat="false" ht="15" hidden="false" customHeight="false" outlineLevel="0" collapsed="false">
      <c r="G1074" s="15" t="n">
        <f aca="false">F1074-E1074</f>
        <v>0</v>
      </c>
      <c r="H1074" s="20" t="s">
        <v>248</v>
      </c>
      <c r="J1074" s="20" t="s">
        <v>256</v>
      </c>
      <c r="K1074" s="1" t="s">
        <v>430</v>
      </c>
      <c r="L1074" s="1" t="s">
        <v>257</v>
      </c>
      <c r="M1074" s="20" t="s">
        <v>258</v>
      </c>
      <c r="N1074" s="20" t="s">
        <v>259</v>
      </c>
      <c r="O1074" s="1" t="s">
        <v>495</v>
      </c>
      <c r="P1074" s="22" t="str">
        <f aca="false">_xlfn.CONCAT(B1074,C1074,D1074,E1074,F1074)</f>
        <v/>
      </c>
      <c r="Q1074" s="1" t="str">
        <f aca="false">_xlfn.CONCAT(H1074,I1074,J1074)</f>
        <v>DAURDE</v>
      </c>
    </row>
    <row r="1075" customFormat="false" ht="15" hidden="false" customHeight="false" outlineLevel="0" collapsed="false">
      <c r="G1075" s="15" t="n">
        <f aca="false">F1075-E1075</f>
        <v>0</v>
      </c>
      <c r="H1075" s="20" t="s">
        <v>248</v>
      </c>
      <c r="J1075" s="20" t="s">
        <v>256</v>
      </c>
      <c r="K1075" s="1" t="s">
        <v>430</v>
      </c>
      <c r="L1075" s="1" t="s">
        <v>257</v>
      </c>
      <c r="M1075" s="20" t="s">
        <v>258</v>
      </c>
      <c r="N1075" s="20" t="s">
        <v>259</v>
      </c>
      <c r="O1075" s="1" t="s">
        <v>495</v>
      </c>
      <c r="P1075" s="22" t="str">
        <f aca="false">_xlfn.CONCAT(B1075,C1075,D1075,E1075,F1075)</f>
        <v/>
      </c>
      <c r="Q1075" s="1" t="str">
        <f aca="false">_xlfn.CONCAT(H1075,I1075,J1075)</f>
        <v>DAURDE</v>
      </c>
    </row>
    <row r="1076" customFormat="false" ht="15" hidden="false" customHeight="false" outlineLevel="0" collapsed="false">
      <c r="G1076" s="15" t="n">
        <f aca="false">F1076-E1076</f>
        <v>0</v>
      </c>
      <c r="H1076" s="20" t="s">
        <v>248</v>
      </c>
      <c r="J1076" s="20" t="s">
        <v>256</v>
      </c>
      <c r="K1076" s="1" t="s">
        <v>430</v>
      </c>
      <c r="L1076" s="1" t="s">
        <v>496</v>
      </c>
      <c r="M1076" s="20" t="s">
        <v>258</v>
      </c>
      <c r="N1076" s="20" t="s">
        <v>259</v>
      </c>
      <c r="O1076" s="1" t="s">
        <v>497</v>
      </c>
      <c r="P1076" s="22" t="str">
        <f aca="false">_xlfn.CONCAT(B1076,C1076,D1076,E1076,F1076)</f>
        <v/>
      </c>
      <c r="Q1076" s="1" t="str">
        <f aca="false">_xlfn.CONCAT(H1076,I1076,J1076)</f>
        <v>DAURDE</v>
      </c>
    </row>
    <row r="1077" customFormat="false" ht="15" hidden="false" customHeight="false" outlineLevel="0" collapsed="false">
      <c r="G1077" s="15" t="n">
        <f aca="false">F1077-E1077</f>
        <v>0</v>
      </c>
      <c r="H1077" s="20" t="s">
        <v>248</v>
      </c>
      <c r="J1077" s="20" t="s">
        <v>256</v>
      </c>
      <c r="K1077" s="1" t="s">
        <v>430</v>
      </c>
      <c r="L1077" s="1" t="s">
        <v>496</v>
      </c>
      <c r="M1077" s="20" t="s">
        <v>258</v>
      </c>
      <c r="N1077" s="20" t="s">
        <v>259</v>
      </c>
      <c r="O1077" s="1" t="s">
        <v>497</v>
      </c>
      <c r="P1077" s="22" t="str">
        <f aca="false">_xlfn.CONCAT(B1077,C1077,D1077,E1077,F1077)</f>
        <v/>
      </c>
      <c r="Q1077" s="1" t="str">
        <f aca="false">_xlfn.CONCAT(H1077,I1077,J1077)</f>
        <v>DAURDE</v>
      </c>
    </row>
    <row r="1078" customFormat="false" ht="15" hidden="false" customHeight="false" outlineLevel="0" collapsed="false">
      <c r="G1078" s="15" t="n">
        <f aca="false">F1078-E1078</f>
        <v>0</v>
      </c>
      <c r="H1078" s="20" t="s">
        <v>248</v>
      </c>
      <c r="J1078" s="20" t="s">
        <v>256</v>
      </c>
      <c r="K1078" s="1" t="s">
        <v>430</v>
      </c>
      <c r="L1078" s="1" t="s">
        <v>496</v>
      </c>
      <c r="M1078" s="20" t="s">
        <v>258</v>
      </c>
      <c r="N1078" s="20" t="s">
        <v>259</v>
      </c>
      <c r="O1078" s="1" t="s">
        <v>497</v>
      </c>
      <c r="P1078" s="22" t="str">
        <f aca="false">_xlfn.CONCAT(B1078,C1078,D1078,E1078,F1078)</f>
        <v/>
      </c>
      <c r="Q1078" s="1" t="str">
        <f aca="false">_xlfn.CONCAT(H1078,I1078,J1078)</f>
        <v>DAURDE</v>
      </c>
    </row>
    <row r="1079" customFormat="false" ht="15" hidden="false" customHeight="false" outlineLevel="0" collapsed="false">
      <c r="G1079" s="15" t="n">
        <f aca="false">F1079-E1079</f>
        <v>0</v>
      </c>
      <c r="H1079" s="20" t="s">
        <v>248</v>
      </c>
      <c r="J1079" s="20" t="s">
        <v>256</v>
      </c>
      <c r="K1079" s="1" t="s">
        <v>430</v>
      </c>
      <c r="L1079" s="1" t="s">
        <v>496</v>
      </c>
      <c r="M1079" s="20" t="s">
        <v>258</v>
      </c>
      <c r="N1079" s="20" t="s">
        <v>259</v>
      </c>
      <c r="O1079" s="1" t="s">
        <v>497</v>
      </c>
      <c r="P1079" s="22" t="str">
        <f aca="false">_xlfn.CONCAT(B1079,C1079,D1079,E1079,F1079)</f>
        <v/>
      </c>
      <c r="Q1079" s="1" t="str">
        <f aca="false">_xlfn.CONCAT(H1079,I1079,J1079)</f>
        <v>DAURDE</v>
      </c>
    </row>
    <row r="1080" customFormat="false" ht="15" hidden="false" customHeight="false" outlineLevel="0" collapsed="false">
      <c r="G1080" s="15" t="n">
        <f aca="false">F1080-E1080</f>
        <v>0</v>
      </c>
      <c r="H1080" s="20" t="s">
        <v>248</v>
      </c>
      <c r="J1080" s="20" t="s">
        <v>256</v>
      </c>
      <c r="K1080" s="1" t="s">
        <v>430</v>
      </c>
      <c r="L1080" s="1" t="s">
        <v>496</v>
      </c>
      <c r="M1080" s="20" t="s">
        <v>258</v>
      </c>
      <c r="N1080" s="20" t="s">
        <v>259</v>
      </c>
      <c r="O1080" s="1" t="s">
        <v>497</v>
      </c>
      <c r="P1080" s="22" t="str">
        <f aca="false">_xlfn.CONCAT(B1080,C1080,D1080,E1080,F1080)</f>
        <v/>
      </c>
      <c r="Q1080" s="1" t="str">
        <f aca="false">_xlfn.CONCAT(H1080,I1080,J1080)</f>
        <v>DAURDE</v>
      </c>
    </row>
    <row r="1081" customFormat="false" ht="15" hidden="false" customHeight="false" outlineLevel="0" collapsed="false">
      <c r="G1081" s="15" t="n">
        <f aca="false">F1081-E1081</f>
        <v>0</v>
      </c>
      <c r="H1081" s="20" t="s">
        <v>248</v>
      </c>
      <c r="J1081" s="20" t="s">
        <v>256</v>
      </c>
      <c r="K1081" s="1" t="s">
        <v>430</v>
      </c>
      <c r="L1081" s="1" t="s">
        <v>496</v>
      </c>
      <c r="M1081" s="20" t="s">
        <v>258</v>
      </c>
      <c r="N1081" s="20" t="s">
        <v>259</v>
      </c>
      <c r="O1081" s="1" t="s">
        <v>497</v>
      </c>
      <c r="P1081" s="22" t="str">
        <f aca="false">_xlfn.CONCAT(B1081,C1081,D1081,E1081,F1081)</f>
        <v/>
      </c>
      <c r="Q1081" s="1" t="str">
        <f aca="false">_xlfn.CONCAT(H1081,I1081,J1081)</f>
        <v>DAURDE</v>
      </c>
    </row>
    <row r="1082" customFormat="false" ht="15" hidden="false" customHeight="false" outlineLevel="0" collapsed="false">
      <c r="G1082" s="15" t="n">
        <f aca="false">F1082-E1082</f>
        <v>0</v>
      </c>
      <c r="H1082" s="20" t="s">
        <v>248</v>
      </c>
      <c r="J1082" s="20" t="s">
        <v>256</v>
      </c>
      <c r="K1082" s="1" t="s">
        <v>430</v>
      </c>
      <c r="L1082" s="1" t="s">
        <v>496</v>
      </c>
      <c r="M1082" s="20" t="s">
        <v>258</v>
      </c>
      <c r="N1082" s="20" t="s">
        <v>259</v>
      </c>
      <c r="O1082" s="1" t="s">
        <v>497</v>
      </c>
      <c r="P1082" s="22" t="str">
        <f aca="false">_xlfn.CONCAT(B1082,C1082,D1082,E1082,F1082)</f>
        <v/>
      </c>
      <c r="Q1082" s="1" t="str">
        <f aca="false">_xlfn.CONCAT(H1082,I1082,J1082)</f>
        <v>DAURDE</v>
      </c>
    </row>
    <row r="1083" customFormat="false" ht="15" hidden="false" customHeight="false" outlineLevel="0" collapsed="false">
      <c r="G1083" s="15" t="n">
        <f aca="false">F1083-E1083</f>
        <v>0</v>
      </c>
      <c r="H1083" s="20" t="s">
        <v>248</v>
      </c>
      <c r="J1083" s="20" t="s">
        <v>256</v>
      </c>
      <c r="K1083" s="1" t="s">
        <v>430</v>
      </c>
      <c r="L1083" s="1" t="s">
        <v>496</v>
      </c>
      <c r="M1083" s="20" t="s">
        <v>258</v>
      </c>
      <c r="N1083" s="20" t="s">
        <v>259</v>
      </c>
      <c r="O1083" s="1" t="s">
        <v>497</v>
      </c>
      <c r="P1083" s="22" t="str">
        <f aca="false">_xlfn.CONCAT(B1083,C1083,D1083,E1083,F1083)</f>
        <v/>
      </c>
      <c r="Q1083" s="1" t="str">
        <f aca="false">_xlfn.CONCAT(H1083,I1083,J1083)</f>
        <v>DAURDE</v>
      </c>
    </row>
    <row r="1084" customFormat="false" ht="15" hidden="false" customHeight="false" outlineLevel="0" collapsed="false">
      <c r="G1084" s="15" t="n">
        <f aca="false">F1084-E1084</f>
        <v>0</v>
      </c>
      <c r="H1084" s="20" t="s">
        <v>248</v>
      </c>
      <c r="J1084" s="20" t="s">
        <v>256</v>
      </c>
      <c r="K1084" s="1" t="s">
        <v>430</v>
      </c>
      <c r="L1084" s="1" t="s">
        <v>496</v>
      </c>
      <c r="M1084" s="20" t="s">
        <v>258</v>
      </c>
      <c r="N1084" s="20" t="s">
        <v>259</v>
      </c>
      <c r="O1084" s="1" t="s">
        <v>497</v>
      </c>
      <c r="P1084" s="22" t="str">
        <f aca="false">_xlfn.CONCAT(B1084,C1084,D1084,E1084,F1084)</f>
        <v/>
      </c>
      <c r="Q1084" s="1" t="str">
        <f aca="false">_xlfn.CONCAT(H1084,I1084,J1084)</f>
        <v>DAURDE</v>
      </c>
    </row>
    <row r="1085" customFormat="false" ht="15" hidden="false" customHeight="false" outlineLevel="0" collapsed="false">
      <c r="G1085" s="15" t="n">
        <f aca="false">F1085-E1085</f>
        <v>0</v>
      </c>
      <c r="H1085" s="20" t="s">
        <v>248</v>
      </c>
      <c r="J1085" s="20" t="s">
        <v>256</v>
      </c>
      <c r="K1085" s="1" t="s">
        <v>430</v>
      </c>
      <c r="L1085" s="1" t="s">
        <v>496</v>
      </c>
      <c r="M1085" s="20" t="s">
        <v>258</v>
      </c>
      <c r="N1085" s="20" t="s">
        <v>259</v>
      </c>
      <c r="O1085" s="1" t="s">
        <v>497</v>
      </c>
      <c r="P1085" s="22" t="str">
        <f aca="false">_xlfn.CONCAT(B1085,C1085,D1085,E1085,F1085)</f>
        <v/>
      </c>
      <c r="Q1085" s="1" t="str">
        <f aca="false">_xlfn.CONCAT(H1085,I1085,J1085)</f>
        <v>DAURDE</v>
      </c>
    </row>
    <row r="1086" customFormat="false" ht="15" hidden="false" customHeight="false" outlineLevel="0" collapsed="false">
      <c r="G1086" s="15" t="n">
        <f aca="false">F1086-E1086</f>
        <v>0</v>
      </c>
      <c r="H1086" s="20" t="s">
        <v>248</v>
      </c>
      <c r="J1086" s="20" t="s">
        <v>256</v>
      </c>
      <c r="K1086" s="1" t="s">
        <v>430</v>
      </c>
      <c r="L1086" s="1" t="s">
        <v>496</v>
      </c>
      <c r="M1086" s="20" t="s">
        <v>258</v>
      </c>
      <c r="N1086" s="20" t="s">
        <v>259</v>
      </c>
      <c r="O1086" s="1" t="s">
        <v>497</v>
      </c>
      <c r="P1086" s="22" t="str">
        <f aca="false">_xlfn.CONCAT(B1086,C1086,D1086,E1086,F1086)</f>
        <v/>
      </c>
      <c r="Q1086" s="1" t="str">
        <f aca="false">_xlfn.CONCAT(H1086,I1086,J1086)</f>
        <v>DAURDE</v>
      </c>
    </row>
    <row r="1087" customFormat="false" ht="15" hidden="false" customHeight="false" outlineLevel="0" collapsed="false">
      <c r="G1087" s="15" t="n">
        <f aca="false">F1087-E1087</f>
        <v>0</v>
      </c>
      <c r="H1087" s="20" t="s">
        <v>248</v>
      </c>
      <c r="J1087" s="20" t="s">
        <v>256</v>
      </c>
      <c r="K1087" s="1" t="s">
        <v>430</v>
      </c>
      <c r="L1087" s="1" t="s">
        <v>496</v>
      </c>
      <c r="M1087" s="20" t="s">
        <v>258</v>
      </c>
      <c r="N1087" s="20" t="s">
        <v>259</v>
      </c>
      <c r="O1087" s="1" t="s">
        <v>497</v>
      </c>
      <c r="P1087" s="22" t="str">
        <f aca="false">_xlfn.CONCAT(B1087,C1087,D1087,E1087,F1087)</f>
        <v/>
      </c>
      <c r="Q1087" s="1" t="str">
        <f aca="false">_xlfn.CONCAT(H1087,I1087,J1087)</f>
        <v>DAURDE</v>
      </c>
    </row>
    <row r="1088" customFormat="false" ht="15" hidden="false" customHeight="false" outlineLevel="0" collapsed="false">
      <c r="G1088" s="15" t="n">
        <f aca="false">F1088-E1088</f>
        <v>0</v>
      </c>
      <c r="H1088" s="20" t="s">
        <v>248</v>
      </c>
      <c r="J1088" s="20" t="s">
        <v>256</v>
      </c>
      <c r="K1088" s="1" t="s">
        <v>430</v>
      </c>
      <c r="L1088" s="1" t="s">
        <v>496</v>
      </c>
      <c r="M1088" s="20" t="s">
        <v>258</v>
      </c>
      <c r="N1088" s="20" t="s">
        <v>259</v>
      </c>
      <c r="O1088" s="1" t="s">
        <v>497</v>
      </c>
      <c r="P1088" s="22" t="str">
        <f aca="false">_xlfn.CONCAT(B1088,C1088,D1088,E1088,F1088)</f>
        <v/>
      </c>
      <c r="Q1088" s="1" t="str">
        <f aca="false">_xlfn.CONCAT(H1088,I1088,J1088)</f>
        <v>DAURDE</v>
      </c>
    </row>
    <row r="1089" customFormat="false" ht="15" hidden="false" customHeight="false" outlineLevel="0" collapsed="false">
      <c r="G1089" s="15" t="n">
        <f aca="false">F1089-E1089</f>
        <v>0</v>
      </c>
      <c r="H1089" s="20" t="s">
        <v>248</v>
      </c>
      <c r="J1089" s="20" t="s">
        <v>256</v>
      </c>
      <c r="K1089" s="1" t="s">
        <v>430</v>
      </c>
      <c r="L1089" s="1" t="s">
        <v>496</v>
      </c>
      <c r="M1089" s="20" t="s">
        <v>258</v>
      </c>
      <c r="N1089" s="20" t="s">
        <v>259</v>
      </c>
      <c r="O1089" s="1" t="s">
        <v>497</v>
      </c>
      <c r="P1089" s="22" t="str">
        <f aca="false">_xlfn.CONCAT(B1089,C1089,D1089,E1089,F1089)</f>
        <v/>
      </c>
      <c r="Q1089" s="1" t="str">
        <f aca="false">_xlfn.CONCAT(H1089,I1089,J1089)</f>
        <v>DAURDE</v>
      </c>
    </row>
    <row r="1090" customFormat="false" ht="15" hidden="false" customHeight="false" outlineLevel="0" collapsed="false">
      <c r="G1090" s="15" t="n">
        <f aca="false">F1090-E1090</f>
        <v>0</v>
      </c>
      <c r="H1090" s="20" t="s">
        <v>248</v>
      </c>
      <c r="J1090" s="20" t="s">
        <v>256</v>
      </c>
      <c r="K1090" s="1" t="s">
        <v>430</v>
      </c>
      <c r="L1090" s="1" t="s">
        <v>496</v>
      </c>
      <c r="M1090" s="20" t="s">
        <v>258</v>
      </c>
      <c r="N1090" s="20" t="s">
        <v>259</v>
      </c>
      <c r="O1090" s="1" t="s">
        <v>497</v>
      </c>
      <c r="P1090" s="22" t="str">
        <f aca="false">_xlfn.CONCAT(B1090,C1090,D1090,E1090,F1090)</f>
        <v/>
      </c>
      <c r="Q1090" s="1" t="str">
        <f aca="false">_xlfn.CONCAT(H1090,I1090,J1090)</f>
        <v>DAURDE</v>
      </c>
    </row>
    <row r="1091" customFormat="false" ht="15" hidden="false" customHeight="false" outlineLevel="0" collapsed="false">
      <c r="G1091" s="15" t="n">
        <f aca="false">F1091-E1091</f>
        <v>0</v>
      </c>
      <c r="H1091" s="20" t="s">
        <v>248</v>
      </c>
      <c r="J1091" s="20" t="s">
        <v>256</v>
      </c>
      <c r="K1091" s="1" t="s">
        <v>430</v>
      </c>
      <c r="L1091" s="1" t="s">
        <v>496</v>
      </c>
      <c r="M1091" s="20" t="s">
        <v>258</v>
      </c>
      <c r="N1091" s="20" t="s">
        <v>259</v>
      </c>
      <c r="O1091" s="1" t="s">
        <v>497</v>
      </c>
      <c r="P1091" s="22" t="str">
        <f aca="false">_xlfn.CONCAT(B1091,C1091,D1091,E1091,F1091)</f>
        <v/>
      </c>
      <c r="Q1091" s="1" t="str">
        <f aca="false">_xlfn.CONCAT(H1091,I1091,J1091)</f>
        <v>DAURDE</v>
      </c>
    </row>
    <row r="1092" customFormat="false" ht="15" hidden="false" customHeight="false" outlineLevel="0" collapsed="false">
      <c r="G1092" s="15" t="n">
        <f aca="false">F1092-E1092</f>
        <v>0</v>
      </c>
      <c r="H1092" s="20" t="s">
        <v>248</v>
      </c>
      <c r="J1092" s="20" t="s">
        <v>256</v>
      </c>
      <c r="K1092" s="1" t="s">
        <v>430</v>
      </c>
      <c r="L1092" s="1" t="s">
        <v>496</v>
      </c>
      <c r="M1092" s="20" t="s">
        <v>258</v>
      </c>
      <c r="N1092" s="20" t="s">
        <v>259</v>
      </c>
      <c r="O1092" s="1" t="s">
        <v>497</v>
      </c>
      <c r="P1092" s="22" t="str">
        <f aca="false">_xlfn.CONCAT(B1092,C1092,D1092,E1092,F1092)</f>
        <v/>
      </c>
      <c r="Q1092" s="1" t="str">
        <f aca="false">_xlfn.CONCAT(H1092,I1092,J1092)</f>
        <v>DAURDE</v>
      </c>
    </row>
    <row r="1093" customFormat="false" ht="15" hidden="false" customHeight="false" outlineLevel="0" collapsed="false">
      <c r="G1093" s="15" t="n">
        <f aca="false">F1093-E1093</f>
        <v>0</v>
      </c>
      <c r="H1093" s="20" t="s">
        <v>248</v>
      </c>
      <c r="J1093" s="20" t="s">
        <v>256</v>
      </c>
      <c r="K1093" s="1" t="s">
        <v>430</v>
      </c>
      <c r="L1093" s="1" t="s">
        <v>496</v>
      </c>
      <c r="M1093" s="20" t="s">
        <v>258</v>
      </c>
      <c r="N1093" s="20" t="s">
        <v>259</v>
      </c>
      <c r="O1093" s="1" t="s">
        <v>497</v>
      </c>
      <c r="P1093" s="22" t="str">
        <f aca="false">_xlfn.CONCAT(B1093,C1093,D1093,E1093,F1093)</f>
        <v/>
      </c>
      <c r="Q1093" s="1" t="str">
        <f aca="false">_xlfn.CONCAT(H1093,I1093,J1093)</f>
        <v>DAURDE</v>
      </c>
    </row>
    <row r="1094" customFormat="false" ht="15" hidden="false" customHeight="false" outlineLevel="0" collapsed="false">
      <c r="G1094" s="15" t="n">
        <f aca="false">F1094-E1094</f>
        <v>0</v>
      </c>
      <c r="H1094" s="20" t="s">
        <v>248</v>
      </c>
      <c r="J1094" s="20" t="s">
        <v>256</v>
      </c>
      <c r="K1094" s="1" t="s">
        <v>430</v>
      </c>
      <c r="L1094" s="1" t="s">
        <v>496</v>
      </c>
      <c r="M1094" s="20" t="s">
        <v>258</v>
      </c>
      <c r="N1094" s="20" t="s">
        <v>259</v>
      </c>
      <c r="O1094" s="1" t="s">
        <v>497</v>
      </c>
      <c r="P1094" s="22" t="str">
        <f aca="false">_xlfn.CONCAT(B1094,C1094,D1094,E1094,F1094)</f>
        <v/>
      </c>
      <c r="Q1094" s="1" t="str">
        <f aca="false">_xlfn.CONCAT(H1094,I1094,J1094)</f>
        <v>DAURDE</v>
      </c>
    </row>
    <row r="1095" customFormat="false" ht="15" hidden="false" customHeight="false" outlineLevel="0" collapsed="false">
      <c r="G1095" s="15" t="n">
        <f aca="false">F1095-E1095</f>
        <v>0</v>
      </c>
      <c r="H1095" s="20" t="s">
        <v>248</v>
      </c>
      <c r="J1095" s="20" t="s">
        <v>256</v>
      </c>
      <c r="K1095" s="1" t="s">
        <v>430</v>
      </c>
      <c r="L1095" s="1" t="s">
        <v>496</v>
      </c>
      <c r="M1095" s="20" t="s">
        <v>258</v>
      </c>
      <c r="N1095" s="20" t="s">
        <v>259</v>
      </c>
      <c r="O1095" s="1" t="s">
        <v>497</v>
      </c>
      <c r="P1095" s="22" t="str">
        <f aca="false">_xlfn.CONCAT(B1095,C1095,D1095,E1095,F1095)</f>
        <v/>
      </c>
      <c r="Q1095" s="1" t="str">
        <f aca="false">_xlfn.CONCAT(H1095,I1095,J1095)</f>
        <v>DAURDE</v>
      </c>
    </row>
    <row r="1096" customFormat="false" ht="15" hidden="false" customHeight="false" outlineLevel="0" collapsed="false">
      <c r="G1096" s="15" t="n">
        <f aca="false">F1096-E1096</f>
        <v>0</v>
      </c>
      <c r="H1096" s="20" t="s">
        <v>248</v>
      </c>
      <c r="J1096" s="20" t="s">
        <v>256</v>
      </c>
      <c r="K1096" s="1" t="s">
        <v>430</v>
      </c>
      <c r="L1096" s="1" t="s">
        <v>496</v>
      </c>
      <c r="M1096" s="20" t="s">
        <v>258</v>
      </c>
      <c r="N1096" s="20" t="s">
        <v>259</v>
      </c>
      <c r="O1096" s="1" t="s">
        <v>497</v>
      </c>
      <c r="P1096" s="22" t="str">
        <f aca="false">_xlfn.CONCAT(B1096,C1096,D1096,E1096,F1096)</f>
        <v/>
      </c>
      <c r="Q1096" s="1" t="str">
        <f aca="false">_xlfn.CONCAT(H1096,I1096,J1096)</f>
        <v>DAURDE</v>
      </c>
    </row>
    <row r="1097" customFormat="false" ht="15" hidden="false" customHeight="false" outlineLevel="0" collapsed="false">
      <c r="G1097" s="15" t="n">
        <f aca="false">F1097-E1097</f>
        <v>0</v>
      </c>
      <c r="H1097" s="20" t="s">
        <v>248</v>
      </c>
      <c r="J1097" s="20" t="s">
        <v>256</v>
      </c>
      <c r="K1097" s="1" t="s">
        <v>430</v>
      </c>
      <c r="L1097" s="1" t="s">
        <v>496</v>
      </c>
      <c r="M1097" s="20" t="s">
        <v>258</v>
      </c>
      <c r="N1097" s="20" t="s">
        <v>259</v>
      </c>
      <c r="O1097" s="1" t="s">
        <v>497</v>
      </c>
      <c r="P1097" s="22" t="str">
        <f aca="false">_xlfn.CONCAT(B1097,C1097,D1097,E1097,F1097)</f>
        <v/>
      </c>
      <c r="Q1097" s="1" t="str">
        <f aca="false">_xlfn.CONCAT(H1097,I1097,J1097)</f>
        <v>DAURDE</v>
      </c>
    </row>
    <row r="1098" customFormat="false" ht="15" hidden="false" customHeight="false" outlineLevel="0" collapsed="false">
      <c r="G1098" s="15" t="n">
        <f aca="false">F1098-E1098</f>
        <v>0</v>
      </c>
      <c r="H1098" s="20" t="s">
        <v>248</v>
      </c>
      <c r="J1098" s="20" t="s">
        <v>256</v>
      </c>
      <c r="K1098" s="1" t="s">
        <v>430</v>
      </c>
      <c r="L1098" s="1" t="s">
        <v>496</v>
      </c>
      <c r="M1098" s="20" t="s">
        <v>258</v>
      </c>
      <c r="N1098" s="20" t="s">
        <v>259</v>
      </c>
      <c r="O1098" s="1" t="s">
        <v>497</v>
      </c>
      <c r="P1098" s="22" t="str">
        <f aca="false">_xlfn.CONCAT(B1098,C1098,D1098,E1098,F1098)</f>
        <v/>
      </c>
      <c r="Q1098" s="1" t="str">
        <f aca="false">_xlfn.CONCAT(H1098,I1098,J1098)</f>
        <v>DAURDE</v>
      </c>
    </row>
    <row r="1099" customFormat="false" ht="15" hidden="false" customHeight="false" outlineLevel="0" collapsed="false">
      <c r="G1099" s="15" t="n">
        <f aca="false">F1099-E1099</f>
        <v>0</v>
      </c>
      <c r="H1099" s="20" t="s">
        <v>248</v>
      </c>
      <c r="J1099" s="20" t="s">
        <v>256</v>
      </c>
      <c r="K1099" s="1" t="s">
        <v>430</v>
      </c>
      <c r="L1099" s="1" t="s">
        <v>496</v>
      </c>
      <c r="M1099" s="20" t="s">
        <v>258</v>
      </c>
      <c r="N1099" s="20" t="s">
        <v>259</v>
      </c>
      <c r="O1099" s="1" t="s">
        <v>497</v>
      </c>
      <c r="P1099" s="22" t="str">
        <f aca="false">_xlfn.CONCAT(B1099,C1099,D1099,E1099,F1099)</f>
        <v/>
      </c>
      <c r="Q1099" s="1" t="str">
        <f aca="false">_xlfn.CONCAT(H1099,I1099,J1099)</f>
        <v>DAURDE</v>
      </c>
    </row>
    <row r="1100" customFormat="false" ht="15" hidden="false" customHeight="false" outlineLevel="0" collapsed="false">
      <c r="G1100" s="15" t="n">
        <f aca="false">F1100-E1100</f>
        <v>0</v>
      </c>
      <c r="H1100" s="20" t="s">
        <v>248</v>
      </c>
      <c r="J1100" s="20" t="s">
        <v>256</v>
      </c>
      <c r="K1100" s="1" t="s">
        <v>430</v>
      </c>
      <c r="L1100" s="1" t="s">
        <v>496</v>
      </c>
      <c r="M1100" s="20" t="s">
        <v>258</v>
      </c>
      <c r="N1100" s="20" t="s">
        <v>259</v>
      </c>
      <c r="O1100" s="1" t="s">
        <v>497</v>
      </c>
      <c r="P1100" s="22" t="str">
        <f aca="false">_xlfn.CONCAT(B1100,C1100,D1100,E1100,F1100)</f>
        <v/>
      </c>
      <c r="Q1100" s="1" t="str">
        <f aca="false">_xlfn.CONCAT(H1100,I1100,J1100)</f>
        <v>DAURDE</v>
      </c>
    </row>
    <row r="1101" customFormat="false" ht="15" hidden="false" customHeight="false" outlineLevel="0" collapsed="false">
      <c r="B1101" s="1" t="s">
        <v>498</v>
      </c>
      <c r="C1101" s="1" t="s">
        <v>499</v>
      </c>
      <c r="D1101" s="14" t="n">
        <v>46046.1631944444</v>
      </c>
      <c r="E1101" s="14" t="n">
        <v>46046.1631944444</v>
      </c>
      <c r="F1101" s="14" t="n">
        <v>46046.7777777778</v>
      </c>
      <c r="G1101" s="15" t="n">
        <f aca="false">F1101-E1101</f>
        <v>0.614583333333333</v>
      </c>
      <c r="H1101" s="20" t="s">
        <v>248</v>
      </c>
      <c r="J1101" s="20" t="s">
        <v>256</v>
      </c>
      <c r="K1101" s="1" t="s">
        <v>430</v>
      </c>
      <c r="L1101" s="1" t="s">
        <v>496</v>
      </c>
      <c r="M1101" s="20" t="s">
        <v>258</v>
      </c>
      <c r="N1101" s="20" t="s">
        <v>259</v>
      </c>
      <c r="O1101" s="1" t="s">
        <v>497</v>
      </c>
      <c r="P1101" s="22" t="str">
        <f aca="false">_xlfn.CONCAT(B1101,C1101,D1101,E1101,F1101)</f>
        <v>BC Corumba2.3U03.I0346046.163194444446046.163194444446046.7777777778</v>
      </c>
      <c r="Q1101" s="1" t="str">
        <f aca="false">_xlfn.CONCAT(H1101,I1101,J1101)</f>
        <v>DAURDE</v>
      </c>
    </row>
    <row r="1102" customFormat="false" ht="15" hidden="false" customHeight="false" outlineLevel="0" collapsed="false">
      <c r="B1102" s="1" t="s">
        <v>333</v>
      </c>
      <c r="C1102" s="1" t="s">
        <v>342</v>
      </c>
      <c r="D1102" s="14" t="n">
        <v>46046.2604166667</v>
      </c>
      <c r="E1102" s="14" t="n">
        <v>46046.2604166667</v>
      </c>
      <c r="F1102" s="14" t="n">
        <v>46046.2777777778</v>
      </c>
      <c r="G1102" s="15" t="n">
        <f aca="false">F1102-E1102</f>
        <v>0.0173611111111111</v>
      </c>
      <c r="H1102" s="20" t="s">
        <v>248</v>
      </c>
      <c r="J1102" s="20" t="s">
        <v>256</v>
      </c>
      <c r="K1102" s="1" t="s">
        <v>430</v>
      </c>
      <c r="L1102" s="1" t="s">
        <v>436</v>
      </c>
      <c r="M1102" s="20" t="s">
        <v>258</v>
      </c>
      <c r="N1102" s="20" t="s">
        <v>259</v>
      </c>
      <c r="O1102" s="1" t="s">
        <v>500</v>
      </c>
      <c r="P1102" s="22" t="str">
        <f aca="false">_xlfn.CONCAT(B1102,C1102,D1102,E1102,F1102)</f>
        <v>BC ParanoaSG60KTL(COM1-016)_001_00646046.260416666746046.260416666746046.2777777778</v>
      </c>
      <c r="Q1102" s="1" t="str">
        <f aca="false">_xlfn.CONCAT(H1102,I1102,J1102)</f>
        <v>DAURDE</v>
      </c>
    </row>
    <row r="1103" customFormat="false" ht="15" hidden="false" customHeight="false" outlineLevel="0" collapsed="false">
      <c r="B1103" s="1" t="s">
        <v>333</v>
      </c>
      <c r="C1103" s="1" t="s">
        <v>347</v>
      </c>
      <c r="D1103" s="14" t="n">
        <v>46046.2604166667</v>
      </c>
      <c r="E1103" s="14" t="n">
        <v>46046.2604166667</v>
      </c>
      <c r="F1103" s="14" t="n">
        <v>46046.2777777778</v>
      </c>
      <c r="G1103" s="15" t="n">
        <f aca="false">F1103-E1103</f>
        <v>0.0173611111111111</v>
      </c>
      <c r="H1103" s="20" t="s">
        <v>248</v>
      </c>
      <c r="J1103" s="20" t="s">
        <v>256</v>
      </c>
      <c r="K1103" s="1" t="s">
        <v>430</v>
      </c>
      <c r="L1103" s="1" t="s">
        <v>436</v>
      </c>
      <c r="M1103" s="20" t="s">
        <v>258</v>
      </c>
      <c r="N1103" s="20" t="s">
        <v>259</v>
      </c>
      <c r="O1103" s="1" t="s">
        <v>500</v>
      </c>
      <c r="P1103" s="22" t="str">
        <f aca="false">_xlfn.CONCAT(B1103,C1103,D1103,E1103,F1103)</f>
        <v>BC ParanoaSG60KTL(COM1-006)_001_01446046.260416666746046.260416666746046.2777777778</v>
      </c>
      <c r="Q1103" s="1" t="str">
        <f aca="false">_xlfn.CONCAT(H1103,I1103,J1103)</f>
        <v>DAURDE</v>
      </c>
    </row>
    <row r="1104" customFormat="false" ht="15" hidden="false" customHeight="false" outlineLevel="0" collapsed="false">
      <c r="B1104" s="1" t="s">
        <v>333</v>
      </c>
      <c r="C1104" s="1" t="s">
        <v>351</v>
      </c>
      <c r="D1104" s="14" t="n">
        <v>46046.2604166667</v>
      </c>
      <c r="E1104" s="14" t="n">
        <v>46046.2604166667</v>
      </c>
      <c r="F1104" s="14" t="n">
        <v>46046.2777777778</v>
      </c>
      <c r="G1104" s="15" t="n">
        <f aca="false">F1104-E1104</f>
        <v>0.0173611111111111</v>
      </c>
      <c r="H1104" s="20" t="s">
        <v>248</v>
      </c>
      <c r="J1104" s="20" t="s">
        <v>256</v>
      </c>
      <c r="K1104" s="1" t="s">
        <v>430</v>
      </c>
      <c r="L1104" s="1" t="s">
        <v>436</v>
      </c>
      <c r="M1104" s="20" t="s">
        <v>258</v>
      </c>
      <c r="N1104" s="20" t="s">
        <v>259</v>
      </c>
      <c r="O1104" s="1" t="s">
        <v>500</v>
      </c>
      <c r="P1104" s="22" t="str">
        <f aca="false">_xlfn.CONCAT(B1104,C1104,D1104,E1104,F1104)</f>
        <v>BC ParanoaSG60KTL(COM1-021)_002_01746046.260416666746046.260416666746046.2777777778</v>
      </c>
      <c r="Q1104" s="1" t="str">
        <f aca="false">_xlfn.CONCAT(H1104,I1104,J1104)</f>
        <v>DAURDE</v>
      </c>
    </row>
    <row r="1105" customFormat="false" ht="15" hidden="false" customHeight="false" outlineLevel="0" collapsed="false">
      <c r="B1105" s="1" t="s">
        <v>308</v>
      </c>
      <c r="C1105" s="1" t="s">
        <v>255</v>
      </c>
      <c r="D1105" s="14" t="n">
        <v>46046.2708333333</v>
      </c>
      <c r="E1105" s="14" t="n">
        <v>46046.2708333333</v>
      </c>
      <c r="F1105" s="14" t="n">
        <v>46046.7083333333</v>
      </c>
      <c r="G1105" s="15" t="n">
        <f aca="false">F1105-E1105</f>
        <v>0.4375</v>
      </c>
      <c r="H1105" s="20" t="s">
        <v>445</v>
      </c>
      <c r="I1105" s="1" t="s">
        <v>263</v>
      </c>
      <c r="J1105" s="20" t="s">
        <v>264</v>
      </c>
      <c r="K1105" s="1" t="s">
        <v>456</v>
      </c>
      <c r="L1105" s="1" t="s">
        <v>501</v>
      </c>
      <c r="M1105" s="20" t="s">
        <v>266</v>
      </c>
      <c r="N1105" s="20" t="s">
        <v>267</v>
      </c>
      <c r="O1105" s="1" t="s">
        <v>502</v>
      </c>
      <c r="P1105" s="22" t="str">
        <f aca="false">_xlfn.CONCAT(B1105,C1105,D1105,E1105,F1105)</f>
        <v>BC Aracu5.3Inverter(MBUS-1)46046.270833333346046.270833333346046.7083333333</v>
      </c>
      <c r="Q1105" s="1" t="str">
        <f aca="false">_xlfn.CONCAT(H1105,I1105,J1105)</f>
        <v>LIGRFOCOM</v>
      </c>
    </row>
    <row r="1106" customFormat="false" ht="15" hidden="false" customHeight="false" outlineLevel="0" collapsed="false">
      <c r="B1106" s="1" t="s">
        <v>311</v>
      </c>
      <c r="C1106" s="1" t="s">
        <v>312</v>
      </c>
      <c r="D1106" s="14" t="n">
        <v>46046.3402777778</v>
      </c>
      <c r="E1106" s="14" t="n">
        <v>46046.3402777778</v>
      </c>
      <c r="F1106" s="14" t="n">
        <v>46046.6111111111</v>
      </c>
      <c r="G1106" s="15" t="n">
        <f aca="false">F1106-E1106</f>
        <v>0.270833333333333</v>
      </c>
      <c r="H1106" s="20" t="s">
        <v>248</v>
      </c>
      <c r="J1106" s="20" t="s">
        <v>256</v>
      </c>
      <c r="K1106" s="1" t="s">
        <v>430</v>
      </c>
      <c r="L1106" s="1" t="s">
        <v>257</v>
      </c>
      <c r="M1106" s="20" t="s">
        <v>258</v>
      </c>
      <c r="N1106" s="20" t="s">
        <v>259</v>
      </c>
      <c r="O1106" s="1" t="s">
        <v>503</v>
      </c>
      <c r="P1106" s="22" t="str">
        <f aca="false">_xlfn.CONCAT(B1106,C1106,D1106,E1106,F1106)</f>
        <v>BC Aracu4SG75CX(COM1-018)_001_01846046.340277777846046.340277777846046.6111111111</v>
      </c>
      <c r="Q1106" s="1" t="str">
        <f aca="false">_xlfn.CONCAT(H1106,I1106,J1106)</f>
        <v>DAURDE</v>
      </c>
    </row>
    <row r="1107" customFormat="false" ht="15" hidden="false" customHeight="false" outlineLevel="0" collapsed="false">
      <c r="B1107" s="1" t="s">
        <v>311</v>
      </c>
      <c r="C1107" s="1" t="s">
        <v>317</v>
      </c>
      <c r="D1107" s="14" t="n">
        <v>46046.3402777778</v>
      </c>
      <c r="E1107" s="14" t="n">
        <v>46046.3402777778</v>
      </c>
      <c r="F1107" s="14" t="n">
        <v>46046.6111111111</v>
      </c>
      <c r="G1107" s="15" t="n">
        <f aca="false">F1107-E1107</f>
        <v>0.270833333333333</v>
      </c>
      <c r="H1107" s="20" t="s">
        <v>248</v>
      </c>
      <c r="J1107" s="20" t="s">
        <v>256</v>
      </c>
      <c r="K1107" s="1" t="s">
        <v>430</v>
      </c>
      <c r="L1107" s="1" t="s">
        <v>257</v>
      </c>
      <c r="M1107" s="20" t="s">
        <v>258</v>
      </c>
      <c r="N1107" s="20" t="s">
        <v>259</v>
      </c>
      <c r="O1107" s="1" t="s">
        <v>503</v>
      </c>
      <c r="P1107" s="22" t="str">
        <f aca="false">_xlfn.CONCAT(B1107,C1107,D1107,E1107,F1107)</f>
        <v>BC Aracu4SG75CX(COM1-019)_001_01946046.340277777846046.340277777846046.6111111111</v>
      </c>
      <c r="Q1107" s="1" t="str">
        <f aca="false">_xlfn.CONCAT(H1107,I1107,J1107)</f>
        <v>DAURDE</v>
      </c>
    </row>
    <row r="1108" customFormat="false" ht="15" hidden="false" customHeight="false" outlineLevel="0" collapsed="false">
      <c r="B1108" s="1" t="s">
        <v>311</v>
      </c>
      <c r="C1108" s="1" t="s">
        <v>318</v>
      </c>
      <c r="D1108" s="14" t="n">
        <v>46046.3402777778</v>
      </c>
      <c r="E1108" s="14" t="n">
        <v>46046.3402777778</v>
      </c>
      <c r="F1108" s="14" t="n">
        <v>46046.6111111111</v>
      </c>
      <c r="G1108" s="15" t="n">
        <f aca="false">F1108-E1108</f>
        <v>0.270833333333333</v>
      </c>
      <c r="H1108" s="20" t="s">
        <v>248</v>
      </c>
      <c r="J1108" s="20" t="s">
        <v>256</v>
      </c>
      <c r="K1108" s="1" t="s">
        <v>430</v>
      </c>
      <c r="L1108" s="1" t="s">
        <v>257</v>
      </c>
      <c r="M1108" s="20" t="s">
        <v>258</v>
      </c>
      <c r="N1108" s="20" t="s">
        <v>259</v>
      </c>
      <c r="O1108" s="1" t="s">
        <v>503</v>
      </c>
      <c r="P1108" s="22" t="str">
        <f aca="false">_xlfn.CONCAT(B1108,C1108,D1108,E1108,F1108)</f>
        <v>BC Aracu4SG75CX(COM1-020)_001_02046046.340277777846046.340277777846046.6111111111</v>
      </c>
      <c r="Q1108" s="1" t="str">
        <f aca="false">_xlfn.CONCAT(H1108,I1108,J1108)</f>
        <v>DAURDE</v>
      </c>
    </row>
    <row r="1109" customFormat="false" ht="15" hidden="false" customHeight="false" outlineLevel="0" collapsed="false">
      <c r="B1109" s="1" t="s">
        <v>311</v>
      </c>
      <c r="C1109" s="1" t="s">
        <v>319</v>
      </c>
      <c r="D1109" s="14" t="n">
        <v>46046.3402777778</v>
      </c>
      <c r="E1109" s="14" t="n">
        <v>46046.3402777778</v>
      </c>
      <c r="F1109" s="14" t="n">
        <v>46046.6111111111</v>
      </c>
      <c r="G1109" s="15" t="n">
        <f aca="false">F1109-E1109</f>
        <v>0.270833333333333</v>
      </c>
      <c r="H1109" s="20" t="s">
        <v>248</v>
      </c>
      <c r="J1109" s="20" t="s">
        <v>256</v>
      </c>
      <c r="K1109" s="1" t="s">
        <v>430</v>
      </c>
      <c r="L1109" s="1" t="s">
        <v>257</v>
      </c>
      <c r="M1109" s="20" t="s">
        <v>258</v>
      </c>
      <c r="N1109" s="20" t="s">
        <v>259</v>
      </c>
      <c r="O1109" s="1" t="s">
        <v>503</v>
      </c>
      <c r="P1109" s="22" t="str">
        <f aca="false">_xlfn.CONCAT(B1109,C1109,D1109,E1109,F1109)</f>
        <v>BC Aracu4SG75CX(COM1-021)_001_02146046.340277777846046.340277777846046.6111111111</v>
      </c>
      <c r="Q1109" s="1" t="str">
        <f aca="false">_xlfn.CONCAT(H1109,I1109,J1109)</f>
        <v>DAURDE</v>
      </c>
    </row>
    <row r="1110" customFormat="false" ht="15" hidden="false" customHeight="false" outlineLevel="0" collapsed="false">
      <c r="B1110" s="1" t="s">
        <v>504</v>
      </c>
      <c r="C1110" s="1" t="s">
        <v>505</v>
      </c>
      <c r="D1110" s="14" t="n">
        <v>46046.3402777778</v>
      </c>
      <c r="E1110" s="14" t="n">
        <v>46046.3402777778</v>
      </c>
      <c r="F1110" s="14" t="n">
        <v>46046.6111111111</v>
      </c>
      <c r="G1110" s="15" t="n">
        <f aca="false">F1110-E1110</f>
        <v>0.270833333333333</v>
      </c>
      <c r="H1110" s="20" t="s">
        <v>248</v>
      </c>
      <c r="J1110" s="20" t="s">
        <v>256</v>
      </c>
      <c r="K1110" s="1" t="s">
        <v>430</v>
      </c>
      <c r="L1110" s="1" t="s">
        <v>257</v>
      </c>
      <c r="M1110" s="20" t="s">
        <v>258</v>
      </c>
      <c r="N1110" s="20" t="s">
        <v>259</v>
      </c>
      <c r="O1110" s="1" t="s">
        <v>503</v>
      </c>
      <c r="P1110" s="22" t="str">
        <f aca="false">_xlfn.CONCAT(B1110,C1110,D1110,E1110,F1110)</f>
        <v>BC Aracu1Inverter7146046.340277777846046.340277777846046.6111111111</v>
      </c>
      <c r="Q1110" s="1" t="str">
        <f aca="false">_xlfn.CONCAT(H1110,I1110,J1110)</f>
        <v>DAURDE</v>
      </c>
    </row>
    <row r="1111" customFormat="false" ht="15" hidden="false" customHeight="false" outlineLevel="0" collapsed="false">
      <c r="B1111" s="1" t="s">
        <v>504</v>
      </c>
      <c r="C1111" s="1" t="s">
        <v>506</v>
      </c>
      <c r="D1111" s="14" t="n">
        <v>46046.3402777778</v>
      </c>
      <c r="E1111" s="14" t="n">
        <v>46046.3402777778</v>
      </c>
      <c r="F1111" s="14" t="n">
        <v>46046.6111111111</v>
      </c>
      <c r="G1111" s="15" t="n">
        <f aca="false">F1111-E1111</f>
        <v>0.270833333333333</v>
      </c>
      <c r="H1111" s="20" t="s">
        <v>248</v>
      </c>
      <c r="J1111" s="20" t="s">
        <v>256</v>
      </c>
      <c r="K1111" s="1" t="s">
        <v>430</v>
      </c>
      <c r="L1111" s="1" t="s">
        <v>257</v>
      </c>
      <c r="M1111" s="20" t="s">
        <v>258</v>
      </c>
      <c r="N1111" s="20" t="s">
        <v>259</v>
      </c>
      <c r="O1111" s="1" t="s">
        <v>503</v>
      </c>
      <c r="P1111" s="22" t="str">
        <f aca="false">_xlfn.CONCAT(B1111,C1111,D1111,E1111,F1111)</f>
        <v>BC Aracu1Inverter7246046.340277777846046.340277777846046.6111111111</v>
      </c>
      <c r="Q1111" s="1" t="str">
        <f aca="false">_xlfn.CONCAT(H1111,I1111,J1111)</f>
        <v>DAURDE</v>
      </c>
    </row>
    <row r="1112" customFormat="false" ht="15" hidden="false" customHeight="false" outlineLevel="0" collapsed="false">
      <c r="B1112" s="1" t="s">
        <v>504</v>
      </c>
      <c r="C1112" s="1" t="s">
        <v>507</v>
      </c>
      <c r="D1112" s="14" t="n">
        <v>46046.3402777778</v>
      </c>
      <c r="E1112" s="14" t="n">
        <v>46046.3402777778</v>
      </c>
      <c r="F1112" s="14" t="n">
        <v>46046.6111111111</v>
      </c>
      <c r="G1112" s="15" t="n">
        <f aca="false">F1112-E1112</f>
        <v>0.270833333333333</v>
      </c>
      <c r="H1112" s="20" t="s">
        <v>248</v>
      </c>
      <c r="J1112" s="20" t="s">
        <v>256</v>
      </c>
      <c r="K1112" s="1" t="s">
        <v>430</v>
      </c>
      <c r="L1112" s="1" t="s">
        <v>257</v>
      </c>
      <c r="M1112" s="20" t="s">
        <v>258</v>
      </c>
      <c r="N1112" s="20" t="s">
        <v>259</v>
      </c>
      <c r="O1112" s="1" t="s">
        <v>503</v>
      </c>
      <c r="P1112" s="22" t="str">
        <f aca="false">_xlfn.CONCAT(B1112,C1112,D1112,E1112,F1112)</f>
        <v>BC Aracu1Inverter7346046.340277777846046.340277777846046.6111111111</v>
      </c>
      <c r="Q1112" s="1" t="str">
        <f aca="false">_xlfn.CONCAT(H1112,I1112,J1112)</f>
        <v>DAURDE</v>
      </c>
    </row>
    <row r="1113" customFormat="false" ht="15" hidden="false" customHeight="false" outlineLevel="0" collapsed="false">
      <c r="B1113" s="1" t="s">
        <v>504</v>
      </c>
      <c r="C1113" s="1" t="s">
        <v>508</v>
      </c>
      <c r="D1113" s="14" t="n">
        <v>46046.3402777778</v>
      </c>
      <c r="E1113" s="14" t="n">
        <v>46046.3402777778</v>
      </c>
      <c r="F1113" s="14" t="n">
        <v>46046.6111111111</v>
      </c>
      <c r="G1113" s="15" t="n">
        <f aca="false">F1113-E1113</f>
        <v>0.270833333333333</v>
      </c>
      <c r="H1113" s="20" t="s">
        <v>248</v>
      </c>
      <c r="J1113" s="20" t="s">
        <v>256</v>
      </c>
      <c r="K1113" s="1" t="s">
        <v>430</v>
      </c>
      <c r="L1113" s="1" t="s">
        <v>257</v>
      </c>
      <c r="M1113" s="20" t="s">
        <v>258</v>
      </c>
      <c r="N1113" s="20" t="s">
        <v>259</v>
      </c>
      <c r="O1113" s="1" t="s">
        <v>503</v>
      </c>
      <c r="P1113" s="22" t="str">
        <f aca="false">_xlfn.CONCAT(B1113,C1113,D1113,E1113,F1113)</f>
        <v>BC Aracu1Inverter7446046.340277777846046.340277777846046.6111111111</v>
      </c>
      <c r="Q1113" s="1" t="str">
        <f aca="false">_xlfn.CONCAT(H1113,I1113,J1113)</f>
        <v>DAURDE</v>
      </c>
    </row>
    <row r="1114" customFormat="false" ht="15" hidden="false" customHeight="false" outlineLevel="0" collapsed="false">
      <c r="B1114" s="1" t="s">
        <v>504</v>
      </c>
      <c r="C1114" s="1" t="s">
        <v>509</v>
      </c>
      <c r="D1114" s="14" t="n">
        <v>46046.3402777778</v>
      </c>
      <c r="E1114" s="14" t="n">
        <v>46046.3402777778</v>
      </c>
      <c r="F1114" s="14" t="n">
        <v>46046.6111111111</v>
      </c>
      <c r="G1114" s="15" t="n">
        <f aca="false">F1114-E1114</f>
        <v>0.270833333333333</v>
      </c>
      <c r="H1114" s="20" t="s">
        <v>248</v>
      </c>
      <c r="J1114" s="20" t="s">
        <v>256</v>
      </c>
      <c r="K1114" s="1" t="s">
        <v>430</v>
      </c>
      <c r="L1114" s="1" t="s">
        <v>257</v>
      </c>
      <c r="M1114" s="20" t="s">
        <v>258</v>
      </c>
      <c r="N1114" s="20" t="s">
        <v>259</v>
      </c>
      <c r="O1114" s="1" t="s">
        <v>503</v>
      </c>
      <c r="P1114" s="22" t="str">
        <f aca="false">_xlfn.CONCAT(B1114,C1114,D1114,E1114,F1114)</f>
        <v>BC Aracu1Inverter7546046.340277777846046.340277777846046.6111111111</v>
      </c>
      <c r="Q1114" s="1" t="str">
        <f aca="false">_xlfn.CONCAT(H1114,I1114,J1114)</f>
        <v>DAURDE</v>
      </c>
    </row>
    <row r="1115" customFormat="false" ht="15" hidden="false" customHeight="false" outlineLevel="0" collapsed="false">
      <c r="B1115" s="1" t="s">
        <v>504</v>
      </c>
      <c r="C1115" s="1" t="s">
        <v>510</v>
      </c>
      <c r="D1115" s="14" t="n">
        <v>46046.3402777778</v>
      </c>
      <c r="E1115" s="14" t="n">
        <v>46046.3402777778</v>
      </c>
      <c r="F1115" s="14" t="n">
        <v>46046.6111111111</v>
      </c>
      <c r="G1115" s="15" t="n">
        <f aca="false">F1115-E1115</f>
        <v>0.270833333333333</v>
      </c>
      <c r="H1115" s="20" t="s">
        <v>248</v>
      </c>
      <c r="J1115" s="20" t="s">
        <v>256</v>
      </c>
      <c r="K1115" s="1" t="s">
        <v>430</v>
      </c>
      <c r="L1115" s="1" t="s">
        <v>257</v>
      </c>
      <c r="M1115" s="20" t="s">
        <v>258</v>
      </c>
      <c r="N1115" s="20" t="s">
        <v>259</v>
      </c>
      <c r="O1115" s="1" t="s">
        <v>503</v>
      </c>
      <c r="P1115" s="22" t="str">
        <f aca="false">_xlfn.CONCAT(B1115,C1115,D1115,E1115,F1115)</f>
        <v>BC Aracu1Inverter7646046.340277777846046.340277777846046.6111111111</v>
      </c>
      <c r="Q1115" s="1" t="str">
        <f aca="false">_xlfn.CONCAT(H1115,I1115,J1115)</f>
        <v>DAURDE</v>
      </c>
    </row>
    <row r="1116" customFormat="false" ht="15" hidden="false" customHeight="false" outlineLevel="0" collapsed="false">
      <c r="B1116" s="1" t="s">
        <v>504</v>
      </c>
      <c r="C1116" s="1" t="s">
        <v>511</v>
      </c>
      <c r="D1116" s="14" t="n">
        <v>46046.3402777778</v>
      </c>
      <c r="E1116" s="14" t="n">
        <v>46046.3402777778</v>
      </c>
      <c r="F1116" s="14" t="n">
        <v>46046.6111111111</v>
      </c>
      <c r="G1116" s="15" t="n">
        <f aca="false">F1116-E1116</f>
        <v>0.270833333333333</v>
      </c>
      <c r="H1116" s="20" t="s">
        <v>248</v>
      </c>
      <c r="J1116" s="20" t="s">
        <v>256</v>
      </c>
      <c r="K1116" s="1" t="s">
        <v>430</v>
      </c>
      <c r="L1116" s="1" t="s">
        <v>257</v>
      </c>
      <c r="M1116" s="20" t="s">
        <v>258</v>
      </c>
      <c r="N1116" s="20" t="s">
        <v>259</v>
      </c>
      <c r="O1116" s="1" t="s">
        <v>503</v>
      </c>
      <c r="P1116" s="22" t="str">
        <f aca="false">_xlfn.CONCAT(B1116,C1116,D1116,E1116,F1116)</f>
        <v>BC Aracu1Inverter7746046.340277777846046.340277777846046.6111111111</v>
      </c>
      <c r="Q1116" s="1" t="str">
        <f aca="false">_xlfn.CONCAT(H1116,I1116,J1116)</f>
        <v>DAURDE</v>
      </c>
    </row>
    <row r="1117" customFormat="false" ht="15" hidden="false" customHeight="false" outlineLevel="0" collapsed="false">
      <c r="B1117" s="1" t="s">
        <v>512</v>
      </c>
      <c r="C1117" s="1" t="s">
        <v>513</v>
      </c>
      <c r="D1117" s="14" t="n">
        <v>46046.3402777778</v>
      </c>
      <c r="E1117" s="14" t="n">
        <v>46046.3402777778</v>
      </c>
      <c r="F1117" s="14" t="n">
        <v>46046.6111111111</v>
      </c>
      <c r="G1117" s="15" t="n">
        <f aca="false">F1117-E1117</f>
        <v>0.270833333333333</v>
      </c>
      <c r="H1117" s="20" t="s">
        <v>248</v>
      </c>
      <c r="J1117" s="20" t="s">
        <v>256</v>
      </c>
      <c r="K1117" s="1" t="s">
        <v>430</v>
      </c>
      <c r="L1117" s="1" t="s">
        <v>257</v>
      </c>
      <c r="M1117" s="20" t="s">
        <v>258</v>
      </c>
      <c r="N1117" s="20" t="s">
        <v>259</v>
      </c>
      <c r="O1117" s="1" t="s">
        <v>503</v>
      </c>
      <c r="P1117" s="22" t="str">
        <f aca="false">_xlfn.CONCAT(B1117,C1117,D1117,E1117,F1117)</f>
        <v>BC Aracu2araçu 2.1 inversor 146046.340277777846046.340277777846046.6111111111</v>
      </c>
      <c r="Q1117" s="1" t="str">
        <f aca="false">_xlfn.CONCAT(H1117,I1117,J1117)</f>
        <v>DAURDE</v>
      </c>
    </row>
    <row r="1118" customFormat="false" ht="15" hidden="false" customHeight="false" outlineLevel="0" collapsed="false">
      <c r="B1118" s="1" t="s">
        <v>512</v>
      </c>
      <c r="C1118" s="1" t="s">
        <v>514</v>
      </c>
      <c r="D1118" s="14" t="n">
        <v>46046.3402777778</v>
      </c>
      <c r="E1118" s="14" t="n">
        <v>46046.3402777778</v>
      </c>
      <c r="F1118" s="14" t="n">
        <v>46046.6111111111</v>
      </c>
      <c r="G1118" s="15" t="n">
        <f aca="false">F1118-E1118</f>
        <v>0.270833333333333</v>
      </c>
      <c r="H1118" s="20" t="s">
        <v>248</v>
      </c>
      <c r="J1118" s="20" t="s">
        <v>256</v>
      </c>
      <c r="K1118" s="1" t="s">
        <v>430</v>
      </c>
      <c r="L1118" s="1" t="s">
        <v>257</v>
      </c>
      <c r="M1118" s="20" t="s">
        <v>258</v>
      </c>
      <c r="N1118" s="20" t="s">
        <v>259</v>
      </c>
      <c r="O1118" s="1" t="s">
        <v>503</v>
      </c>
      <c r="P1118" s="22" t="str">
        <f aca="false">_xlfn.CONCAT(B1118,C1118,D1118,E1118,F1118)</f>
        <v>BC Aracu2araçu 2.1 inversor 246046.340277777846046.340277777846046.6111111111</v>
      </c>
      <c r="Q1118" s="1" t="str">
        <f aca="false">_xlfn.CONCAT(H1118,I1118,J1118)</f>
        <v>DAURDE</v>
      </c>
    </row>
    <row r="1119" customFormat="false" ht="15" hidden="false" customHeight="false" outlineLevel="0" collapsed="false">
      <c r="B1119" s="1" t="s">
        <v>512</v>
      </c>
      <c r="C1119" s="1" t="s">
        <v>515</v>
      </c>
      <c r="D1119" s="14" t="n">
        <v>46046.3402777778</v>
      </c>
      <c r="E1119" s="14" t="n">
        <v>46046.3402777778</v>
      </c>
      <c r="F1119" s="14" t="n">
        <v>46046.6111111111</v>
      </c>
      <c r="G1119" s="15" t="n">
        <f aca="false">F1119-E1119</f>
        <v>0.270833333333333</v>
      </c>
      <c r="H1119" s="20" t="s">
        <v>248</v>
      </c>
      <c r="J1119" s="20" t="s">
        <v>256</v>
      </c>
      <c r="K1119" s="1" t="s">
        <v>430</v>
      </c>
      <c r="L1119" s="1" t="s">
        <v>257</v>
      </c>
      <c r="M1119" s="20" t="s">
        <v>258</v>
      </c>
      <c r="N1119" s="20" t="s">
        <v>259</v>
      </c>
      <c r="O1119" s="1" t="s">
        <v>503</v>
      </c>
      <c r="P1119" s="22" t="str">
        <f aca="false">_xlfn.CONCAT(B1119,C1119,D1119,E1119,F1119)</f>
        <v>BC Aracu2araçu 2.1 inversor 346046.340277777846046.340277777846046.6111111111</v>
      </c>
      <c r="Q1119" s="1" t="str">
        <f aca="false">_xlfn.CONCAT(H1119,I1119,J1119)</f>
        <v>DAURDE</v>
      </c>
    </row>
    <row r="1120" customFormat="false" ht="15" hidden="false" customHeight="false" outlineLevel="0" collapsed="false">
      <c r="B1120" s="1" t="s">
        <v>512</v>
      </c>
      <c r="C1120" s="1" t="s">
        <v>516</v>
      </c>
      <c r="D1120" s="14" t="n">
        <v>46046.3402777778</v>
      </c>
      <c r="E1120" s="14" t="n">
        <v>46046.3402777778</v>
      </c>
      <c r="F1120" s="14" t="n">
        <v>46046.6111111111</v>
      </c>
      <c r="G1120" s="15" t="n">
        <f aca="false">F1120-E1120</f>
        <v>0.270833333333333</v>
      </c>
      <c r="H1120" s="20" t="s">
        <v>248</v>
      </c>
      <c r="J1120" s="20" t="s">
        <v>256</v>
      </c>
      <c r="K1120" s="1" t="s">
        <v>430</v>
      </c>
      <c r="L1120" s="1" t="s">
        <v>257</v>
      </c>
      <c r="M1120" s="20" t="s">
        <v>258</v>
      </c>
      <c r="N1120" s="20" t="s">
        <v>259</v>
      </c>
      <c r="O1120" s="1" t="s">
        <v>503</v>
      </c>
      <c r="P1120" s="22" t="str">
        <f aca="false">_xlfn.CONCAT(B1120,C1120,D1120,E1120,F1120)</f>
        <v>BC Aracu2araçu 2.2 inversor 146046.340277777846046.340277777846046.6111111111</v>
      </c>
      <c r="Q1120" s="1" t="str">
        <f aca="false">_xlfn.CONCAT(H1120,I1120,J1120)</f>
        <v>DAURDE</v>
      </c>
    </row>
    <row r="1121" customFormat="false" ht="15" hidden="false" customHeight="false" outlineLevel="0" collapsed="false">
      <c r="B1121" s="1" t="s">
        <v>512</v>
      </c>
      <c r="C1121" s="1" t="s">
        <v>517</v>
      </c>
      <c r="D1121" s="14" t="n">
        <v>46046.3402777778</v>
      </c>
      <c r="E1121" s="14" t="n">
        <v>46046.3402777778</v>
      </c>
      <c r="F1121" s="14" t="n">
        <v>46046.6111111111</v>
      </c>
      <c r="G1121" s="15" t="n">
        <f aca="false">F1121-E1121</f>
        <v>0.270833333333333</v>
      </c>
      <c r="H1121" s="20" t="s">
        <v>248</v>
      </c>
      <c r="J1121" s="20" t="s">
        <v>256</v>
      </c>
      <c r="K1121" s="1" t="s">
        <v>430</v>
      </c>
      <c r="L1121" s="1" t="s">
        <v>257</v>
      </c>
      <c r="M1121" s="20" t="s">
        <v>258</v>
      </c>
      <c r="N1121" s="20" t="s">
        <v>259</v>
      </c>
      <c r="O1121" s="1" t="s">
        <v>503</v>
      </c>
      <c r="P1121" s="22" t="str">
        <f aca="false">_xlfn.CONCAT(B1121,C1121,D1121,E1121,F1121)</f>
        <v>BC Aracu2araçu 2.2 inversor 246046.340277777846046.340277777846046.6111111111</v>
      </c>
      <c r="Q1121" s="1" t="str">
        <f aca="false">_xlfn.CONCAT(H1121,I1121,J1121)</f>
        <v>DAURDE</v>
      </c>
    </row>
    <row r="1122" customFormat="false" ht="15" hidden="false" customHeight="false" outlineLevel="0" collapsed="false">
      <c r="B1122" s="1" t="s">
        <v>512</v>
      </c>
      <c r="C1122" s="1" t="s">
        <v>518</v>
      </c>
      <c r="D1122" s="14" t="n">
        <v>46046.3402777778</v>
      </c>
      <c r="E1122" s="14" t="n">
        <v>46046.3402777778</v>
      </c>
      <c r="F1122" s="14" t="n">
        <v>46046.6111111111</v>
      </c>
      <c r="G1122" s="15" t="n">
        <f aca="false">F1122-E1122</f>
        <v>0.270833333333333</v>
      </c>
      <c r="H1122" s="20" t="s">
        <v>248</v>
      </c>
      <c r="J1122" s="20" t="s">
        <v>256</v>
      </c>
      <c r="K1122" s="1" t="s">
        <v>430</v>
      </c>
      <c r="L1122" s="1" t="s">
        <v>257</v>
      </c>
      <c r="M1122" s="20" t="s">
        <v>258</v>
      </c>
      <c r="N1122" s="20" t="s">
        <v>259</v>
      </c>
      <c r="O1122" s="1" t="s">
        <v>503</v>
      </c>
      <c r="P1122" s="22" t="str">
        <f aca="false">_xlfn.CONCAT(B1122,C1122,D1122,E1122,F1122)</f>
        <v>BC Aracu2araçu 2.2 inversor 346046.340277777846046.340277777846046.6111111111</v>
      </c>
      <c r="Q1122" s="1" t="str">
        <f aca="false">_xlfn.CONCAT(H1122,I1122,J1122)</f>
        <v>DAURDE</v>
      </c>
    </row>
    <row r="1123" customFormat="false" ht="15" hidden="false" customHeight="false" outlineLevel="0" collapsed="false">
      <c r="B1123" s="1" t="s">
        <v>512</v>
      </c>
      <c r="C1123" s="1" t="s">
        <v>519</v>
      </c>
      <c r="D1123" s="14" t="n">
        <v>46046.3402777778</v>
      </c>
      <c r="E1123" s="14" t="n">
        <v>46046.3402777778</v>
      </c>
      <c r="F1123" s="14" t="n">
        <v>46046.6111111111</v>
      </c>
      <c r="G1123" s="15" t="n">
        <f aca="false">F1123-E1123</f>
        <v>0.270833333333333</v>
      </c>
      <c r="H1123" s="20" t="s">
        <v>248</v>
      </c>
      <c r="J1123" s="20" t="s">
        <v>256</v>
      </c>
      <c r="K1123" s="1" t="s">
        <v>430</v>
      </c>
      <c r="L1123" s="1" t="s">
        <v>257</v>
      </c>
      <c r="M1123" s="20" t="s">
        <v>258</v>
      </c>
      <c r="N1123" s="20" t="s">
        <v>259</v>
      </c>
      <c r="O1123" s="1" t="s">
        <v>503</v>
      </c>
      <c r="P1123" s="22" t="str">
        <f aca="false">_xlfn.CONCAT(B1123,C1123,D1123,E1123,F1123)</f>
        <v>BC Aracu2Inverter8346046.340277777846046.340277777846046.6111111111</v>
      </c>
      <c r="Q1123" s="1" t="str">
        <f aca="false">_xlfn.CONCAT(H1123,I1123,J1123)</f>
        <v>DAURDE</v>
      </c>
    </row>
    <row r="1124" customFormat="false" ht="15" hidden="false" customHeight="false" outlineLevel="0" collapsed="false">
      <c r="B1124" s="1" t="s">
        <v>512</v>
      </c>
      <c r="C1124" s="1" t="s">
        <v>520</v>
      </c>
      <c r="D1124" s="14" t="n">
        <v>46046.3402777778</v>
      </c>
      <c r="E1124" s="14" t="n">
        <v>46046.3402777778</v>
      </c>
      <c r="F1124" s="14" t="n">
        <v>46046.6111111111</v>
      </c>
      <c r="G1124" s="15" t="n">
        <f aca="false">F1124-E1124</f>
        <v>0.270833333333333</v>
      </c>
      <c r="H1124" s="20" t="s">
        <v>248</v>
      </c>
      <c r="J1124" s="20" t="s">
        <v>256</v>
      </c>
      <c r="K1124" s="1" t="s">
        <v>430</v>
      </c>
      <c r="L1124" s="1" t="s">
        <v>257</v>
      </c>
      <c r="M1124" s="20" t="s">
        <v>258</v>
      </c>
      <c r="N1124" s="20" t="s">
        <v>259</v>
      </c>
      <c r="O1124" s="1" t="s">
        <v>503</v>
      </c>
      <c r="P1124" s="22" t="str">
        <f aca="false">_xlfn.CONCAT(B1124,C1124,D1124,E1124,F1124)</f>
        <v>BC Aracu2araçu 2.3 inversor 546046.340277777846046.340277777846046.6111111111</v>
      </c>
      <c r="Q1124" s="1" t="str">
        <f aca="false">_xlfn.CONCAT(H1124,I1124,J1124)</f>
        <v>DAURDE</v>
      </c>
    </row>
    <row r="1125" customFormat="false" ht="15" hidden="false" customHeight="false" outlineLevel="0" collapsed="false">
      <c r="B1125" s="1" t="s">
        <v>512</v>
      </c>
      <c r="C1125" s="1" t="s">
        <v>521</v>
      </c>
      <c r="D1125" s="14" t="n">
        <v>46046.3402777778</v>
      </c>
      <c r="E1125" s="14" t="n">
        <v>46046.3402777778</v>
      </c>
      <c r="F1125" s="14" t="n">
        <v>46046.6111111111</v>
      </c>
      <c r="G1125" s="15" t="n">
        <f aca="false">F1125-E1125</f>
        <v>0.270833333333333</v>
      </c>
      <c r="H1125" s="20" t="s">
        <v>248</v>
      </c>
      <c r="J1125" s="20" t="s">
        <v>256</v>
      </c>
      <c r="K1125" s="1" t="s">
        <v>430</v>
      </c>
      <c r="L1125" s="1" t="s">
        <v>257</v>
      </c>
      <c r="M1125" s="20" t="s">
        <v>258</v>
      </c>
      <c r="N1125" s="20" t="s">
        <v>259</v>
      </c>
      <c r="O1125" s="1" t="s">
        <v>503</v>
      </c>
      <c r="P1125" s="22" t="str">
        <f aca="false">_xlfn.CONCAT(B1125,C1125,D1125,E1125,F1125)</f>
        <v>BC Aracu2araçu 2.3 inversor 146046.340277777846046.340277777846046.6111111111</v>
      </c>
      <c r="Q1125" s="1" t="str">
        <f aca="false">_xlfn.CONCAT(H1125,I1125,J1125)</f>
        <v>DAURDE</v>
      </c>
    </row>
    <row r="1126" customFormat="false" ht="15" hidden="false" customHeight="false" outlineLevel="0" collapsed="false">
      <c r="B1126" s="1" t="s">
        <v>512</v>
      </c>
      <c r="C1126" s="1" t="s">
        <v>522</v>
      </c>
      <c r="D1126" s="14" t="n">
        <v>46046.3402777778</v>
      </c>
      <c r="E1126" s="14" t="n">
        <v>46046.3402777778</v>
      </c>
      <c r="F1126" s="14" t="n">
        <v>46046.6111111111</v>
      </c>
      <c r="G1126" s="15" t="n">
        <f aca="false">F1126-E1126</f>
        <v>0.270833333333333</v>
      </c>
      <c r="H1126" s="20" t="s">
        <v>248</v>
      </c>
      <c r="J1126" s="20" t="s">
        <v>256</v>
      </c>
      <c r="K1126" s="1" t="s">
        <v>430</v>
      </c>
      <c r="L1126" s="1" t="s">
        <v>257</v>
      </c>
      <c r="M1126" s="20" t="s">
        <v>258</v>
      </c>
      <c r="N1126" s="20" t="s">
        <v>259</v>
      </c>
      <c r="O1126" s="1" t="s">
        <v>503</v>
      </c>
      <c r="P1126" s="22" t="str">
        <f aca="false">_xlfn.CONCAT(B1126,C1126,D1126,E1126,F1126)</f>
        <v>BC Aracu2araçu 2.3 inversor 246046.340277777846046.340277777846046.6111111111</v>
      </c>
      <c r="Q1126" s="1" t="str">
        <f aca="false">_xlfn.CONCAT(H1126,I1126,J1126)</f>
        <v>DAURDE</v>
      </c>
    </row>
    <row r="1127" customFormat="false" ht="15" hidden="false" customHeight="false" outlineLevel="0" collapsed="false">
      <c r="B1127" s="1" t="s">
        <v>512</v>
      </c>
      <c r="C1127" s="1" t="s">
        <v>523</v>
      </c>
      <c r="D1127" s="14" t="n">
        <v>46046.3402777778</v>
      </c>
      <c r="E1127" s="14" t="n">
        <v>46046.3402777778</v>
      </c>
      <c r="F1127" s="14" t="n">
        <v>46046.6111111111</v>
      </c>
      <c r="G1127" s="15" t="n">
        <f aca="false">F1127-E1127</f>
        <v>0.270833333333333</v>
      </c>
      <c r="H1127" s="20" t="s">
        <v>248</v>
      </c>
      <c r="J1127" s="20" t="s">
        <v>256</v>
      </c>
      <c r="K1127" s="1" t="s">
        <v>430</v>
      </c>
      <c r="L1127" s="1" t="s">
        <v>257</v>
      </c>
      <c r="M1127" s="20" t="s">
        <v>258</v>
      </c>
      <c r="N1127" s="20" t="s">
        <v>259</v>
      </c>
      <c r="O1127" s="1" t="s">
        <v>503</v>
      </c>
      <c r="P1127" s="22" t="str">
        <f aca="false">_xlfn.CONCAT(B1127,C1127,D1127,E1127,F1127)</f>
        <v>BC Aracu2araçu 2.3 inversor 446046.340277777846046.340277777846046.6111111111</v>
      </c>
      <c r="Q1127" s="1" t="str">
        <f aca="false">_xlfn.CONCAT(H1127,I1127,J1127)</f>
        <v>DAURDE</v>
      </c>
    </row>
    <row r="1128" customFormat="false" ht="15" hidden="false" customHeight="false" outlineLevel="0" collapsed="false">
      <c r="B1128" s="1" t="s">
        <v>512</v>
      </c>
      <c r="C1128" s="1" t="s">
        <v>524</v>
      </c>
      <c r="D1128" s="14" t="n">
        <v>46046.3402777778</v>
      </c>
      <c r="E1128" s="14" t="n">
        <v>46046.3402777778</v>
      </c>
      <c r="F1128" s="14" t="n">
        <v>46046.6111111111</v>
      </c>
      <c r="G1128" s="15" t="n">
        <f aca="false">F1128-E1128</f>
        <v>0.270833333333333</v>
      </c>
      <c r="H1128" s="20" t="s">
        <v>248</v>
      </c>
      <c r="J1128" s="20" t="s">
        <v>256</v>
      </c>
      <c r="K1128" s="1" t="s">
        <v>430</v>
      </c>
      <c r="L1128" s="1" t="s">
        <v>257</v>
      </c>
      <c r="M1128" s="20" t="s">
        <v>258</v>
      </c>
      <c r="N1128" s="20" t="s">
        <v>259</v>
      </c>
      <c r="O1128" s="1" t="s">
        <v>503</v>
      </c>
      <c r="P1128" s="22" t="str">
        <f aca="false">_xlfn.CONCAT(B1128,C1128,D1128,E1128,F1128)</f>
        <v>BC Aracu2araçu 2.3 inversor 346046.340277777846046.340277777846046.6111111111</v>
      </c>
      <c r="Q1128" s="1" t="str">
        <f aca="false">_xlfn.CONCAT(H1128,I1128,J1128)</f>
        <v>DAURDE</v>
      </c>
    </row>
    <row r="1129" customFormat="false" ht="15" hidden="false" customHeight="false" outlineLevel="0" collapsed="false">
      <c r="B1129" s="1" t="s">
        <v>512</v>
      </c>
      <c r="C1129" s="1" t="s">
        <v>525</v>
      </c>
      <c r="D1129" s="14" t="n">
        <v>46046.3402777778</v>
      </c>
      <c r="E1129" s="14" t="n">
        <v>46046.3402777778</v>
      </c>
      <c r="F1129" s="14" t="n">
        <v>46046.6111111111</v>
      </c>
      <c r="G1129" s="15" t="n">
        <f aca="false">F1129-E1129</f>
        <v>0.270833333333333</v>
      </c>
      <c r="H1129" s="20" t="s">
        <v>248</v>
      </c>
      <c r="J1129" s="20" t="s">
        <v>256</v>
      </c>
      <c r="K1129" s="1" t="s">
        <v>430</v>
      </c>
      <c r="L1129" s="1" t="s">
        <v>257</v>
      </c>
      <c r="M1129" s="20" t="s">
        <v>258</v>
      </c>
      <c r="N1129" s="20" t="s">
        <v>259</v>
      </c>
      <c r="O1129" s="1" t="s">
        <v>503</v>
      </c>
      <c r="P1129" s="22" t="str">
        <f aca="false">_xlfn.CONCAT(B1129,C1129,D1129,E1129,F1129)</f>
        <v>BC Aracu2araçu 2.4 inversor 346046.340277777846046.340277777846046.6111111111</v>
      </c>
      <c r="Q1129" s="1" t="str">
        <f aca="false">_xlfn.CONCAT(H1129,I1129,J1129)</f>
        <v>DAURDE</v>
      </c>
    </row>
    <row r="1130" customFormat="false" ht="15" hidden="false" customHeight="false" outlineLevel="0" collapsed="false">
      <c r="B1130" s="1" t="s">
        <v>512</v>
      </c>
      <c r="C1130" s="1" t="s">
        <v>526</v>
      </c>
      <c r="D1130" s="14" t="n">
        <v>46046.3402777778</v>
      </c>
      <c r="E1130" s="14" t="n">
        <v>46046.3402777778</v>
      </c>
      <c r="F1130" s="14" t="n">
        <v>46046.6111111111</v>
      </c>
      <c r="G1130" s="15" t="n">
        <f aca="false">F1130-E1130</f>
        <v>0.270833333333333</v>
      </c>
      <c r="H1130" s="20" t="s">
        <v>248</v>
      </c>
      <c r="J1130" s="20" t="s">
        <v>256</v>
      </c>
      <c r="K1130" s="1" t="s">
        <v>430</v>
      </c>
      <c r="L1130" s="1" t="s">
        <v>257</v>
      </c>
      <c r="M1130" s="20" t="s">
        <v>258</v>
      </c>
      <c r="N1130" s="20" t="s">
        <v>259</v>
      </c>
      <c r="O1130" s="1" t="s">
        <v>503</v>
      </c>
      <c r="P1130" s="22" t="str">
        <f aca="false">_xlfn.CONCAT(B1130,C1130,D1130,E1130,F1130)</f>
        <v>BC Aracu2araçu 2.4 inversor 146046.340277777846046.340277777846046.6111111111</v>
      </c>
      <c r="Q1130" s="1" t="str">
        <f aca="false">_xlfn.CONCAT(H1130,I1130,J1130)</f>
        <v>DAURDE</v>
      </c>
    </row>
    <row r="1131" customFormat="false" ht="15" hidden="false" customHeight="false" outlineLevel="0" collapsed="false">
      <c r="B1131" s="1" t="s">
        <v>512</v>
      </c>
      <c r="C1131" s="1" t="s">
        <v>527</v>
      </c>
      <c r="D1131" s="14" t="n">
        <v>46046.3402777778</v>
      </c>
      <c r="E1131" s="14" t="n">
        <v>46046.3402777778</v>
      </c>
      <c r="F1131" s="14" t="n">
        <v>46046.6111111111</v>
      </c>
      <c r="G1131" s="15" t="n">
        <f aca="false">F1131-E1131</f>
        <v>0.270833333333333</v>
      </c>
      <c r="H1131" s="20" t="s">
        <v>248</v>
      </c>
      <c r="J1131" s="20" t="s">
        <v>256</v>
      </c>
      <c r="K1131" s="1" t="s">
        <v>430</v>
      </c>
      <c r="L1131" s="1" t="s">
        <v>257</v>
      </c>
      <c r="M1131" s="20" t="s">
        <v>258</v>
      </c>
      <c r="N1131" s="20" t="s">
        <v>259</v>
      </c>
      <c r="O1131" s="1" t="s">
        <v>503</v>
      </c>
      <c r="P1131" s="22" t="str">
        <f aca="false">_xlfn.CONCAT(B1131,C1131,D1131,E1131,F1131)</f>
        <v>BC Aracu2araçu 2.4 inversor 646046.340277777846046.340277777846046.6111111111</v>
      </c>
      <c r="Q1131" s="1" t="str">
        <f aca="false">_xlfn.CONCAT(H1131,I1131,J1131)</f>
        <v>DAURDE</v>
      </c>
    </row>
    <row r="1132" customFormat="false" ht="15" hidden="false" customHeight="false" outlineLevel="0" collapsed="false">
      <c r="B1132" s="1" t="s">
        <v>512</v>
      </c>
      <c r="C1132" s="1" t="s">
        <v>528</v>
      </c>
      <c r="D1132" s="14" t="n">
        <v>46046.3402777778</v>
      </c>
      <c r="E1132" s="14" t="n">
        <v>46046.3402777778</v>
      </c>
      <c r="F1132" s="14" t="n">
        <v>46046.6111111111</v>
      </c>
      <c r="G1132" s="15" t="n">
        <f aca="false">F1132-E1132</f>
        <v>0.270833333333333</v>
      </c>
      <c r="H1132" s="20" t="s">
        <v>248</v>
      </c>
      <c r="J1132" s="20" t="s">
        <v>256</v>
      </c>
      <c r="K1132" s="1" t="s">
        <v>430</v>
      </c>
      <c r="L1132" s="1" t="s">
        <v>257</v>
      </c>
      <c r="M1132" s="20" t="s">
        <v>258</v>
      </c>
      <c r="N1132" s="20" t="s">
        <v>259</v>
      </c>
      <c r="O1132" s="1" t="s">
        <v>503</v>
      </c>
      <c r="P1132" s="22" t="str">
        <f aca="false">_xlfn.CONCAT(B1132,C1132,D1132,E1132,F1132)</f>
        <v>BC Aracu2araçu 2.4 inversor 446046.340277777846046.340277777846046.6111111111</v>
      </c>
      <c r="Q1132" s="1" t="str">
        <f aca="false">_xlfn.CONCAT(H1132,I1132,J1132)</f>
        <v>DAURDE</v>
      </c>
    </row>
    <row r="1133" customFormat="false" ht="15" hidden="false" customHeight="false" outlineLevel="0" collapsed="false">
      <c r="B1133" s="1" t="s">
        <v>512</v>
      </c>
      <c r="C1133" s="1" t="s">
        <v>529</v>
      </c>
      <c r="D1133" s="14" t="n">
        <v>46046.3402777778</v>
      </c>
      <c r="E1133" s="14" t="n">
        <v>46046.3402777778</v>
      </c>
      <c r="F1133" s="14" t="n">
        <v>46046.6111111111</v>
      </c>
      <c r="G1133" s="15" t="n">
        <f aca="false">F1133-E1133</f>
        <v>0.270833333333333</v>
      </c>
      <c r="H1133" s="20" t="s">
        <v>248</v>
      </c>
      <c r="J1133" s="20" t="s">
        <v>256</v>
      </c>
      <c r="K1133" s="1" t="s">
        <v>430</v>
      </c>
      <c r="L1133" s="1" t="s">
        <v>257</v>
      </c>
      <c r="M1133" s="20" t="s">
        <v>258</v>
      </c>
      <c r="N1133" s="20" t="s">
        <v>259</v>
      </c>
      <c r="O1133" s="1" t="s">
        <v>503</v>
      </c>
      <c r="P1133" s="22" t="str">
        <f aca="false">_xlfn.CONCAT(B1133,C1133,D1133,E1133,F1133)</f>
        <v>BC Aracu2araçu 2.4 inversor 246046.340277777846046.340277777846046.6111111111</v>
      </c>
      <c r="Q1133" s="1" t="str">
        <f aca="false">_xlfn.CONCAT(H1133,I1133,J1133)</f>
        <v>DAURDE</v>
      </c>
    </row>
    <row r="1134" customFormat="false" ht="15" hidden="false" customHeight="false" outlineLevel="0" collapsed="false">
      <c r="B1134" s="1" t="s">
        <v>512</v>
      </c>
      <c r="C1134" s="1" t="s">
        <v>530</v>
      </c>
      <c r="D1134" s="14" t="n">
        <v>46046.3402777778</v>
      </c>
      <c r="E1134" s="14" t="n">
        <v>46046.3402777778</v>
      </c>
      <c r="F1134" s="14" t="n">
        <v>46046.6111111111</v>
      </c>
      <c r="G1134" s="15" t="n">
        <f aca="false">F1134-E1134</f>
        <v>0.270833333333333</v>
      </c>
      <c r="H1134" s="20" t="s">
        <v>248</v>
      </c>
      <c r="J1134" s="20" t="s">
        <v>256</v>
      </c>
      <c r="K1134" s="1" t="s">
        <v>430</v>
      </c>
      <c r="L1134" s="1" t="s">
        <v>257</v>
      </c>
      <c r="M1134" s="20" t="s">
        <v>258</v>
      </c>
      <c r="N1134" s="20" t="s">
        <v>259</v>
      </c>
      <c r="O1134" s="1" t="s">
        <v>503</v>
      </c>
      <c r="P1134" s="22" t="str">
        <f aca="false">_xlfn.CONCAT(B1134,C1134,D1134,E1134,F1134)</f>
        <v>BC Aracu2araçu 2.4 inversor 546046.340277777846046.340277777846046.6111111111</v>
      </c>
      <c r="Q1134" s="1" t="str">
        <f aca="false">_xlfn.CONCAT(H1134,I1134,J1134)</f>
        <v>DAURDE</v>
      </c>
    </row>
    <row r="1135" customFormat="false" ht="15" hidden="false" customHeight="false" outlineLevel="0" collapsed="false">
      <c r="B1135" s="1" t="s">
        <v>531</v>
      </c>
      <c r="C1135" s="1" t="s">
        <v>532</v>
      </c>
      <c r="D1135" s="14" t="n">
        <v>46046.3402777778</v>
      </c>
      <c r="E1135" s="14" t="n">
        <v>46046.3402777778</v>
      </c>
      <c r="F1135" s="14" t="n">
        <v>46046.6111111111</v>
      </c>
      <c r="G1135" s="15" t="n">
        <f aca="false">F1135-E1135</f>
        <v>0.270833333333333</v>
      </c>
      <c r="H1135" s="20" t="s">
        <v>248</v>
      </c>
      <c r="J1135" s="20" t="s">
        <v>256</v>
      </c>
      <c r="K1135" s="1" t="s">
        <v>430</v>
      </c>
      <c r="L1135" s="1" t="s">
        <v>257</v>
      </c>
      <c r="M1135" s="20" t="s">
        <v>258</v>
      </c>
      <c r="N1135" s="20" t="s">
        <v>259</v>
      </c>
      <c r="O1135" s="1" t="s">
        <v>503</v>
      </c>
      <c r="P1135" s="22" t="str">
        <f aca="false">_xlfn.CONCAT(B1135,C1135,D1135,E1135,F1135)</f>
        <v>BC Aracu3Inverter446046.340277777846046.340277777846046.6111111111</v>
      </c>
      <c r="Q1135" s="1" t="str">
        <f aca="false">_xlfn.CONCAT(H1135,I1135,J1135)</f>
        <v>DAURDE</v>
      </c>
    </row>
    <row r="1136" customFormat="false" ht="15" hidden="false" customHeight="false" outlineLevel="0" collapsed="false">
      <c r="B1136" s="1" t="s">
        <v>531</v>
      </c>
      <c r="C1136" s="1" t="s">
        <v>533</v>
      </c>
      <c r="D1136" s="14" t="n">
        <v>46046.3402777778</v>
      </c>
      <c r="E1136" s="14" t="n">
        <v>46046.3402777778</v>
      </c>
      <c r="F1136" s="14" t="n">
        <v>46046.6111111111</v>
      </c>
      <c r="G1136" s="15" t="n">
        <f aca="false">F1136-E1136</f>
        <v>0.270833333333333</v>
      </c>
      <c r="H1136" s="20" t="s">
        <v>248</v>
      </c>
      <c r="J1136" s="20" t="s">
        <v>256</v>
      </c>
      <c r="K1136" s="1" t="s">
        <v>430</v>
      </c>
      <c r="L1136" s="1" t="s">
        <v>257</v>
      </c>
      <c r="M1136" s="20" t="s">
        <v>258</v>
      </c>
      <c r="N1136" s="20" t="s">
        <v>259</v>
      </c>
      <c r="O1136" s="1" t="s">
        <v>503</v>
      </c>
      <c r="P1136" s="22" t="str">
        <f aca="false">_xlfn.CONCAT(B1136,C1136,D1136,E1136,F1136)</f>
        <v>BC Aracu3Inverter346046.340277777846046.340277777846046.6111111111</v>
      </c>
      <c r="Q1136" s="1" t="str">
        <f aca="false">_xlfn.CONCAT(H1136,I1136,J1136)</f>
        <v>DAURDE</v>
      </c>
    </row>
    <row r="1137" customFormat="false" ht="15" hidden="false" customHeight="false" outlineLevel="0" collapsed="false">
      <c r="B1137" s="1" t="s">
        <v>531</v>
      </c>
      <c r="C1137" s="1" t="s">
        <v>534</v>
      </c>
      <c r="D1137" s="14" t="n">
        <v>46046.3402777778</v>
      </c>
      <c r="E1137" s="14" t="n">
        <v>46046.3402777778</v>
      </c>
      <c r="F1137" s="14" t="n">
        <v>46046.6111111111</v>
      </c>
      <c r="G1137" s="15" t="n">
        <f aca="false">F1137-E1137</f>
        <v>0.270833333333333</v>
      </c>
      <c r="H1137" s="20" t="s">
        <v>248</v>
      </c>
      <c r="J1137" s="20" t="s">
        <v>256</v>
      </c>
      <c r="K1137" s="1" t="s">
        <v>430</v>
      </c>
      <c r="L1137" s="1" t="s">
        <v>257</v>
      </c>
      <c r="M1137" s="20" t="s">
        <v>258</v>
      </c>
      <c r="N1137" s="20" t="s">
        <v>259</v>
      </c>
      <c r="O1137" s="1" t="s">
        <v>503</v>
      </c>
      <c r="P1137" s="22" t="str">
        <f aca="false">_xlfn.CONCAT(B1137,C1137,D1137,E1137,F1137)</f>
        <v>BC Aracu3Inverter146046.340277777846046.340277777846046.6111111111</v>
      </c>
      <c r="Q1137" s="1" t="str">
        <f aca="false">_xlfn.CONCAT(H1137,I1137,J1137)</f>
        <v>DAURDE</v>
      </c>
    </row>
    <row r="1138" customFormat="false" ht="15" hidden="false" customHeight="false" outlineLevel="0" collapsed="false">
      <c r="B1138" s="1" t="s">
        <v>531</v>
      </c>
      <c r="C1138" s="1" t="s">
        <v>535</v>
      </c>
      <c r="D1138" s="14" t="n">
        <v>46046.3402777778</v>
      </c>
      <c r="E1138" s="14" t="n">
        <v>46046.3402777778</v>
      </c>
      <c r="F1138" s="14" t="n">
        <v>46046.6111111111</v>
      </c>
      <c r="G1138" s="15" t="n">
        <f aca="false">F1138-E1138</f>
        <v>0.270833333333333</v>
      </c>
      <c r="H1138" s="20" t="s">
        <v>248</v>
      </c>
      <c r="J1138" s="20" t="s">
        <v>256</v>
      </c>
      <c r="K1138" s="1" t="s">
        <v>430</v>
      </c>
      <c r="L1138" s="1" t="s">
        <v>257</v>
      </c>
      <c r="M1138" s="20" t="s">
        <v>258</v>
      </c>
      <c r="N1138" s="20" t="s">
        <v>259</v>
      </c>
      <c r="O1138" s="1" t="s">
        <v>503</v>
      </c>
      <c r="P1138" s="22" t="str">
        <f aca="false">_xlfn.CONCAT(B1138,C1138,D1138,E1138,F1138)</f>
        <v>BC Aracu3Inverter246046.340277777846046.340277777846046.6111111111</v>
      </c>
      <c r="Q1138" s="1" t="str">
        <f aca="false">_xlfn.CONCAT(H1138,I1138,J1138)</f>
        <v>DAURDE</v>
      </c>
    </row>
    <row r="1139" customFormat="false" ht="15" hidden="false" customHeight="false" outlineLevel="0" collapsed="false">
      <c r="B1139" s="1" t="s">
        <v>254</v>
      </c>
      <c r="C1139" s="1" t="s">
        <v>255</v>
      </c>
      <c r="D1139" s="14" t="n">
        <v>46046.3402777778</v>
      </c>
      <c r="E1139" s="14" t="n">
        <v>46046.3402777778</v>
      </c>
      <c r="F1139" s="14" t="n">
        <v>46046.6111111111</v>
      </c>
      <c r="G1139" s="15" t="n">
        <f aca="false">F1139-E1139</f>
        <v>0.270833333333333</v>
      </c>
      <c r="H1139" s="20" t="s">
        <v>248</v>
      </c>
      <c r="J1139" s="20" t="s">
        <v>256</v>
      </c>
      <c r="K1139" s="1" t="s">
        <v>430</v>
      </c>
      <c r="L1139" s="1" t="s">
        <v>257</v>
      </c>
      <c r="M1139" s="20" t="s">
        <v>258</v>
      </c>
      <c r="N1139" s="20" t="s">
        <v>259</v>
      </c>
      <c r="O1139" s="1" t="s">
        <v>503</v>
      </c>
      <c r="P1139" s="22" t="str">
        <f aca="false">_xlfn.CONCAT(B1139,C1139,D1139,E1139,F1139)</f>
        <v>BC Aracu5.1Inverter(MBUS-1)46046.340277777846046.340277777846046.6111111111</v>
      </c>
      <c r="Q1139" s="1" t="str">
        <f aca="false">_xlfn.CONCAT(H1139,I1139,J1139)</f>
        <v>DAURDE</v>
      </c>
    </row>
    <row r="1140" customFormat="false" ht="15" hidden="false" customHeight="false" outlineLevel="0" collapsed="false">
      <c r="B1140" s="1" t="s">
        <v>307</v>
      </c>
      <c r="C1140" s="1" t="s">
        <v>255</v>
      </c>
      <c r="D1140" s="14" t="n">
        <v>46046.3402777778</v>
      </c>
      <c r="E1140" s="14" t="n">
        <v>46046.3402777778</v>
      </c>
      <c r="F1140" s="14" t="n">
        <v>46046.6111111111</v>
      </c>
      <c r="G1140" s="15" t="n">
        <f aca="false">F1140-E1140</f>
        <v>0.270833333333333</v>
      </c>
      <c r="H1140" s="20" t="s">
        <v>248</v>
      </c>
      <c r="J1140" s="20" t="s">
        <v>256</v>
      </c>
      <c r="K1140" s="1" t="s">
        <v>430</v>
      </c>
      <c r="L1140" s="1" t="s">
        <v>257</v>
      </c>
      <c r="M1140" s="20" t="s">
        <v>258</v>
      </c>
      <c r="N1140" s="20" t="s">
        <v>259</v>
      </c>
      <c r="O1140" s="1" t="s">
        <v>503</v>
      </c>
      <c r="P1140" s="22" t="str">
        <f aca="false">_xlfn.CONCAT(B1140,C1140,D1140,E1140,F1140)</f>
        <v>BC Aracu5.2Inverter(MBUS-1)46046.340277777846046.340277777846046.6111111111</v>
      </c>
      <c r="Q1140" s="1" t="str">
        <f aca="false">_xlfn.CONCAT(H1140,I1140,J1140)</f>
        <v>DAURDE</v>
      </c>
    </row>
    <row r="1141" customFormat="false" ht="15" hidden="false" customHeight="false" outlineLevel="0" collapsed="false">
      <c r="B1141" s="1" t="s">
        <v>308</v>
      </c>
      <c r="C1141" s="1" t="s">
        <v>255</v>
      </c>
      <c r="D1141" s="14" t="n">
        <v>46046.3402777778</v>
      </c>
      <c r="E1141" s="14" t="n">
        <v>46046.3402777778</v>
      </c>
      <c r="F1141" s="14" t="n">
        <v>46046.6111111111</v>
      </c>
      <c r="G1141" s="15" t="n">
        <f aca="false">F1141-E1141</f>
        <v>0.270833333333333</v>
      </c>
      <c r="H1141" s="20" t="s">
        <v>248</v>
      </c>
      <c r="J1141" s="20" t="s">
        <v>256</v>
      </c>
      <c r="K1141" s="1" t="s">
        <v>430</v>
      </c>
      <c r="L1141" s="1" t="s">
        <v>257</v>
      </c>
      <c r="M1141" s="20" t="s">
        <v>258</v>
      </c>
      <c r="N1141" s="20" t="s">
        <v>259</v>
      </c>
      <c r="O1141" s="1" t="s">
        <v>503</v>
      </c>
      <c r="P1141" s="22" t="str">
        <f aca="false">_xlfn.CONCAT(B1141,C1141,D1141,E1141,F1141)</f>
        <v>BC Aracu5.3Inverter(MBUS-1)46046.340277777846046.340277777846046.6111111111</v>
      </c>
      <c r="Q1141" s="1" t="str">
        <f aca="false">_xlfn.CONCAT(H1141,I1141,J1141)</f>
        <v>DAURDE</v>
      </c>
    </row>
    <row r="1142" customFormat="false" ht="15" hidden="false" customHeight="false" outlineLevel="0" collapsed="false">
      <c r="B1142" s="1" t="s">
        <v>309</v>
      </c>
      <c r="C1142" s="1" t="s">
        <v>255</v>
      </c>
      <c r="D1142" s="14" t="n">
        <v>46046.3402777778</v>
      </c>
      <c r="E1142" s="14" t="n">
        <v>46046.3402777778</v>
      </c>
      <c r="F1142" s="14" t="n">
        <v>46046.6111111111</v>
      </c>
      <c r="G1142" s="15" t="n">
        <f aca="false">F1142-E1142</f>
        <v>0.270833333333333</v>
      </c>
      <c r="H1142" s="20" t="s">
        <v>248</v>
      </c>
      <c r="J1142" s="20" t="s">
        <v>256</v>
      </c>
      <c r="K1142" s="1" t="s">
        <v>430</v>
      </c>
      <c r="L1142" s="1" t="s">
        <v>257</v>
      </c>
      <c r="M1142" s="20" t="s">
        <v>258</v>
      </c>
      <c r="N1142" s="20" t="s">
        <v>259</v>
      </c>
      <c r="O1142" s="1" t="s">
        <v>503</v>
      </c>
      <c r="P1142" s="22" t="str">
        <f aca="false">_xlfn.CONCAT(B1142,C1142,D1142,E1142,F1142)</f>
        <v>BC Aracu5.4Inverter(MBUS-1)46046.340277777846046.340277777846046.6111111111</v>
      </c>
      <c r="Q1142" s="1" t="str">
        <f aca="false">_xlfn.CONCAT(H1142,I1142,J1142)</f>
        <v>DAURDE</v>
      </c>
    </row>
    <row r="1143" customFormat="false" ht="15" hidden="false" customHeight="false" outlineLevel="0" collapsed="false">
      <c r="B1143" s="1" t="s">
        <v>310</v>
      </c>
      <c r="C1143" s="1" t="s">
        <v>255</v>
      </c>
      <c r="D1143" s="14" t="n">
        <v>46046.3402777778</v>
      </c>
      <c r="E1143" s="14" t="n">
        <v>46046.3402777778</v>
      </c>
      <c r="F1143" s="14" t="n">
        <v>46046.6111111111</v>
      </c>
      <c r="G1143" s="15" t="n">
        <f aca="false">F1143-E1143</f>
        <v>0.270833333333333</v>
      </c>
      <c r="H1143" s="20" t="s">
        <v>248</v>
      </c>
      <c r="J1143" s="20" t="s">
        <v>256</v>
      </c>
      <c r="K1143" s="1" t="s">
        <v>430</v>
      </c>
      <c r="L1143" s="1" t="s">
        <v>257</v>
      </c>
      <c r="M1143" s="20" t="s">
        <v>258</v>
      </c>
      <c r="N1143" s="20" t="s">
        <v>259</v>
      </c>
      <c r="O1143" s="1" t="s">
        <v>503</v>
      </c>
      <c r="P1143" s="22" t="str">
        <f aca="false">_xlfn.CONCAT(B1143,C1143,D1143,E1143,F1143)</f>
        <v>BC Aracu5.5Inverter(MBUS-1)46046.340277777846046.340277777846046.6111111111</v>
      </c>
      <c r="Q1143" s="1" t="str">
        <f aca="false">_xlfn.CONCAT(H1143,I1143,J1143)</f>
        <v>DAURDE</v>
      </c>
    </row>
    <row r="1144" customFormat="false" ht="15" hidden="false" customHeight="false" outlineLevel="0" collapsed="false">
      <c r="B1144" s="1" t="s">
        <v>536</v>
      </c>
      <c r="C1144" s="1" t="s">
        <v>537</v>
      </c>
      <c r="D1144" s="14" t="n">
        <v>46046.6597222222</v>
      </c>
      <c r="E1144" s="14" t="n">
        <v>46046.6597222222</v>
      </c>
      <c r="F1144" s="14" t="n">
        <v>46053.9999884259</v>
      </c>
      <c r="G1144" s="15" t="n">
        <f aca="false">F1144-E1144</f>
        <v>7.3402662037037</v>
      </c>
      <c r="H1144" s="20" t="s">
        <v>445</v>
      </c>
      <c r="I1144" s="1" t="s">
        <v>263</v>
      </c>
      <c r="J1144" s="20" t="s">
        <v>264</v>
      </c>
      <c r="K1144" s="1" t="s">
        <v>456</v>
      </c>
      <c r="L1144" s="1" t="s">
        <v>538</v>
      </c>
      <c r="M1144" s="20" t="s">
        <v>266</v>
      </c>
      <c r="N1144" s="20" t="s">
        <v>252</v>
      </c>
      <c r="O1144" s="1" t="s">
        <v>539</v>
      </c>
      <c r="P1144" s="22" t="str">
        <f aca="false">_xlfn.CONCAT(B1144,C1144,D1144,E1144,F1144)</f>
        <v>BC Vazante2.3Inverter(MBUS-11)46046.659722222246046.659722222246053.9999884259</v>
      </c>
      <c r="Q1144" s="1" t="str">
        <f aca="false">_xlfn.CONCAT(H1144,I1144,J1144)</f>
        <v>LIGRFOCOM</v>
      </c>
    </row>
    <row r="1145" customFormat="false" ht="15" hidden="false" customHeight="false" outlineLevel="0" collapsed="false">
      <c r="B1145" s="1" t="s">
        <v>536</v>
      </c>
      <c r="C1145" s="1" t="s">
        <v>277</v>
      </c>
      <c r="D1145" s="14" t="n">
        <v>46046.6597222222</v>
      </c>
      <c r="E1145" s="14" t="n">
        <v>46046.6597222222</v>
      </c>
      <c r="F1145" s="14" t="n">
        <v>46053.9999884259</v>
      </c>
      <c r="G1145" s="15" t="n">
        <f aca="false">F1145-E1145</f>
        <v>7.3402662037037</v>
      </c>
      <c r="H1145" s="20" t="s">
        <v>445</v>
      </c>
      <c r="I1145" s="1" t="s">
        <v>263</v>
      </c>
      <c r="J1145" s="20" t="s">
        <v>264</v>
      </c>
      <c r="K1145" s="1" t="s">
        <v>456</v>
      </c>
      <c r="L1145" s="1" t="s">
        <v>538</v>
      </c>
      <c r="M1145" s="20" t="s">
        <v>266</v>
      </c>
      <c r="N1145" s="20" t="s">
        <v>252</v>
      </c>
      <c r="O1145" s="1" t="s">
        <v>539</v>
      </c>
      <c r="P1145" s="22" t="str">
        <f aca="false">_xlfn.CONCAT(B1145,C1145,D1145,E1145,F1145)</f>
        <v>BC Vazante2.3Inverter(MBUS-12)46046.659722222246046.659722222246053.9999884259</v>
      </c>
      <c r="Q1145" s="1" t="str">
        <f aca="false">_xlfn.CONCAT(H1145,I1145,J1145)</f>
        <v>LIGRFOCOM</v>
      </c>
    </row>
    <row r="1146" customFormat="false" ht="15" hidden="false" customHeight="false" outlineLevel="0" collapsed="false">
      <c r="B1146" s="1" t="s">
        <v>536</v>
      </c>
      <c r="C1146" s="1" t="s">
        <v>247</v>
      </c>
      <c r="D1146" s="14" t="n">
        <v>46046.6597222222</v>
      </c>
      <c r="E1146" s="14" t="n">
        <v>46046.6597222222</v>
      </c>
      <c r="F1146" s="14" t="n">
        <v>46053.9999884259</v>
      </c>
      <c r="G1146" s="15" t="n">
        <f aca="false">F1146-E1146</f>
        <v>7.3402662037037</v>
      </c>
      <c r="H1146" s="20" t="s">
        <v>445</v>
      </c>
      <c r="I1146" s="1" t="s">
        <v>263</v>
      </c>
      <c r="J1146" s="20" t="s">
        <v>264</v>
      </c>
      <c r="K1146" s="1" t="s">
        <v>456</v>
      </c>
      <c r="L1146" s="1" t="s">
        <v>538</v>
      </c>
      <c r="M1146" s="20" t="s">
        <v>266</v>
      </c>
      <c r="N1146" s="20" t="s">
        <v>252</v>
      </c>
      <c r="O1146" s="1" t="s">
        <v>539</v>
      </c>
      <c r="P1146" s="22" t="str">
        <f aca="false">_xlfn.CONCAT(B1146,C1146,D1146,E1146,F1146)</f>
        <v>BC Vazante2.3Inverter(MBUS-13)46046.659722222246046.659722222246053.9999884259</v>
      </c>
      <c r="Q1146" s="1" t="str">
        <f aca="false">_xlfn.CONCAT(H1146,I1146,J1146)</f>
        <v>LIGRFOCOM</v>
      </c>
    </row>
    <row r="1147" customFormat="false" ht="15" hidden="false" customHeight="false" outlineLevel="0" collapsed="false">
      <c r="B1147" s="1" t="s">
        <v>380</v>
      </c>
      <c r="C1147" s="1" t="s">
        <v>277</v>
      </c>
      <c r="D1147" s="14" t="n">
        <v>46046.7395833333</v>
      </c>
      <c r="E1147" s="14" t="n">
        <v>46046.7395833333</v>
      </c>
      <c r="F1147" s="14" t="n">
        <v>46046.8333333333</v>
      </c>
      <c r="G1147" s="15" t="n">
        <f aca="false">F1147-E1147</f>
        <v>0.09375</v>
      </c>
      <c r="H1147" s="20" t="s">
        <v>248</v>
      </c>
      <c r="J1147" s="20" t="s">
        <v>256</v>
      </c>
      <c r="K1147" s="1" t="s">
        <v>430</v>
      </c>
      <c r="L1147" s="1" t="s">
        <v>540</v>
      </c>
      <c r="M1147" s="20" t="s">
        <v>258</v>
      </c>
      <c r="N1147" s="20" t="s">
        <v>259</v>
      </c>
      <c r="O1147" s="1" t="s">
        <v>541</v>
      </c>
      <c r="P1147" s="22" t="str">
        <f aca="false">_xlfn.CONCAT(B1147,C1147,D1147,E1147,F1147)</f>
        <v>ARAGUATINS 1.1Inverter(MBUS-12)46046.739583333346046.739583333346046.8333333333</v>
      </c>
      <c r="Q1147" s="1" t="str">
        <f aca="false">_xlfn.CONCAT(H1147,I1147,J1147)</f>
        <v>DAURDE</v>
      </c>
    </row>
    <row r="1148" customFormat="false" ht="15" hidden="false" customHeight="false" outlineLevel="0" collapsed="false">
      <c r="B1148" s="1" t="s">
        <v>380</v>
      </c>
      <c r="C1148" s="1" t="s">
        <v>247</v>
      </c>
      <c r="D1148" s="14" t="n">
        <v>46046.7395833333</v>
      </c>
      <c r="E1148" s="14" t="n">
        <v>46046.7395833333</v>
      </c>
      <c r="F1148" s="14" t="n">
        <v>46046.8333333333</v>
      </c>
      <c r="G1148" s="15" t="n">
        <f aca="false">F1148-E1148</f>
        <v>0.09375</v>
      </c>
      <c r="H1148" s="20" t="s">
        <v>248</v>
      </c>
      <c r="J1148" s="20" t="s">
        <v>256</v>
      </c>
      <c r="K1148" s="1" t="s">
        <v>430</v>
      </c>
      <c r="L1148" s="1" t="s">
        <v>540</v>
      </c>
      <c r="M1148" s="20" t="s">
        <v>258</v>
      </c>
      <c r="N1148" s="20" t="s">
        <v>259</v>
      </c>
      <c r="O1148" s="1" t="s">
        <v>541</v>
      </c>
      <c r="P1148" s="22" t="str">
        <f aca="false">_xlfn.CONCAT(B1148,C1148,D1148,E1148,F1148)</f>
        <v>ARAGUATINS 1.1Inverter(MBUS-13)46046.739583333346046.739583333346046.8333333333</v>
      </c>
      <c r="Q1148" s="1" t="str">
        <f aca="false">_xlfn.CONCAT(H1148,I1148,J1148)</f>
        <v>DAURDE</v>
      </c>
    </row>
    <row r="1149" customFormat="false" ht="15" hidden="false" customHeight="false" outlineLevel="0" collapsed="false">
      <c r="B1149" s="1" t="s">
        <v>380</v>
      </c>
      <c r="C1149" s="1" t="s">
        <v>280</v>
      </c>
      <c r="D1149" s="14" t="n">
        <v>46046.7395833333</v>
      </c>
      <c r="E1149" s="14" t="n">
        <v>46046.7395833333</v>
      </c>
      <c r="F1149" s="14" t="n">
        <v>46046.8333333333</v>
      </c>
      <c r="G1149" s="15" t="n">
        <f aca="false">F1149-E1149</f>
        <v>0.09375</v>
      </c>
      <c r="H1149" s="20" t="s">
        <v>248</v>
      </c>
      <c r="J1149" s="20" t="s">
        <v>256</v>
      </c>
      <c r="K1149" s="1" t="s">
        <v>430</v>
      </c>
      <c r="L1149" s="1" t="s">
        <v>540</v>
      </c>
      <c r="M1149" s="20" t="s">
        <v>258</v>
      </c>
      <c r="N1149" s="20" t="s">
        <v>259</v>
      </c>
      <c r="O1149" s="1" t="s">
        <v>541</v>
      </c>
      <c r="P1149" s="22" t="str">
        <f aca="false">_xlfn.CONCAT(B1149,C1149,D1149,E1149,F1149)</f>
        <v>ARAGUATINS 1.1Inverter(MBUS-14)46046.739583333346046.739583333346046.8333333333</v>
      </c>
      <c r="Q1149" s="1" t="str">
        <f aca="false">_xlfn.CONCAT(H1149,I1149,J1149)</f>
        <v>DAURDE</v>
      </c>
    </row>
    <row r="1150" customFormat="false" ht="15" hidden="false" customHeight="false" outlineLevel="0" collapsed="false">
      <c r="B1150" s="1" t="s">
        <v>380</v>
      </c>
      <c r="C1150" s="1" t="s">
        <v>279</v>
      </c>
      <c r="D1150" s="14" t="n">
        <v>46046.7395833333</v>
      </c>
      <c r="E1150" s="14" t="n">
        <v>46046.7395833333</v>
      </c>
      <c r="F1150" s="14" t="n">
        <v>46046.8333333333</v>
      </c>
      <c r="G1150" s="15" t="n">
        <f aca="false">F1150-E1150</f>
        <v>0.09375</v>
      </c>
      <c r="H1150" s="20" t="s">
        <v>248</v>
      </c>
      <c r="J1150" s="20" t="s">
        <v>256</v>
      </c>
      <c r="K1150" s="1" t="s">
        <v>430</v>
      </c>
      <c r="L1150" s="1" t="s">
        <v>540</v>
      </c>
      <c r="M1150" s="20" t="s">
        <v>258</v>
      </c>
      <c r="N1150" s="20" t="s">
        <v>259</v>
      </c>
      <c r="O1150" s="1" t="s">
        <v>541</v>
      </c>
      <c r="P1150" s="22" t="str">
        <f aca="false">_xlfn.CONCAT(B1150,C1150,D1150,E1150,F1150)</f>
        <v>ARAGUATINS 1.1Inverter(MBUS-15)46046.739583333346046.739583333346046.8333333333</v>
      </c>
      <c r="Q1150" s="1" t="str">
        <f aca="false">_xlfn.CONCAT(H1150,I1150,J1150)</f>
        <v>DAURDE</v>
      </c>
    </row>
    <row r="1151" customFormat="false" ht="15" hidden="false" customHeight="false" outlineLevel="0" collapsed="false">
      <c r="B1151" s="1" t="s">
        <v>381</v>
      </c>
      <c r="C1151" s="1" t="s">
        <v>277</v>
      </c>
      <c r="D1151" s="14" t="n">
        <v>46046.7395833333</v>
      </c>
      <c r="E1151" s="14" t="n">
        <v>46046.7395833333</v>
      </c>
      <c r="F1151" s="14" t="n">
        <v>46046.8333333333</v>
      </c>
      <c r="G1151" s="15" t="n">
        <f aca="false">F1151-E1151</f>
        <v>0.09375</v>
      </c>
      <c r="H1151" s="20" t="s">
        <v>248</v>
      </c>
      <c r="J1151" s="20" t="s">
        <v>256</v>
      </c>
      <c r="K1151" s="1" t="s">
        <v>430</v>
      </c>
      <c r="L1151" s="1" t="s">
        <v>540</v>
      </c>
      <c r="M1151" s="20" t="s">
        <v>258</v>
      </c>
      <c r="N1151" s="20" t="s">
        <v>259</v>
      </c>
      <c r="O1151" s="1" t="s">
        <v>541</v>
      </c>
      <c r="P1151" s="22" t="str">
        <f aca="false">_xlfn.CONCAT(B1151,C1151,D1151,E1151,F1151)</f>
        <v>ARAGUATINS 1.2Inverter(MBUS-12)46046.739583333346046.739583333346046.8333333333</v>
      </c>
      <c r="Q1151" s="1" t="str">
        <f aca="false">_xlfn.CONCAT(H1151,I1151,J1151)</f>
        <v>DAURDE</v>
      </c>
    </row>
    <row r="1152" customFormat="false" ht="15" hidden="false" customHeight="false" outlineLevel="0" collapsed="false">
      <c r="B1152" s="1" t="s">
        <v>381</v>
      </c>
      <c r="C1152" s="1" t="s">
        <v>247</v>
      </c>
      <c r="D1152" s="14" t="n">
        <v>46046.7395833333</v>
      </c>
      <c r="E1152" s="14" t="n">
        <v>46046.7395833333</v>
      </c>
      <c r="F1152" s="14" t="n">
        <v>46046.8333333333</v>
      </c>
      <c r="G1152" s="15" t="n">
        <f aca="false">F1152-E1152</f>
        <v>0.09375</v>
      </c>
      <c r="H1152" s="20" t="s">
        <v>248</v>
      </c>
      <c r="J1152" s="20" t="s">
        <v>256</v>
      </c>
      <c r="K1152" s="1" t="s">
        <v>430</v>
      </c>
      <c r="L1152" s="1" t="s">
        <v>540</v>
      </c>
      <c r="M1152" s="20" t="s">
        <v>258</v>
      </c>
      <c r="N1152" s="20" t="s">
        <v>259</v>
      </c>
      <c r="O1152" s="1" t="s">
        <v>541</v>
      </c>
      <c r="P1152" s="22" t="str">
        <f aca="false">_xlfn.CONCAT(B1152,C1152,D1152,E1152,F1152)</f>
        <v>ARAGUATINS 1.2Inverter(MBUS-13)46046.739583333346046.739583333346046.8333333333</v>
      </c>
      <c r="Q1152" s="1" t="str">
        <f aca="false">_xlfn.CONCAT(H1152,I1152,J1152)</f>
        <v>DAURDE</v>
      </c>
    </row>
    <row r="1153" customFormat="false" ht="15" hidden="false" customHeight="false" outlineLevel="0" collapsed="false">
      <c r="B1153" s="1" t="s">
        <v>381</v>
      </c>
      <c r="C1153" s="1" t="s">
        <v>280</v>
      </c>
      <c r="D1153" s="14" t="n">
        <v>46046.7395833333</v>
      </c>
      <c r="E1153" s="14" t="n">
        <v>46046.7395833333</v>
      </c>
      <c r="F1153" s="14" t="n">
        <v>46046.8333333333</v>
      </c>
      <c r="G1153" s="15" t="n">
        <f aca="false">F1153-E1153</f>
        <v>0.09375</v>
      </c>
      <c r="H1153" s="20" t="s">
        <v>248</v>
      </c>
      <c r="J1153" s="20" t="s">
        <v>256</v>
      </c>
      <c r="K1153" s="1" t="s">
        <v>430</v>
      </c>
      <c r="L1153" s="1" t="s">
        <v>540</v>
      </c>
      <c r="M1153" s="20" t="s">
        <v>258</v>
      </c>
      <c r="N1153" s="20" t="s">
        <v>259</v>
      </c>
      <c r="O1153" s="1" t="s">
        <v>541</v>
      </c>
      <c r="P1153" s="22" t="str">
        <f aca="false">_xlfn.CONCAT(B1153,C1153,D1153,E1153,F1153)</f>
        <v>ARAGUATINS 1.2Inverter(MBUS-14)46046.739583333346046.739583333346046.8333333333</v>
      </c>
      <c r="Q1153" s="1" t="str">
        <f aca="false">_xlfn.CONCAT(H1153,I1153,J1153)</f>
        <v>DAURDE</v>
      </c>
    </row>
    <row r="1154" customFormat="false" ht="15" hidden="false" customHeight="false" outlineLevel="0" collapsed="false">
      <c r="B1154" s="1" t="s">
        <v>381</v>
      </c>
      <c r="C1154" s="1" t="s">
        <v>279</v>
      </c>
      <c r="D1154" s="14" t="n">
        <v>46046.7395833333</v>
      </c>
      <c r="E1154" s="14" t="n">
        <v>46046.7395833333</v>
      </c>
      <c r="F1154" s="14" t="n">
        <v>46046.8333333333</v>
      </c>
      <c r="G1154" s="15" t="n">
        <f aca="false">F1154-E1154</f>
        <v>0.09375</v>
      </c>
      <c r="H1154" s="20" t="s">
        <v>248</v>
      </c>
      <c r="J1154" s="20" t="s">
        <v>256</v>
      </c>
      <c r="K1154" s="1" t="s">
        <v>430</v>
      </c>
      <c r="L1154" s="1" t="s">
        <v>540</v>
      </c>
      <c r="M1154" s="20" t="s">
        <v>258</v>
      </c>
      <c r="N1154" s="20" t="s">
        <v>259</v>
      </c>
      <c r="O1154" s="1" t="s">
        <v>541</v>
      </c>
      <c r="P1154" s="22" t="str">
        <f aca="false">_xlfn.CONCAT(B1154,C1154,D1154,E1154,F1154)</f>
        <v>ARAGUATINS 1.2Inverter(MBUS-15)46046.739583333346046.739583333346046.8333333333</v>
      </c>
      <c r="Q1154" s="1" t="str">
        <f aca="false">_xlfn.CONCAT(H1154,I1154,J1154)</f>
        <v>DAURDE</v>
      </c>
    </row>
    <row r="1155" customFormat="false" ht="15" hidden="false" customHeight="false" outlineLevel="0" collapsed="false">
      <c r="B1155" s="1" t="s">
        <v>382</v>
      </c>
      <c r="C1155" s="1" t="s">
        <v>383</v>
      </c>
      <c r="D1155" s="14" t="n">
        <v>46046.7395833333</v>
      </c>
      <c r="E1155" s="14" t="n">
        <v>46046.7395833333</v>
      </c>
      <c r="F1155" s="14" t="n">
        <v>46046.8333333333</v>
      </c>
      <c r="G1155" s="15" t="n">
        <f aca="false">F1155-E1155</f>
        <v>0.09375</v>
      </c>
      <c r="H1155" s="20" t="s">
        <v>248</v>
      </c>
      <c r="J1155" s="20" t="s">
        <v>256</v>
      </c>
      <c r="K1155" s="1" t="s">
        <v>430</v>
      </c>
      <c r="L1155" s="1" t="s">
        <v>540</v>
      </c>
      <c r="M1155" s="20" t="s">
        <v>258</v>
      </c>
      <c r="N1155" s="20" t="s">
        <v>259</v>
      </c>
      <c r="O1155" s="1" t="s">
        <v>541</v>
      </c>
      <c r="P1155" s="22" t="str">
        <f aca="false">_xlfn.CONCAT(B1155,C1155,D1155,E1155,F1155)</f>
        <v>ARAGUATINS 1.3Inverter(MBUS-20)46046.739583333346046.739583333346046.8333333333</v>
      </c>
      <c r="Q1155" s="1" t="str">
        <f aca="false">_xlfn.CONCAT(H1155,I1155,J1155)</f>
        <v>DAURDE</v>
      </c>
    </row>
    <row r="1156" customFormat="false" ht="15" hidden="false" customHeight="false" outlineLevel="0" collapsed="false">
      <c r="B1156" s="1" t="s">
        <v>382</v>
      </c>
      <c r="C1156" s="1" t="s">
        <v>255</v>
      </c>
      <c r="D1156" s="14" t="n">
        <v>46046.7395833333</v>
      </c>
      <c r="E1156" s="14" t="n">
        <v>46046.7395833333</v>
      </c>
      <c r="F1156" s="14" t="n">
        <v>46046.8333333333</v>
      </c>
      <c r="G1156" s="15" t="n">
        <f aca="false">F1156-E1156</f>
        <v>0.09375</v>
      </c>
      <c r="H1156" s="20" t="s">
        <v>248</v>
      </c>
      <c r="J1156" s="20" t="s">
        <v>256</v>
      </c>
      <c r="K1156" s="1" t="s">
        <v>430</v>
      </c>
      <c r="L1156" s="1" t="s">
        <v>540</v>
      </c>
      <c r="M1156" s="20" t="s">
        <v>258</v>
      </c>
      <c r="N1156" s="20" t="s">
        <v>259</v>
      </c>
      <c r="O1156" s="1" t="s">
        <v>541</v>
      </c>
      <c r="P1156" s="22" t="str">
        <f aca="false">_xlfn.CONCAT(B1156,C1156,D1156,E1156,F1156)</f>
        <v>ARAGUATINS 1.3Inverter(MBUS-1)46046.739583333346046.739583333346046.8333333333</v>
      </c>
      <c r="Q1156" s="1" t="str">
        <f aca="false">_xlfn.CONCAT(H1156,I1156,J1156)</f>
        <v>DAURDE</v>
      </c>
    </row>
    <row r="1157" customFormat="false" ht="15" hidden="false" customHeight="false" outlineLevel="0" collapsed="false">
      <c r="B1157" s="1" t="s">
        <v>276</v>
      </c>
      <c r="C1157" s="1" t="s">
        <v>277</v>
      </c>
      <c r="D1157" s="14" t="n">
        <v>46046.7395833333</v>
      </c>
      <c r="E1157" s="14" t="n">
        <v>46046.7395833333</v>
      </c>
      <c r="F1157" s="14" t="n">
        <v>46046.8333333333</v>
      </c>
      <c r="G1157" s="15" t="n">
        <f aca="false">F1157-E1157</f>
        <v>0.09375</v>
      </c>
      <c r="H1157" s="20" t="s">
        <v>248</v>
      </c>
      <c r="J1157" s="20" t="s">
        <v>256</v>
      </c>
      <c r="K1157" s="1" t="s">
        <v>430</v>
      </c>
      <c r="L1157" s="1" t="s">
        <v>540</v>
      </c>
      <c r="M1157" s="20" t="s">
        <v>258</v>
      </c>
      <c r="N1157" s="20" t="s">
        <v>259</v>
      </c>
      <c r="O1157" s="1" t="s">
        <v>541</v>
      </c>
      <c r="P1157" s="22" t="str">
        <f aca="false">_xlfn.CONCAT(B1157,C1157,D1157,E1157,F1157)</f>
        <v>ARAGUATINS 2.1Inverter(MBUS-12)46046.739583333346046.739583333346046.8333333333</v>
      </c>
      <c r="Q1157" s="1" t="str">
        <f aca="false">_xlfn.CONCAT(H1157,I1157,J1157)</f>
        <v>DAURDE</v>
      </c>
    </row>
    <row r="1158" customFormat="false" ht="15" hidden="false" customHeight="false" outlineLevel="0" collapsed="false">
      <c r="B1158" s="1" t="s">
        <v>276</v>
      </c>
      <c r="C1158" s="1" t="s">
        <v>279</v>
      </c>
      <c r="D1158" s="14" t="n">
        <v>46046.7395833333</v>
      </c>
      <c r="E1158" s="14" t="n">
        <v>46046.7395833333</v>
      </c>
      <c r="F1158" s="14" t="n">
        <v>46046.8333333333</v>
      </c>
      <c r="G1158" s="15" t="n">
        <f aca="false">F1158-E1158</f>
        <v>0.09375</v>
      </c>
      <c r="H1158" s="20" t="s">
        <v>248</v>
      </c>
      <c r="J1158" s="20" t="s">
        <v>256</v>
      </c>
      <c r="K1158" s="1" t="s">
        <v>430</v>
      </c>
      <c r="L1158" s="1" t="s">
        <v>540</v>
      </c>
      <c r="M1158" s="20" t="s">
        <v>258</v>
      </c>
      <c r="N1158" s="20" t="s">
        <v>259</v>
      </c>
      <c r="O1158" s="1" t="s">
        <v>541</v>
      </c>
      <c r="P1158" s="22" t="str">
        <f aca="false">_xlfn.CONCAT(B1158,C1158,D1158,E1158,F1158)</f>
        <v>ARAGUATINS 2.1Inverter(MBUS-15)46046.739583333346046.739583333346046.8333333333</v>
      </c>
      <c r="Q1158" s="1" t="str">
        <f aca="false">_xlfn.CONCAT(H1158,I1158,J1158)</f>
        <v>DAURDE</v>
      </c>
    </row>
    <row r="1159" customFormat="false" ht="15" hidden="false" customHeight="false" outlineLevel="0" collapsed="false">
      <c r="B1159" s="1" t="s">
        <v>276</v>
      </c>
      <c r="C1159" s="1" t="s">
        <v>280</v>
      </c>
      <c r="D1159" s="14" t="n">
        <v>46046.7395833333</v>
      </c>
      <c r="E1159" s="14" t="n">
        <v>46046.7395833333</v>
      </c>
      <c r="F1159" s="14" t="n">
        <v>46046.8333333333</v>
      </c>
      <c r="G1159" s="15" t="n">
        <f aca="false">F1159-E1159</f>
        <v>0.09375</v>
      </c>
      <c r="H1159" s="20" t="s">
        <v>248</v>
      </c>
      <c r="J1159" s="20" t="s">
        <v>256</v>
      </c>
      <c r="K1159" s="1" t="s">
        <v>430</v>
      </c>
      <c r="L1159" s="1" t="s">
        <v>540</v>
      </c>
      <c r="M1159" s="20" t="s">
        <v>258</v>
      </c>
      <c r="N1159" s="20" t="s">
        <v>259</v>
      </c>
      <c r="O1159" s="1" t="s">
        <v>541</v>
      </c>
      <c r="P1159" s="22" t="str">
        <f aca="false">_xlfn.CONCAT(B1159,C1159,D1159,E1159,F1159)</f>
        <v>ARAGUATINS 2.1Inverter(MBUS-14)46046.739583333346046.739583333346046.8333333333</v>
      </c>
      <c r="Q1159" s="1" t="str">
        <f aca="false">_xlfn.CONCAT(H1159,I1159,J1159)</f>
        <v>DAURDE</v>
      </c>
    </row>
    <row r="1160" customFormat="false" ht="15" hidden="false" customHeight="false" outlineLevel="0" collapsed="false">
      <c r="B1160" s="1" t="s">
        <v>276</v>
      </c>
      <c r="C1160" s="1" t="s">
        <v>255</v>
      </c>
      <c r="D1160" s="14" t="n">
        <v>46046.7395833333</v>
      </c>
      <c r="E1160" s="14" t="n">
        <v>46046.7395833333</v>
      </c>
      <c r="F1160" s="14" t="n">
        <v>46046.8333333333</v>
      </c>
      <c r="G1160" s="15" t="n">
        <f aca="false">F1160-E1160</f>
        <v>0.09375</v>
      </c>
      <c r="H1160" s="20" t="s">
        <v>248</v>
      </c>
      <c r="J1160" s="20" t="s">
        <v>256</v>
      </c>
      <c r="K1160" s="1" t="s">
        <v>430</v>
      </c>
      <c r="L1160" s="1" t="s">
        <v>540</v>
      </c>
      <c r="M1160" s="20" t="s">
        <v>258</v>
      </c>
      <c r="N1160" s="20" t="s">
        <v>259</v>
      </c>
      <c r="O1160" s="1" t="s">
        <v>541</v>
      </c>
      <c r="P1160" s="22" t="str">
        <f aca="false">_xlfn.CONCAT(B1160,C1160,D1160,E1160,F1160)</f>
        <v>ARAGUATINS 2.1Inverter(MBUS-1)46046.739583333346046.739583333346046.8333333333</v>
      </c>
      <c r="Q1160" s="1" t="str">
        <f aca="false">_xlfn.CONCAT(H1160,I1160,J1160)</f>
        <v>DAURDE</v>
      </c>
    </row>
    <row r="1161" customFormat="false" ht="15" hidden="false" customHeight="false" outlineLevel="0" collapsed="false">
      <c r="B1161" s="1" t="s">
        <v>386</v>
      </c>
      <c r="C1161" s="1" t="s">
        <v>279</v>
      </c>
      <c r="D1161" s="14" t="n">
        <v>46046.7395833333</v>
      </c>
      <c r="E1161" s="14" t="n">
        <v>46046.7395833333</v>
      </c>
      <c r="F1161" s="14" t="n">
        <v>46046.8333333333</v>
      </c>
      <c r="G1161" s="15" t="n">
        <f aca="false">F1161-E1161</f>
        <v>0.09375</v>
      </c>
      <c r="H1161" s="20" t="s">
        <v>248</v>
      </c>
      <c r="J1161" s="20" t="s">
        <v>256</v>
      </c>
      <c r="K1161" s="1" t="s">
        <v>430</v>
      </c>
      <c r="L1161" s="1" t="s">
        <v>540</v>
      </c>
      <c r="M1161" s="20" t="s">
        <v>258</v>
      </c>
      <c r="N1161" s="20" t="s">
        <v>259</v>
      </c>
      <c r="O1161" s="1" t="s">
        <v>541</v>
      </c>
      <c r="P1161" s="22" t="str">
        <f aca="false">_xlfn.CONCAT(B1161,C1161,D1161,E1161,F1161)</f>
        <v>ARAGUATINS 2.2Inverter(MBUS-15)46046.739583333346046.739583333346046.8333333333</v>
      </c>
      <c r="Q1161" s="1" t="str">
        <f aca="false">_xlfn.CONCAT(H1161,I1161,J1161)</f>
        <v>DAURDE</v>
      </c>
    </row>
    <row r="1162" customFormat="false" ht="15" hidden="false" customHeight="false" outlineLevel="0" collapsed="false">
      <c r="B1162" s="1" t="s">
        <v>386</v>
      </c>
      <c r="C1162" s="1" t="s">
        <v>247</v>
      </c>
      <c r="D1162" s="14" t="n">
        <v>46046.7395833333</v>
      </c>
      <c r="E1162" s="14" t="n">
        <v>46046.7395833333</v>
      </c>
      <c r="F1162" s="14" t="n">
        <v>46046.8333333333</v>
      </c>
      <c r="G1162" s="15" t="n">
        <f aca="false">F1162-E1162</f>
        <v>0.09375</v>
      </c>
      <c r="H1162" s="20" t="s">
        <v>248</v>
      </c>
      <c r="J1162" s="20" t="s">
        <v>256</v>
      </c>
      <c r="K1162" s="1" t="s">
        <v>430</v>
      </c>
      <c r="L1162" s="1" t="s">
        <v>540</v>
      </c>
      <c r="M1162" s="20" t="s">
        <v>258</v>
      </c>
      <c r="N1162" s="20" t="s">
        <v>259</v>
      </c>
      <c r="O1162" s="1" t="s">
        <v>541</v>
      </c>
      <c r="P1162" s="22" t="str">
        <f aca="false">_xlfn.CONCAT(B1162,C1162,D1162,E1162,F1162)</f>
        <v>ARAGUATINS 2.2Inverter(MBUS-13)46046.739583333346046.739583333346046.8333333333</v>
      </c>
      <c r="Q1162" s="1" t="str">
        <f aca="false">_xlfn.CONCAT(H1162,I1162,J1162)</f>
        <v>DAURDE</v>
      </c>
    </row>
    <row r="1163" customFormat="false" ht="15" hidden="false" customHeight="false" outlineLevel="0" collapsed="false">
      <c r="B1163" s="1" t="s">
        <v>386</v>
      </c>
      <c r="C1163" s="1" t="s">
        <v>280</v>
      </c>
      <c r="D1163" s="14" t="n">
        <v>46046.7395833333</v>
      </c>
      <c r="E1163" s="14" t="n">
        <v>46046.7395833333</v>
      </c>
      <c r="F1163" s="14" t="n">
        <v>46046.8333333333</v>
      </c>
      <c r="G1163" s="15" t="n">
        <f aca="false">F1163-E1163</f>
        <v>0.09375</v>
      </c>
      <c r="H1163" s="20" t="s">
        <v>248</v>
      </c>
      <c r="J1163" s="20" t="s">
        <v>256</v>
      </c>
      <c r="K1163" s="1" t="s">
        <v>430</v>
      </c>
      <c r="L1163" s="1" t="s">
        <v>540</v>
      </c>
      <c r="M1163" s="20" t="s">
        <v>258</v>
      </c>
      <c r="N1163" s="20" t="s">
        <v>259</v>
      </c>
      <c r="O1163" s="1" t="s">
        <v>541</v>
      </c>
      <c r="P1163" s="22" t="str">
        <f aca="false">_xlfn.CONCAT(B1163,C1163,D1163,E1163,F1163)</f>
        <v>ARAGUATINS 2.2Inverter(MBUS-14)46046.739583333346046.739583333346046.8333333333</v>
      </c>
      <c r="Q1163" s="1" t="str">
        <f aca="false">_xlfn.CONCAT(H1163,I1163,J1163)</f>
        <v>DAURDE</v>
      </c>
    </row>
    <row r="1164" customFormat="false" ht="15" hidden="false" customHeight="false" outlineLevel="0" collapsed="false">
      <c r="B1164" s="1" t="s">
        <v>386</v>
      </c>
      <c r="C1164" s="1" t="s">
        <v>277</v>
      </c>
      <c r="D1164" s="14" t="n">
        <v>46046.7395833333</v>
      </c>
      <c r="E1164" s="14" t="n">
        <v>46046.7395833333</v>
      </c>
      <c r="F1164" s="14" t="n">
        <v>46046.8333333333</v>
      </c>
      <c r="G1164" s="15" t="n">
        <f aca="false">F1164-E1164</f>
        <v>0.09375</v>
      </c>
      <c r="H1164" s="20" t="s">
        <v>248</v>
      </c>
      <c r="J1164" s="20" t="s">
        <v>256</v>
      </c>
      <c r="K1164" s="1" t="s">
        <v>430</v>
      </c>
      <c r="L1164" s="1" t="s">
        <v>540</v>
      </c>
      <c r="M1164" s="20" t="s">
        <v>258</v>
      </c>
      <c r="N1164" s="20" t="s">
        <v>259</v>
      </c>
      <c r="O1164" s="1" t="s">
        <v>541</v>
      </c>
      <c r="P1164" s="22" t="str">
        <f aca="false">_xlfn.CONCAT(B1164,C1164,D1164,E1164,F1164)</f>
        <v>ARAGUATINS 2.2Inverter(MBUS-12)46046.739583333346046.739583333346046.8333333333</v>
      </c>
      <c r="Q1164" s="1" t="str">
        <f aca="false">_xlfn.CONCAT(H1164,I1164,J1164)</f>
        <v>DAURDE</v>
      </c>
    </row>
    <row r="1165" customFormat="false" ht="15" hidden="false" customHeight="false" outlineLevel="0" collapsed="false">
      <c r="B1165" s="1" t="s">
        <v>388</v>
      </c>
      <c r="C1165" s="1" t="s">
        <v>277</v>
      </c>
      <c r="D1165" s="14" t="n">
        <v>46046.7395833333</v>
      </c>
      <c r="E1165" s="14" t="n">
        <v>46046.7395833333</v>
      </c>
      <c r="F1165" s="14" t="n">
        <v>46046.8333333333</v>
      </c>
      <c r="G1165" s="15" t="n">
        <f aca="false">F1165-E1165</f>
        <v>0.09375</v>
      </c>
      <c r="H1165" s="20" t="s">
        <v>248</v>
      </c>
      <c r="J1165" s="20" t="s">
        <v>256</v>
      </c>
      <c r="K1165" s="1" t="s">
        <v>430</v>
      </c>
      <c r="L1165" s="1" t="s">
        <v>540</v>
      </c>
      <c r="M1165" s="20" t="s">
        <v>258</v>
      </c>
      <c r="N1165" s="20" t="s">
        <v>259</v>
      </c>
      <c r="O1165" s="1" t="s">
        <v>541</v>
      </c>
      <c r="P1165" s="22" t="str">
        <f aca="false">_xlfn.CONCAT(B1165,C1165,D1165,E1165,F1165)</f>
        <v>ARAGUATINS 2.3Inverter(MBUS-12)46046.739583333346046.739583333346046.8333333333</v>
      </c>
      <c r="Q1165" s="1" t="str">
        <f aca="false">_xlfn.CONCAT(H1165,I1165,J1165)</f>
        <v>DAURDE</v>
      </c>
    </row>
    <row r="1166" customFormat="false" ht="15" hidden="false" customHeight="false" outlineLevel="0" collapsed="false">
      <c r="B1166" s="1" t="s">
        <v>388</v>
      </c>
      <c r="C1166" s="1" t="s">
        <v>247</v>
      </c>
      <c r="D1166" s="14" t="n">
        <v>46046.7395833333</v>
      </c>
      <c r="E1166" s="14" t="n">
        <v>46046.7395833333</v>
      </c>
      <c r="F1166" s="14" t="n">
        <v>46046.8333333333</v>
      </c>
      <c r="G1166" s="15" t="n">
        <f aca="false">F1166-E1166</f>
        <v>0.09375</v>
      </c>
      <c r="H1166" s="20" t="s">
        <v>248</v>
      </c>
      <c r="J1166" s="20" t="s">
        <v>256</v>
      </c>
      <c r="K1166" s="1" t="s">
        <v>430</v>
      </c>
      <c r="L1166" s="1" t="s">
        <v>540</v>
      </c>
      <c r="M1166" s="20" t="s">
        <v>258</v>
      </c>
      <c r="N1166" s="20" t="s">
        <v>259</v>
      </c>
      <c r="O1166" s="1" t="s">
        <v>541</v>
      </c>
      <c r="P1166" s="22" t="str">
        <f aca="false">_xlfn.CONCAT(B1166,C1166,D1166,E1166,F1166)</f>
        <v>ARAGUATINS 2.3Inverter(MBUS-13)46046.739583333346046.739583333346046.8333333333</v>
      </c>
      <c r="Q1166" s="1" t="str">
        <f aca="false">_xlfn.CONCAT(H1166,I1166,J1166)</f>
        <v>DAURDE</v>
      </c>
    </row>
    <row r="1167" customFormat="false" ht="15" hidden="false" customHeight="false" outlineLevel="0" collapsed="false">
      <c r="B1167" s="1" t="s">
        <v>542</v>
      </c>
      <c r="C1167" s="1" t="s">
        <v>543</v>
      </c>
      <c r="D1167" s="14" t="n">
        <v>46047.2534722222</v>
      </c>
      <c r="E1167" s="14" t="n">
        <v>46047.2534722222</v>
      </c>
      <c r="F1167" s="14" t="n">
        <v>46047.4208333333</v>
      </c>
      <c r="G1167" s="15" t="n">
        <f aca="false">F1167-E1167</f>
        <v>0.167361111111111</v>
      </c>
      <c r="H1167" s="20" t="s">
        <v>248</v>
      </c>
      <c r="J1167" s="20" t="s">
        <v>256</v>
      </c>
      <c r="K1167" s="1" t="s">
        <v>430</v>
      </c>
      <c r="L1167" s="1" t="s">
        <v>436</v>
      </c>
      <c r="M1167" s="20" t="s">
        <v>258</v>
      </c>
      <c r="N1167" s="20" t="s">
        <v>259</v>
      </c>
      <c r="O1167" s="1" t="s">
        <v>544</v>
      </c>
      <c r="P1167" s="22" t="str">
        <f aca="false">_xlfn.CONCAT(B1167,C1167,D1167,E1167,F1167)</f>
        <v>BC Caiaponia1SG60KTL(COM1-001)_001_00746047.253472222246047.253472222246047.4208333333</v>
      </c>
      <c r="Q1167" s="1" t="str">
        <f aca="false">_xlfn.CONCAT(H1167,I1167,J1167)</f>
        <v>DAURDE</v>
      </c>
    </row>
    <row r="1168" customFormat="false" ht="15" hidden="false" customHeight="false" outlineLevel="0" collapsed="false">
      <c r="B1168" s="1" t="s">
        <v>542</v>
      </c>
      <c r="C1168" s="1" t="s">
        <v>545</v>
      </c>
      <c r="D1168" s="14" t="n">
        <v>46047.2534722222</v>
      </c>
      <c r="E1168" s="14" t="n">
        <v>46047.2534722222</v>
      </c>
      <c r="F1168" s="14" t="n">
        <v>46047.4208333333</v>
      </c>
      <c r="G1168" s="15" t="n">
        <f aca="false">F1168-E1168</f>
        <v>0.167361111111111</v>
      </c>
      <c r="H1168" s="20" t="s">
        <v>248</v>
      </c>
      <c r="J1168" s="20" t="s">
        <v>256</v>
      </c>
      <c r="K1168" s="1" t="s">
        <v>430</v>
      </c>
      <c r="L1168" s="1" t="s">
        <v>436</v>
      </c>
      <c r="M1168" s="20" t="s">
        <v>258</v>
      </c>
      <c r="N1168" s="20" t="s">
        <v>259</v>
      </c>
      <c r="O1168" s="1" t="s">
        <v>544</v>
      </c>
      <c r="P1168" s="22" t="str">
        <f aca="false">_xlfn.CONCAT(B1168,C1168,D1168,E1168,F1168)</f>
        <v>BC Caiaponia1SG60KTL(COM1-002)_001_01046047.253472222246047.253472222246047.4208333333</v>
      </c>
      <c r="Q1168" s="1" t="str">
        <f aca="false">_xlfn.CONCAT(H1168,I1168,J1168)</f>
        <v>DAURDE</v>
      </c>
    </row>
    <row r="1169" customFormat="false" ht="15" hidden="false" customHeight="false" outlineLevel="0" collapsed="false">
      <c r="B1169" s="1" t="s">
        <v>542</v>
      </c>
      <c r="C1169" s="1" t="s">
        <v>546</v>
      </c>
      <c r="D1169" s="14" t="n">
        <v>46047.2534722222</v>
      </c>
      <c r="E1169" s="14" t="n">
        <v>46047.2534722222</v>
      </c>
      <c r="F1169" s="14" t="n">
        <v>46047.4208333333</v>
      </c>
      <c r="G1169" s="15" t="n">
        <f aca="false">F1169-E1169</f>
        <v>0.167361111111111</v>
      </c>
      <c r="H1169" s="20" t="s">
        <v>248</v>
      </c>
      <c r="J1169" s="20" t="s">
        <v>256</v>
      </c>
      <c r="K1169" s="1" t="s">
        <v>430</v>
      </c>
      <c r="L1169" s="1" t="s">
        <v>436</v>
      </c>
      <c r="M1169" s="20" t="s">
        <v>258</v>
      </c>
      <c r="N1169" s="20" t="s">
        <v>259</v>
      </c>
      <c r="O1169" s="1" t="s">
        <v>544</v>
      </c>
      <c r="P1169" s="22" t="str">
        <f aca="false">_xlfn.CONCAT(B1169,C1169,D1169,E1169,F1169)</f>
        <v>BC Caiaponia1SG60KTL(COM1-003)_001_01146047.253472222246047.253472222246047.4208333333</v>
      </c>
      <c r="Q1169" s="1" t="str">
        <f aca="false">_xlfn.CONCAT(H1169,I1169,J1169)</f>
        <v>DAURDE</v>
      </c>
    </row>
    <row r="1170" customFormat="false" ht="15" hidden="false" customHeight="false" outlineLevel="0" collapsed="false">
      <c r="B1170" s="1" t="s">
        <v>542</v>
      </c>
      <c r="C1170" s="1" t="s">
        <v>547</v>
      </c>
      <c r="D1170" s="14" t="n">
        <v>46047.2534722222</v>
      </c>
      <c r="E1170" s="14" t="n">
        <v>46047.2534722222</v>
      </c>
      <c r="F1170" s="14" t="n">
        <v>46047.4208333333</v>
      </c>
      <c r="G1170" s="15" t="n">
        <f aca="false">F1170-E1170</f>
        <v>0.167361111111111</v>
      </c>
      <c r="H1170" s="20" t="s">
        <v>248</v>
      </c>
      <c r="J1170" s="20" t="s">
        <v>256</v>
      </c>
      <c r="K1170" s="1" t="s">
        <v>430</v>
      </c>
      <c r="L1170" s="1" t="s">
        <v>436</v>
      </c>
      <c r="M1170" s="20" t="s">
        <v>258</v>
      </c>
      <c r="N1170" s="20" t="s">
        <v>259</v>
      </c>
      <c r="O1170" s="1" t="s">
        <v>544</v>
      </c>
      <c r="P1170" s="22" t="str">
        <f aca="false">_xlfn.CONCAT(B1170,C1170,D1170,E1170,F1170)</f>
        <v>BC Caiaponia1SG60KTL(COM1-004)_001_01446047.253472222246047.253472222246047.4208333333</v>
      </c>
      <c r="Q1170" s="1" t="str">
        <f aca="false">_xlfn.CONCAT(H1170,I1170,J1170)</f>
        <v>DAURDE</v>
      </c>
    </row>
    <row r="1171" customFormat="false" ht="15" hidden="false" customHeight="false" outlineLevel="0" collapsed="false">
      <c r="B1171" s="1" t="s">
        <v>542</v>
      </c>
      <c r="C1171" s="1" t="s">
        <v>548</v>
      </c>
      <c r="D1171" s="14" t="n">
        <v>46047.2534722222</v>
      </c>
      <c r="E1171" s="14" t="n">
        <v>46047.2534722222</v>
      </c>
      <c r="F1171" s="14" t="n">
        <v>46047.4208333333</v>
      </c>
      <c r="G1171" s="15" t="n">
        <f aca="false">F1171-E1171</f>
        <v>0.167361111111111</v>
      </c>
      <c r="H1171" s="20" t="s">
        <v>248</v>
      </c>
      <c r="J1171" s="20" t="s">
        <v>256</v>
      </c>
      <c r="K1171" s="1" t="s">
        <v>430</v>
      </c>
      <c r="L1171" s="1" t="s">
        <v>436</v>
      </c>
      <c r="M1171" s="20" t="s">
        <v>258</v>
      </c>
      <c r="N1171" s="20" t="s">
        <v>259</v>
      </c>
      <c r="O1171" s="1" t="s">
        <v>544</v>
      </c>
      <c r="P1171" s="22" t="str">
        <f aca="false">_xlfn.CONCAT(B1171,C1171,D1171,E1171,F1171)</f>
        <v>BC Caiaponia1SG60KTL(COM1-005)_001_01746047.253472222246047.253472222246047.4208333333</v>
      </c>
      <c r="Q1171" s="1" t="str">
        <f aca="false">_xlfn.CONCAT(H1171,I1171,J1171)</f>
        <v>DAURDE</v>
      </c>
    </row>
    <row r="1172" customFormat="false" ht="15" hidden="false" customHeight="false" outlineLevel="0" collapsed="false">
      <c r="B1172" s="1" t="s">
        <v>542</v>
      </c>
      <c r="C1172" s="1" t="s">
        <v>549</v>
      </c>
      <c r="D1172" s="14" t="n">
        <v>46047.2534722222</v>
      </c>
      <c r="E1172" s="14" t="n">
        <v>46047.2534722222</v>
      </c>
      <c r="F1172" s="14" t="n">
        <v>46047.4208333333</v>
      </c>
      <c r="G1172" s="15" t="n">
        <f aca="false">F1172-E1172</f>
        <v>0.167361111111111</v>
      </c>
      <c r="H1172" s="20" t="s">
        <v>248</v>
      </c>
      <c r="J1172" s="20" t="s">
        <v>256</v>
      </c>
      <c r="K1172" s="1" t="s">
        <v>430</v>
      </c>
      <c r="L1172" s="1" t="s">
        <v>436</v>
      </c>
      <c r="M1172" s="20" t="s">
        <v>258</v>
      </c>
      <c r="N1172" s="20" t="s">
        <v>259</v>
      </c>
      <c r="O1172" s="1" t="s">
        <v>544</v>
      </c>
      <c r="P1172" s="22" t="str">
        <f aca="false">_xlfn.CONCAT(B1172,C1172,D1172,E1172,F1172)</f>
        <v>BC Caiaponia1SG60KTL(COM1-006)_001_01646047.253472222246047.253472222246047.4208333333</v>
      </c>
      <c r="Q1172" s="1" t="str">
        <f aca="false">_xlfn.CONCAT(H1172,I1172,J1172)</f>
        <v>DAURDE</v>
      </c>
    </row>
    <row r="1173" customFormat="false" ht="15" hidden="false" customHeight="false" outlineLevel="0" collapsed="false">
      <c r="B1173" s="1" t="s">
        <v>542</v>
      </c>
      <c r="C1173" s="1" t="s">
        <v>550</v>
      </c>
      <c r="D1173" s="14" t="n">
        <v>46047.2534722222</v>
      </c>
      <c r="E1173" s="14" t="n">
        <v>46047.2534722222</v>
      </c>
      <c r="F1173" s="14" t="n">
        <v>46047.4208333333</v>
      </c>
      <c r="G1173" s="15" t="n">
        <f aca="false">F1173-E1173</f>
        <v>0.167361111111111</v>
      </c>
      <c r="H1173" s="20" t="s">
        <v>248</v>
      </c>
      <c r="J1173" s="20" t="s">
        <v>256</v>
      </c>
      <c r="K1173" s="1" t="s">
        <v>430</v>
      </c>
      <c r="L1173" s="1" t="s">
        <v>436</v>
      </c>
      <c r="M1173" s="20" t="s">
        <v>258</v>
      </c>
      <c r="N1173" s="20" t="s">
        <v>259</v>
      </c>
      <c r="O1173" s="1" t="s">
        <v>544</v>
      </c>
      <c r="P1173" s="22" t="str">
        <f aca="false">_xlfn.CONCAT(B1173,C1173,D1173,E1173,F1173)</f>
        <v>BC Caiaponia1SG60KTL(COM1-007)_001_01346047.253472222246047.253472222246047.4208333333</v>
      </c>
      <c r="Q1173" s="1" t="str">
        <f aca="false">_xlfn.CONCAT(H1173,I1173,J1173)</f>
        <v>DAURDE</v>
      </c>
    </row>
    <row r="1174" customFormat="false" ht="15" hidden="false" customHeight="false" outlineLevel="0" collapsed="false">
      <c r="B1174" s="1" t="s">
        <v>542</v>
      </c>
      <c r="C1174" s="1" t="s">
        <v>551</v>
      </c>
      <c r="D1174" s="14" t="n">
        <v>46047.2534722222</v>
      </c>
      <c r="E1174" s="14" t="n">
        <v>46047.2534722222</v>
      </c>
      <c r="F1174" s="14" t="n">
        <v>46047.4208333333</v>
      </c>
      <c r="G1174" s="15" t="n">
        <f aca="false">F1174-E1174</f>
        <v>0.167361111111111</v>
      </c>
      <c r="H1174" s="20" t="s">
        <v>248</v>
      </c>
      <c r="J1174" s="20" t="s">
        <v>256</v>
      </c>
      <c r="K1174" s="1" t="s">
        <v>430</v>
      </c>
      <c r="L1174" s="1" t="s">
        <v>436</v>
      </c>
      <c r="M1174" s="20" t="s">
        <v>258</v>
      </c>
      <c r="N1174" s="20" t="s">
        <v>259</v>
      </c>
      <c r="O1174" s="1" t="s">
        <v>544</v>
      </c>
      <c r="P1174" s="22" t="str">
        <f aca="false">_xlfn.CONCAT(B1174,C1174,D1174,E1174,F1174)</f>
        <v>BC Caiaponia1SG60KTL(COM1-008)_001_00146047.253472222246047.253472222246047.4208333333</v>
      </c>
      <c r="Q1174" s="1" t="str">
        <f aca="false">_xlfn.CONCAT(H1174,I1174,J1174)</f>
        <v>DAURDE</v>
      </c>
    </row>
    <row r="1175" customFormat="false" ht="15" hidden="false" customHeight="false" outlineLevel="0" collapsed="false">
      <c r="B1175" s="1" t="s">
        <v>542</v>
      </c>
      <c r="C1175" s="1" t="s">
        <v>552</v>
      </c>
      <c r="D1175" s="14" t="n">
        <v>46047.2534722222</v>
      </c>
      <c r="E1175" s="14" t="n">
        <v>46047.2534722222</v>
      </c>
      <c r="F1175" s="14" t="n">
        <v>46047.4208333333</v>
      </c>
      <c r="G1175" s="15" t="n">
        <f aca="false">F1175-E1175</f>
        <v>0.167361111111111</v>
      </c>
      <c r="H1175" s="20" t="s">
        <v>248</v>
      </c>
      <c r="J1175" s="20" t="s">
        <v>256</v>
      </c>
      <c r="K1175" s="1" t="s">
        <v>430</v>
      </c>
      <c r="L1175" s="1" t="s">
        <v>436</v>
      </c>
      <c r="M1175" s="20" t="s">
        <v>258</v>
      </c>
      <c r="N1175" s="20" t="s">
        <v>259</v>
      </c>
      <c r="O1175" s="1" t="s">
        <v>544</v>
      </c>
      <c r="P1175" s="22" t="str">
        <f aca="false">_xlfn.CONCAT(B1175,C1175,D1175,E1175,F1175)</f>
        <v>BC Caiaponia1SG60KTL(COM1-009)46047.253472222246047.253472222246047.4208333333</v>
      </c>
      <c r="Q1175" s="1" t="str">
        <f aca="false">_xlfn.CONCAT(H1175,I1175,J1175)</f>
        <v>DAURDE</v>
      </c>
    </row>
    <row r="1176" customFormat="false" ht="15" hidden="false" customHeight="false" outlineLevel="0" collapsed="false">
      <c r="B1176" s="1" t="s">
        <v>542</v>
      </c>
      <c r="C1176" s="1" t="s">
        <v>553</v>
      </c>
      <c r="D1176" s="14" t="n">
        <v>46047.2534722222</v>
      </c>
      <c r="E1176" s="14" t="n">
        <v>46047.2534722222</v>
      </c>
      <c r="F1176" s="14" t="n">
        <v>46047.4208333333</v>
      </c>
      <c r="G1176" s="15" t="n">
        <f aca="false">F1176-E1176</f>
        <v>0.167361111111111</v>
      </c>
      <c r="H1176" s="20" t="s">
        <v>248</v>
      </c>
      <c r="J1176" s="20" t="s">
        <v>256</v>
      </c>
      <c r="K1176" s="1" t="s">
        <v>430</v>
      </c>
      <c r="L1176" s="1" t="s">
        <v>436</v>
      </c>
      <c r="M1176" s="20" t="s">
        <v>258</v>
      </c>
      <c r="N1176" s="20" t="s">
        <v>259</v>
      </c>
      <c r="O1176" s="1" t="s">
        <v>544</v>
      </c>
      <c r="P1176" s="22" t="str">
        <f aca="false">_xlfn.CONCAT(B1176,C1176,D1176,E1176,F1176)</f>
        <v>BC Caiaponia1SG60KTL(COM1-010)46047.253472222246047.253472222246047.4208333333</v>
      </c>
      <c r="Q1176" s="1" t="str">
        <f aca="false">_xlfn.CONCAT(H1176,I1176,J1176)</f>
        <v>DAURDE</v>
      </c>
    </row>
    <row r="1177" customFormat="false" ht="15" hidden="false" customHeight="false" outlineLevel="0" collapsed="false">
      <c r="B1177" s="1" t="s">
        <v>542</v>
      </c>
      <c r="C1177" s="1" t="s">
        <v>554</v>
      </c>
      <c r="D1177" s="14" t="n">
        <v>46047.2534722222</v>
      </c>
      <c r="E1177" s="14" t="n">
        <v>46047.2534722222</v>
      </c>
      <c r="F1177" s="14" t="n">
        <v>46047.4208333333</v>
      </c>
      <c r="G1177" s="15" t="n">
        <f aca="false">F1177-E1177</f>
        <v>0.167361111111111</v>
      </c>
      <c r="H1177" s="20" t="s">
        <v>248</v>
      </c>
      <c r="J1177" s="20" t="s">
        <v>256</v>
      </c>
      <c r="K1177" s="1" t="s">
        <v>430</v>
      </c>
      <c r="L1177" s="1" t="s">
        <v>436</v>
      </c>
      <c r="M1177" s="20" t="s">
        <v>258</v>
      </c>
      <c r="N1177" s="20" t="s">
        <v>259</v>
      </c>
      <c r="O1177" s="1" t="s">
        <v>544</v>
      </c>
      <c r="P1177" s="22" t="str">
        <f aca="false">_xlfn.CONCAT(B1177,C1177,D1177,E1177,F1177)</f>
        <v>BC Caiaponia1SG60KTL(COM1-011)46047.253472222246047.253472222246047.4208333333</v>
      </c>
      <c r="Q1177" s="1" t="str">
        <f aca="false">_xlfn.CONCAT(H1177,I1177,J1177)</f>
        <v>DAURDE</v>
      </c>
    </row>
    <row r="1178" customFormat="false" ht="15" hidden="false" customHeight="false" outlineLevel="0" collapsed="false">
      <c r="B1178" s="1" t="s">
        <v>542</v>
      </c>
      <c r="C1178" s="1" t="s">
        <v>555</v>
      </c>
      <c r="D1178" s="14" t="n">
        <v>46047.2534722222</v>
      </c>
      <c r="E1178" s="14" t="n">
        <v>46047.2534722222</v>
      </c>
      <c r="F1178" s="14" t="n">
        <v>46047.4208333333</v>
      </c>
      <c r="G1178" s="15" t="n">
        <f aca="false">F1178-E1178</f>
        <v>0.167361111111111</v>
      </c>
      <c r="H1178" s="20" t="s">
        <v>248</v>
      </c>
      <c r="J1178" s="20" t="s">
        <v>256</v>
      </c>
      <c r="K1178" s="1" t="s">
        <v>430</v>
      </c>
      <c r="L1178" s="1" t="s">
        <v>436</v>
      </c>
      <c r="M1178" s="20" t="s">
        <v>258</v>
      </c>
      <c r="N1178" s="20" t="s">
        <v>259</v>
      </c>
      <c r="O1178" s="1" t="s">
        <v>544</v>
      </c>
      <c r="P1178" s="22" t="str">
        <f aca="false">_xlfn.CONCAT(B1178,C1178,D1178,E1178,F1178)</f>
        <v>BC Caiaponia1SG60KTL(COM1-012)46047.253472222246047.253472222246047.4208333333</v>
      </c>
      <c r="Q1178" s="1" t="str">
        <f aca="false">_xlfn.CONCAT(H1178,I1178,J1178)</f>
        <v>DAURDE</v>
      </c>
    </row>
    <row r="1179" customFormat="false" ht="15" hidden="false" customHeight="false" outlineLevel="0" collapsed="false">
      <c r="B1179" s="1" t="s">
        <v>542</v>
      </c>
      <c r="C1179" s="1" t="s">
        <v>556</v>
      </c>
      <c r="D1179" s="14" t="n">
        <v>46047.2534722222</v>
      </c>
      <c r="E1179" s="14" t="n">
        <v>46047.2534722222</v>
      </c>
      <c r="F1179" s="14" t="n">
        <v>46047.4208333333</v>
      </c>
      <c r="G1179" s="15" t="n">
        <f aca="false">F1179-E1179</f>
        <v>0.167361111111111</v>
      </c>
      <c r="H1179" s="20" t="s">
        <v>248</v>
      </c>
      <c r="J1179" s="20" t="s">
        <v>256</v>
      </c>
      <c r="K1179" s="1" t="s">
        <v>430</v>
      </c>
      <c r="L1179" s="1" t="s">
        <v>436</v>
      </c>
      <c r="M1179" s="20" t="s">
        <v>258</v>
      </c>
      <c r="N1179" s="20" t="s">
        <v>259</v>
      </c>
      <c r="O1179" s="1" t="s">
        <v>544</v>
      </c>
      <c r="P1179" s="22" t="str">
        <f aca="false">_xlfn.CONCAT(B1179,C1179,D1179,E1179,F1179)</f>
        <v>BC Caiaponia1SG60KTL(COM1-013)46047.253472222246047.253472222246047.4208333333</v>
      </c>
      <c r="Q1179" s="1" t="str">
        <f aca="false">_xlfn.CONCAT(H1179,I1179,J1179)</f>
        <v>DAURDE</v>
      </c>
    </row>
    <row r="1180" customFormat="false" ht="15" hidden="false" customHeight="false" outlineLevel="0" collapsed="false">
      <c r="B1180" s="1" t="s">
        <v>542</v>
      </c>
      <c r="C1180" s="1" t="s">
        <v>557</v>
      </c>
      <c r="D1180" s="14" t="n">
        <v>46047.2534722222</v>
      </c>
      <c r="E1180" s="14" t="n">
        <v>46047.2534722222</v>
      </c>
      <c r="F1180" s="14" t="n">
        <v>46047.4208333333</v>
      </c>
      <c r="G1180" s="15" t="n">
        <f aca="false">F1180-E1180</f>
        <v>0.167361111111111</v>
      </c>
      <c r="H1180" s="20" t="s">
        <v>248</v>
      </c>
      <c r="J1180" s="20" t="s">
        <v>256</v>
      </c>
      <c r="K1180" s="1" t="s">
        <v>430</v>
      </c>
      <c r="L1180" s="1" t="s">
        <v>436</v>
      </c>
      <c r="M1180" s="20" t="s">
        <v>258</v>
      </c>
      <c r="N1180" s="20" t="s">
        <v>259</v>
      </c>
      <c r="O1180" s="1" t="s">
        <v>544</v>
      </c>
      <c r="P1180" s="22" t="str">
        <f aca="false">_xlfn.CONCAT(B1180,C1180,D1180,E1180,F1180)</f>
        <v>BC Caiaponia1SG60KTL(COM1-014)46047.253472222246047.253472222246047.4208333333</v>
      </c>
      <c r="Q1180" s="1" t="str">
        <f aca="false">_xlfn.CONCAT(H1180,I1180,J1180)</f>
        <v>DAURDE</v>
      </c>
    </row>
    <row r="1181" customFormat="false" ht="15" hidden="false" customHeight="false" outlineLevel="0" collapsed="false">
      <c r="B1181" s="1" t="s">
        <v>542</v>
      </c>
      <c r="C1181" s="1" t="s">
        <v>558</v>
      </c>
      <c r="D1181" s="14" t="n">
        <v>46047.2534722222</v>
      </c>
      <c r="E1181" s="14" t="n">
        <v>46047.2534722222</v>
      </c>
      <c r="F1181" s="14" t="n">
        <v>46047.4208333333</v>
      </c>
      <c r="G1181" s="15" t="n">
        <f aca="false">F1181-E1181</f>
        <v>0.167361111111111</v>
      </c>
      <c r="H1181" s="20" t="s">
        <v>248</v>
      </c>
      <c r="J1181" s="20" t="s">
        <v>256</v>
      </c>
      <c r="K1181" s="1" t="s">
        <v>430</v>
      </c>
      <c r="L1181" s="1" t="s">
        <v>436</v>
      </c>
      <c r="M1181" s="20" t="s">
        <v>258</v>
      </c>
      <c r="N1181" s="20" t="s">
        <v>259</v>
      </c>
      <c r="O1181" s="1" t="s">
        <v>544</v>
      </c>
      <c r="P1181" s="22" t="str">
        <f aca="false">_xlfn.CONCAT(B1181,C1181,D1181,E1181,F1181)</f>
        <v>BC Caiaponia1SG60KTL(COM1-015)46047.253472222246047.253472222246047.4208333333</v>
      </c>
      <c r="Q1181" s="1" t="str">
        <f aca="false">_xlfn.CONCAT(H1181,I1181,J1181)</f>
        <v>DAURDE</v>
      </c>
    </row>
    <row r="1182" customFormat="false" ht="15" hidden="false" customHeight="false" outlineLevel="0" collapsed="false">
      <c r="B1182" s="1" t="s">
        <v>542</v>
      </c>
      <c r="C1182" s="1" t="s">
        <v>559</v>
      </c>
      <c r="D1182" s="14" t="n">
        <v>46047.2534722222</v>
      </c>
      <c r="E1182" s="14" t="n">
        <v>46047.2534722222</v>
      </c>
      <c r="F1182" s="14" t="n">
        <v>46047.4208333333</v>
      </c>
      <c r="G1182" s="15" t="n">
        <f aca="false">F1182-E1182</f>
        <v>0.167361111111111</v>
      </c>
      <c r="H1182" s="20" t="s">
        <v>248</v>
      </c>
      <c r="J1182" s="20" t="s">
        <v>256</v>
      </c>
      <c r="K1182" s="1" t="s">
        <v>430</v>
      </c>
      <c r="L1182" s="1" t="s">
        <v>436</v>
      </c>
      <c r="M1182" s="20" t="s">
        <v>258</v>
      </c>
      <c r="N1182" s="20" t="s">
        <v>259</v>
      </c>
      <c r="O1182" s="1" t="s">
        <v>544</v>
      </c>
      <c r="P1182" s="22" t="str">
        <f aca="false">_xlfn.CONCAT(B1182,C1182,D1182,E1182,F1182)</f>
        <v>BC Caiaponia1SG60KTL(COM3-016)_001_00946047.253472222246047.253472222246047.4208333333</v>
      </c>
      <c r="Q1182" s="1" t="str">
        <f aca="false">_xlfn.CONCAT(H1182,I1182,J1182)</f>
        <v>DAURDE</v>
      </c>
    </row>
    <row r="1183" customFormat="false" ht="15" hidden="false" customHeight="false" outlineLevel="0" collapsed="false">
      <c r="B1183" s="1" t="s">
        <v>542</v>
      </c>
      <c r="C1183" s="1" t="s">
        <v>560</v>
      </c>
      <c r="D1183" s="14" t="n">
        <v>46047.2534722222</v>
      </c>
      <c r="E1183" s="14" t="n">
        <v>46047.2534722222</v>
      </c>
      <c r="F1183" s="14" t="n">
        <v>46047.4208333333</v>
      </c>
      <c r="G1183" s="15" t="n">
        <f aca="false">F1183-E1183</f>
        <v>0.167361111111111</v>
      </c>
      <c r="H1183" s="20" t="s">
        <v>248</v>
      </c>
      <c r="J1183" s="20" t="s">
        <v>256</v>
      </c>
      <c r="K1183" s="1" t="s">
        <v>430</v>
      </c>
      <c r="L1183" s="1" t="s">
        <v>436</v>
      </c>
      <c r="M1183" s="20" t="s">
        <v>258</v>
      </c>
      <c r="N1183" s="20" t="s">
        <v>259</v>
      </c>
      <c r="O1183" s="1" t="s">
        <v>544</v>
      </c>
      <c r="P1183" s="22" t="str">
        <f aca="false">_xlfn.CONCAT(B1183,C1183,D1183,E1183,F1183)</f>
        <v>BC Caiaponia1SG60KTL(COM3-017)_001_01246047.253472222246047.253472222246047.4208333333</v>
      </c>
      <c r="Q1183" s="1" t="str">
        <f aca="false">_xlfn.CONCAT(H1183,I1183,J1183)</f>
        <v>DAURDE</v>
      </c>
    </row>
    <row r="1184" customFormat="false" ht="15" hidden="false" customHeight="false" outlineLevel="0" collapsed="false">
      <c r="B1184" s="1" t="s">
        <v>542</v>
      </c>
      <c r="C1184" s="1" t="s">
        <v>561</v>
      </c>
      <c r="D1184" s="14" t="n">
        <v>46047.2534722222</v>
      </c>
      <c r="E1184" s="14" t="n">
        <v>46047.2534722222</v>
      </c>
      <c r="F1184" s="14" t="n">
        <v>46047.4208333333</v>
      </c>
      <c r="G1184" s="15" t="n">
        <f aca="false">F1184-E1184</f>
        <v>0.167361111111111</v>
      </c>
      <c r="H1184" s="20" t="s">
        <v>248</v>
      </c>
      <c r="J1184" s="20" t="s">
        <v>256</v>
      </c>
      <c r="K1184" s="1" t="s">
        <v>430</v>
      </c>
      <c r="L1184" s="1" t="s">
        <v>436</v>
      </c>
      <c r="M1184" s="20" t="s">
        <v>258</v>
      </c>
      <c r="N1184" s="20" t="s">
        <v>259</v>
      </c>
      <c r="O1184" s="1" t="s">
        <v>544</v>
      </c>
      <c r="P1184" s="22" t="str">
        <f aca="false">_xlfn.CONCAT(B1184,C1184,D1184,E1184,F1184)</f>
        <v>BC Caiaponia1SG60KTL(COM3-018)_001_00846047.253472222246047.253472222246047.4208333333</v>
      </c>
      <c r="Q1184" s="1" t="str">
        <f aca="false">_xlfn.CONCAT(H1184,I1184,J1184)</f>
        <v>DAURDE</v>
      </c>
    </row>
    <row r="1185" customFormat="false" ht="15" hidden="false" customHeight="false" outlineLevel="0" collapsed="false">
      <c r="B1185" s="1" t="s">
        <v>542</v>
      </c>
      <c r="C1185" s="1" t="s">
        <v>562</v>
      </c>
      <c r="D1185" s="14" t="n">
        <v>46047.2534722222</v>
      </c>
      <c r="E1185" s="14" t="n">
        <v>46047.2534722222</v>
      </c>
      <c r="F1185" s="14" t="n">
        <v>46047.4208333333</v>
      </c>
      <c r="G1185" s="15" t="n">
        <f aca="false">F1185-E1185</f>
        <v>0.167361111111111</v>
      </c>
      <c r="H1185" s="20" t="s">
        <v>248</v>
      </c>
      <c r="J1185" s="20" t="s">
        <v>256</v>
      </c>
      <c r="K1185" s="1" t="s">
        <v>430</v>
      </c>
      <c r="L1185" s="1" t="s">
        <v>436</v>
      </c>
      <c r="M1185" s="20" t="s">
        <v>258</v>
      </c>
      <c r="N1185" s="20" t="s">
        <v>259</v>
      </c>
      <c r="O1185" s="1" t="s">
        <v>544</v>
      </c>
      <c r="P1185" s="22" t="str">
        <f aca="false">_xlfn.CONCAT(B1185,C1185,D1185,E1185,F1185)</f>
        <v>BC Caiaponia1SG60KTL(COM3-019)_001_01946047.253472222246047.253472222246047.4208333333</v>
      </c>
      <c r="Q1185" s="1" t="str">
        <f aca="false">_xlfn.CONCAT(H1185,I1185,J1185)</f>
        <v>DAURDE</v>
      </c>
    </row>
    <row r="1186" customFormat="false" ht="15" hidden="false" customHeight="false" outlineLevel="0" collapsed="false">
      <c r="B1186" s="1" t="s">
        <v>542</v>
      </c>
      <c r="C1186" s="1" t="s">
        <v>563</v>
      </c>
      <c r="D1186" s="14" t="n">
        <v>46047.2534722222</v>
      </c>
      <c r="E1186" s="14" t="n">
        <v>46047.2534722222</v>
      </c>
      <c r="F1186" s="14" t="n">
        <v>46047.4208333333</v>
      </c>
      <c r="G1186" s="15" t="n">
        <f aca="false">F1186-E1186</f>
        <v>0.167361111111111</v>
      </c>
      <c r="H1186" s="20" t="s">
        <v>248</v>
      </c>
      <c r="J1186" s="20" t="s">
        <v>256</v>
      </c>
      <c r="K1186" s="1" t="s">
        <v>430</v>
      </c>
      <c r="L1186" s="1" t="s">
        <v>436</v>
      </c>
      <c r="M1186" s="20" t="s">
        <v>258</v>
      </c>
      <c r="N1186" s="20" t="s">
        <v>259</v>
      </c>
      <c r="O1186" s="1" t="s">
        <v>544</v>
      </c>
      <c r="P1186" s="22" t="str">
        <f aca="false">_xlfn.CONCAT(B1186,C1186,D1186,E1186,F1186)</f>
        <v>BC Caiaponia1SG60KTL(COM3-020)_001_02046047.253472222246047.253472222246047.4208333333</v>
      </c>
      <c r="Q1186" s="1" t="str">
        <f aca="false">_xlfn.CONCAT(H1186,I1186,J1186)</f>
        <v>DAURDE</v>
      </c>
    </row>
    <row r="1187" customFormat="false" ht="15" hidden="false" customHeight="false" outlineLevel="0" collapsed="false">
      <c r="B1187" s="1" t="s">
        <v>542</v>
      </c>
      <c r="C1187" s="1" t="s">
        <v>564</v>
      </c>
      <c r="D1187" s="14" t="n">
        <v>46047.2534722222</v>
      </c>
      <c r="E1187" s="14" t="n">
        <v>46047.2534722222</v>
      </c>
      <c r="F1187" s="14" t="n">
        <v>46047.4208333333</v>
      </c>
      <c r="G1187" s="15" t="n">
        <f aca="false">F1187-E1187</f>
        <v>0.167361111111111</v>
      </c>
      <c r="H1187" s="20" t="s">
        <v>248</v>
      </c>
      <c r="J1187" s="20" t="s">
        <v>256</v>
      </c>
      <c r="K1187" s="1" t="s">
        <v>430</v>
      </c>
      <c r="L1187" s="1" t="s">
        <v>436</v>
      </c>
      <c r="M1187" s="20" t="s">
        <v>258</v>
      </c>
      <c r="N1187" s="20" t="s">
        <v>259</v>
      </c>
      <c r="O1187" s="1" t="s">
        <v>544</v>
      </c>
      <c r="P1187" s="22" t="str">
        <f aca="false">_xlfn.CONCAT(B1187,C1187,D1187,E1187,F1187)</f>
        <v>BC Caiaponia1SG60KTL(COM2-026)46047.253472222246047.253472222246047.4208333333</v>
      </c>
      <c r="Q1187" s="1" t="str">
        <f aca="false">_xlfn.CONCAT(H1187,I1187,J1187)</f>
        <v>DAURDE</v>
      </c>
    </row>
    <row r="1188" customFormat="false" ht="15" hidden="false" customHeight="false" outlineLevel="0" collapsed="false">
      <c r="B1188" s="1" t="s">
        <v>542</v>
      </c>
      <c r="C1188" s="1" t="s">
        <v>565</v>
      </c>
      <c r="D1188" s="14" t="n">
        <v>46047.2534722222</v>
      </c>
      <c r="E1188" s="14" t="n">
        <v>46047.2534722222</v>
      </c>
      <c r="F1188" s="14" t="n">
        <v>46047.4208333333</v>
      </c>
      <c r="G1188" s="15" t="n">
        <f aca="false">F1188-E1188</f>
        <v>0.167361111111111</v>
      </c>
      <c r="H1188" s="20" t="s">
        <v>248</v>
      </c>
      <c r="J1188" s="20" t="s">
        <v>256</v>
      </c>
      <c r="K1188" s="1" t="s">
        <v>430</v>
      </c>
      <c r="L1188" s="1" t="s">
        <v>436</v>
      </c>
      <c r="M1188" s="20" t="s">
        <v>258</v>
      </c>
      <c r="N1188" s="20" t="s">
        <v>259</v>
      </c>
      <c r="O1188" s="1" t="s">
        <v>544</v>
      </c>
      <c r="P1188" s="22" t="str">
        <f aca="false">_xlfn.CONCAT(B1188,C1188,D1188,E1188,F1188)</f>
        <v>BC Caiaponia1SG60KTL(COM2-027)46047.253472222246047.253472222246047.4208333333</v>
      </c>
      <c r="Q1188" s="1" t="str">
        <f aca="false">_xlfn.CONCAT(H1188,I1188,J1188)</f>
        <v>DAURDE</v>
      </c>
    </row>
    <row r="1189" customFormat="false" ht="15" hidden="false" customHeight="false" outlineLevel="0" collapsed="false">
      <c r="B1189" s="1" t="s">
        <v>542</v>
      </c>
      <c r="C1189" s="1" t="s">
        <v>566</v>
      </c>
      <c r="D1189" s="14" t="n">
        <v>46047.2534722222</v>
      </c>
      <c r="E1189" s="14" t="n">
        <v>46047.2534722222</v>
      </c>
      <c r="F1189" s="14" t="n">
        <v>46047.4208333333</v>
      </c>
      <c r="G1189" s="15" t="n">
        <f aca="false">F1189-E1189</f>
        <v>0.167361111111111</v>
      </c>
      <c r="H1189" s="20" t="s">
        <v>248</v>
      </c>
      <c r="J1189" s="20" t="s">
        <v>256</v>
      </c>
      <c r="K1189" s="1" t="s">
        <v>430</v>
      </c>
      <c r="L1189" s="1" t="s">
        <v>436</v>
      </c>
      <c r="M1189" s="20" t="s">
        <v>258</v>
      </c>
      <c r="N1189" s="20" t="s">
        <v>259</v>
      </c>
      <c r="O1189" s="1" t="s">
        <v>544</v>
      </c>
      <c r="P1189" s="22" t="str">
        <f aca="false">_xlfn.CONCAT(B1189,C1189,D1189,E1189,F1189)</f>
        <v>BC Caiaponia1SG60KTL(COM2-028)46047.253472222246047.253472222246047.4208333333</v>
      </c>
      <c r="Q1189" s="1" t="str">
        <f aca="false">_xlfn.CONCAT(H1189,I1189,J1189)</f>
        <v>DAURDE</v>
      </c>
    </row>
    <row r="1190" customFormat="false" ht="15" hidden="false" customHeight="false" outlineLevel="0" collapsed="false">
      <c r="B1190" s="1" t="s">
        <v>542</v>
      </c>
      <c r="C1190" s="1" t="s">
        <v>567</v>
      </c>
      <c r="D1190" s="14" t="n">
        <v>46047.2534722222</v>
      </c>
      <c r="E1190" s="14" t="n">
        <v>46047.2534722222</v>
      </c>
      <c r="F1190" s="14" t="n">
        <v>46047.4208333333</v>
      </c>
      <c r="G1190" s="15" t="n">
        <f aca="false">F1190-E1190</f>
        <v>0.167361111111111</v>
      </c>
      <c r="H1190" s="20" t="s">
        <v>248</v>
      </c>
      <c r="J1190" s="20" t="s">
        <v>256</v>
      </c>
      <c r="K1190" s="1" t="s">
        <v>430</v>
      </c>
      <c r="L1190" s="1" t="s">
        <v>436</v>
      </c>
      <c r="M1190" s="20" t="s">
        <v>258</v>
      </c>
      <c r="N1190" s="20" t="s">
        <v>259</v>
      </c>
      <c r="O1190" s="1" t="s">
        <v>544</v>
      </c>
      <c r="P1190" s="22" t="str">
        <f aca="false">_xlfn.CONCAT(B1190,C1190,D1190,E1190,F1190)</f>
        <v>BC Caiaponia1SG60KTL(COM2-029)46047.253472222246047.253472222246047.4208333333</v>
      </c>
      <c r="Q1190" s="1" t="str">
        <f aca="false">_xlfn.CONCAT(H1190,I1190,J1190)</f>
        <v>DAURDE</v>
      </c>
    </row>
    <row r="1191" customFormat="false" ht="15" hidden="false" customHeight="false" outlineLevel="0" collapsed="false">
      <c r="B1191" s="1" t="s">
        <v>542</v>
      </c>
      <c r="C1191" s="1" t="s">
        <v>568</v>
      </c>
      <c r="D1191" s="14" t="n">
        <v>46047.2534722222</v>
      </c>
      <c r="E1191" s="14" t="n">
        <v>46047.2534722222</v>
      </c>
      <c r="F1191" s="14" t="n">
        <v>46047.4208333333</v>
      </c>
      <c r="G1191" s="15" t="n">
        <f aca="false">F1191-E1191</f>
        <v>0.167361111111111</v>
      </c>
      <c r="H1191" s="20" t="s">
        <v>248</v>
      </c>
      <c r="J1191" s="20" t="s">
        <v>256</v>
      </c>
      <c r="K1191" s="1" t="s">
        <v>430</v>
      </c>
      <c r="L1191" s="1" t="s">
        <v>436</v>
      </c>
      <c r="M1191" s="20" t="s">
        <v>258</v>
      </c>
      <c r="N1191" s="20" t="s">
        <v>259</v>
      </c>
      <c r="O1191" s="1" t="s">
        <v>544</v>
      </c>
      <c r="P1191" s="22" t="str">
        <f aca="false">_xlfn.CONCAT(B1191,C1191,D1191,E1191,F1191)</f>
        <v>BC Caiaponia1SG50CX(COM1-021)46047.253472222246047.253472222246047.4208333333</v>
      </c>
      <c r="Q1191" s="1" t="str">
        <f aca="false">_xlfn.CONCAT(H1191,I1191,J1191)</f>
        <v>DAURDE</v>
      </c>
    </row>
    <row r="1192" customFormat="false" ht="15" hidden="false" customHeight="false" outlineLevel="0" collapsed="false">
      <c r="B1192" s="1" t="s">
        <v>542</v>
      </c>
      <c r="C1192" s="1" t="s">
        <v>569</v>
      </c>
      <c r="D1192" s="14" t="n">
        <v>46047.2534722222</v>
      </c>
      <c r="E1192" s="14" t="n">
        <v>46047.2534722222</v>
      </c>
      <c r="F1192" s="14" t="n">
        <v>46047.4208333333</v>
      </c>
      <c r="G1192" s="15" t="n">
        <f aca="false">F1192-E1192</f>
        <v>0.167361111111111</v>
      </c>
      <c r="H1192" s="20" t="s">
        <v>248</v>
      </c>
      <c r="J1192" s="20" t="s">
        <v>256</v>
      </c>
      <c r="K1192" s="1" t="s">
        <v>430</v>
      </c>
      <c r="L1192" s="1" t="s">
        <v>436</v>
      </c>
      <c r="M1192" s="20" t="s">
        <v>258</v>
      </c>
      <c r="N1192" s="20" t="s">
        <v>259</v>
      </c>
      <c r="O1192" s="1" t="s">
        <v>544</v>
      </c>
      <c r="P1192" s="22" t="str">
        <f aca="false">_xlfn.CONCAT(B1192,C1192,D1192,E1192,F1192)</f>
        <v>BC Caiaponia1SG50CX(COM1-022)46047.253472222246047.253472222246047.4208333333</v>
      </c>
      <c r="Q1192" s="1" t="str">
        <f aca="false">_xlfn.CONCAT(H1192,I1192,J1192)</f>
        <v>DAURDE</v>
      </c>
    </row>
    <row r="1193" customFormat="false" ht="15" hidden="false" customHeight="false" outlineLevel="0" collapsed="false">
      <c r="B1193" s="1" t="s">
        <v>542</v>
      </c>
      <c r="C1193" s="1" t="s">
        <v>570</v>
      </c>
      <c r="D1193" s="14" t="n">
        <v>46047.2534722222</v>
      </c>
      <c r="E1193" s="14" t="n">
        <v>46047.2534722222</v>
      </c>
      <c r="F1193" s="14" t="n">
        <v>46047.4208333333</v>
      </c>
      <c r="G1193" s="15" t="n">
        <f aca="false">F1193-E1193</f>
        <v>0.167361111111111</v>
      </c>
      <c r="H1193" s="20" t="s">
        <v>248</v>
      </c>
      <c r="J1193" s="20" t="s">
        <v>256</v>
      </c>
      <c r="K1193" s="1" t="s">
        <v>430</v>
      </c>
      <c r="L1193" s="1" t="s">
        <v>436</v>
      </c>
      <c r="M1193" s="20" t="s">
        <v>258</v>
      </c>
      <c r="N1193" s="20" t="s">
        <v>259</v>
      </c>
      <c r="O1193" s="1" t="s">
        <v>544</v>
      </c>
      <c r="P1193" s="22" t="str">
        <f aca="false">_xlfn.CONCAT(B1193,C1193,D1193,E1193,F1193)</f>
        <v>BC Caiaponia1SG50CX(COM1-023)46047.253472222246047.253472222246047.4208333333</v>
      </c>
      <c r="Q1193" s="1" t="str">
        <f aca="false">_xlfn.CONCAT(H1193,I1193,J1193)</f>
        <v>DAURDE</v>
      </c>
    </row>
    <row r="1194" customFormat="false" ht="15" hidden="false" customHeight="false" outlineLevel="0" collapsed="false">
      <c r="B1194" s="1" t="s">
        <v>542</v>
      </c>
      <c r="C1194" s="1" t="s">
        <v>571</v>
      </c>
      <c r="D1194" s="14" t="n">
        <v>46047.2534722222</v>
      </c>
      <c r="E1194" s="14" t="n">
        <v>46047.2534722222</v>
      </c>
      <c r="F1194" s="14" t="n">
        <v>46047.4208333333</v>
      </c>
      <c r="G1194" s="15" t="n">
        <f aca="false">F1194-E1194</f>
        <v>0.167361111111111</v>
      </c>
      <c r="H1194" s="20" t="s">
        <v>248</v>
      </c>
      <c r="J1194" s="20" t="s">
        <v>256</v>
      </c>
      <c r="K1194" s="1" t="s">
        <v>430</v>
      </c>
      <c r="L1194" s="1" t="s">
        <v>436</v>
      </c>
      <c r="M1194" s="20" t="s">
        <v>258</v>
      </c>
      <c r="N1194" s="20" t="s">
        <v>259</v>
      </c>
      <c r="O1194" s="1" t="s">
        <v>544</v>
      </c>
      <c r="P1194" s="22" t="str">
        <f aca="false">_xlfn.CONCAT(B1194,C1194,D1194,E1194,F1194)</f>
        <v>BC Caiaponia1SG50CX(COM1-024)46047.253472222246047.253472222246047.4208333333</v>
      </c>
      <c r="Q1194" s="1" t="str">
        <f aca="false">_xlfn.CONCAT(H1194,I1194,J1194)</f>
        <v>DAURDE</v>
      </c>
    </row>
    <row r="1195" customFormat="false" ht="15" hidden="false" customHeight="false" outlineLevel="0" collapsed="false">
      <c r="B1195" s="1" t="s">
        <v>542</v>
      </c>
      <c r="C1195" s="1" t="s">
        <v>572</v>
      </c>
      <c r="D1195" s="14" t="n">
        <v>46047.2534722222</v>
      </c>
      <c r="E1195" s="14" t="n">
        <v>46047.2534722222</v>
      </c>
      <c r="F1195" s="14" t="n">
        <v>46047.4208333333</v>
      </c>
      <c r="G1195" s="15" t="n">
        <f aca="false">F1195-E1195</f>
        <v>0.167361111111111</v>
      </c>
      <c r="H1195" s="20" t="s">
        <v>248</v>
      </c>
      <c r="J1195" s="20" t="s">
        <v>256</v>
      </c>
      <c r="K1195" s="1" t="s">
        <v>430</v>
      </c>
      <c r="L1195" s="1" t="s">
        <v>436</v>
      </c>
      <c r="M1195" s="20" t="s">
        <v>258</v>
      </c>
      <c r="N1195" s="20" t="s">
        <v>259</v>
      </c>
      <c r="O1195" s="1" t="s">
        <v>544</v>
      </c>
      <c r="P1195" s="22" t="str">
        <f aca="false">_xlfn.CONCAT(B1195,C1195,D1195,E1195,F1195)</f>
        <v>BC Caiaponia1SG50CX(COM1-025)46047.253472222246047.253472222246047.4208333333</v>
      </c>
      <c r="Q1195" s="1" t="str">
        <f aca="false">_xlfn.CONCAT(H1195,I1195,J1195)</f>
        <v>DAURDE</v>
      </c>
    </row>
    <row r="1196" customFormat="false" ht="15" hidden="false" customHeight="false" outlineLevel="0" collapsed="false">
      <c r="B1196" s="1" t="s">
        <v>254</v>
      </c>
      <c r="C1196" s="1" t="s">
        <v>255</v>
      </c>
      <c r="D1196" s="14" t="n">
        <v>46047.2597222222</v>
      </c>
      <c r="E1196" s="14" t="n">
        <v>46047.2597222222</v>
      </c>
      <c r="F1196" s="14" t="n">
        <v>46047.2638888889</v>
      </c>
      <c r="G1196" s="15" t="n">
        <f aca="false">F1196-E1196</f>
        <v>0.00416666666666667</v>
      </c>
      <c r="H1196" s="20" t="s">
        <v>248</v>
      </c>
      <c r="J1196" s="20" t="s">
        <v>256</v>
      </c>
      <c r="K1196" s="1" t="s">
        <v>430</v>
      </c>
      <c r="L1196" s="1" t="s">
        <v>257</v>
      </c>
      <c r="M1196" s="20" t="s">
        <v>258</v>
      </c>
      <c r="N1196" s="20" t="s">
        <v>259</v>
      </c>
      <c r="O1196" s="1" t="s">
        <v>573</v>
      </c>
      <c r="P1196" s="22" t="str">
        <f aca="false">_xlfn.CONCAT(B1196,C1196,D1196,E1196,F1196)</f>
        <v>BC Aracu5.1Inverter(MBUS-1)46047.259722222246047.259722222246047.2638888889</v>
      </c>
      <c r="Q1196" s="1" t="str">
        <f aca="false">_xlfn.CONCAT(H1196,I1196,J1196)</f>
        <v>DAURDE</v>
      </c>
    </row>
    <row r="1197" customFormat="false" ht="15" hidden="false" customHeight="false" outlineLevel="0" collapsed="false">
      <c r="B1197" s="1" t="s">
        <v>309</v>
      </c>
      <c r="C1197" s="1" t="s">
        <v>255</v>
      </c>
      <c r="D1197" s="14" t="n">
        <v>46047.2597222222</v>
      </c>
      <c r="E1197" s="14" t="n">
        <v>46047.2597222222</v>
      </c>
      <c r="F1197" s="14" t="n">
        <v>46047.2638888889</v>
      </c>
      <c r="G1197" s="15" t="n">
        <f aca="false">F1197-E1197</f>
        <v>0.00416666666666667</v>
      </c>
      <c r="H1197" s="20" t="s">
        <v>248</v>
      </c>
      <c r="J1197" s="20" t="s">
        <v>256</v>
      </c>
      <c r="K1197" s="1" t="s">
        <v>430</v>
      </c>
      <c r="L1197" s="1" t="s">
        <v>257</v>
      </c>
      <c r="M1197" s="20" t="s">
        <v>258</v>
      </c>
      <c r="N1197" s="20" t="s">
        <v>259</v>
      </c>
      <c r="O1197" s="1" t="s">
        <v>573</v>
      </c>
      <c r="P1197" s="22" t="str">
        <f aca="false">_xlfn.CONCAT(B1197,C1197,D1197,E1197,F1197)</f>
        <v>BC Aracu5.4Inverter(MBUS-1)46047.259722222246047.259722222246047.2638888889</v>
      </c>
      <c r="Q1197" s="1" t="str">
        <f aca="false">_xlfn.CONCAT(H1197,I1197,J1197)</f>
        <v>DAURDE</v>
      </c>
    </row>
    <row r="1198" customFormat="false" ht="15" hidden="false" customHeight="false" outlineLevel="0" collapsed="false">
      <c r="B1198" s="1" t="s">
        <v>310</v>
      </c>
      <c r="C1198" s="1" t="s">
        <v>255</v>
      </c>
      <c r="D1198" s="14" t="n">
        <v>46047.2597222222</v>
      </c>
      <c r="E1198" s="14" t="n">
        <v>46047.2597222222</v>
      </c>
      <c r="F1198" s="14" t="n">
        <v>46047.2638888889</v>
      </c>
      <c r="G1198" s="15" t="n">
        <f aca="false">F1198-E1198</f>
        <v>0.00416666666666667</v>
      </c>
      <c r="H1198" s="20" t="s">
        <v>248</v>
      </c>
      <c r="J1198" s="20" t="s">
        <v>256</v>
      </c>
      <c r="K1198" s="1" t="s">
        <v>430</v>
      </c>
      <c r="L1198" s="1" t="s">
        <v>574</v>
      </c>
      <c r="M1198" s="20" t="s">
        <v>258</v>
      </c>
      <c r="N1198" s="20" t="s">
        <v>259</v>
      </c>
      <c r="O1198" s="1" t="s">
        <v>573</v>
      </c>
      <c r="P1198" s="22" t="str">
        <f aca="false">_xlfn.CONCAT(B1198,C1198,D1198,E1198,F1198)</f>
        <v>BC Aracu5.5Inverter(MBUS-1)46047.259722222246047.259722222246047.2638888889</v>
      </c>
      <c r="Q1198" s="1" t="str">
        <f aca="false">_xlfn.CONCAT(H1198,I1198,J1198)</f>
        <v>DAURDE</v>
      </c>
    </row>
    <row r="1199" customFormat="false" ht="15" hidden="false" customHeight="false" outlineLevel="0" collapsed="false">
      <c r="B1199" s="1" t="s">
        <v>330</v>
      </c>
      <c r="C1199" s="1" t="s">
        <v>277</v>
      </c>
      <c r="D1199" s="14" t="n">
        <v>46047.2770833333</v>
      </c>
      <c r="E1199" s="14" t="n">
        <v>46047.2770833333</v>
      </c>
      <c r="F1199" s="14" t="n">
        <v>46047.3388888889</v>
      </c>
      <c r="G1199" s="15" t="n">
        <f aca="false">F1199-E1199</f>
        <v>0.0618055555555556</v>
      </c>
      <c r="H1199" s="20" t="s">
        <v>248</v>
      </c>
      <c r="J1199" s="20" t="s">
        <v>256</v>
      </c>
      <c r="K1199" s="1" t="s">
        <v>430</v>
      </c>
      <c r="L1199" s="1" t="s">
        <v>574</v>
      </c>
      <c r="M1199" s="20" t="s">
        <v>258</v>
      </c>
      <c r="N1199" s="20" t="s">
        <v>259</v>
      </c>
      <c r="O1199" s="1" t="s">
        <v>573</v>
      </c>
      <c r="P1199" s="22" t="str">
        <f aca="false">_xlfn.CONCAT(B1199,C1199,D1199,E1199,F1199)</f>
        <v>BC Formoso2.1Inverter(MBUS-12)46047.277083333346047.277083333346047.3388888889</v>
      </c>
      <c r="Q1199" s="1" t="str">
        <f aca="false">_xlfn.CONCAT(H1199,I1199,J1199)</f>
        <v>DAURDE</v>
      </c>
    </row>
    <row r="1200" customFormat="false" ht="15" hidden="false" customHeight="false" outlineLevel="0" collapsed="false">
      <c r="B1200" s="1" t="s">
        <v>330</v>
      </c>
      <c r="C1200" s="1" t="s">
        <v>280</v>
      </c>
      <c r="D1200" s="14" t="n">
        <v>46047.2770833333</v>
      </c>
      <c r="E1200" s="14" t="n">
        <v>46047.2770833333</v>
      </c>
      <c r="F1200" s="14" t="n">
        <v>46047.3388888889</v>
      </c>
      <c r="G1200" s="15" t="n">
        <f aca="false">F1200-E1200</f>
        <v>0.0618055555555556</v>
      </c>
      <c r="H1200" s="20" t="s">
        <v>248</v>
      </c>
      <c r="J1200" s="20" t="s">
        <v>256</v>
      </c>
      <c r="K1200" s="1" t="s">
        <v>430</v>
      </c>
      <c r="L1200" s="1" t="s">
        <v>574</v>
      </c>
      <c r="M1200" s="20" t="s">
        <v>258</v>
      </c>
      <c r="N1200" s="20" t="s">
        <v>259</v>
      </c>
      <c r="O1200" s="1" t="s">
        <v>573</v>
      </c>
      <c r="P1200" s="22" t="str">
        <f aca="false">_xlfn.CONCAT(B1200,C1200,D1200,E1200,F1200)</f>
        <v>BC Formoso2.1Inverter(MBUS-14)46047.277083333346047.277083333346047.3388888889</v>
      </c>
      <c r="Q1200" s="1" t="str">
        <f aca="false">_xlfn.CONCAT(H1200,I1200,J1200)</f>
        <v>DAURDE</v>
      </c>
    </row>
    <row r="1201" customFormat="false" ht="15" hidden="false" customHeight="false" outlineLevel="0" collapsed="false">
      <c r="B1201" s="1" t="s">
        <v>330</v>
      </c>
      <c r="C1201" s="1" t="s">
        <v>247</v>
      </c>
      <c r="D1201" s="14" t="n">
        <v>46047.2770833333</v>
      </c>
      <c r="E1201" s="14" t="n">
        <v>46047.2770833333</v>
      </c>
      <c r="F1201" s="14" t="n">
        <v>46047.3388888889</v>
      </c>
      <c r="G1201" s="15" t="n">
        <f aca="false">F1201-E1201</f>
        <v>0.0618055555555556</v>
      </c>
      <c r="H1201" s="20" t="s">
        <v>248</v>
      </c>
      <c r="J1201" s="20" t="s">
        <v>256</v>
      </c>
      <c r="K1201" s="1" t="s">
        <v>430</v>
      </c>
      <c r="L1201" s="1" t="s">
        <v>574</v>
      </c>
      <c r="M1201" s="20" t="s">
        <v>258</v>
      </c>
      <c r="N1201" s="20" t="s">
        <v>259</v>
      </c>
      <c r="O1201" s="1" t="s">
        <v>573</v>
      </c>
      <c r="P1201" s="22" t="str">
        <f aca="false">_xlfn.CONCAT(B1201,C1201,D1201,E1201,F1201)</f>
        <v>BC Formoso2.1Inverter(MBUS-13)46047.277083333346047.277083333346047.3388888889</v>
      </c>
      <c r="Q1201" s="1" t="str">
        <f aca="false">_xlfn.CONCAT(H1201,I1201,J1201)</f>
        <v>DAURDE</v>
      </c>
    </row>
    <row r="1202" customFormat="false" ht="15" hidden="false" customHeight="false" outlineLevel="0" collapsed="false">
      <c r="B1202" s="1" t="s">
        <v>330</v>
      </c>
      <c r="C1202" s="1" t="s">
        <v>255</v>
      </c>
      <c r="D1202" s="14" t="n">
        <v>46047.2770833333</v>
      </c>
      <c r="E1202" s="14" t="n">
        <v>46047.2770833333</v>
      </c>
      <c r="F1202" s="14" t="n">
        <v>46047.3388888889</v>
      </c>
      <c r="G1202" s="15" t="n">
        <f aca="false">F1202-E1202</f>
        <v>0.0618055555555556</v>
      </c>
      <c r="H1202" s="20" t="s">
        <v>248</v>
      </c>
      <c r="J1202" s="20" t="s">
        <v>256</v>
      </c>
      <c r="K1202" s="1" t="s">
        <v>430</v>
      </c>
      <c r="L1202" s="1" t="s">
        <v>574</v>
      </c>
      <c r="M1202" s="20" t="s">
        <v>258</v>
      </c>
      <c r="N1202" s="20" t="s">
        <v>259</v>
      </c>
      <c r="O1202" s="1" t="s">
        <v>573</v>
      </c>
      <c r="P1202" s="22" t="str">
        <f aca="false">_xlfn.CONCAT(B1202,C1202,D1202,E1202,F1202)</f>
        <v>BC Formoso2.1Inverter(MBUS-1)46047.277083333346047.277083333346047.3388888889</v>
      </c>
      <c r="Q1202" s="1" t="str">
        <f aca="false">_xlfn.CONCAT(H1202,I1202,J1202)</f>
        <v>DAURDE</v>
      </c>
    </row>
    <row r="1203" customFormat="false" ht="15" hidden="false" customHeight="false" outlineLevel="0" collapsed="false">
      <c r="B1203" s="1" t="s">
        <v>332</v>
      </c>
      <c r="C1203" s="1" t="s">
        <v>247</v>
      </c>
      <c r="D1203" s="14" t="n">
        <v>46047.2770833333</v>
      </c>
      <c r="E1203" s="14" t="n">
        <v>46047.2770833333</v>
      </c>
      <c r="F1203" s="14" t="n">
        <v>46047.3388888889</v>
      </c>
      <c r="G1203" s="15" t="n">
        <f aca="false">F1203-E1203</f>
        <v>0.0618055555555556</v>
      </c>
      <c r="H1203" s="20" t="s">
        <v>248</v>
      </c>
      <c r="J1203" s="20" t="s">
        <v>256</v>
      </c>
      <c r="K1203" s="1" t="s">
        <v>430</v>
      </c>
      <c r="L1203" s="1" t="s">
        <v>574</v>
      </c>
      <c r="M1203" s="20" t="s">
        <v>258</v>
      </c>
      <c r="N1203" s="20" t="s">
        <v>259</v>
      </c>
      <c r="O1203" s="1" t="s">
        <v>573</v>
      </c>
      <c r="P1203" s="22" t="str">
        <f aca="false">_xlfn.CONCAT(B1203,C1203,D1203,E1203,F1203)</f>
        <v>BC Formoso2.3Inverter(MBUS-13)46047.277083333346047.277083333346047.3388888889</v>
      </c>
      <c r="Q1203" s="1" t="str">
        <f aca="false">_xlfn.CONCAT(H1203,I1203,J1203)</f>
        <v>DAURDE</v>
      </c>
    </row>
    <row r="1204" customFormat="false" ht="15" hidden="false" customHeight="false" outlineLevel="0" collapsed="false">
      <c r="B1204" s="1" t="s">
        <v>332</v>
      </c>
      <c r="C1204" s="1" t="s">
        <v>277</v>
      </c>
      <c r="D1204" s="14" t="n">
        <v>46047.2770833333</v>
      </c>
      <c r="E1204" s="14" t="n">
        <v>46047.2770833333</v>
      </c>
      <c r="F1204" s="14" t="n">
        <v>46047.3388888889</v>
      </c>
      <c r="G1204" s="15" t="n">
        <f aca="false">F1204-E1204</f>
        <v>0.0618055555555556</v>
      </c>
      <c r="H1204" s="20" t="s">
        <v>248</v>
      </c>
      <c r="J1204" s="20" t="s">
        <v>256</v>
      </c>
      <c r="K1204" s="1" t="s">
        <v>430</v>
      </c>
      <c r="L1204" s="1" t="s">
        <v>574</v>
      </c>
      <c r="M1204" s="20" t="s">
        <v>258</v>
      </c>
      <c r="N1204" s="20" t="s">
        <v>259</v>
      </c>
      <c r="O1204" s="1" t="s">
        <v>573</v>
      </c>
      <c r="P1204" s="22" t="str">
        <f aca="false">_xlfn.CONCAT(B1204,C1204,D1204,E1204,F1204)</f>
        <v>BC Formoso2.3Inverter(MBUS-12)46047.277083333346047.277083333346047.3388888889</v>
      </c>
      <c r="Q1204" s="1" t="str">
        <f aca="false">_xlfn.CONCAT(H1204,I1204,J1204)</f>
        <v>DAURDE</v>
      </c>
    </row>
    <row r="1205" customFormat="false" ht="15" hidden="false" customHeight="false" outlineLevel="0" collapsed="false">
      <c r="B1205" s="1" t="s">
        <v>575</v>
      </c>
      <c r="C1205" s="1" t="s">
        <v>277</v>
      </c>
      <c r="D1205" s="14" t="n">
        <v>46047.6770833333</v>
      </c>
      <c r="E1205" s="14" t="n">
        <v>46047.6770833333</v>
      </c>
      <c r="F1205" s="14" t="n">
        <v>46047.7055555556</v>
      </c>
      <c r="G1205" s="15" t="n">
        <f aca="false">F1205-E1205</f>
        <v>0.0284722222222222</v>
      </c>
      <c r="H1205" s="20" t="s">
        <v>248</v>
      </c>
      <c r="J1205" s="20" t="s">
        <v>256</v>
      </c>
      <c r="K1205" s="1" t="s">
        <v>430</v>
      </c>
      <c r="L1205" s="1" t="s">
        <v>576</v>
      </c>
      <c r="M1205" s="20" t="s">
        <v>258</v>
      </c>
      <c r="N1205" s="20" t="s">
        <v>259</v>
      </c>
      <c r="O1205" s="1" t="s">
        <v>544</v>
      </c>
      <c r="P1205" s="22" t="str">
        <f aca="false">_xlfn.CONCAT(B1205,C1205,D1205,E1205,F1205)</f>
        <v>BC Ibiuna 1.1Inverter(MBUS-12)46047.677083333346047.677083333346047.7055555556</v>
      </c>
      <c r="Q1205" s="1" t="str">
        <f aca="false">_xlfn.CONCAT(H1205,I1205,J1205)</f>
        <v>DAURDE</v>
      </c>
    </row>
    <row r="1206" customFormat="false" ht="15" hidden="false" customHeight="false" outlineLevel="0" collapsed="false">
      <c r="B1206" s="1" t="s">
        <v>575</v>
      </c>
      <c r="C1206" s="1" t="s">
        <v>247</v>
      </c>
      <c r="D1206" s="14" t="n">
        <v>46047.6770833333</v>
      </c>
      <c r="E1206" s="14" t="n">
        <v>46047.6770833333</v>
      </c>
      <c r="F1206" s="14" t="n">
        <v>46047.7055555556</v>
      </c>
      <c r="G1206" s="15" t="n">
        <f aca="false">F1206-E1206</f>
        <v>0.0284722222222222</v>
      </c>
      <c r="H1206" s="20" t="s">
        <v>248</v>
      </c>
      <c r="J1206" s="20" t="s">
        <v>256</v>
      </c>
      <c r="K1206" s="1" t="s">
        <v>430</v>
      </c>
      <c r="L1206" s="1" t="s">
        <v>576</v>
      </c>
      <c r="M1206" s="20" t="s">
        <v>258</v>
      </c>
      <c r="N1206" s="20" t="s">
        <v>259</v>
      </c>
      <c r="O1206" s="1" t="s">
        <v>544</v>
      </c>
      <c r="P1206" s="22" t="str">
        <f aca="false">_xlfn.CONCAT(B1206,C1206,D1206,E1206,F1206)</f>
        <v>BC Ibiuna 1.1Inverter(MBUS-13)46047.677083333346047.677083333346047.7055555556</v>
      </c>
      <c r="Q1206" s="1" t="str">
        <f aca="false">_xlfn.CONCAT(H1206,I1206,J1206)</f>
        <v>DAURDE</v>
      </c>
    </row>
    <row r="1207" customFormat="false" ht="15" hidden="false" customHeight="false" outlineLevel="0" collapsed="false">
      <c r="B1207" s="1" t="s">
        <v>575</v>
      </c>
      <c r="C1207" s="1" t="s">
        <v>280</v>
      </c>
      <c r="D1207" s="14" t="n">
        <v>46047.6770833333</v>
      </c>
      <c r="E1207" s="14" t="n">
        <v>46047.6770833333</v>
      </c>
      <c r="F1207" s="14" t="n">
        <v>46047.7055555556</v>
      </c>
      <c r="G1207" s="15" t="n">
        <f aca="false">F1207-E1207</f>
        <v>0.0284722222222222</v>
      </c>
      <c r="H1207" s="20" t="s">
        <v>248</v>
      </c>
      <c r="J1207" s="20" t="s">
        <v>256</v>
      </c>
      <c r="K1207" s="1" t="s">
        <v>430</v>
      </c>
      <c r="L1207" s="1" t="s">
        <v>576</v>
      </c>
      <c r="M1207" s="20" t="s">
        <v>258</v>
      </c>
      <c r="N1207" s="20" t="s">
        <v>259</v>
      </c>
      <c r="O1207" s="1" t="s">
        <v>544</v>
      </c>
      <c r="P1207" s="22" t="str">
        <f aca="false">_xlfn.CONCAT(B1207,C1207,D1207,E1207,F1207)</f>
        <v>BC Ibiuna 1.1Inverter(MBUS-14)46047.677083333346047.677083333346047.7055555556</v>
      </c>
      <c r="Q1207" s="1" t="str">
        <f aca="false">_xlfn.CONCAT(H1207,I1207,J1207)</f>
        <v>DAURDE</v>
      </c>
    </row>
    <row r="1208" customFormat="false" ht="15" hidden="false" customHeight="false" outlineLevel="0" collapsed="false">
      <c r="B1208" s="1" t="s">
        <v>575</v>
      </c>
      <c r="C1208" s="1" t="s">
        <v>279</v>
      </c>
      <c r="D1208" s="14" t="n">
        <v>46047.6770833333</v>
      </c>
      <c r="E1208" s="14" t="n">
        <v>46047.6770833333</v>
      </c>
      <c r="F1208" s="14" t="n">
        <v>46047.7055555556</v>
      </c>
      <c r="G1208" s="15" t="n">
        <f aca="false">F1208-E1208</f>
        <v>0.0284722222222222</v>
      </c>
      <c r="H1208" s="20" t="s">
        <v>248</v>
      </c>
      <c r="J1208" s="20" t="s">
        <v>256</v>
      </c>
      <c r="K1208" s="1" t="s">
        <v>430</v>
      </c>
      <c r="L1208" s="1" t="s">
        <v>576</v>
      </c>
      <c r="M1208" s="20" t="s">
        <v>258</v>
      </c>
      <c r="N1208" s="20" t="s">
        <v>259</v>
      </c>
      <c r="O1208" s="1" t="s">
        <v>544</v>
      </c>
      <c r="P1208" s="22" t="str">
        <f aca="false">_xlfn.CONCAT(B1208,C1208,D1208,E1208,F1208)</f>
        <v>BC Ibiuna 1.1Inverter(MBUS-15)46047.677083333346047.677083333346047.7055555556</v>
      </c>
      <c r="Q1208" s="1" t="str">
        <f aca="false">_xlfn.CONCAT(H1208,I1208,J1208)</f>
        <v>DAURDE</v>
      </c>
    </row>
    <row r="1209" customFormat="false" ht="15" hidden="false" customHeight="false" outlineLevel="0" collapsed="false">
      <c r="B1209" s="1" t="s">
        <v>577</v>
      </c>
      <c r="C1209" s="1" t="s">
        <v>277</v>
      </c>
      <c r="D1209" s="14" t="n">
        <v>46047.6770833333</v>
      </c>
      <c r="E1209" s="14" t="n">
        <v>46047.6770833333</v>
      </c>
      <c r="F1209" s="14" t="n">
        <v>46047.7055555556</v>
      </c>
      <c r="G1209" s="15" t="n">
        <f aca="false">F1209-E1209</f>
        <v>0.0284722222222222</v>
      </c>
      <c r="H1209" s="20" t="s">
        <v>248</v>
      </c>
      <c r="J1209" s="20" t="s">
        <v>256</v>
      </c>
      <c r="K1209" s="1" t="s">
        <v>430</v>
      </c>
      <c r="L1209" s="1" t="s">
        <v>576</v>
      </c>
      <c r="M1209" s="20" t="s">
        <v>258</v>
      </c>
      <c r="N1209" s="20" t="s">
        <v>259</v>
      </c>
      <c r="O1209" s="1" t="s">
        <v>544</v>
      </c>
      <c r="P1209" s="22" t="str">
        <f aca="false">_xlfn.CONCAT(B1209,C1209,D1209,E1209,F1209)</f>
        <v>BC Ibiuna 1.2Inverter(MBUS-12)46047.677083333346047.677083333346047.7055555556</v>
      </c>
      <c r="Q1209" s="1" t="str">
        <f aca="false">_xlfn.CONCAT(H1209,I1209,J1209)</f>
        <v>DAURDE</v>
      </c>
    </row>
    <row r="1210" customFormat="false" ht="15" hidden="false" customHeight="false" outlineLevel="0" collapsed="false">
      <c r="B1210" s="1" t="s">
        <v>577</v>
      </c>
      <c r="C1210" s="1" t="s">
        <v>247</v>
      </c>
      <c r="D1210" s="14" t="n">
        <v>46047.6770833333</v>
      </c>
      <c r="E1210" s="14" t="n">
        <v>46047.6770833333</v>
      </c>
      <c r="F1210" s="14" t="n">
        <v>46047.7055555556</v>
      </c>
      <c r="G1210" s="15" t="n">
        <f aca="false">F1210-E1210</f>
        <v>0.0284722222222222</v>
      </c>
      <c r="H1210" s="20" t="s">
        <v>248</v>
      </c>
      <c r="J1210" s="20" t="s">
        <v>256</v>
      </c>
      <c r="K1210" s="1" t="s">
        <v>430</v>
      </c>
      <c r="L1210" s="1" t="s">
        <v>576</v>
      </c>
      <c r="M1210" s="20" t="s">
        <v>258</v>
      </c>
      <c r="N1210" s="20" t="s">
        <v>259</v>
      </c>
      <c r="O1210" s="1" t="s">
        <v>544</v>
      </c>
      <c r="P1210" s="22" t="str">
        <f aca="false">_xlfn.CONCAT(B1210,C1210,D1210,E1210,F1210)</f>
        <v>BC Ibiuna 1.2Inverter(MBUS-13)46047.677083333346047.677083333346047.7055555556</v>
      </c>
      <c r="Q1210" s="1" t="str">
        <f aca="false">_xlfn.CONCAT(H1210,I1210,J1210)</f>
        <v>DAURDE</v>
      </c>
    </row>
    <row r="1211" customFormat="false" ht="15" hidden="false" customHeight="false" outlineLevel="0" collapsed="false">
      <c r="B1211" s="1" t="s">
        <v>577</v>
      </c>
      <c r="C1211" s="1" t="s">
        <v>280</v>
      </c>
      <c r="D1211" s="14" t="n">
        <v>46047.6770833333</v>
      </c>
      <c r="E1211" s="14" t="n">
        <v>46047.6770833333</v>
      </c>
      <c r="F1211" s="14" t="n">
        <v>46047.7055555556</v>
      </c>
      <c r="G1211" s="15" t="n">
        <f aca="false">F1211-E1211</f>
        <v>0.0284722222222222</v>
      </c>
      <c r="H1211" s="20" t="s">
        <v>248</v>
      </c>
      <c r="J1211" s="20" t="s">
        <v>256</v>
      </c>
      <c r="K1211" s="1" t="s">
        <v>430</v>
      </c>
      <c r="L1211" s="1" t="s">
        <v>576</v>
      </c>
      <c r="M1211" s="20" t="s">
        <v>258</v>
      </c>
      <c r="N1211" s="20" t="s">
        <v>259</v>
      </c>
      <c r="O1211" s="1" t="s">
        <v>544</v>
      </c>
      <c r="P1211" s="22" t="str">
        <f aca="false">_xlfn.CONCAT(B1211,C1211,D1211,E1211,F1211)</f>
        <v>BC Ibiuna 1.2Inverter(MBUS-14)46047.677083333346047.677083333346047.7055555556</v>
      </c>
      <c r="Q1211" s="1" t="str">
        <f aca="false">_xlfn.CONCAT(H1211,I1211,J1211)</f>
        <v>DAURDE</v>
      </c>
    </row>
    <row r="1212" customFormat="false" ht="15" hidden="false" customHeight="false" outlineLevel="0" collapsed="false">
      <c r="B1212" s="1" t="s">
        <v>577</v>
      </c>
      <c r="C1212" s="1" t="s">
        <v>279</v>
      </c>
      <c r="D1212" s="14" t="n">
        <v>46047.6770833333</v>
      </c>
      <c r="E1212" s="14" t="n">
        <v>46047.6770833333</v>
      </c>
      <c r="F1212" s="14" t="n">
        <v>46047.7055555556</v>
      </c>
      <c r="G1212" s="15" t="n">
        <f aca="false">F1212-E1212</f>
        <v>0.0284722222222222</v>
      </c>
      <c r="H1212" s="20" t="s">
        <v>248</v>
      </c>
      <c r="J1212" s="20" t="s">
        <v>256</v>
      </c>
      <c r="K1212" s="1" t="s">
        <v>430</v>
      </c>
      <c r="L1212" s="1" t="s">
        <v>576</v>
      </c>
      <c r="M1212" s="20" t="s">
        <v>258</v>
      </c>
      <c r="N1212" s="20" t="s">
        <v>259</v>
      </c>
      <c r="O1212" s="1" t="s">
        <v>544</v>
      </c>
      <c r="P1212" s="22" t="str">
        <f aca="false">_xlfn.CONCAT(B1212,C1212,D1212,E1212,F1212)</f>
        <v>BC Ibiuna 1.2Inverter(MBUS-15)46047.677083333346047.677083333346047.7055555556</v>
      </c>
      <c r="Q1212" s="1" t="str">
        <f aca="false">_xlfn.CONCAT(H1212,I1212,J1212)</f>
        <v>DAURDE</v>
      </c>
    </row>
    <row r="1213" customFormat="false" ht="15" hidden="false" customHeight="false" outlineLevel="0" collapsed="false">
      <c r="B1213" s="1" t="s">
        <v>542</v>
      </c>
      <c r="C1213" s="1" t="s">
        <v>543</v>
      </c>
      <c r="D1213" s="14" t="n">
        <v>46047.8611111111</v>
      </c>
      <c r="E1213" s="14" t="n">
        <v>46047.8611111111</v>
      </c>
      <c r="F1213" s="14" t="n">
        <v>46047.9166666667</v>
      </c>
      <c r="G1213" s="15" t="n">
        <f aca="false">F1213-E1213</f>
        <v>0.0555555555555556</v>
      </c>
      <c r="H1213" s="20" t="s">
        <v>248</v>
      </c>
      <c r="J1213" s="20" t="s">
        <v>256</v>
      </c>
      <c r="K1213" s="1" t="s">
        <v>430</v>
      </c>
      <c r="L1213" s="1" t="s">
        <v>436</v>
      </c>
      <c r="M1213" s="20" t="s">
        <v>258</v>
      </c>
      <c r="N1213" s="20" t="s">
        <v>259</v>
      </c>
      <c r="O1213" s="1" t="s">
        <v>544</v>
      </c>
      <c r="P1213" s="22" t="str">
        <f aca="false">_xlfn.CONCAT(B1213,C1213,D1213,E1213,F1213)</f>
        <v>BC Caiaponia1SG60KTL(COM1-001)_001_00746047.861111111146047.861111111146047.9166666667</v>
      </c>
      <c r="Q1213" s="1" t="str">
        <f aca="false">_xlfn.CONCAT(H1213,I1213,J1213)</f>
        <v>DAURDE</v>
      </c>
    </row>
    <row r="1214" customFormat="false" ht="15" hidden="false" customHeight="false" outlineLevel="0" collapsed="false">
      <c r="B1214" s="1" t="s">
        <v>542</v>
      </c>
      <c r="C1214" s="1" t="s">
        <v>545</v>
      </c>
      <c r="D1214" s="14" t="n">
        <v>46047.8611111111</v>
      </c>
      <c r="E1214" s="14" t="n">
        <v>46047.8611111111</v>
      </c>
      <c r="F1214" s="14" t="n">
        <v>46047.9166666667</v>
      </c>
      <c r="G1214" s="15" t="n">
        <f aca="false">F1214-E1214</f>
        <v>0.0555555555555556</v>
      </c>
      <c r="H1214" s="20" t="s">
        <v>248</v>
      </c>
      <c r="J1214" s="20" t="s">
        <v>256</v>
      </c>
      <c r="K1214" s="1" t="s">
        <v>430</v>
      </c>
      <c r="L1214" s="1" t="s">
        <v>436</v>
      </c>
      <c r="M1214" s="20" t="s">
        <v>258</v>
      </c>
      <c r="N1214" s="20" t="s">
        <v>259</v>
      </c>
      <c r="O1214" s="1" t="s">
        <v>544</v>
      </c>
      <c r="P1214" s="22" t="str">
        <f aca="false">_xlfn.CONCAT(B1214,C1214,D1214,E1214,F1214)</f>
        <v>BC Caiaponia1SG60KTL(COM1-002)_001_01046047.861111111146047.861111111146047.9166666667</v>
      </c>
      <c r="Q1214" s="1" t="str">
        <f aca="false">_xlfn.CONCAT(H1214,I1214,J1214)</f>
        <v>DAURDE</v>
      </c>
    </row>
    <row r="1215" customFormat="false" ht="15" hidden="false" customHeight="false" outlineLevel="0" collapsed="false">
      <c r="B1215" s="1" t="s">
        <v>542</v>
      </c>
      <c r="C1215" s="1" t="s">
        <v>546</v>
      </c>
      <c r="D1215" s="14" t="n">
        <v>46047.8611111111</v>
      </c>
      <c r="E1215" s="14" t="n">
        <v>46047.8611111111</v>
      </c>
      <c r="F1215" s="14" t="n">
        <v>46047.9166666667</v>
      </c>
      <c r="G1215" s="15" t="n">
        <f aca="false">F1215-E1215</f>
        <v>0.0555555555555556</v>
      </c>
      <c r="H1215" s="20" t="s">
        <v>248</v>
      </c>
      <c r="J1215" s="20" t="s">
        <v>256</v>
      </c>
      <c r="K1215" s="1" t="s">
        <v>430</v>
      </c>
      <c r="L1215" s="1" t="s">
        <v>436</v>
      </c>
      <c r="M1215" s="20" t="s">
        <v>258</v>
      </c>
      <c r="N1215" s="20" t="s">
        <v>259</v>
      </c>
      <c r="O1215" s="1" t="s">
        <v>544</v>
      </c>
      <c r="P1215" s="22" t="str">
        <f aca="false">_xlfn.CONCAT(B1215,C1215,D1215,E1215,F1215)</f>
        <v>BC Caiaponia1SG60KTL(COM1-003)_001_01146047.861111111146047.861111111146047.9166666667</v>
      </c>
      <c r="Q1215" s="1" t="str">
        <f aca="false">_xlfn.CONCAT(H1215,I1215,J1215)</f>
        <v>DAURDE</v>
      </c>
    </row>
    <row r="1216" customFormat="false" ht="15" hidden="false" customHeight="false" outlineLevel="0" collapsed="false">
      <c r="B1216" s="1" t="s">
        <v>542</v>
      </c>
      <c r="C1216" s="1" t="s">
        <v>547</v>
      </c>
      <c r="D1216" s="14" t="n">
        <v>46047.8611111111</v>
      </c>
      <c r="E1216" s="14" t="n">
        <v>46047.8611111111</v>
      </c>
      <c r="F1216" s="14" t="n">
        <v>46047.9166666667</v>
      </c>
      <c r="G1216" s="15" t="n">
        <f aca="false">F1216-E1216</f>
        <v>0.0555555555555556</v>
      </c>
      <c r="H1216" s="20" t="s">
        <v>248</v>
      </c>
      <c r="J1216" s="20" t="s">
        <v>256</v>
      </c>
      <c r="K1216" s="1" t="s">
        <v>430</v>
      </c>
      <c r="L1216" s="1" t="s">
        <v>436</v>
      </c>
      <c r="M1216" s="20" t="s">
        <v>258</v>
      </c>
      <c r="N1216" s="20" t="s">
        <v>259</v>
      </c>
      <c r="O1216" s="1" t="s">
        <v>544</v>
      </c>
      <c r="P1216" s="22" t="str">
        <f aca="false">_xlfn.CONCAT(B1216,C1216,D1216,E1216,F1216)</f>
        <v>BC Caiaponia1SG60KTL(COM1-004)_001_01446047.861111111146047.861111111146047.9166666667</v>
      </c>
      <c r="Q1216" s="1" t="str">
        <f aca="false">_xlfn.CONCAT(H1216,I1216,J1216)</f>
        <v>DAURDE</v>
      </c>
    </row>
    <row r="1217" customFormat="false" ht="15" hidden="false" customHeight="false" outlineLevel="0" collapsed="false">
      <c r="B1217" s="1" t="s">
        <v>542</v>
      </c>
      <c r="C1217" s="1" t="s">
        <v>548</v>
      </c>
      <c r="D1217" s="14" t="n">
        <v>46047.8611111111</v>
      </c>
      <c r="E1217" s="14" t="n">
        <v>46047.8611111111</v>
      </c>
      <c r="F1217" s="14" t="n">
        <v>46047.9166666667</v>
      </c>
      <c r="G1217" s="15" t="n">
        <f aca="false">F1217-E1217</f>
        <v>0.0555555555555556</v>
      </c>
      <c r="H1217" s="20" t="s">
        <v>248</v>
      </c>
      <c r="J1217" s="20" t="s">
        <v>256</v>
      </c>
      <c r="K1217" s="1" t="s">
        <v>430</v>
      </c>
      <c r="L1217" s="1" t="s">
        <v>436</v>
      </c>
      <c r="M1217" s="20" t="s">
        <v>258</v>
      </c>
      <c r="N1217" s="20" t="s">
        <v>259</v>
      </c>
      <c r="O1217" s="1" t="s">
        <v>544</v>
      </c>
      <c r="P1217" s="22" t="str">
        <f aca="false">_xlfn.CONCAT(B1217,C1217,D1217,E1217,F1217)</f>
        <v>BC Caiaponia1SG60KTL(COM1-005)_001_01746047.861111111146047.861111111146047.9166666667</v>
      </c>
      <c r="Q1217" s="1" t="str">
        <f aca="false">_xlfn.CONCAT(H1217,I1217,J1217)</f>
        <v>DAURDE</v>
      </c>
    </row>
    <row r="1218" customFormat="false" ht="15" hidden="false" customHeight="false" outlineLevel="0" collapsed="false">
      <c r="B1218" s="1" t="s">
        <v>542</v>
      </c>
      <c r="C1218" s="1" t="s">
        <v>549</v>
      </c>
      <c r="D1218" s="14" t="n">
        <v>46047.8611111111</v>
      </c>
      <c r="E1218" s="14" t="n">
        <v>46047.8611111111</v>
      </c>
      <c r="F1218" s="14" t="n">
        <v>46047.9166666667</v>
      </c>
      <c r="G1218" s="15" t="n">
        <f aca="false">F1218-E1218</f>
        <v>0.0555555555555556</v>
      </c>
      <c r="H1218" s="20" t="s">
        <v>248</v>
      </c>
      <c r="J1218" s="20" t="s">
        <v>256</v>
      </c>
      <c r="K1218" s="1" t="s">
        <v>430</v>
      </c>
      <c r="L1218" s="1" t="s">
        <v>436</v>
      </c>
      <c r="M1218" s="20" t="s">
        <v>258</v>
      </c>
      <c r="N1218" s="20" t="s">
        <v>259</v>
      </c>
      <c r="O1218" s="1" t="s">
        <v>544</v>
      </c>
      <c r="P1218" s="22" t="str">
        <f aca="false">_xlfn.CONCAT(B1218,C1218,D1218,E1218,F1218)</f>
        <v>BC Caiaponia1SG60KTL(COM1-006)_001_01646047.861111111146047.861111111146047.9166666667</v>
      </c>
      <c r="Q1218" s="1" t="str">
        <f aca="false">_xlfn.CONCAT(H1218,I1218,J1218)</f>
        <v>DAURDE</v>
      </c>
    </row>
    <row r="1219" customFormat="false" ht="15" hidden="false" customHeight="false" outlineLevel="0" collapsed="false">
      <c r="B1219" s="1" t="s">
        <v>542</v>
      </c>
      <c r="C1219" s="1" t="s">
        <v>550</v>
      </c>
      <c r="D1219" s="14" t="n">
        <v>46047.8611111111</v>
      </c>
      <c r="E1219" s="14" t="n">
        <v>46047.8611111111</v>
      </c>
      <c r="F1219" s="14" t="n">
        <v>46047.9166666667</v>
      </c>
      <c r="G1219" s="15" t="n">
        <f aca="false">F1219-E1219</f>
        <v>0.0555555555555556</v>
      </c>
      <c r="H1219" s="20" t="s">
        <v>248</v>
      </c>
      <c r="J1219" s="20" t="s">
        <v>256</v>
      </c>
      <c r="K1219" s="1" t="s">
        <v>430</v>
      </c>
      <c r="L1219" s="1" t="s">
        <v>436</v>
      </c>
      <c r="M1219" s="20" t="s">
        <v>258</v>
      </c>
      <c r="N1219" s="20" t="s">
        <v>259</v>
      </c>
      <c r="O1219" s="1" t="s">
        <v>544</v>
      </c>
      <c r="P1219" s="22" t="str">
        <f aca="false">_xlfn.CONCAT(B1219,C1219,D1219,E1219,F1219)</f>
        <v>BC Caiaponia1SG60KTL(COM1-007)_001_01346047.861111111146047.861111111146047.9166666667</v>
      </c>
      <c r="Q1219" s="1" t="str">
        <f aca="false">_xlfn.CONCAT(H1219,I1219,J1219)</f>
        <v>DAURDE</v>
      </c>
    </row>
    <row r="1220" customFormat="false" ht="15" hidden="false" customHeight="false" outlineLevel="0" collapsed="false">
      <c r="B1220" s="1" t="s">
        <v>542</v>
      </c>
      <c r="C1220" s="1" t="s">
        <v>551</v>
      </c>
      <c r="D1220" s="14" t="n">
        <v>46047.8611111111</v>
      </c>
      <c r="E1220" s="14" t="n">
        <v>46047.8611111111</v>
      </c>
      <c r="F1220" s="14" t="n">
        <v>46047.9166666667</v>
      </c>
      <c r="G1220" s="15" t="n">
        <f aca="false">F1220-E1220</f>
        <v>0.0555555555555556</v>
      </c>
      <c r="H1220" s="20" t="s">
        <v>248</v>
      </c>
      <c r="J1220" s="20" t="s">
        <v>256</v>
      </c>
      <c r="K1220" s="1" t="s">
        <v>430</v>
      </c>
      <c r="L1220" s="1" t="s">
        <v>436</v>
      </c>
      <c r="M1220" s="20" t="s">
        <v>258</v>
      </c>
      <c r="N1220" s="20" t="s">
        <v>259</v>
      </c>
      <c r="O1220" s="1" t="s">
        <v>544</v>
      </c>
      <c r="P1220" s="22" t="str">
        <f aca="false">_xlfn.CONCAT(B1220,C1220,D1220,E1220,F1220)</f>
        <v>BC Caiaponia1SG60KTL(COM1-008)_001_00146047.861111111146047.861111111146047.9166666667</v>
      </c>
      <c r="Q1220" s="1" t="str">
        <f aca="false">_xlfn.CONCAT(H1220,I1220,J1220)</f>
        <v>DAURDE</v>
      </c>
    </row>
    <row r="1221" customFormat="false" ht="15" hidden="false" customHeight="false" outlineLevel="0" collapsed="false">
      <c r="B1221" s="1" t="s">
        <v>542</v>
      </c>
      <c r="C1221" s="1" t="s">
        <v>552</v>
      </c>
      <c r="D1221" s="14" t="n">
        <v>46047.8611111111</v>
      </c>
      <c r="E1221" s="14" t="n">
        <v>46047.8611111111</v>
      </c>
      <c r="F1221" s="14" t="n">
        <v>46047.9166666667</v>
      </c>
      <c r="G1221" s="15" t="n">
        <f aca="false">F1221-E1221</f>
        <v>0.0555555555555556</v>
      </c>
      <c r="H1221" s="20" t="s">
        <v>248</v>
      </c>
      <c r="J1221" s="20" t="s">
        <v>256</v>
      </c>
      <c r="K1221" s="1" t="s">
        <v>430</v>
      </c>
      <c r="L1221" s="1" t="s">
        <v>436</v>
      </c>
      <c r="M1221" s="20" t="s">
        <v>258</v>
      </c>
      <c r="N1221" s="20" t="s">
        <v>259</v>
      </c>
      <c r="O1221" s="1" t="s">
        <v>544</v>
      </c>
      <c r="P1221" s="22" t="str">
        <f aca="false">_xlfn.CONCAT(B1221,C1221,D1221,E1221,F1221)</f>
        <v>BC Caiaponia1SG60KTL(COM1-009)46047.861111111146047.861111111146047.9166666667</v>
      </c>
      <c r="Q1221" s="1" t="str">
        <f aca="false">_xlfn.CONCAT(H1221,I1221,J1221)</f>
        <v>DAURDE</v>
      </c>
    </row>
    <row r="1222" customFormat="false" ht="15" hidden="false" customHeight="false" outlineLevel="0" collapsed="false">
      <c r="B1222" s="1" t="s">
        <v>542</v>
      </c>
      <c r="C1222" s="1" t="s">
        <v>553</v>
      </c>
      <c r="D1222" s="14" t="n">
        <v>46047.8611111111</v>
      </c>
      <c r="E1222" s="14" t="n">
        <v>46047.8611111111</v>
      </c>
      <c r="F1222" s="14" t="n">
        <v>46047.9166666667</v>
      </c>
      <c r="G1222" s="15" t="n">
        <f aca="false">F1222-E1222</f>
        <v>0.0555555555555556</v>
      </c>
      <c r="H1222" s="20" t="s">
        <v>248</v>
      </c>
      <c r="J1222" s="20" t="s">
        <v>256</v>
      </c>
      <c r="K1222" s="1" t="s">
        <v>430</v>
      </c>
      <c r="L1222" s="1" t="s">
        <v>436</v>
      </c>
      <c r="M1222" s="20" t="s">
        <v>258</v>
      </c>
      <c r="N1222" s="20" t="s">
        <v>259</v>
      </c>
      <c r="O1222" s="1" t="s">
        <v>544</v>
      </c>
      <c r="P1222" s="22" t="str">
        <f aca="false">_xlfn.CONCAT(B1222,C1222,D1222,E1222,F1222)</f>
        <v>BC Caiaponia1SG60KTL(COM1-010)46047.861111111146047.861111111146047.9166666667</v>
      </c>
      <c r="Q1222" s="1" t="str">
        <f aca="false">_xlfn.CONCAT(H1222,I1222,J1222)</f>
        <v>DAURDE</v>
      </c>
    </row>
    <row r="1223" customFormat="false" ht="15" hidden="false" customHeight="false" outlineLevel="0" collapsed="false">
      <c r="B1223" s="1" t="s">
        <v>542</v>
      </c>
      <c r="C1223" s="1" t="s">
        <v>554</v>
      </c>
      <c r="D1223" s="14" t="n">
        <v>46047.8611111111</v>
      </c>
      <c r="E1223" s="14" t="n">
        <v>46047.8611111111</v>
      </c>
      <c r="F1223" s="14" t="n">
        <v>46047.9166666667</v>
      </c>
      <c r="G1223" s="15" t="n">
        <f aca="false">F1223-E1223</f>
        <v>0.0555555555555556</v>
      </c>
      <c r="H1223" s="20" t="s">
        <v>248</v>
      </c>
      <c r="J1223" s="20" t="s">
        <v>256</v>
      </c>
      <c r="K1223" s="1" t="s">
        <v>430</v>
      </c>
      <c r="L1223" s="1" t="s">
        <v>436</v>
      </c>
      <c r="M1223" s="20" t="s">
        <v>258</v>
      </c>
      <c r="N1223" s="20" t="s">
        <v>259</v>
      </c>
      <c r="O1223" s="1" t="s">
        <v>544</v>
      </c>
      <c r="P1223" s="22" t="str">
        <f aca="false">_xlfn.CONCAT(B1223,C1223,D1223,E1223,F1223)</f>
        <v>BC Caiaponia1SG60KTL(COM1-011)46047.861111111146047.861111111146047.9166666667</v>
      </c>
      <c r="Q1223" s="1" t="str">
        <f aca="false">_xlfn.CONCAT(H1223,I1223,J1223)</f>
        <v>DAURDE</v>
      </c>
    </row>
    <row r="1224" customFormat="false" ht="15" hidden="false" customHeight="false" outlineLevel="0" collapsed="false">
      <c r="B1224" s="1" t="s">
        <v>542</v>
      </c>
      <c r="C1224" s="1" t="s">
        <v>555</v>
      </c>
      <c r="D1224" s="14" t="n">
        <v>46047.8611111111</v>
      </c>
      <c r="E1224" s="14" t="n">
        <v>46047.8611111111</v>
      </c>
      <c r="F1224" s="14" t="n">
        <v>46047.9166666667</v>
      </c>
      <c r="G1224" s="15" t="n">
        <f aca="false">F1224-E1224</f>
        <v>0.0555555555555556</v>
      </c>
      <c r="H1224" s="20" t="s">
        <v>248</v>
      </c>
      <c r="J1224" s="20" t="s">
        <v>256</v>
      </c>
      <c r="K1224" s="1" t="s">
        <v>430</v>
      </c>
      <c r="L1224" s="1" t="s">
        <v>436</v>
      </c>
      <c r="M1224" s="20" t="s">
        <v>258</v>
      </c>
      <c r="N1224" s="20" t="s">
        <v>259</v>
      </c>
      <c r="O1224" s="1" t="s">
        <v>544</v>
      </c>
      <c r="P1224" s="22" t="str">
        <f aca="false">_xlfn.CONCAT(B1224,C1224,D1224,E1224,F1224)</f>
        <v>BC Caiaponia1SG60KTL(COM1-012)46047.861111111146047.861111111146047.9166666667</v>
      </c>
      <c r="Q1224" s="1" t="str">
        <f aca="false">_xlfn.CONCAT(H1224,I1224,J1224)</f>
        <v>DAURDE</v>
      </c>
    </row>
    <row r="1225" customFormat="false" ht="15" hidden="false" customHeight="false" outlineLevel="0" collapsed="false">
      <c r="B1225" s="1" t="s">
        <v>542</v>
      </c>
      <c r="C1225" s="1" t="s">
        <v>556</v>
      </c>
      <c r="D1225" s="14" t="n">
        <v>46047.8611111111</v>
      </c>
      <c r="E1225" s="14" t="n">
        <v>46047.8611111111</v>
      </c>
      <c r="F1225" s="14" t="n">
        <v>46047.9166666667</v>
      </c>
      <c r="G1225" s="15" t="n">
        <f aca="false">F1225-E1225</f>
        <v>0.0555555555555556</v>
      </c>
      <c r="H1225" s="20" t="s">
        <v>248</v>
      </c>
      <c r="J1225" s="20" t="s">
        <v>256</v>
      </c>
      <c r="K1225" s="1" t="s">
        <v>430</v>
      </c>
      <c r="L1225" s="1" t="s">
        <v>436</v>
      </c>
      <c r="M1225" s="20" t="s">
        <v>258</v>
      </c>
      <c r="N1225" s="20" t="s">
        <v>259</v>
      </c>
      <c r="O1225" s="1" t="s">
        <v>544</v>
      </c>
      <c r="P1225" s="22" t="str">
        <f aca="false">_xlfn.CONCAT(B1225,C1225,D1225,E1225,F1225)</f>
        <v>BC Caiaponia1SG60KTL(COM1-013)46047.861111111146047.861111111146047.9166666667</v>
      </c>
      <c r="Q1225" s="1" t="str">
        <f aca="false">_xlfn.CONCAT(H1225,I1225,J1225)</f>
        <v>DAURDE</v>
      </c>
    </row>
    <row r="1226" customFormat="false" ht="15" hidden="false" customHeight="false" outlineLevel="0" collapsed="false">
      <c r="B1226" s="1" t="s">
        <v>542</v>
      </c>
      <c r="C1226" s="1" t="s">
        <v>557</v>
      </c>
      <c r="D1226" s="14" t="n">
        <v>46047.8611111111</v>
      </c>
      <c r="E1226" s="14" t="n">
        <v>46047.8611111111</v>
      </c>
      <c r="F1226" s="14" t="n">
        <v>46047.9166666667</v>
      </c>
      <c r="G1226" s="15" t="n">
        <f aca="false">F1226-E1226</f>
        <v>0.0555555555555556</v>
      </c>
      <c r="H1226" s="20" t="s">
        <v>248</v>
      </c>
      <c r="J1226" s="20" t="s">
        <v>256</v>
      </c>
      <c r="K1226" s="1" t="s">
        <v>430</v>
      </c>
      <c r="L1226" s="1" t="s">
        <v>436</v>
      </c>
      <c r="M1226" s="20" t="s">
        <v>258</v>
      </c>
      <c r="N1226" s="20" t="s">
        <v>259</v>
      </c>
      <c r="O1226" s="1" t="s">
        <v>544</v>
      </c>
      <c r="P1226" s="22" t="str">
        <f aca="false">_xlfn.CONCAT(B1226,C1226,D1226,E1226,F1226)</f>
        <v>BC Caiaponia1SG60KTL(COM1-014)46047.861111111146047.861111111146047.9166666667</v>
      </c>
      <c r="Q1226" s="1" t="str">
        <f aca="false">_xlfn.CONCAT(H1226,I1226,J1226)</f>
        <v>DAURDE</v>
      </c>
    </row>
    <row r="1227" customFormat="false" ht="15" hidden="false" customHeight="false" outlineLevel="0" collapsed="false">
      <c r="B1227" s="1" t="s">
        <v>542</v>
      </c>
      <c r="C1227" s="1" t="s">
        <v>558</v>
      </c>
      <c r="D1227" s="14" t="n">
        <v>46047.8611111111</v>
      </c>
      <c r="E1227" s="14" t="n">
        <v>46047.8611111111</v>
      </c>
      <c r="F1227" s="14" t="n">
        <v>46047.9166666667</v>
      </c>
      <c r="G1227" s="15" t="n">
        <f aca="false">F1227-E1227</f>
        <v>0.0555555555555556</v>
      </c>
      <c r="H1227" s="20" t="s">
        <v>248</v>
      </c>
      <c r="J1227" s="20" t="s">
        <v>256</v>
      </c>
      <c r="K1227" s="1" t="s">
        <v>430</v>
      </c>
      <c r="L1227" s="1" t="s">
        <v>436</v>
      </c>
      <c r="M1227" s="20" t="s">
        <v>258</v>
      </c>
      <c r="N1227" s="20" t="s">
        <v>259</v>
      </c>
      <c r="O1227" s="1" t="s">
        <v>544</v>
      </c>
      <c r="P1227" s="22" t="str">
        <f aca="false">_xlfn.CONCAT(B1227,C1227,D1227,E1227,F1227)</f>
        <v>BC Caiaponia1SG60KTL(COM1-015)46047.861111111146047.861111111146047.9166666667</v>
      </c>
      <c r="Q1227" s="1" t="str">
        <f aca="false">_xlfn.CONCAT(H1227,I1227,J1227)</f>
        <v>DAURDE</v>
      </c>
    </row>
    <row r="1228" customFormat="false" ht="15" hidden="false" customHeight="false" outlineLevel="0" collapsed="false">
      <c r="B1228" s="1" t="s">
        <v>542</v>
      </c>
      <c r="C1228" s="1" t="s">
        <v>559</v>
      </c>
      <c r="D1228" s="14" t="n">
        <v>46047.8611111111</v>
      </c>
      <c r="E1228" s="14" t="n">
        <v>46047.8611111111</v>
      </c>
      <c r="F1228" s="14" t="n">
        <v>46047.9166666667</v>
      </c>
      <c r="G1228" s="15" t="n">
        <f aca="false">F1228-E1228</f>
        <v>0.0555555555555556</v>
      </c>
      <c r="H1228" s="20" t="s">
        <v>248</v>
      </c>
      <c r="J1228" s="20" t="s">
        <v>256</v>
      </c>
      <c r="K1228" s="1" t="s">
        <v>430</v>
      </c>
      <c r="L1228" s="1" t="s">
        <v>436</v>
      </c>
      <c r="M1228" s="20" t="s">
        <v>258</v>
      </c>
      <c r="N1228" s="20" t="s">
        <v>259</v>
      </c>
      <c r="O1228" s="1" t="s">
        <v>544</v>
      </c>
      <c r="P1228" s="22" t="str">
        <f aca="false">_xlfn.CONCAT(B1228,C1228,D1228,E1228,F1228)</f>
        <v>BC Caiaponia1SG60KTL(COM3-016)_001_00946047.861111111146047.861111111146047.9166666667</v>
      </c>
      <c r="Q1228" s="1" t="str">
        <f aca="false">_xlfn.CONCAT(H1228,I1228,J1228)</f>
        <v>DAURDE</v>
      </c>
    </row>
    <row r="1229" customFormat="false" ht="15" hidden="false" customHeight="false" outlineLevel="0" collapsed="false">
      <c r="B1229" s="1" t="s">
        <v>542</v>
      </c>
      <c r="C1229" s="1" t="s">
        <v>560</v>
      </c>
      <c r="D1229" s="14" t="n">
        <v>46047.8611111111</v>
      </c>
      <c r="E1229" s="14" t="n">
        <v>46047.8611111111</v>
      </c>
      <c r="F1229" s="14" t="n">
        <v>46047.9166666667</v>
      </c>
      <c r="G1229" s="15" t="n">
        <f aca="false">F1229-E1229</f>
        <v>0.0555555555555556</v>
      </c>
      <c r="H1229" s="20" t="s">
        <v>248</v>
      </c>
      <c r="J1229" s="20" t="s">
        <v>256</v>
      </c>
      <c r="K1229" s="1" t="s">
        <v>430</v>
      </c>
      <c r="L1229" s="1" t="s">
        <v>436</v>
      </c>
      <c r="M1229" s="20" t="s">
        <v>258</v>
      </c>
      <c r="N1229" s="20" t="s">
        <v>259</v>
      </c>
      <c r="O1229" s="1" t="s">
        <v>544</v>
      </c>
      <c r="P1229" s="22" t="str">
        <f aca="false">_xlfn.CONCAT(B1229,C1229,D1229,E1229,F1229)</f>
        <v>BC Caiaponia1SG60KTL(COM3-017)_001_01246047.861111111146047.861111111146047.9166666667</v>
      </c>
      <c r="Q1229" s="1" t="str">
        <f aca="false">_xlfn.CONCAT(H1229,I1229,J1229)</f>
        <v>DAURDE</v>
      </c>
    </row>
    <row r="1230" customFormat="false" ht="15" hidden="false" customHeight="false" outlineLevel="0" collapsed="false">
      <c r="B1230" s="1" t="s">
        <v>542</v>
      </c>
      <c r="C1230" s="1" t="s">
        <v>561</v>
      </c>
      <c r="D1230" s="14" t="n">
        <v>46047.8611111111</v>
      </c>
      <c r="E1230" s="14" t="n">
        <v>46047.8611111111</v>
      </c>
      <c r="F1230" s="14" t="n">
        <v>46047.9166666667</v>
      </c>
      <c r="G1230" s="15" t="n">
        <f aca="false">F1230-E1230</f>
        <v>0.0555555555555556</v>
      </c>
      <c r="H1230" s="20" t="s">
        <v>248</v>
      </c>
      <c r="J1230" s="20" t="s">
        <v>256</v>
      </c>
      <c r="K1230" s="1" t="s">
        <v>430</v>
      </c>
      <c r="L1230" s="1" t="s">
        <v>436</v>
      </c>
      <c r="M1230" s="20" t="s">
        <v>258</v>
      </c>
      <c r="N1230" s="20" t="s">
        <v>259</v>
      </c>
      <c r="O1230" s="1" t="s">
        <v>544</v>
      </c>
      <c r="P1230" s="22" t="str">
        <f aca="false">_xlfn.CONCAT(B1230,C1230,D1230,E1230,F1230)</f>
        <v>BC Caiaponia1SG60KTL(COM3-018)_001_00846047.861111111146047.861111111146047.9166666667</v>
      </c>
      <c r="Q1230" s="1" t="str">
        <f aca="false">_xlfn.CONCAT(H1230,I1230,J1230)</f>
        <v>DAURDE</v>
      </c>
    </row>
    <row r="1231" customFormat="false" ht="15" hidden="false" customHeight="false" outlineLevel="0" collapsed="false">
      <c r="B1231" s="1" t="s">
        <v>542</v>
      </c>
      <c r="C1231" s="1" t="s">
        <v>562</v>
      </c>
      <c r="D1231" s="14" t="n">
        <v>46047.8611111111</v>
      </c>
      <c r="E1231" s="14" t="n">
        <v>46047.8611111111</v>
      </c>
      <c r="F1231" s="14" t="n">
        <v>46047.9166666667</v>
      </c>
      <c r="G1231" s="15" t="n">
        <f aca="false">F1231-E1231</f>
        <v>0.0555555555555556</v>
      </c>
      <c r="H1231" s="20" t="s">
        <v>248</v>
      </c>
      <c r="J1231" s="20" t="s">
        <v>256</v>
      </c>
      <c r="K1231" s="1" t="s">
        <v>430</v>
      </c>
      <c r="L1231" s="1" t="s">
        <v>436</v>
      </c>
      <c r="M1231" s="20" t="s">
        <v>258</v>
      </c>
      <c r="N1231" s="20" t="s">
        <v>259</v>
      </c>
      <c r="O1231" s="1" t="s">
        <v>544</v>
      </c>
      <c r="P1231" s="22" t="str">
        <f aca="false">_xlfn.CONCAT(B1231,C1231,D1231,E1231,F1231)</f>
        <v>BC Caiaponia1SG60KTL(COM3-019)_001_01946047.861111111146047.861111111146047.9166666667</v>
      </c>
      <c r="Q1231" s="1" t="str">
        <f aca="false">_xlfn.CONCAT(H1231,I1231,J1231)</f>
        <v>DAURDE</v>
      </c>
    </row>
    <row r="1232" customFormat="false" ht="15" hidden="false" customHeight="false" outlineLevel="0" collapsed="false">
      <c r="B1232" s="1" t="s">
        <v>542</v>
      </c>
      <c r="C1232" s="1" t="s">
        <v>563</v>
      </c>
      <c r="D1232" s="14" t="n">
        <v>46047.8611111111</v>
      </c>
      <c r="E1232" s="14" t="n">
        <v>46047.8611111111</v>
      </c>
      <c r="F1232" s="14" t="n">
        <v>46047.9166666667</v>
      </c>
      <c r="G1232" s="15" t="n">
        <f aca="false">F1232-E1232</f>
        <v>0.0555555555555556</v>
      </c>
      <c r="H1232" s="20" t="s">
        <v>248</v>
      </c>
      <c r="J1232" s="20" t="s">
        <v>256</v>
      </c>
      <c r="K1232" s="1" t="s">
        <v>430</v>
      </c>
      <c r="L1232" s="1" t="s">
        <v>436</v>
      </c>
      <c r="M1232" s="20" t="s">
        <v>258</v>
      </c>
      <c r="N1232" s="20" t="s">
        <v>259</v>
      </c>
      <c r="O1232" s="1" t="s">
        <v>544</v>
      </c>
      <c r="P1232" s="22" t="str">
        <f aca="false">_xlfn.CONCAT(B1232,C1232,D1232,E1232,F1232)</f>
        <v>BC Caiaponia1SG60KTL(COM3-020)_001_02046047.861111111146047.861111111146047.9166666667</v>
      </c>
      <c r="Q1232" s="1" t="str">
        <f aca="false">_xlfn.CONCAT(H1232,I1232,J1232)</f>
        <v>DAURDE</v>
      </c>
    </row>
    <row r="1233" customFormat="false" ht="15" hidden="false" customHeight="false" outlineLevel="0" collapsed="false">
      <c r="B1233" s="1" t="s">
        <v>542</v>
      </c>
      <c r="C1233" s="1" t="s">
        <v>564</v>
      </c>
      <c r="D1233" s="14" t="n">
        <v>46047.8611111111</v>
      </c>
      <c r="E1233" s="14" t="n">
        <v>46047.8611111111</v>
      </c>
      <c r="F1233" s="14" t="n">
        <v>46047.9166666667</v>
      </c>
      <c r="G1233" s="15" t="n">
        <f aca="false">F1233-E1233</f>
        <v>0.0555555555555556</v>
      </c>
      <c r="H1233" s="20" t="s">
        <v>248</v>
      </c>
      <c r="J1233" s="20" t="s">
        <v>256</v>
      </c>
      <c r="K1233" s="1" t="s">
        <v>430</v>
      </c>
      <c r="L1233" s="1" t="s">
        <v>436</v>
      </c>
      <c r="M1233" s="20" t="s">
        <v>258</v>
      </c>
      <c r="N1233" s="20" t="s">
        <v>259</v>
      </c>
      <c r="O1233" s="1" t="s">
        <v>544</v>
      </c>
      <c r="P1233" s="22" t="str">
        <f aca="false">_xlfn.CONCAT(B1233,C1233,D1233,E1233,F1233)</f>
        <v>BC Caiaponia1SG60KTL(COM2-026)46047.861111111146047.861111111146047.9166666667</v>
      </c>
      <c r="Q1233" s="1" t="str">
        <f aca="false">_xlfn.CONCAT(H1233,I1233,J1233)</f>
        <v>DAURDE</v>
      </c>
    </row>
    <row r="1234" customFormat="false" ht="15" hidden="false" customHeight="false" outlineLevel="0" collapsed="false">
      <c r="B1234" s="1" t="s">
        <v>542</v>
      </c>
      <c r="C1234" s="1" t="s">
        <v>565</v>
      </c>
      <c r="D1234" s="14" t="n">
        <v>46047.8611111111</v>
      </c>
      <c r="E1234" s="14" t="n">
        <v>46047.8611111111</v>
      </c>
      <c r="F1234" s="14" t="n">
        <v>46047.9166666667</v>
      </c>
      <c r="G1234" s="15" t="n">
        <f aca="false">F1234-E1234</f>
        <v>0.0555555555555556</v>
      </c>
      <c r="H1234" s="20" t="s">
        <v>248</v>
      </c>
      <c r="J1234" s="20" t="s">
        <v>256</v>
      </c>
      <c r="K1234" s="1" t="s">
        <v>430</v>
      </c>
      <c r="L1234" s="1" t="s">
        <v>436</v>
      </c>
      <c r="M1234" s="20" t="s">
        <v>258</v>
      </c>
      <c r="N1234" s="20" t="s">
        <v>259</v>
      </c>
      <c r="O1234" s="1" t="s">
        <v>544</v>
      </c>
      <c r="P1234" s="22" t="str">
        <f aca="false">_xlfn.CONCAT(B1234,C1234,D1234,E1234,F1234)</f>
        <v>BC Caiaponia1SG60KTL(COM2-027)46047.861111111146047.861111111146047.9166666667</v>
      </c>
      <c r="Q1234" s="1" t="str">
        <f aca="false">_xlfn.CONCAT(H1234,I1234,J1234)</f>
        <v>DAURDE</v>
      </c>
    </row>
    <row r="1235" customFormat="false" ht="15" hidden="false" customHeight="false" outlineLevel="0" collapsed="false">
      <c r="B1235" s="1" t="s">
        <v>542</v>
      </c>
      <c r="C1235" s="1" t="s">
        <v>566</v>
      </c>
      <c r="D1235" s="14" t="n">
        <v>46047.8611111111</v>
      </c>
      <c r="E1235" s="14" t="n">
        <v>46047.8611111111</v>
      </c>
      <c r="F1235" s="14" t="n">
        <v>46047.9166666667</v>
      </c>
      <c r="G1235" s="15" t="n">
        <f aca="false">F1235-E1235</f>
        <v>0.0555555555555556</v>
      </c>
      <c r="H1235" s="20" t="s">
        <v>248</v>
      </c>
      <c r="J1235" s="20" t="s">
        <v>256</v>
      </c>
      <c r="K1235" s="1" t="s">
        <v>430</v>
      </c>
      <c r="L1235" s="1" t="s">
        <v>436</v>
      </c>
      <c r="M1235" s="20" t="s">
        <v>258</v>
      </c>
      <c r="N1235" s="20" t="s">
        <v>259</v>
      </c>
      <c r="O1235" s="1" t="s">
        <v>544</v>
      </c>
      <c r="P1235" s="22" t="str">
        <f aca="false">_xlfn.CONCAT(B1235,C1235,D1235,E1235,F1235)</f>
        <v>BC Caiaponia1SG60KTL(COM2-028)46047.861111111146047.861111111146047.9166666667</v>
      </c>
      <c r="Q1235" s="1" t="str">
        <f aca="false">_xlfn.CONCAT(H1235,I1235,J1235)</f>
        <v>DAURDE</v>
      </c>
    </row>
    <row r="1236" customFormat="false" ht="15" hidden="false" customHeight="false" outlineLevel="0" collapsed="false">
      <c r="B1236" s="1" t="s">
        <v>542</v>
      </c>
      <c r="C1236" s="1" t="s">
        <v>567</v>
      </c>
      <c r="D1236" s="14" t="n">
        <v>46047.8611111111</v>
      </c>
      <c r="E1236" s="14" t="n">
        <v>46047.8611111111</v>
      </c>
      <c r="F1236" s="14" t="n">
        <v>46047.9166666667</v>
      </c>
      <c r="G1236" s="15" t="n">
        <f aca="false">F1236-E1236</f>
        <v>0.0555555555555556</v>
      </c>
      <c r="H1236" s="20" t="s">
        <v>248</v>
      </c>
      <c r="J1236" s="20" t="s">
        <v>256</v>
      </c>
      <c r="K1236" s="1" t="s">
        <v>430</v>
      </c>
      <c r="L1236" s="1" t="s">
        <v>436</v>
      </c>
      <c r="M1236" s="20" t="s">
        <v>258</v>
      </c>
      <c r="N1236" s="20" t="s">
        <v>259</v>
      </c>
      <c r="O1236" s="1" t="s">
        <v>544</v>
      </c>
      <c r="P1236" s="22" t="str">
        <f aca="false">_xlfn.CONCAT(B1236,C1236,D1236,E1236,F1236)</f>
        <v>BC Caiaponia1SG60KTL(COM2-029)46047.861111111146047.861111111146047.9166666667</v>
      </c>
      <c r="Q1236" s="1" t="str">
        <f aca="false">_xlfn.CONCAT(H1236,I1236,J1236)</f>
        <v>DAURDE</v>
      </c>
    </row>
    <row r="1237" customFormat="false" ht="15" hidden="false" customHeight="false" outlineLevel="0" collapsed="false">
      <c r="B1237" s="1" t="s">
        <v>542</v>
      </c>
      <c r="C1237" s="1" t="s">
        <v>568</v>
      </c>
      <c r="D1237" s="14" t="n">
        <v>46047.8611111111</v>
      </c>
      <c r="E1237" s="14" t="n">
        <v>46047.8611111111</v>
      </c>
      <c r="F1237" s="14" t="n">
        <v>46047.9166666667</v>
      </c>
      <c r="G1237" s="15" t="n">
        <f aca="false">F1237-E1237</f>
        <v>0.0555555555555556</v>
      </c>
      <c r="H1237" s="20" t="s">
        <v>248</v>
      </c>
      <c r="J1237" s="20" t="s">
        <v>256</v>
      </c>
      <c r="K1237" s="1" t="s">
        <v>430</v>
      </c>
      <c r="L1237" s="1" t="s">
        <v>436</v>
      </c>
      <c r="M1237" s="20" t="s">
        <v>258</v>
      </c>
      <c r="N1237" s="20" t="s">
        <v>259</v>
      </c>
      <c r="O1237" s="1" t="s">
        <v>544</v>
      </c>
      <c r="P1237" s="22" t="str">
        <f aca="false">_xlfn.CONCAT(B1237,C1237,D1237,E1237,F1237)</f>
        <v>BC Caiaponia1SG50CX(COM1-021)46047.861111111146047.861111111146047.9166666667</v>
      </c>
      <c r="Q1237" s="1" t="str">
        <f aca="false">_xlfn.CONCAT(H1237,I1237,J1237)</f>
        <v>DAURDE</v>
      </c>
    </row>
    <row r="1238" customFormat="false" ht="15" hidden="false" customHeight="false" outlineLevel="0" collapsed="false">
      <c r="B1238" s="1" t="s">
        <v>542</v>
      </c>
      <c r="C1238" s="1" t="s">
        <v>569</v>
      </c>
      <c r="D1238" s="14" t="n">
        <v>46047.8611111111</v>
      </c>
      <c r="E1238" s="14" t="n">
        <v>46047.8611111111</v>
      </c>
      <c r="F1238" s="14" t="n">
        <v>46047.9166666667</v>
      </c>
      <c r="G1238" s="15" t="n">
        <f aca="false">F1238-E1238</f>
        <v>0.0555555555555556</v>
      </c>
      <c r="H1238" s="20" t="s">
        <v>248</v>
      </c>
      <c r="J1238" s="20" t="s">
        <v>256</v>
      </c>
      <c r="K1238" s="1" t="s">
        <v>430</v>
      </c>
      <c r="L1238" s="1" t="s">
        <v>436</v>
      </c>
      <c r="M1238" s="20" t="s">
        <v>258</v>
      </c>
      <c r="N1238" s="20" t="s">
        <v>259</v>
      </c>
      <c r="O1238" s="1" t="s">
        <v>544</v>
      </c>
      <c r="P1238" s="22" t="str">
        <f aca="false">_xlfn.CONCAT(B1238,C1238,D1238,E1238,F1238)</f>
        <v>BC Caiaponia1SG50CX(COM1-022)46047.861111111146047.861111111146047.9166666667</v>
      </c>
      <c r="Q1238" s="1" t="str">
        <f aca="false">_xlfn.CONCAT(H1238,I1238,J1238)</f>
        <v>DAURDE</v>
      </c>
    </row>
    <row r="1239" customFormat="false" ht="15" hidden="false" customHeight="false" outlineLevel="0" collapsed="false">
      <c r="B1239" s="1" t="s">
        <v>542</v>
      </c>
      <c r="C1239" s="1" t="s">
        <v>570</v>
      </c>
      <c r="D1239" s="14" t="n">
        <v>46047.8611111111</v>
      </c>
      <c r="E1239" s="14" t="n">
        <v>46047.8611111111</v>
      </c>
      <c r="F1239" s="14" t="n">
        <v>46047.9166666667</v>
      </c>
      <c r="G1239" s="15" t="n">
        <f aca="false">F1239-E1239</f>
        <v>0.0555555555555556</v>
      </c>
      <c r="H1239" s="20" t="s">
        <v>248</v>
      </c>
      <c r="J1239" s="20" t="s">
        <v>256</v>
      </c>
      <c r="K1239" s="1" t="s">
        <v>430</v>
      </c>
      <c r="L1239" s="1" t="s">
        <v>436</v>
      </c>
      <c r="M1239" s="20" t="s">
        <v>258</v>
      </c>
      <c r="N1239" s="20" t="s">
        <v>259</v>
      </c>
      <c r="O1239" s="1" t="s">
        <v>544</v>
      </c>
      <c r="P1239" s="22" t="str">
        <f aca="false">_xlfn.CONCAT(B1239,C1239,D1239,E1239,F1239)</f>
        <v>BC Caiaponia1SG50CX(COM1-023)46047.861111111146047.861111111146047.9166666667</v>
      </c>
      <c r="Q1239" s="1" t="str">
        <f aca="false">_xlfn.CONCAT(H1239,I1239,J1239)</f>
        <v>DAURDE</v>
      </c>
    </row>
    <row r="1240" customFormat="false" ht="15" hidden="false" customHeight="false" outlineLevel="0" collapsed="false">
      <c r="B1240" s="1" t="s">
        <v>542</v>
      </c>
      <c r="C1240" s="1" t="s">
        <v>571</v>
      </c>
      <c r="D1240" s="14" t="n">
        <v>46047.8611111111</v>
      </c>
      <c r="E1240" s="14" t="n">
        <v>46047.8611111111</v>
      </c>
      <c r="F1240" s="14" t="n">
        <v>46047.9166666667</v>
      </c>
      <c r="G1240" s="15" t="n">
        <f aca="false">F1240-E1240</f>
        <v>0.0555555555555556</v>
      </c>
      <c r="H1240" s="20" t="s">
        <v>248</v>
      </c>
      <c r="J1240" s="20" t="s">
        <v>256</v>
      </c>
      <c r="K1240" s="1" t="s">
        <v>430</v>
      </c>
      <c r="L1240" s="1" t="s">
        <v>436</v>
      </c>
      <c r="M1240" s="20" t="s">
        <v>258</v>
      </c>
      <c r="N1240" s="20" t="s">
        <v>259</v>
      </c>
      <c r="O1240" s="1" t="s">
        <v>544</v>
      </c>
      <c r="P1240" s="22" t="str">
        <f aca="false">_xlfn.CONCAT(B1240,C1240,D1240,E1240,F1240)</f>
        <v>BC Caiaponia1SG50CX(COM1-024)46047.861111111146047.861111111146047.9166666667</v>
      </c>
      <c r="Q1240" s="1" t="str">
        <f aca="false">_xlfn.CONCAT(H1240,I1240,J1240)</f>
        <v>DAURDE</v>
      </c>
    </row>
    <row r="1241" customFormat="false" ht="15" hidden="false" customHeight="false" outlineLevel="0" collapsed="false">
      <c r="B1241" s="1" t="s">
        <v>542</v>
      </c>
      <c r="C1241" s="1" t="s">
        <v>572</v>
      </c>
      <c r="D1241" s="14" t="n">
        <v>46047.8611111111</v>
      </c>
      <c r="E1241" s="14" t="n">
        <v>46047.8611111111</v>
      </c>
      <c r="F1241" s="14" t="n">
        <v>46047.9166666667</v>
      </c>
      <c r="G1241" s="15" t="n">
        <f aca="false">F1241-E1241</f>
        <v>0.0555555555555556</v>
      </c>
      <c r="H1241" s="20" t="s">
        <v>248</v>
      </c>
      <c r="J1241" s="20" t="s">
        <v>256</v>
      </c>
      <c r="K1241" s="1" t="s">
        <v>430</v>
      </c>
      <c r="L1241" s="1" t="s">
        <v>436</v>
      </c>
      <c r="M1241" s="20" t="s">
        <v>258</v>
      </c>
      <c r="N1241" s="20" t="s">
        <v>259</v>
      </c>
      <c r="O1241" s="1" t="s">
        <v>544</v>
      </c>
      <c r="P1241" s="22" t="str">
        <f aca="false">_xlfn.CONCAT(B1241,C1241,D1241,E1241,F1241)</f>
        <v>BC Caiaponia1SG50CX(COM1-025)46047.861111111146047.861111111146047.9166666667</v>
      </c>
      <c r="Q1241" s="1" t="str">
        <f aca="false">_xlfn.CONCAT(H1241,I1241,J1241)</f>
        <v>DAURDE</v>
      </c>
    </row>
    <row r="1242" customFormat="false" ht="15" hidden="false" customHeight="false" outlineLevel="0" collapsed="false">
      <c r="B1242" s="1" t="s">
        <v>578</v>
      </c>
      <c r="C1242" s="1" t="s">
        <v>396</v>
      </c>
      <c r="D1242" s="14" t="n">
        <v>46047.8611111111</v>
      </c>
      <c r="E1242" s="14" t="n">
        <v>46047.8611111111</v>
      </c>
      <c r="F1242" s="14" t="n">
        <v>46047.9166666667</v>
      </c>
      <c r="G1242" s="15" t="n">
        <f aca="false">F1242-E1242</f>
        <v>0.0555555555555556</v>
      </c>
      <c r="H1242" s="20" t="s">
        <v>248</v>
      </c>
      <c r="J1242" s="20" t="s">
        <v>256</v>
      </c>
      <c r="K1242" s="1" t="s">
        <v>430</v>
      </c>
      <c r="L1242" s="1" t="s">
        <v>436</v>
      </c>
      <c r="M1242" s="20" t="s">
        <v>258</v>
      </c>
      <c r="N1242" s="20" t="s">
        <v>259</v>
      </c>
      <c r="O1242" s="1" t="s">
        <v>544</v>
      </c>
      <c r="P1242" s="22" t="str">
        <f aca="false">_xlfn.CONCAT(B1242,C1242,D1242,E1242,F1242)</f>
        <v>BC Caiaponia2.1215KTL-H3(MBUS-12)46047.861111111146047.861111111146047.9166666667</v>
      </c>
      <c r="Q1242" s="1" t="str">
        <f aca="false">_xlfn.CONCAT(H1242,I1242,J1242)</f>
        <v>DAURDE</v>
      </c>
    </row>
    <row r="1243" customFormat="false" ht="15" hidden="false" customHeight="false" outlineLevel="0" collapsed="false">
      <c r="B1243" s="1" t="s">
        <v>578</v>
      </c>
      <c r="C1243" s="1" t="s">
        <v>397</v>
      </c>
      <c r="D1243" s="14" t="n">
        <v>46047.8611111111</v>
      </c>
      <c r="E1243" s="14" t="n">
        <v>46047.8611111111</v>
      </c>
      <c r="F1243" s="14" t="n">
        <v>46047.9166666667</v>
      </c>
      <c r="G1243" s="15" t="n">
        <f aca="false">F1243-E1243</f>
        <v>0.0555555555555556</v>
      </c>
      <c r="H1243" s="20" t="s">
        <v>248</v>
      </c>
      <c r="J1243" s="20" t="s">
        <v>256</v>
      </c>
      <c r="K1243" s="1" t="s">
        <v>430</v>
      </c>
      <c r="L1243" s="1" t="s">
        <v>436</v>
      </c>
      <c r="M1243" s="20" t="s">
        <v>258</v>
      </c>
      <c r="N1243" s="20" t="s">
        <v>259</v>
      </c>
      <c r="O1243" s="1" t="s">
        <v>544</v>
      </c>
      <c r="P1243" s="22" t="str">
        <f aca="false">_xlfn.CONCAT(B1243,C1243,D1243,E1243,F1243)</f>
        <v>BC Caiaponia2.1215KTL-H3(MBUS-13)46047.861111111146047.861111111146047.9166666667</v>
      </c>
      <c r="Q1243" s="1" t="str">
        <f aca="false">_xlfn.CONCAT(H1243,I1243,J1243)</f>
        <v>DAURDE</v>
      </c>
    </row>
    <row r="1244" customFormat="false" ht="15" hidden="false" customHeight="false" outlineLevel="0" collapsed="false">
      <c r="B1244" s="1" t="s">
        <v>578</v>
      </c>
      <c r="C1244" s="1" t="s">
        <v>394</v>
      </c>
      <c r="D1244" s="14" t="n">
        <v>46047.8611111111</v>
      </c>
      <c r="E1244" s="14" t="n">
        <v>46047.8611111111</v>
      </c>
      <c r="F1244" s="14" t="n">
        <v>46047.9166666667</v>
      </c>
      <c r="G1244" s="15" t="n">
        <f aca="false">F1244-E1244</f>
        <v>0.0555555555555556</v>
      </c>
      <c r="H1244" s="20" t="s">
        <v>248</v>
      </c>
      <c r="J1244" s="20" t="s">
        <v>256</v>
      </c>
      <c r="K1244" s="1" t="s">
        <v>430</v>
      </c>
      <c r="L1244" s="1" t="s">
        <v>436</v>
      </c>
      <c r="M1244" s="20" t="s">
        <v>258</v>
      </c>
      <c r="N1244" s="20" t="s">
        <v>259</v>
      </c>
      <c r="O1244" s="1" t="s">
        <v>544</v>
      </c>
      <c r="P1244" s="22" t="str">
        <f aca="false">_xlfn.CONCAT(B1244,C1244,D1244,E1244,F1244)</f>
        <v>BC Caiaponia2.1215KTL-H3(MBUS-14)46047.861111111146047.861111111146047.9166666667</v>
      </c>
      <c r="Q1244" s="1" t="str">
        <f aca="false">_xlfn.CONCAT(H1244,I1244,J1244)</f>
        <v>DAURDE</v>
      </c>
    </row>
    <row r="1245" customFormat="false" ht="15" hidden="false" customHeight="false" outlineLevel="0" collapsed="false">
      <c r="B1245" s="1" t="s">
        <v>578</v>
      </c>
      <c r="C1245" s="1" t="s">
        <v>395</v>
      </c>
      <c r="D1245" s="14" t="n">
        <v>46047.8611111111</v>
      </c>
      <c r="E1245" s="14" t="n">
        <v>46047.8611111111</v>
      </c>
      <c r="F1245" s="14" t="n">
        <v>46047.9166666667</v>
      </c>
      <c r="G1245" s="15" t="n">
        <f aca="false">F1245-E1245</f>
        <v>0.0555555555555556</v>
      </c>
      <c r="H1245" s="20" t="s">
        <v>248</v>
      </c>
      <c r="J1245" s="20" t="s">
        <v>256</v>
      </c>
      <c r="K1245" s="1" t="s">
        <v>430</v>
      </c>
      <c r="L1245" s="1" t="s">
        <v>436</v>
      </c>
      <c r="M1245" s="20" t="s">
        <v>258</v>
      </c>
      <c r="N1245" s="20" t="s">
        <v>259</v>
      </c>
      <c r="O1245" s="1" t="s">
        <v>544</v>
      </c>
      <c r="P1245" s="22" t="str">
        <f aca="false">_xlfn.CONCAT(B1245,C1245,D1245,E1245,F1245)</f>
        <v>BC Caiaponia2.1215KTL-H3(MBUS-15)46047.861111111146047.861111111146047.9166666667</v>
      </c>
      <c r="Q1245" s="1" t="str">
        <f aca="false">_xlfn.CONCAT(H1245,I1245,J1245)</f>
        <v>DAURDE</v>
      </c>
    </row>
    <row r="1246" customFormat="false" ht="15" hidden="false" customHeight="false" outlineLevel="0" collapsed="false">
      <c r="B1246" s="1" t="s">
        <v>578</v>
      </c>
      <c r="C1246" s="1" t="s">
        <v>391</v>
      </c>
      <c r="D1246" s="14" t="n">
        <v>46047.8611111111</v>
      </c>
      <c r="E1246" s="14" t="n">
        <v>46047.8611111111</v>
      </c>
      <c r="F1246" s="14" t="n">
        <v>46047.9166666667</v>
      </c>
      <c r="G1246" s="15" t="n">
        <f aca="false">F1246-E1246</f>
        <v>0.0555555555555556</v>
      </c>
      <c r="H1246" s="20" t="s">
        <v>248</v>
      </c>
      <c r="J1246" s="20" t="s">
        <v>256</v>
      </c>
      <c r="K1246" s="1" t="s">
        <v>430</v>
      </c>
      <c r="L1246" s="1" t="s">
        <v>436</v>
      </c>
      <c r="M1246" s="20" t="s">
        <v>258</v>
      </c>
      <c r="N1246" s="20" t="s">
        <v>259</v>
      </c>
      <c r="O1246" s="1" t="s">
        <v>544</v>
      </c>
      <c r="P1246" s="22" t="str">
        <f aca="false">_xlfn.CONCAT(B1246,C1246,D1246,E1246,F1246)</f>
        <v>BC Caiaponia2.1215KTL-H3(MBUS-16)46047.861111111146047.861111111146047.9166666667</v>
      </c>
      <c r="Q1246" s="1" t="str">
        <f aca="false">_xlfn.CONCAT(H1246,I1246,J1246)</f>
        <v>DAURDE</v>
      </c>
    </row>
    <row r="1247" customFormat="false" ht="15" hidden="false" customHeight="false" outlineLevel="0" collapsed="false">
      <c r="B1247" s="1" t="s">
        <v>579</v>
      </c>
      <c r="C1247" s="1" t="s">
        <v>396</v>
      </c>
      <c r="D1247" s="14" t="n">
        <v>46047.8611111111</v>
      </c>
      <c r="E1247" s="14" t="n">
        <v>46047.8611111111</v>
      </c>
      <c r="F1247" s="14" t="n">
        <v>46047.9166666667</v>
      </c>
      <c r="G1247" s="15" t="n">
        <f aca="false">F1247-E1247</f>
        <v>0.0555555555555556</v>
      </c>
      <c r="H1247" s="20" t="s">
        <v>248</v>
      </c>
      <c r="J1247" s="20" t="s">
        <v>256</v>
      </c>
      <c r="K1247" s="1" t="s">
        <v>430</v>
      </c>
      <c r="L1247" s="1" t="s">
        <v>436</v>
      </c>
      <c r="M1247" s="20" t="s">
        <v>258</v>
      </c>
      <c r="N1247" s="20" t="s">
        <v>259</v>
      </c>
      <c r="O1247" s="1" t="s">
        <v>544</v>
      </c>
      <c r="P1247" s="22" t="str">
        <f aca="false">_xlfn.CONCAT(B1247,C1247,D1247,E1247,F1247)</f>
        <v>BC Caiaponia2.2215KTL-H3(MBUS-12)46047.861111111146047.861111111146047.9166666667</v>
      </c>
      <c r="Q1247" s="1" t="str">
        <f aca="false">_xlfn.CONCAT(H1247,I1247,J1247)</f>
        <v>DAURDE</v>
      </c>
    </row>
    <row r="1248" customFormat="false" ht="15" hidden="false" customHeight="false" outlineLevel="0" collapsed="false">
      <c r="B1248" s="1" t="s">
        <v>579</v>
      </c>
      <c r="C1248" s="1" t="s">
        <v>397</v>
      </c>
      <c r="D1248" s="14" t="n">
        <v>46047.8611111111</v>
      </c>
      <c r="E1248" s="14" t="n">
        <v>46047.8611111111</v>
      </c>
      <c r="F1248" s="14" t="n">
        <v>46047.9166666667</v>
      </c>
      <c r="G1248" s="15" t="n">
        <f aca="false">F1248-E1248</f>
        <v>0.0555555555555556</v>
      </c>
      <c r="H1248" s="20" t="s">
        <v>248</v>
      </c>
      <c r="J1248" s="20" t="s">
        <v>256</v>
      </c>
      <c r="K1248" s="1" t="s">
        <v>430</v>
      </c>
      <c r="L1248" s="1" t="s">
        <v>436</v>
      </c>
      <c r="M1248" s="20" t="s">
        <v>258</v>
      </c>
      <c r="N1248" s="20" t="s">
        <v>259</v>
      </c>
      <c r="O1248" s="1" t="s">
        <v>544</v>
      </c>
      <c r="P1248" s="22" t="str">
        <f aca="false">_xlfn.CONCAT(B1248,C1248,D1248,E1248,F1248)</f>
        <v>BC Caiaponia2.2215KTL-H3(MBUS-13)46047.861111111146047.861111111146047.9166666667</v>
      </c>
      <c r="Q1248" s="1" t="str">
        <f aca="false">_xlfn.CONCAT(H1248,I1248,J1248)</f>
        <v>DAURDE</v>
      </c>
    </row>
    <row r="1249" customFormat="false" ht="15" hidden="false" customHeight="false" outlineLevel="0" collapsed="false">
      <c r="B1249" s="1" t="s">
        <v>579</v>
      </c>
      <c r="C1249" s="1" t="s">
        <v>394</v>
      </c>
      <c r="D1249" s="14" t="n">
        <v>46047.8611111111</v>
      </c>
      <c r="E1249" s="14" t="n">
        <v>46047.8611111111</v>
      </c>
      <c r="F1249" s="14" t="n">
        <v>46047.9166666667</v>
      </c>
      <c r="G1249" s="15" t="n">
        <f aca="false">F1249-E1249</f>
        <v>0.0555555555555556</v>
      </c>
      <c r="H1249" s="20" t="s">
        <v>248</v>
      </c>
      <c r="J1249" s="20" t="s">
        <v>256</v>
      </c>
      <c r="K1249" s="1" t="s">
        <v>430</v>
      </c>
      <c r="L1249" s="1" t="s">
        <v>436</v>
      </c>
      <c r="M1249" s="20" t="s">
        <v>258</v>
      </c>
      <c r="N1249" s="20" t="s">
        <v>259</v>
      </c>
      <c r="O1249" s="1" t="s">
        <v>544</v>
      </c>
      <c r="P1249" s="22" t="str">
        <f aca="false">_xlfn.CONCAT(B1249,C1249,D1249,E1249,F1249)</f>
        <v>BC Caiaponia2.2215KTL-H3(MBUS-14)46047.861111111146047.861111111146047.9166666667</v>
      </c>
      <c r="Q1249" s="1" t="str">
        <f aca="false">_xlfn.CONCAT(H1249,I1249,J1249)</f>
        <v>DAURDE</v>
      </c>
    </row>
    <row r="1250" customFormat="false" ht="15" hidden="false" customHeight="false" outlineLevel="0" collapsed="false">
      <c r="B1250" s="1" t="s">
        <v>579</v>
      </c>
      <c r="C1250" s="1" t="s">
        <v>395</v>
      </c>
      <c r="D1250" s="14" t="n">
        <v>46047.8611111111</v>
      </c>
      <c r="E1250" s="14" t="n">
        <v>46047.8611111111</v>
      </c>
      <c r="F1250" s="14" t="n">
        <v>46047.9166666667</v>
      </c>
      <c r="G1250" s="15" t="n">
        <f aca="false">F1250-E1250</f>
        <v>0.0555555555555556</v>
      </c>
      <c r="H1250" s="20" t="s">
        <v>248</v>
      </c>
      <c r="J1250" s="20" t="s">
        <v>256</v>
      </c>
      <c r="K1250" s="1" t="s">
        <v>430</v>
      </c>
      <c r="L1250" s="1" t="s">
        <v>436</v>
      </c>
      <c r="M1250" s="20" t="s">
        <v>258</v>
      </c>
      <c r="N1250" s="20" t="s">
        <v>259</v>
      </c>
      <c r="O1250" s="1" t="s">
        <v>544</v>
      </c>
      <c r="P1250" s="22" t="str">
        <f aca="false">_xlfn.CONCAT(B1250,C1250,D1250,E1250,F1250)</f>
        <v>BC Caiaponia2.2215KTL-H3(MBUS-15)46047.861111111146047.861111111146047.9166666667</v>
      </c>
      <c r="Q1250" s="1" t="str">
        <f aca="false">_xlfn.CONCAT(H1250,I1250,J1250)</f>
        <v>DAURDE</v>
      </c>
    </row>
    <row r="1251" customFormat="false" ht="15" hidden="false" customHeight="false" outlineLevel="0" collapsed="false">
      <c r="B1251" s="1" t="s">
        <v>579</v>
      </c>
      <c r="C1251" s="1" t="s">
        <v>391</v>
      </c>
      <c r="D1251" s="14" t="n">
        <v>46047.8611111111</v>
      </c>
      <c r="E1251" s="14" t="n">
        <v>46047.8611111111</v>
      </c>
      <c r="F1251" s="14" t="n">
        <v>46047.9166666667</v>
      </c>
      <c r="G1251" s="15" t="n">
        <f aca="false">F1251-E1251</f>
        <v>0.0555555555555556</v>
      </c>
      <c r="H1251" s="20" t="s">
        <v>248</v>
      </c>
      <c r="J1251" s="20" t="s">
        <v>256</v>
      </c>
      <c r="K1251" s="1" t="s">
        <v>430</v>
      </c>
      <c r="L1251" s="1" t="s">
        <v>436</v>
      </c>
      <c r="M1251" s="20" t="s">
        <v>258</v>
      </c>
      <c r="N1251" s="20" t="s">
        <v>259</v>
      </c>
      <c r="O1251" s="1" t="s">
        <v>544</v>
      </c>
      <c r="P1251" s="22" t="str">
        <f aca="false">_xlfn.CONCAT(B1251,C1251,D1251,E1251,F1251)</f>
        <v>BC Caiaponia2.2215KTL-H3(MBUS-16)46047.861111111146047.861111111146047.9166666667</v>
      </c>
      <c r="Q1251" s="1" t="str">
        <f aca="false">_xlfn.CONCAT(H1251,I1251,J1251)</f>
        <v>DAURDE</v>
      </c>
    </row>
    <row r="1252" customFormat="false" ht="15" hidden="false" customHeight="false" outlineLevel="0" collapsed="false">
      <c r="B1252" s="1" t="s">
        <v>580</v>
      </c>
      <c r="C1252" s="1" t="s">
        <v>396</v>
      </c>
      <c r="D1252" s="14" t="n">
        <v>46047.8611111111</v>
      </c>
      <c r="E1252" s="14" t="n">
        <v>46047.8611111111</v>
      </c>
      <c r="F1252" s="14" t="n">
        <v>46047.9166666667</v>
      </c>
      <c r="G1252" s="15" t="n">
        <f aca="false">F1252-E1252</f>
        <v>0.0555555555555556</v>
      </c>
      <c r="H1252" s="20" t="s">
        <v>248</v>
      </c>
      <c r="J1252" s="20" t="s">
        <v>256</v>
      </c>
      <c r="K1252" s="1" t="s">
        <v>430</v>
      </c>
      <c r="L1252" s="1" t="s">
        <v>436</v>
      </c>
      <c r="M1252" s="20" t="s">
        <v>258</v>
      </c>
      <c r="N1252" s="20" t="s">
        <v>259</v>
      </c>
      <c r="O1252" s="1" t="s">
        <v>544</v>
      </c>
      <c r="P1252" s="22" t="str">
        <f aca="false">_xlfn.CONCAT(B1252,C1252,D1252,E1252,F1252)</f>
        <v>BC Caiaponia2.3215KTL-H3(MBUS-12)46047.861111111146047.861111111146047.9166666667</v>
      </c>
      <c r="Q1252" s="1" t="str">
        <f aca="false">_xlfn.CONCAT(H1252,I1252,J1252)</f>
        <v>DAURDE</v>
      </c>
    </row>
    <row r="1253" customFormat="false" ht="15" hidden="false" customHeight="false" outlineLevel="0" collapsed="false">
      <c r="B1253" s="1" t="s">
        <v>580</v>
      </c>
      <c r="C1253" s="1" t="s">
        <v>397</v>
      </c>
      <c r="D1253" s="14" t="n">
        <v>46047.8611111111</v>
      </c>
      <c r="E1253" s="14" t="n">
        <v>46047.8611111111</v>
      </c>
      <c r="F1253" s="14" t="n">
        <v>46047.9166666667</v>
      </c>
      <c r="G1253" s="15" t="n">
        <f aca="false">F1253-E1253</f>
        <v>0.0555555555555556</v>
      </c>
      <c r="H1253" s="20" t="s">
        <v>248</v>
      </c>
      <c r="J1253" s="20" t="s">
        <v>256</v>
      </c>
      <c r="K1253" s="1" t="s">
        <v>430</v>
      </c>
      <c r="L1253" s="1" t="s">
        <v>436</v>
      </c>
      <c r="M1253" s="20" t="s">
        <v>258</v>
      </c>
      <c r="N1253" s="20" t="s">
        <v>259</v>
      </c>
      <c r="O1253" s="1" t="s">
        <v>544</v>
      </c>
      <c r="P1253" s="22" t="str">
        <f aca="false">_xlfn.CONCAT(B1253,C1253,D1253,E1253,F1253)</f>
        <v>BC Caiaponia2.3215KTL-H3(MBUS-13)46047.861111111146047.861111111146047.9166666667</v>
      </c>
      <c r="Q1253" s="1" t="str">
        <f aca="false">_xlfn.CONCAT(H1253,I1253,J1253)</f>
        <v>DAURDE</v>
      </c>
    </row>
    <row r="1254" customFormat="false" ht="15" hidden="false" customHeight="false" outlineLevel="0" collapsed="false">
      <c r="B1254" s="1" t="s">
        <v>580</v>
      </c>
      <c r="C1254" s="1" t="s">
        <v>394</v>
      </c>
      <c r="D1254" s="14" t="n">
        <v>46047.8611111111</v>
      </c>
      <c r="E1254" s="14" t="n">
        <v>46047.8611111111</v>
      </c>
      <c r="F1254" s="14" t="n">
        <v>46047.9166666667</v>
      </c>
      <c r="G1254" s="15" t="n">
        <f aca="false">F1254-E1254</f>
        <v>0.0555555555555556</v>
      </c>
      <c r="H1254" s="20" t="s">
        <v>248</v>
      </c>
      <c r="J1254" s="20" t="s">
        <v>256</v>
      </c>
      <c r="K1254" s="1" t="s">
        <v>430</v>
      </c>
      <c r="L1254" s="1" t="s">
        <v>436</v>
      </c>
      <c r="M1254" s="20" t="s">
        <v>258</v>
      </c>
      <c r="N1254" s="20" t="s">
        <v>259</v>
      </c>
      <c r="O1254" s="1" t="s">
        <v>544</v>
      </c>
      <c r="P1254" s="22" t="str">
        <f aca="false">_xlfn.CONCAT(B1254,C1254,D1254,E1254,F1254)</f>
        <v>BC Caiaponia2.3215KTL-H3(MBUS-14)46047.861111111146047.861111111146047.9166666667</v>
      </c>
      <c r="Q1254" s="1" t="str">
        <f aca="false">_xlfn.CONCAT(H1254,I1254,J1254)</f>
        <v>DAURDE</v>
      </c>
    </row>
    <row r="1255" customFormat="false" ht="15" hidden="false" customHeight="false" outlineLevel="0" collapsed="false">
      <c r="B1255" s="1" t="s">
        <v>580</v>
      </c>
      <c r="C1255" s="1" t="s">
        <v>395</v>
      </c>
      <c r="D1255" s="14" t="n">
        <v>46047.8611111111</v>
      </c>
      <c r="E1255" s="14" t="n">
        <v>46047.8611111111</v>
      </c>
      <c r="F1255" s="14" t="n">
        <v>46047.9166666667</v>
      </c>
      <c r="G1255" s="15" t="n">
        <f aca="false">F1255-E1255</f>
        <v>0.0555555555555556</v>
      </c>
      <c r="H1255" s="20" t="s">
        <v>248</v>
      </c>
      <c r="J1255" s="20" t="s">
        <v>256</v>
      </c>
      <c r="K1255" s="1" t="s">
        <v>430</v>
      </c>
      <c r="L1255" s="1" t="s">
        <v>436</v>
      </c>
      <c r="M1255" s="20" t="s">
        <v>258</v>
      </c>
      <c r="N1255" s="20" t="s">
        <v>259</v>
      </c>
      <c r="O1255" s="1" t="s">
        <v>544</v>
      </c>
      <c r="P1255" s="22" t="str">
        <f aca="false">_xlfn.CONCAT(B1255,C1255,D1255,E1255,F1255)</f>
        <v>BC Caiaponia2.3215KTL-H3(MBUS-15)46047.861111111146047.861111111146047.9166666667</v>
      </c>
      <c r="Q1255" s="1" t="str">
        <f aca="false">_xlfn.CONCAT(H1255,I1255,J1255)</f>
        <v>DAURDE</v>
      </c>
    </row>
    <row r="1256" customFormat="false" ht="15" hidden="false" customHeight="false" outlineLevel="0" collapsed="false">
      <c r="B1256" s="1" t="s">
        <v>580</v>
      </c>
      <c r="C1256" s="1" t="s">
        <v>391</v>
      </c>
      <c r="D1256" s="14" t="n">
        <v>46047.8611111111</v>
      </c>
      <c r="E1256" s="14" t="n">
        <v>46047.8611111111</v>
      </c>
      <c r="F1256" s="14" t="n">
        <v>46047.9166666667</v>
      </c>
      <c r="G1256" s="15" t="n">
        <f aca="false">F1256-E1256</f>
        <v>0.0555555555555556</v>
      </c>
      <c r="H1256" s="20" t="s">
        <v>248</v>
      </c>
      <c r="J1256" s="20" t="s">
        <v>256</v>
      </c>
      <c r="K1256" s="1" t="s">
        <v>430</v>
      </c>
      <c r="L1256" s="1" t="s">
        <v>436</v>
      </c>
      <c r="M1256" s="20" t="s">
        <v>258</v>
      </c>
      <c r="N1256" s="20" t="s">
        <v>259</v>
      </c>
      <c r="O1256" s="1" t="s">
        <v>544</v>
      </c>
      <c r="P1256" s="22" t="str">
        <f aca="false">_xlfn.CONCAT(B1256,C1256,D1256,E1256,F1256)</f>
        <v>BC Caiaponia2.3215KTL-H3(MBUS-16)46047.861111111146047.861111111146047.9166666667</v>
      </c>
      <c r="Q1256" s="1" t="str">
        <f aca="false">_xlfn.CONCAT(H1256,I1256,J1256)</f>
        <v>DAURDE</v>
      </c>
    </row>
    <row r="1257" customFormat="false" ht="15" hidden="false" customHeight="false" outlineLevel="0" collapsed="false">
      <c r="B1257" s="1" t="s">
        <v>581</v>
      </c>
      <c r="C1257" s="1" t="s">
        <v>582</v>
      </c>
      <c r="D1257" s="14" t="n">
        <v>46048.2673611111</v>
      </c>
      <c r="E1257" s="14" t="n">
        <v>46048.2673611111</v>
      </c>
      <c r="F1257" s="14" t="n">
        <v>46048.2986111111</v>
      </c>
      <c r="G1257" s="15" t="n">
        <f aca="false">F1257-E1257</f>
        <v>0.03125</v>
      </c>
      <c r="H1257" s="20" t="s">
        <v>248</v>
      </c>
      <c r="J1257" s="20" t="s">
        <v>256</v>
      </c>
      <c r="K1257" s="1" t="s">
        <v>430</v>
      </c>
      <c r="L1257" s="1" t="s">
        <v>436</v>
      </c>
      <c r="M1257" s="20" t="s">
        <v>258</v>
      </c>
      <c r="N1257" s="20" t="s">
        <v>259</v>
      </c>
      <c r="O1257" s="1" t="s">
        <v>583</v>
      </c>
      <c r="P1257" s="22" t="str">
        <f aca="false">_xlfn.CONCAT(B1257,C1257,D1257,E1257,F1257)</f>
        <v>BC Rio Monte1Inverter3546048.267361111146048.267361111146048.2986111111</v>
      </c>
      <c r="Q1257" s="1" t="str">
        <f aca="false">_xlfn.CONCAT(H1257,I1257,J1257)</f>
        <v>DAURDE</v>
      </c>
    </row>
    <row r="1258" customFormat="false" ht="15" hidden="false" customHeight="false" outlineLevel="0" collapsed="false">
      <c r="B1258" s="1" t="s">
        <v>581</v>
      </c>
      <c r="C1258" s="1" t="s">
        <v>584</v>
      </c>
      <c r="D1258" s="14" t="n">
        <v>46048.2673611111</v>
      </c>
      <c r="E1258" s="14" t="n">
        <v>46048.2673611111</v>
      </c>
      <c r="F1258" s="14" t="n">
        <v>46048.2986111111</v>
      </c>
      <c r="G1258" s="15" t="n">
        <f aca="false">F1258-E1258</f>
        <v>0.03125</v>
      </c>
      <c r="H1258" s="20" t="s">
        <v>248</v>
      </c>
      <c r="J1258" s="20" t="s">
        <v>256</v>
      </c>
      <c r="K1258" s="1" t="s">
        <v>430</v>
      </c>
      <c r="L1258" s="1" t="s">
        <v>436</v>
      </c>
      <c r="M1258" s="20" t="s">
        <v>258</v>
      </c>
      <c r="N1258" s="20" t="s">
        <v>259</v>
      </c>
      <c r="O1258" s="1" t="s">
        <v>583</v>
      </c>
      <c r="P1258" s="22" t="str">
        <f aca="false">_xlfn.CONCAT(B1258,C1258,D1258,E1258,F1258)</f>
        <v>BC Rio Monte1Inverter4046048.267361111146048.267361111146048.2986111111</v>
      </c>
      <c r="Q1258" s="1" t="str">
        <f aca="false">_xlfn.CONCAT(H1258,I1258,J1258)</f>
        <v>DAURDE</v>
      </c>
    </row>
    <row r="1259" customFormat="false" ht="15" hidden="false" customHeight="false" outlineLevel="0" collapsed="false">
      <c r="B1259" s="1" t="s">
        <v>581</v>
      </c>
      <c r="C1259" s="1" t="s">
        <v>585</v>
      </c>
      <c r="D1259" s="14" t="n">
        <v>46048.2673611111</v>
      </c>
      <c r="E1259" s="14" t="n">
        <v>46048.2673611111</v>
      </c>
      <c r="F1259" s="14" t="n">
        <v>46048.2986111111</v>
      </c>
      <c r="G1259" s="15" t="n">
        <f aca="false">F1259-E1259</f>
        <v>0.03125</v>
      </c>
      <c r="H1259" s="20" t="s">
        <v>248</v>
      </c>
      <c r="J1259" s="20" t="s">
        <v>256</v>
      </c>
      <c r="K1259" s="1" t="s">
        <v>430</v>
      </c>
      <c r="L1259" s="1" t="s">
        <v>436</v>
      </c>
      <c r="M1259" s="20" t="s">
        <v>258</v>
      </c>
      <c r="N1259" s="20" t="s">
        <v>259</v>
      </c>
      <c r="O1259" s="1" t="s">
        <v>583</v>
      </c>
      <c r="P1259" s="22" t="str">
        <f aca="false">_xlfn.CONCAT(B1259,C1259,D1259,E1259,F1259)</f>
        <v>BC Rio Monte1Inverter4246048.267361111146048.267361111146048.2986111111</v>
      </c>
      <c r="Q1259" s="1" t="str">
        <f aca="false">_xlfn.CONCAT(H1259,I1259,J1259)</f>
        <v>DAURDE</v>
      </c>
    </row>
    <row r="1260" customFormat="false" ht="15" hidden="false" customHeight="false" outlineLevel="0" collapsed="false">
      <c r="B1260" s="1" t="s">
        <v>581</v>
      </c>
      <c r="C1260" s="1" t="s">
        <v>586</v>
      </c>
      <c r="D1260" s="14" t="n">
        <v>46048.2673611111</v>
      </c>
      <c r="E1260" s="14" t="n">
        <v>46048.2673611111</v>
      </c>
      <c r="F1260" s="14" t="n">
        <v>46048.2986111111</v>
      </c>
      <c r="G1260" s="15" t="n">
        <f aca="false">F1260-E1260</f>
        <v>0.03125</v>
      </c>
      <c r="H1260" s="20" t="s">
        <v>248</v>
      </c>
      <c r="J1260" s="20" t="s">
        <v>256</v>
      </c>
      <c r="K1260" s="1" t="s">
        <v>430</v>
      </c>
      <c r="L1260" s="1" t="s">
        <v>436</v>
      </c>
      <c r="M1260" s="20" t="s">
        <v>258</v>
      </c>
      <c r="N1260" s="20" t="s">
        <v>259</v>
      </c>
      <c r="O1260" s="1" t="s">
        <v>583</v>
      </c>
      <c r="P1260" s="22" t="str">
        <f aca="false">_xlfn.CONCAT(B1260,C1260,D1260,E1260,F1260)</f>
        <v>BC Rio Monte1Inverter4146048.267361111146048.267361111146048.2986111111</v>
      </c>
      <c r="Q1260" s="1" t="str">
        <f aca="false">_xlfn.CONCAT(H1260,I1260,J1260)</f>
        <v>DAURDE</v>
      </c>
    </row>
    <row r="1261" customFormat="false" ht="15" hidden="false" customHeight="false" outlineLevel="0" collapsed="false">
      <c r="B1261" s="1" t="s">
        <v>581</v>
      </c>
      <c r="C1261" s="1" t="s">
        <v>587</v>
      </c>
      <c r="D1261" s="14" t="n">
        <v>46048.2673611111</v>
      </c>
      <c r="E1261" s="14" t="n">
        <v>46048.2673611111</v>
      </c>
      <c r="F1261" s="14" t="n">
        <v>46048.2986111111</v>
      </c>
      <c r="G1261" s="15" t="n">
        <f aca="false">F1261-E1261</f>
        <v>0.03125</v>
      </c>
      <c r="H1261" s="20" t="s">
        <v>248</v>
      </c>
      <c r="J1261" s="20" t="s">
        <v>256</v>
      </c>
      <c r="K1261" s="1" t="s">
        <v>430</v>
      </c>
      <c r="L1261" s="1" t="s">
        <v>436</v>
      </c>
      <c r="M1261" s="20" t="s">
        <v>258</v>
      </c>
      <c r="N1261" s="20" t="s">
        <v>259</v>
      </c>
      <c r="O1261" s="1" t="s">
        <v>583</v>
      </c>
      <c r="P1261" s="22" t="str">
        <f aca="false">_xlfn.CONCAT(B1261,C1261,D1261,E1261,F1261)</f>
        <v>BC Rio Monte1Inverter4446048.267361111146048.267361111146048.2986111111</v>
      </c>
      <c r="Q1261" s="1" t="str">
        <f aca="false">_xlfn.CONCAT(H1261,I1261,J1261)</f>
        <v>DAURDE</v>
      </c>
    </row>
    <row r="1262" customFormat="false" ht="15" hidden="false" customHeight="false" outlineLevel="0" collapsed="false">
      <c r="B1262" s="1" t="s">
        <v>581</v>
      </c>
      <c r="C1262" s="1" t="s">
        <v>588</v>
      </c>
      <c r="D1262" s="14" t="n">
        <v>46048.2673611111</v>
      </c>
      <c r="E1262" s="14" t="n">
        <v>46048.2673611111</v>
      </c>
      <c r="F1262" s="14" t="n">
        <v>46048.2986111111</v>
      </c>
      <c r="G1262" s="15" t="n">
        <f aca="false">F1262-E1262</f>
        <v>0.03125</v>
      </c>
      <c r="H1262" s="20" t="s">
        <v>248</v>
      </c>
      <c r="J1262" s="20" t="s">
        <v>256</v>
      </c>
      <c r="K1262" s="1" t="s">
        <v>430</v>
      </c>
      <c r="L1262" s="1" t="s">
        <v>436</v>
      </c>
      <c r="M1262" s="20" t="s">
        <v>258</v>
      </c>
      <c r="N1262" s="20" t="s">
        <v>259</v>
      </c>
      <c r="O1262" s="1" t="s">
        <v>583</v>
      </c>
      <c r="P1262" s="22" t="str">
        <f aca="false">_xlfn.CONCAT(B1262,C1262,D1262,E1262,F1262)</f>
        <v>BC Rio Monte1Inverter4346048.267361111146048.267361111146048.2986111111</v>
      </c>
      <c r="Q1262" s="1" t="str">
        <f aca="false">_xlfn.CONCAT(H1262,I1262,J1262)</f>
        <v>DAURDE</v>
      </c>
    </row>
    <row r="1263" customFormat="false" ht="15" hidden="false" customHeight="false" outlineLevel="0" collapsed="false">
      <c r="B1263" s="1" t="s">
        <v>581</v>
      </c>
      <c r="C1263" s="1" t="s">
        <v>589</v>
      </c>
      <c r="D1263" s="14" t="n">
        <v>46048.2673611111</v>
      </c>
      <c r="E1263" s="14" t="n">
        <v>46048.2673611111</v>
      </c>
      <c r="F1263" s="14" t="n">
        <v>46048.2986111111</v>
      </c>
      <c r="G1263" s="15" t="n">
        <f aca="false">F1263-E1263</f>
        <v>0.03125</v>
      </c>
      <c r="H1263" s="20" t="s">
        <v>248</v>
      </c>
      <c r="J1263" s="20" t="s">
        <v>256</v>
      </c>
      <c r="K1263" s="1" t="s">
        <v>430</v>
      </c>
      <c r="L1263" s="1" t="s">
        <v>436</v>
      </c>
      <c r="M1263" s="20" t="s">
        <v>258</v>
      </c>
      <c r="N1263" s="20" t="s">
        <v>259</v>
      </c>
      <c r="O1263" s="1" t="s">
        <v>583</v>
      </c>
      <c r="P1263" s="22" t="str">
        <f aca="false">_xlfn.CONCAT(B1263,C1263,D1263,E1263,F1263)</f>
        <v>BC Rio Monte1Inverter4546048.267361111146048.267361111146048.2986111111</v>
      </c>
      <c r="Q1263" s="1" t="str">
        <f aca="false">_xlfn.CONCAT(H1263,I1263,J1263)</f>
        <v>DAURDE</v>
      </c>
    </row>
    <row r="1264" customFormat="false" ht="15" hidden="false" customHeight="false" outlineLevel="0" collapsed="false">
      <c r="B1264" s="1" t="s">
        <v>581</v>
      </c>
      <c r="C1264" s="1" t="s">
        <v>590</v>
      </c>
      <c r="D1264" s="14" t="n">
        <v>46048.2673611111</v>
      </c>
      <c r="E1264" s="14" t="n">
        <v>46048.2673611111</v>
      </c>
      <c r="F1264" s="14" t="n">
        <v>46048.2986111111</v>
      </c>
      <c r="G1264" s="15" t="n">
        <f aca="false">F1264-E1264</f>
        <v>0.03125</v>
      </c>
      <c r="H1264" s="20" t="s">
        <v>248</v>
      </c>
      <c r="J1264" s="20" t="s">
        <v>256</v>
      </c>
      <c r="K1264" s="1" t="s">
        <v>430</v>
      </c>
      <c r="L1264" s="1" t="s">
        <v>436</v>
      </c>
      <c r="M1264" s="20" t="s">
        <v>258</v>
      </c>
      <c r="N1264" s="20" t="s">
        <v>259</v>
      </c>
      <c r="O1264" s="1" t="s">
        <v>583</v>
      </c>
      <c r="P1264" s="22" t="str">
        <f aca="false">_xlfn.CONCAT(B1264,C1264,D1264,E1264,F1264)</f>
        <v>BC Rio Monte1Inverter3446048.267361111146048.267361111146048.2986111111</v>
      </c>
      <c r="Q1264" s="1" t="str">
        <f aca="false">_xlfn.CONCAT(H1264,I1264,J1264)</f>
        <v>DAURDE</v>
      </c>
    </row>
    <row r="1265" customFormat="false" ht="15" hidden="false" customHeight="false" outlineLevel="0" collapsed="false">
      <c r="B1265" s="1" t="s">
        <v>581</v>
      </c>
      <c r="C1265" s="1" t="s">
        <v>591</v>
      </c>
      <c r="D1265" s="14" t="n">
        <v>46048.2673611111</v>
      </c>
      <c r="E1265" s="14" t="n">
        <v>46048.2673611111</v>
      </c>
      <c r="F1265" s="14" t="n">
        <v>46048.2986111111</v>
      </c>
      <c r="G1265" s="15" t="n">
        <f aca="false">F1265-E1265</f>
        <v>0.03125</v>
      </c>
      <c r="H1265" s="20" t="s">
        <v>248</v>
      </c>
      <c r="J1265" s="20" t="s">
        <v>256</v>
      </c>
      <c r="K1265" s="1" t="s">
        <v>430</v>
      </c>
      <c r="L1265" s="1" t="s">
        <v>436</v>
      </c>
      <c r="M1265" s="20" t="s">
        <v>258</v>
      </c>
      <c r="N1265" s="20" t="s">
        <v>259</v>
      </c>
      <c r="O1265" s="1" t="s">
        <v>583</v>
      </c>
      <c r="P1265" s="22" t="str">
        <f aca="false">_xlfn.CONCAT(B1265,C1265,D1265,E1265,F1265)</f>
        <v>BC Rio Monte1Inverter3746048.267361111146048.267361111146048.2986111111</v>
      </c>
      <c r="Q1265" s="1" t="str">
        <f aca="false">_xlfn.CONCAT(H1265,I1265,J1265)</f>
        <v>DAURDE</v>
      </c>
    </row>
    <row r="1266" customFormat="false" ht="15" hidden="false" customHeight="false" outlineLevel="0" collapsed="false">
      <c r="B1266" s="1" t="s">
        <v>581</v>
      </c>
      <c r="C1266" s="1" t="s">
        <v>592</v>
      </c>
      <c r="D1266" s="14" t="n">
        <v>46048.2673611111</v>
      </c>
      <c r="E1266" s="14" t="n">
        <v>46048.2673611111</v>
      </c>
      <c r="F1266" s="14" t="n">
        <v>46048.2986111111</v>
      </c>
      <c r="G1266" s="15" t="n">
        <f aca="false">F1266-E1266</f>
        <v>0.03125</v>
      </c>
      <c r="H1266" s="20" t="s">
        <v>248</v>
      </c>
      <c r="J1266" s="20" t="s">
        <v>256</v>
      </c>
      <c r="K1266" s="1" t="s">
        <v>430</v>
      </c>
      <c r="L1266" s="1" t="s">
        <v>436</v>
      </c>
      <c r="M1266" s="20" t="s">
        <v>258</v>
      </c>
      <c r="N1266" s="20" t="s">
        <v>259</v>
      </c>
      <c r="O1266" s="1" t="s">
        <v>583</v>
      </c>
      <c r="P1266" s="22" t="str">
        <f aca="false">_xlfn.CONCAT(B1266,C1266,D1266,E1266,F1266)</f>
        <v>BC Rio Monte1Inverter3346048.267361111146048.267361111146048.2986111111</v>
      </c>
      <c r="Q1266" s="1" t="str">
        <f aca="false">_xlfn.CONCAT(H1266,I1266,J1266)</f>
        <v>DAURDE</v>
      </c>
    </row>
    <row r="1267" customFormat="false" ht="15" hidden="false" customHeight="false" outlineLevel="0" collapsed="false">
      <c r="B1267" s="1" t="s">
        <v>581</v>
      </c>
      <c r="C1267" s="1" t="s">
        <v>593</v>
      </c>
      <c r="D1267" s="14" t="n">
        <v>46048.2673611111</v>
      </c>
      <c r="E1267" s="14" t="n">
        <v>46048.2673611111</v>
      </c>
      <c r="F1267" s="14" t="n">
        <v>46048.2986111111</v>
      </c>
      <c r="G1267" s="15" t="n">
        <f aca="false">F1267-E1267</f>
        <v>0.03125</v>
      </c>
      <c r="H1267" s="20" t="s">
        <v>248</v>
      </c>
      <c r="J1267" s="20" t="s">
        <v>256</v>
      </c>
      <c r="K1267" s="1" t="s">
        <v>430</v>
      </c>
      <c r="L1267" s="1" t="s">
        <v>436</v>
      </c>
      <c r="M1267" s="20" t="s">
        <v>258</v>
      </c>
      <c r="N1267" s="20" t="s">
        <v>259</v>
      </c>
      <c r="O1267" s="1" t="s">
        <v>583</v>
      </c>
      <c r="P1267" s="22" t="str">
        <f aca="false">_xlfn.CONCAT(B1267,C1267,D1267,E1267,F1267)</f>
        <v>BC Rio Monte1Inverter2946048.267361111146048.267361111146048.2986111111</v>
      </c>
      <c r="Q1267" s="1" t="str">
        <f aca="false">_xlfn.CONCAT(H1267,I1267,J1267)</f>
        <v>DAURDE</v>
      </c>
    </row>
    <row r="1268" s="26" customFormat="true" ht="15" hidden="false" customHeight="false" outlineLevel="0" collapsed="false">
      <c r="A1268" s="13"/>
      <c r="B1268" s="1" t="s">
        <v>581</v>
      </c>
      <c r="C1268" s="1" t="s">
        <v>594</v>
      </c>
      <c r="D1268" s="14" t="n">
        <v>46048.2673611111</v>
      </c>
      <c r="E1268" s="14" t="n">
        <v>46048.2673611111</v>
      </c>
      <c r="F1268" s="14" t="n">
        <v>46048.2986111111</v>
      </c>
      <c r="G1268" s="15" t="n">
        <f aca="false">F1268-E1268</f>
        <v>0.03125</v>
      </c>
      <c r="H1268" s="20" t="s">
        <v>248</v>
      </c>
      <c r="I1268" s="1"/>
      <c r="J1268" s="20" t="s">
        <v>256</v>
      </c>
      <c r="K1268" s="1" t="s">
        <v>430</v>
      </c>
      <c r="L1268" s="1" t="s">
        <v>436</v>
      </c>
      <c r="M1268" s="20" t="s">
        <v>258</v>
      </c>
      <c r="N1268" s="20" t="s">
        <v>259</v>
      </c>
      <c r="O1268" s="1" t="s">
        <v>583</v>
      </c>
      <c r="P1268" s="22" t="str">
        <f aca="false">_xlfn.CONCAT(B1268,C1268,D1268,E1268,F1268)</f>
        <v>BC Rio Monte1Inverter3646048.267361111146048.267361111146048.2986111111</v>
      </c>
      <c r="Q1268" s="1" t="str">
        <f aca="false">_xlfn.CONCAT(H1268,I1268,J1268)</f>
        <v>DAURDE</v>
      </c>
    </row>
    <row r="1269" customFormat="false" ht="15" hidden="false" customHeight="false" outlineLevel="0" collapsed="false">
      <c r="B1269" s="1" t="s">
        <v>581</v>
      </c>
      <c r="C1269" s="1" t="s">
        <v>595</v>
      </c>
      <c r="D1269" s="14" t="n">
        <v>46048.2673611111</v>
      </c>
      <c r="E1269" s="14" t="n">
        <v>46048.2673611111</v>
      </c>
      <c r="F1269" s="14" t="n">
        <v>46048.2986111111</v>
      </c>
      <c r="G1269" s="15" t="n">
        <f aca="false">F1269-E1269</f>
        <v>0.03125</v>
      </c>
      <c r="H1269" s="20" t="s">
        <v>248</v>
      </c>
      <c r="J1269" s="20" t="s">
        <v>256</v>
      </c>
      <c r="K1269" s="1" t="s">
        <v>430</v>
      </c>
      <c r="L1269" s="1" t="s">
        <v>436</v>
      </c>
      <c r="M1269" s="20" t="s">
        <v>258</v>
      </c>
      <c r="N1269" s="20" t="s">
        <v>259</v>
      </c>
      <c r="O1269" s="1" t="s">
        <v>583</v>
      </c>
      <c r="P1269" s="22" t="str">
        <f aca="false">_xlfn.CONCAT(B1269,C1269,D1269,E1269,F1269)</f>
        <v>BC Rio Monte1Inverter3946048.267361111146048.267361111146048.2986111111</v>
      </c>
      <c r="Q1269" s="1" t="str">
        <f aca="false">_xlfn.CONCAT(H1269,I1269,J1269)</f>
        <v>DAURDE</v>
      </c>
    </row>
    <row r="1270" customFormat="false" ht="15" hidden="false" customHeight="false" outlineLevel="0" collapsed="false">
      <c r="B1270" s="1" t="s">
        <v>581</v>
      </c>
      <c r="C1270" s="1" t="s">
        <v>596</v>
      </c>
      <c r="D1270" s="14" t="n">
        <v>46048.2673611111</v>
      </c>
      <c r="E1270" s="14" t="n">
        <v>46048.2673611111</v>
      </c>
      <c r="F1270" s="14" t="n">
        <v>46048.2986111111</v>
      </c>
      <c r="G1270" s="15" t="n">
        <f aca="false">F1270-E1270</f>
        <v>0.03125</v>
      </c>
      <c r="H1270" s="20" t="s">
        <v>248</v>
      </c>
      <c r="J1270" s="20" t="s">
        <v>256</v>
      </c>
      <c r="K1270" s="1" t="s">
        <v>430</v>
      </c>
      <c r="L1270" s="1" t="s">
        <v>436</v>
      </c>
      <c r="M1270" s="20" t="s">
        <v>258</v>
      </c>
      <c r="N1270" s="20" t="s">
        <v>259</v>
      </c>
      <c r="O1270" s="1" t="s">
        <v>583</v>
      </c>
      <c r="P1270" s="22" t="str">
        <f aca="false">_xlfn.CONCAT(B1270,C1270,D1270,E1270,F1270)</f>
        <v>BC Rio Monte1Inverter3146048.267361111146048.267361111146048.2986111111</v>
      </c>
      <c r="Q1270" s="1" t="str">
        <f aca="false">_xlfn.CONCAT(H1270,I1270,J1270)</f>
        <v>DAURDE</v>
      </c>
    </row>
    <row r="1271" customFormat="false" ht="15" hidden="false" customHeight="false" outlineLevel="0" collapsed="false">
      <c r="B1271" s="1" t="s">
        <v>581</v>
      </c>
      <c r="C1271" s="1" t="s">
        <v>597</v>
      </c>
      <c r="D1271" s="14" t="n">
        <v>46048.2673611111</v>
      </c>
      <c r="E1271" s="14" t="n">
        <v>46048.2673611111</v>
      </c>
      <c r="F1271" s="14" t="n">
        <v>46048.2986111111</v>
      </c>
      <c r="G1271" s="15" t="n">
        <f aca="false">F1271-E1271</f>
        <v>0.03125</v>
      </c>
      <c r="H1271" s="20" t="s">
        <v>248</v>
      </c>
      <c r="J1271" s="20" t="s">
        <v>256</v>
      </c>
      <c r="K1271" s="1" t="s">
        <v>430</v>
      </c>
      <c r="L1271" s="1" t="s">
        <v>436</v>
      </c>
      <c r="M1271" s="20" t="s">
        <v>258</v>
      </c>
      <c r="N1271" s="20" t="s">
        <v>259</v>
      </c>
      <c r="O1271" s="1" t="s">
        <v>583</v>
      </c>
      <c r="P1271" s="22" t="str">
        <f aca="false">_xlfn.CONCAT(B1271,C1271,D1271,E1271,F1271)</f>
        <v>BC Rio Monte1Inverter3046048.267361111146048.267361111146048.2986111111</v>
      </c>
      <c r="Q1271" s="1" t="str">
        <f aca="false">_xlfn.CONCAT(H1271,I1271,J1271)</f>
        <v>DAURDE</v>
      </c>
    </row>
    <row r="1272" customFormat="false" ht="15" hidden="false" customHeight="false" outlineLevel="0" collapsed="false">
      <c r="B1272" s="1" t="s">
        <v>581</v>
      </c>
      <c r="C1272" s="1" t="s">
        <v>598</v>
      </c>
      <c r="D1272" s="14" t="n">
        <v>46048.2673611111</v>
      </c>
      <c r="E1272" s="14" t="n">
        <v>46048.2673611111</v>
      </c>
      <c r="F1272" s="14" t="n">
        <v>46048.2986111111</v>
      </c>
      <c r="G1272" s="15" t="n">
        <f aca="false">F1272-E1272</f>
        <v>0.03125</v>
      </c>
      <c r="H1272" s="20" t="s">
        <v>248</v>
      </c>
      <c r="J1272" s="20" t="s">
        <v>256</v>
      </c>
      <c r="K1272" s="1" t="s">
        <v>430</v>
      </c>
      <c r="L1272" s="1" t="s">
        <v>436</v>
      </c>
      <c r="M1272" s="20" t="s">
        <v>258</v>
      </c>
      <c r="N1272" s="20" t="s">
        <v>259</v>
      </c>
      <c r="O1272" s="1" t="s">
        <v>583</v>
      </c>
      <c r="P1272" s="22" t="str">
        <f aca="false">_xlfn.CONCAT(B1272,C1272,D1272,E1272,F1272)</f>
        <v>BC Rio Monte1Inverter3846048.267361111146048.267361111146048.2986111111</v>
      </c>
      <c r="Q1272" s="1" t="str">
        <f aca="false">_xlfn.CONCAT(H1272,I1272,J1272)</f>
        <v>DAURDE</v>
      </c>
    </row>
    <row r="1273" customFormat="false" ht="15" hidden="false" customHeight="false" outlineLevel="0" collapsed="false">
      <c r="B1273" s="1" t="s">
        <v>581</v>
      </c>
      <c r="C1273" s="1" t="s">
        <v>599</v>
      </c>
      <c r="D1273" s="14" t="n">
        <v>46048.2673611111</v>
      </c>
      <c r="E1273" s="14" t="n">
        <v>46048.2673611111</v>
      </c>
      <c r="F1273" s="14" t="n">
        <v>46048.2986111111</v>
      </c>
      <c r="G1273" s="15" t="n">
        <f aca="false">F1273-E1273</f>
        <v>0.03125</v>
      </c>
      <c r="H1273" s="20" t="s">
        <v>248</v>
      </c>
      <c r="J1273" s="20" t="s">
        <v>256</v>
      </c>
      <c r="K1273" s="1" t="s">
        <v>430</v>
      </c>
      <c r="L1273" s="1" t="s">
        <v>436</v>
      </c>
      <c r="M1273" s="20" t="s">
        <v>258</v>
      </c>
      <c r="N1273" s="20" t="s">
        <v>259</v>
      </c>
      <c r="O1273" s="1" t="s">
        <v>583</v>
      </c>
      <c r="P1273" s="22" t="str">
        <f aca="false">_xlfn.CONCAT(B1273,C1273,D1273,E1273,F1273)</f>
        <v>BC Rio Monte1Inverter3246048.267361111146048.267361111146048.2986111111</v>
      </c>
      <c r="Q1273" s="1" t="str">
        <f aca="false">_xlfn.CONCAT(H1273,I1273,J1273)</f>
        <v>DAURDE</v>
      </c>
    </row>
    <row r="1274" customFormat="false" ht="15" hidden="false" customHeight="false" outlineLevel="0" collapsed="false">
      <c r="B1274" s="1" t="s">
        <v>261</v>
      </c>
      <c r="C1274" s="1" t="s">
        <v>262</v>
      </c>
      <c r="D1274" s="14" t="n">
        <v>46048.3541666667</v>
      </c>
      <c r="E1274" s="14" t="n">
        <v>46048.3541666667</v>
      </c>
      <c r="F1274" s="14" t="n">
        <v>46048.3548611111</v>
      </c>
      <c r="G1274" s="15" t="n">
        <f aca="false">F1274-E1274</f>
        <v>0.000694444444444445</v>
      </c>
      <c r="H1274" s="20" t="s">
        <v>445</v>
      </c>
      <c r="I1274" s="1" t="s">
        <v>263</v>
      </c>
      <c r="J1274" s="20" t="s">
        <v>264</v>
      </c>
      <c r="K1274" s="1" t="s">
        <v>456</v>
      </c>
      <c r="L1274" s="1" t="s">
        <v>600</v>
      </c>
      <c r="M1274" s="20" t="s">
        <v>266</v>
      </c>
      <c r="N1274" s="20" t="s">
        <v>252</v>
      </c>
      <c r="O1274" s="1" t="s">
        <v>601</v>
      </c>
      <c r="P1274" s="22" t="str">
        <f aca="false">_xlfn.CONCAT(B1274,C1274,D1274,E1274,F1274)</f>
        <v>BC Corumba2.2U02.I0146048.354166666746048.354166666746048.3548611111</v>
      </c>
      <c r="Q1274" s="1" t="str">
        <f aca="false">_xlfn.CONCAT(H1274,I1274,J1274)</f>
        <v>LIGRFOCOM</v>
      </c>
    </row>
    <row r="1275" customFormat="false" ht="15" hidden="false" customHeight="false" outlineLevel="0" collapsed="false">
      <c r="B1275" s="1" t="s">
        <v>261</v>
      </c>
      <c r="C1275" s="1" t="s">
        <v>269</v>
      </c>
      <c r="D1275" s="14" t="n">
        <v>46048.3541666667</v>
      </c>
      <c r="E1275" s="14" t="n">
        <v>46048.3541666667</v>
      </c>
      <c r="F1275" s="14" t="n">
        <v>46048.3548611111</v>
      </c>
      <c r="G1275" s="15" t="n">
        <f aca="false">F1275-E1275</f>
        <v>0.000694444444444445</v>
      </c>
      <c r="H1275" s="20" t="s">
        <v>445</v>
      </c>
      <c r="I1275" s="1" t="s">
        <v>263</v>
      </c>
      <c r="J1275" s="20" t="s">
        <v>264</v>
      </c>
      <c r="K1275" s="1" t="s">
        <v>456</v>
      </c>
      <c r="L1275" s="1" t="s">
        <v>600</v>
      </c>
      <c r="M1275" s="20" t="s">
        <v>266</v>
      </c>
      <c r="N1275" s="20" t="s">
        <v>252</v>
      </c>
      <c r="O1275" s="1" t="s">
        <v>601</v>
      </c>
      <c r="P1275" s="22" t="str">
        <f aca="false">_xlfn.CONCAT(B1275,C1275,D1275,E1275,F1275)</f>
        <v>BC Corumba2.2U02.I0246048.354166666746048.354166666746048.3548611111</v>
      </c>
      <c r="Q1275" s="1" t="str">
        <f aca="false">_xlfn.CONCAT(H1275,I1275,J1275)</f>
        <v>LIGRFOCOM</v>
      </c>
    </row>
    <row r="1276" customFormat="false" ht="15" hidden="false" customHeight="false" outlineLevel="0" collapsed="false">
      <c r="B1276" s="1" t="s">
        <v>261</v>
      </c>
      <c r="C1276" s="1" t="s">
        <v>270</v>
      </c>
      <c r="D1276" s="14" t="n">
        <v>46048.3541666667</v>
      </c>
      <c r="E1276" s="14" t="n">
        <v>46048.3541666667</v>
      </c>
      <c r="F1276" s="14" t="n">
        <v>46048.3548611111</v>
      </c>
      <c r="G1276" s="15" t="n">
        <f aca="false">F1276-E1276</f>
        <v>0.000694444444444445</v>
      </c>
      <c r="H1276" s="20" t="s">
        <v>445</v>
      </c>
      <c r="I1276" s="1" t="s">
        <v>263</v>
      </c>
      <c r="J1276" s="20" t="s">
        <v>264</v>
      </c>
      <c r="K1276" s="1" t="s">
        <v>456</v>
      </c>
      <c r="L1276" s="1" t="s">
        <v>600</v>
      </c>
      <c r="M1276" s="20" t="s">
        <v>266</v>
      </c>
      <c r="N1276" s="20" t="s">
        <v>252</v>
      </c>
      <c r="O1276" s="1" t="s">
        <v>601</v>
      </c>
      <c r="P1276" s="22" t="str">
        <f aca="false">_xlfn.CONCAT(B1276,C1276,D1276,E1276,F1276)</f>
        <v>BC Corumba2.2U02.I0346048.354166666746048.354166666746048.3548611111</v>
      </c>
      <c r="Q1276" s="1" t="str">
        <f aca="false">_xlfn.CONCAT(H1276,I1276,J1276)</f>
        <v>LIGRFOCOM</v>
      </c>
    </row>
    <row r="1277" customFormat="false" ht="15" hidden="false" customHeight="false" outlineLevel="0" collapsed="false">
      <c r="B1277" s="1" t="s">
        <v>261</v>
      </c>
      <c r="C1277" s="1" t="s">
        <v>271</v>
      </c>
      <c r="D1277" s="14" t="n">
        <v>46048.3541666667</v>
      </c>
      <c r="E1277" s="14" t="n">
        <v>46048.3541666667</v>
      </c>
      <c r="F1277" s="14" t="n">
        <v>46048.3548611111</v>
      </c>
      <c r="G1277" s="15" t="n">
        <f aca="false">F1277-E1277</f>
        <v>0.000694444444444445</v>
      </c>
      <c r="H1277" s="20" t="s">
        <v>445</v>
      </c>
      <c r="I1277" s="1" t="s">
        <v>263</v>
      </c>
      <c r="J1277" s="20" t="s">
        <v>264</v>
      </c>
      <c r="K1277" s="1" t="s">
        <v>456</v>
      </c>
      <c r="L1277" s="1" t="s">
        <v>600</v>
      </c>
      <c r="M1277" s="20" t="s">
        <v>266</v>
      </c>
      <c r="N1277" s="20" t="s">
        <v>252</v>
      </c>
      <c r="O1277" s="1" t="s">
        <v>601</v>
      </c>
      <c r="P1277" s="22" t="str">
        <f aca="false">_xlfn.CONCAT(B1277,C1277,D1277,E1277,F1277)</f>
        <v>BC Corumba2.2U02.I0446048.354166666746048.354166666746048.3548611111</v>
      </c>
      <c r="Q1277" s="1" t="str">
        <f aca="false">_xlfn.CONCAT(H1277,I1277,J1277)</f>
        <v>LIGRFOCOM</v>
      </c>
    </row>
    <row r="1278" customFormat="false" ht="15" hidden="false" customHeight="false" outlineLevel="0" collapsed="false">
      <c r="B1278" s="1" t="s">
        <v>261</v>
      </c>
      <c r="C1278" s="1" t="s">
        <v>272</v>
      </c>
      <c r="D1278" s="14" t="n">
        <v>46048.3541666667</v>
      </c>
      <c r="E1278" s="14" t="n">
        <v>46048.3541666667</v>
      </c>
      <c r="F1278" s="14" t="n">
        <v>46048.3548611111</v>
      </c>
      <c r="G1278" s="15" t="n">
        <f aca="false">F1278-E1278</f>
        <v>0.000694444444444445</v>
      </c>
      <c r="H1278" s="20" t="s">
        <v>445</v>
      </c>
      <c r="I1278" s="1" t="s">
        <v>263</v>
      </c>
      <c r="J1278" s="20" t="s">
        <v>264</v>
      </c>
      <c r="K1278" s="1" t="s">
        <v>456</v>
      </c>
      <c r="L1278" s="1" t="s">
        <v>600</v>
      </c>
      <c r="M1278" s="20" t="s">
        <v>266</v>
      </c>
      <c r="N1278" s="20" t="s">
        <v>252</v>
      </c>
      <c r="O1278" s="1" t="s">
        <v>601</v>
      </c>
      <c r="P1278" s="22" t="str">
        <f aca="false">_xlfn.CONCAT(B1278,C1278,D1278,E1278,F1278)</f>
        <v>BC Corumba2.2U02.I0546048.354166666746048.354166666746048.3548611111</v>
      </c>
      <c r="Q1278" s="1" t="str">
        <f aca="false">_xlfn.CONCAT(H1278,I1278,J1278)</f>
        <v>LIGRFOCOM</v>
      </c>
    </row>
    <row r="1279" customFormat="false" ht="15" hidden="false" customHeight="false" outlineLevel="0" collapsed="false">
      <c r="B1279" s="1" t="s">
        <v>330</v>
      </c>
      <c r="C1279" s="1" t="s">
        <v>277</v>
      </c>
      <c r="D1279" s="14" t="n">
        <v>46048.4131944444</v>
      </c>
      <c r="E1279" s="14" t="n">
        <v>46048.4131944444</v>
      </c>
      <c r="F1279" s="14" t="n">
        <v>46048.4590277778</v>
      </c>
      <c r="G1279" s="15" t="n">
        <f aca="false">F1279-E1279</f>
        <v>0.0458333333333333</v>
      </c>
      <c r="H1279" s="20" t="s">
        <v>248</v>
      </c>
      <c r="J1279" s="20" t="s">
        <v>256</v>
      </c>
      <c r="K1279" s="1" t="s">
        <v>430</v>
      </c>
      <c r="L1279" s="1" t="s">
        <v>602</v>
      </c>
      <c r="M1279" s="20" t="s">
        <v>258</v>
      </c>
      <c r="N1279" s="20" t="s">
        <v>259</v>
      </c>
      <c r="O1279" s="1" t="s">
        <v>603</v>
      </c>
      <c r="P1279" s="22" t="str">
        <f aca="false">_xlfn.CONCAT(B1279,C1279,D1279,E1279,F1279)</f>
        <v>BC Formoso2.1Inverter(MBUS-12)46048.413194444446048.413194444446048.4590277778</v>
      </c>
      <c r="Q1279" s="1" t="str">
        <f aca="false">_xlfn.CONCAT(H1279,I1279,J1279)</f>
        <v>DAURDE</v>
      </c>
    </row>
    <row r="1280" customFormat="false" ht="15" hidden="false" customHeight="false" outlineLevel="0" collapsed="false">
      <c r="B1280" s="1" t="s">
        <v>330</v>
      </c>
      <c r="C1280" s="1" t="s">
        <v>280</v>
      </c>
      <c r="D1280" s="14" t="n">
        <v>46048.4131944444</v>
      </c>
      <c r="E1280" s="14" t="n">
        <v>46048.4131944444</v>
      </c>
      <c r="F1280" s="14" t="n">
        <v>46048.4590277778</v>
      </c>
      <c r="G1280" s="15" t="n">
        <f aca="false">F1280-E1280</f>
        <v>0.0458333333333333</v>
      </c>
      <c r="H1280" s="20" t="s">
        <v>248</v>
      </c>
      <c r="J1280" s="20" t="s">
        <v>256</v>
      </c>
      <c r="K1280" s="1" t="s">
        <v>430</v>
      </c>
      <c r="L1280" s="1" t="s">
        <v>602</v>
      </c>
      <c r="M1280" s="20" t="s">
        <v>258</v>
      </c>
      <c r="N1280" s="20" t="s">
        <v>259</v>
      </c>
      <c r="O1280" s="1" t="s">
        <v>603</v>
      </c>
      <c r="P1280" s="22" t="str">
        <f aca="false">_xlfn.CONCAT(B1280,C1280,D1280,E1280,F1280)</f>
        <v>BC Formoso2.1Inverter(MBUS-14)46048.413194444446048.413194444446048.4590277778</v>
      </c>
      <c r="Q1280" s="1" t="str">
        <f aca="false">_xlfn.CONCAT(H1280,I1280,J1280)</f>
        <v>DAURDE</v>
      </c>
    </row>
    <row r="1281" customFormat="false" ht="15" hidden="false" customHeight="false" outlineLevel="0" collapsed="false">
      <c r="B1281" s="1" t="s">
        <v>330</v>
      </c>
      <c r="C1281" s="1" t="s">
        <v>247</v>
      </c>
      <c r="D1281" s="14" t="n">
        <v>46048.4131944444</v>
      </c>
      <c r="E1281" s="14" t="n">
        <v>46048.4131944444</v>
      </c>
      <c r="F1281" s="14" t="n">
        <v>46048.4590277778</v>
      </c>
      <c r="G1281" s="15" t="n">
        <f aca="false">F1281-E1281</f>
        <v>0.0458333333333333</v>
      </c>
      <c r="H1281" s="20" t="s">
        <v>248</v>
      </c>
      <c r="J1281" s="20" t="s">
        <v>256</v>
      </c>
      <c r="K1281" s="1" t="s">
        <v>430</v>
      </c>
      <c r="L1281" s="1" t="s">
        <v>602</v>
      </c>
      <c r="M1281" s="20" t="s">
        <v>258</v>
      </c>
      <c r="N1281" s="20" t="s">
        <v>259</v>
      </c>
      <c r="O1281" s="1" t="s">
        <v>603</v>
      </c>
      <c r="P1281" s="22" t="str">
        <f aca="false">_xlfn.CONCAT(B1281,C1281,D1281,E1281,F1281)</f>
        <v>BC Formoso2.1Inverter(MBUS-13)46048.413194444446048.413194444446048.4590277778</v>
      </c>
      <c r="Q1281" s="1" t="str">
        <f aca="false">_xlfn.CONCAT(H1281,I1281,J1281)</f>
        <v>DAURDE</v>
      </c>
    </row>
    <row r="1282" customFormat="false" ht="15" hidden="false" customHeight="false" outlineLevel="0" collapsed="false">
      <c r="B1282" s="1" t="s">
        <v>330</v>
      </c>
      <c r="C1282" s="1" t="s">
        <v>255</v>
      </c>
      <c r="D1282" s="14" t="n">
        <v>46048.4131944444</v>
      </c>
      <c r="E1282" s="14" t="n">
        <v>46048.4131944444</v>
      </c>
      <c r="F1282" s="14" t="n">
        <v>46048.4590277778</v>
      </c>
      <c r="G1282" s="15" t="n">
        <f aca="false">F1282-E1282</f>
        <v>0.0458333333333333</v>
      </c>
      <c r="H1282" s="20" t="s">
        <v>248</v>
      </c>
      <c r="J1282" s="20" t="s">
        <v>256</v>
      </c>
      <c r="K1282" s="1" t="s">
        <v>430</v>
      </c>
      <c r="L1282" s="1" t="s">
        <v>602</v>
      </c>
      <c r="M1282" s="20" t="s">
        <v>258</v>
      </c>
      <c r="N1282" s="20" t="s">
        <v>259</v>
      </c>
      <c r="O1282" s="1" t="s">
        <v>603</v>
      </c>
      <c r="P1282" s="22" t="str">
        <f aca="false">_xlfn.CONCAT(B1282,C1282,D1282,E1282,F1282)</f>
        <v>BC Formoso2.1Inverter(MBUS-1)46048.413194444446048.413194444446048.4590277778</v>
      </c>
      <c r="Q1282" s="1" t="str">
        <f aca="false">_xlfn.CONCAT(H1282,I1282,J1282)</f>
        <v>DAURDE</v>
      </c>
    </row>
    <row r="1283" customFormat="false" ht="15" hidden="false" customHeight="false" outlineLevel="0" collapsed="false">
      <c r="B1283" s="1" t="s">
        <v>498</v>
      </c>
      <c r="C1283" s="1" t="s">
        <v>604</v>
      </c>
      <c r="D1283" s="14" t="n">
        <v>46049.1979166667</v>
      </c>
      <c r="E1283" s="14" t="n">
        <v>46049.1979166667</v>
      </c>
      <c r="F1283" s="14" t="n">
        <v>46049.2951388889</v>
      </c>
      <c r="G1283" s="15" t="n">
        <f aca="false">F1283-E1283</f>
        <v>0.0972222222222222</v>
      </c>
      <c r="H1283" s="20" t="s">
        <v>445</v>
      </c>
      <c r="I1283" s="1" t="s">
        <v>263</v>
      </c>
      <c r="J1283" s="20" t="s">
        <v>264</v>
      </c>
      <c r="K1283" s="1" t="s">
        <v>456</v>
      </c>
      <c r="L1283" s="1" t="s">
        <v>605</v>
      </c>
      <c r="M1283" s="20" t="s">
        <v>266</v>
      </c>
      <c r="N1283" s="20" t="s">
        <v>252</v>
      </c>
      <c r="O1283" s="1" t="s">
        <v>606</v>
      </c>
      <c r="P1283" s="22" t="str">
        <f aca="false">_xlfn.CONCAT(B1283,C1283,D1283,E1283,F1283)</f>
        <v>BC Corumba2.3U03.I0146049.197916666746049.197916666746049.2951388889</v>
      </c>
      <c r="Q1283" s="1" t="str">
        <f aca="false">_xlfn.CONCAT(H1283,I1283,J1283)</f>
        <v>LIGRFOCOM</v>
      </c>
    </row>
    <row r="1284" customFormat="false" ht="15" hidden="false" customHeight="false" outlineLevel="0" collapsed="false">
      <c r="B1284" s="1" t="s">
        <v>498</v>
      </c>
      <c r="C1284" s="1" t="s">
        <v>607</v>
      </c>
      <c r="D1284" s="14" t="n">
        <v>46049.1979166667</v>
      </c>
      <c r="E1284" s="14" t="n">
        <v>46049.1979166667</v>
      </c>
      <c r="F1284" s="14" t="n">
        <v>46049.2951388889</v>
      </c>
      <c r="G1284" s="15" t="n">
        <f aca="false">F1284-E1284</f>
        <v>0.0972222222222222</v>
      </c>
      <c r="H1284" s="20" t="s">
        <v>445</v>
      </c>
      <c r="I1284" s="1" t="s">
        <v>263</v>
      </c>
      <c r="J1284" s="20" t="s">
        <v>264</v>
      </c>
      <c r="K1284" s="1" t="s">
        <v>456</v>
      </c>
      <c r="L1284" s="1" t="s">
        <v>605</v>
      </c>
      <c r="M1284" s="20" t="s">
        <v>266</v>
      </c>
      <c r="N1284" s="20" t="s">
        <v>252</v>
      </c>
      <c r="O1284" s="1" t="s">
        <v>606</v>
      </c>
      <c r="P1284" s="22" t="str">
        <f aca="false">_xlfn.CONCAT(B1284,C1284,D1284,E1284,F1284)</f>
        <v>BC Corumba2.3U03.I0246049.197916666746049.197916666746049.2951388889</v>
      </c>
      <c r="Q1284" s="1" t="str">
        <f aca="false">_xlfn.CONCAT(H1284,I1284,J1284)</f>
        <v>LIGRFOCOM</v>
      </c>
    </row>
    <row r="1285" customFormat="false" ht="15" hidden="false" customHeight="false" outlineLevel="0" collapsed="false">
      <c r="B1285" s="1" t="s">
        <v>498</v>
      </c>
      <c r="C1285" s="1" t="s">
        <v>499</v>
      </c>
      <c r="D1285" s="14" t="n">
        <v>46049.1979166667</v>
      </c>
      <c r="E1285" s="14" t="n">
        <v>46049.1979166667</v>
      </c>
      <c r="F1285" s="14" t="n">
        <v>46049.2951388889</v>
      </c>
      <c r="G1285" s="15" t="n">
        <f aca="false">F1285-E1285</f>
        <v>0.0972222222222222</v>
      </c>
      <c r="H1285" s="20" t="s">
        <v>445</v>
      </c>
      <c r="I1285" s="1" t="s">
        <v>263</v>
      </c>
      <c r="J1285" s="20" t="s">
        <v>264</v>
      </c>
      <c r="K1285" s="1" t="s">
        <v>456</v>
      </c>
      <c r="L1285" s="1" t="s">
        <v>605</v>
      </c>
      <c r="M1285" s="20" t="s">
        <v>266</v>
      </c>
      <c r="N1285" s="20" t="s">
        <v>252</v>
      </c>
      <c r="O1285" s="1" t="s">
        <v>606</v>
      </c>
      <c r="P1285" s="22" t="str">
        <f aca="false">_xlfn.CONCAT(B1285,C1285,D1285,E1285,F1285)</f>
        <v>BC Corumba2.3U03.I0346049.197916666746049.197916666746049.2951388889</v>
      </c>
      <c r="Q1285" s="1" t="str">
        <f aca="false">_xlfn.CONCAT(H1285,I1285,J1285)</f>
        <v>LIGRFOCOM</v>
      </c>
    </row>
    <row r="1286" customFormat="false" ht="15" hidden="false" customHeight="false" outlineLevel="0" collapsed="false">
      <c r="B1286" s="24" t="s">
        <v>273</v>
      </c>
      <c r="C1286" s="24" t="s">
        <v>608</v>
      </c>
      <c r="D1286" s="27" t="n">
        <v>46049.3576388889</v>
      </c>
      <c r="E1286" s="27" t="n">
        <v>46049.3576388889</v>
      </c>
      <c r="F1286" s="27" t="n">
        <v>46049.3958333333</v>
      </c>
      <c r="G1286" s="28" t="n">
        <f aca="false">F1286-E1286</f>
        <v>0.0381944444444445</v>
      </c>
      <c r="H1286" s="24" t="s">
        <v>248</v>
      </c>
      <c r="I1286" s="24"/>
      <c r="J1286" s="24" t="s">
        <v>249</v>
      </c>
      <c r="K1286" s="24" t="s">
        <v>439</v>
      </c>
      <c r="L1286" s="24" t="s">
        <v>609</v>
      </c>
      <c r="M1286" s="24" t="s">
        <v>251</v>
      </c>
      <c r="N1286" s="24" t="s">
        <v>252</v>
      </c>
      <c r="O1286" s="24" t="s">
        <v>610</v>
      </c>
      <c r="P1286" s="25" t="str">
        <f aca="false">_xlfn.CONCAT(B1286,C1286,D1286,E1286,F1286)</f>
        <v>BC Vazante 1.1Inverter1346049.357638888946049.357638888946049.3958333333</v>
      </c>
      <c r="Q1286" s="24" t="str">
        <f aca="false">_xlfn.CONCAT(H1286,I1286,J1286)</f>
        <v>DAUINV</v>
      </c>
    </row>
    <row r="1287" customFormat="false" ht="15" hidden="false" customHeight="false" outlineLevel="0" collapsed="false">
      <c r="B1287" s="1" t="s">
        <v>575</v>
      </c>
      <c r="C1287" s="1" t="s">
        <v>277</v>
      </c>
      <c r="D1287" s="14" t="n">
        <v>46049.4861111111</v>
      </c>
      <c r="E1287" s="14" t="n">
        <v>46049.4861111111</v>
      </c>
      <c r="F1287" s="14" t="n">
        <v>46049.8006944444</v>
      </c>
      <c r="G1287" s="15" t="n">
        <f aca="false">F1287-E1287</f>
        <v>0.314583333333333</v>
      </c>
      <c r="H1287" s="20" t="s">
        <v>313</v>
      </c>
      <c r="J1287" s="20" t="s">
        <v>256</v>
      </c>
      <c r="K1287" s="1" t="e">
        <f aca="false">_xlfn.xlookup(J1287,REF!D:D,REF!E:E)</f>
        <v>#NAME?</v>
      </c>
      <c r="L1287" s="1" t="s">
        <v>611</v>
      </c>
      <c r="M1287" s="20" t="s">
        <v>258</v>
      </c>
      <c r="N1287" s="20" t="s">
        <v>259</v>
      </c>
      <c r="O1287" s="1" t="s">
        <v>612</v>
      </c>
      <c r="P1287" s="22" t="str">
        <f aca="false">_xlfn.CONCAT(B1287,C1287,D1287,E1287,F1287)</f>
        <v>BC Ibiuna 1.1Inverter(MBUS-12)46049.486111111146049.486111111146049.8006944444</v>
      </c>
      <c r="Q1287" s="1" t="str">
        <f aca="false">_xlfn.CONCAT(H1287,I1287,J1287)</f>
        <v>DPRRDE</v>
      </c>
    </row>
    <row r="1288" customFormat="false" ht="15" hidden="false" customHeight="false" outlineLevel="0" collapsed="false">
      <c r="B1288" s="1" t="s">
        <v>575</v>
      </c>
      <c r="C1288" s="1" t="s">
        <v>247</v>
      </c>
      <c r="D1288" s="14" t="n">
        <v>46049.4861111111</v>
      </c>
      <c r="E1288" s="14" t="n">
        <v>46049.4861111111</v>
      </c>
      <c r="F1288" s="14" t="n">
        <v>46049.8006944444</v>
      </c>
      <c r="G1288" s="15" t="n">
        <f aca="false">F1288-E1288</f>
        <v>0.314583333333333</v>
      </c>
      <c r="H1288" s="20" t="s">
        <v>313</v>
      </c>
      <c r="J1288" s="20" t="s">
        <v>256</v>
      </c>
      <c r="K1288" s="1" t="e">
        <f aca="false">_xlfn.xlookup(J1288,REF!D:D,REF!E:E)</f>
        <v>#NAME?</v>
      </c>
      <c r="L1288" s="1" t="s">
        <v>611</v>
      </c>
      <c r="M1288" s="20" t="s">
        <v>258</v>
      </c>
      <c r="N1288" s="20" t="s">
        <v>259</v>
      </c>
      <c r="O1288" s="1" t="s">
        <v>612</v>
      </c>
      <c r="P1288" s="22" t="str">
        <f aca="false">_xlfn.CONCAT(B1288,C1288,D1288,E1288,F1288)</f>
        <v>BC Ibiuna 1.1Inverter(MBUS-13)46049.486111111146049.486111111146049.8006944444</v>
      </c>
      <c r="Q1288" s="1" t="str">
        <f aca="false">_xlfn.CONCAT(H1288,I1288,J1288)</f>
        <v>DPRRDE</v>
      </c>
    </row>
    <row r="1289" customFormat="false" ht="15" hidden="false" customHeight="false" outlineLevel="0" collapsed="false">
      <c r="B1289" s="1" t="s">
        <v>575</v>
      </c>
      <c r="C1289" s="1" t="s">
        <v>280</v>
      </c>
      <c r="D1289" s="14" t="n">
        <v>46049.4861111111</v>
      </c>
      <c r="E1289" s="14" t="n">
        <v>46049.4861111111</v>
      </c>
      <c r="F1289" s="14" t="n">
        <v>46049.8006944444</v>
      </c>
      <c r="G1289" s="15" t="n">
        <f aca="false">F1289-E1289</f>
        <v>0.314583333333333</v>
      </c>
      <c r="H1289" s="20" t="s">
        <v>313</v>
      </c>
      <c r="J1289" s="20" t="s">
        <v>256</v>
      </c>
      <c r="K1289" s="1" t="e">
        <f aca="false">_xlfn.xlookup(J1289,REF!D:D,REF!E:E)</f>
        <v>#NAME?</v>
      </c>
      <c r="L1289" s="1" t="s">
        <v>611</v>
      </c>
      <c r="M1289" s="20" t="s">
        <v>258</v>
      </c>
      <c r="N1289" s="20" t="s">
        <v>259</v>
      </c>
      <c r="O1289" s="1" t="s">
        <v>612</v>
      </c>
      <c r="P1289" s="22" t="str">
        <f aca="false">_xlfn.CONCAT(B1289,C1289,D1289,E1289,F1289)</f>
        <v>BC Ibiuna 1.1Inverter(MBUS-14)46049.486111111146049.486111111146049.8006944444</v>
      </c>
      <c r="Q1289" s="1" t="str">
        <f aca="false">_xlfn.CONCAT(H1289,I1289,J1289)</f>
        <v>DPRRDE</v>
      </c>
    </row>
    <row r="1290" customFormat="false" ht="15" hidden="false" customHeight="false" outlineLevel="0" collapsed="false">
      <c r="B1290" s="1" t="s">
        <v>575</v>
      </c>
      <c r="C1290" s="1" t="s">
        <v>279</v>
      </c>
      <c r="D1290" s="14" t="n">
        <v>46049.4861111111</v>
      </c>
      <c r="E1290" s="14" t="n">
        <v>46049.4861111111</v>
      </c>
      <c r="F1290" s="14" t="n">
        <v>46049.8006944444</v>
      </c>
      <c r="G1290" s="15" t="n">
        <f aca="false">F1290-E1290</f>
        <v>0.314583333333333</v>
      </c>
      <c r="H1290" s="20" t="s">
        <v>313</v>
      </c>
      <c r="J1290" s="20" t="s">
        <v>256</v>
      </c>
      <c r="K1290" s="1" t="e">
        <f aca="false">_xlfn.xlookup(J1290,REF!D:D,REF!E:E)</f>
        <v>#NAME?</v>
      </c>
      <c r="L1290" s="1" t="s">
        <v>611</v>
      </c>
      <c r="M1290" s="20" t="s">
        <v>258</v>
      </c>
      <c r="N1290" s="20" t="s">
        <v>259</v>
      </c>
      <c r="O1290" s="1" t="s">
        <v>612</v>
      </c>
      <c r="P1290" s="22" t="str">
        <f aca="false">_xlfn.CONCAT(B1290,C1290,D1290,E1290,F1290)</f>
        <v>BC Ibiuna 1.1Inverter(MBUS-15)46049.486111111146049.486111111146049.8006944444</v>
      </c>
      <c r="Q1290" s="1" t="str">
        <f aca="false">_xlfn.CONCAT(H1290,I1290,J1290)</f>
        <v>DPRRDE</v>
      </c>
    </row>
    <row r="1291" customFormat="false" ht="15" hidden="false" customHeight="false" outlineLevel="0" collapsed="false">
      <c r="B1291" s="1" t="s">
        <v>577</v>
      </c>
      <c r="C1291" s="1" t="s">
        <v>277</v>
      </c>
      <c r="D1291" s="14" t="n">
        <v>46049.4861111111</v>
      </c>
      <c r="E1291" s="14" t="n">
        <v>46049.4861111111</v>
      </c>
      <c r="F1291" s="14" t="n">
        <v>46049.8006944444</v>
      </c>
      <c r="G1291" s="15" t="n">
        <f aca="false">F1291-E1291</f>
        <v>0.314583333333333</v>
      </c>
      <c r="H1291" s="20" t="s">
        <v>313</v>
      </c>
      <c r="J1291" s="20" t="s">
        <v>256</v>
      </c>
      <c r="K1291" s="20" t="e">
        <f aca="false">_xlfn.xlookup(J1291,REF!D:D,REF!E:E)</f>
        <v>#NAME?</v>
      </c>
      <c r="L1291" s="1" t="s">
        <v>611</v>
      </c>
      <c r="M1291" s="20" t="s">
        <v>258</v>
      </c>
      <c r="N1291" s="20" t="s">
        <v>259</v>
      </c>
      <c r="O1291" s="1" t="s">
        <v>612</v>
      </c>
      <c r="P1291" s="22" t="str">
        <f aca="false">_xlfn.CONCAT(B1291,C1291,D1291,E1291,F1291)</f>
        <v>BC Ibiuna 1.2Inverter(MBUS-12)46049.486111111146049.486111111146049.8006944444</v>
      </c>
      <c r="Q1291" s="1" t="str">
        <f aca="false">_xlfn.CONCAT(H1291,I1291,J1291)</f>
        <v>DPRRDE</v>
      </c>
    </row>
    <row r="1292" customFormat="false" ht="15" hidden="false" customHeight="false" outlineLevel="0" collapsed="false">
      <c r="B1292" s="1" t="s">
        <v>577</v>
      </c>
      <c r="C1292" s="1" t="s">
        <v>247</v>
      </c>
      <c r="D1292" s="14" t="n">
        <v>46049.4861111111</v>
      </c>
      <c r="E1292" s="14" t="n">
        <v>46049.4861111111</v>
      </c>
      <c r="F1292" s="14" t="n">
        <v>46049.8006944444</v>
      </c>
      <c r="G1292" s="15" t="n">
        <f aca="false">F1292-E1292</f>
        <v>0.314583333333333</v>
      </c>
      <c r="H1292" s="20" t="s">
        <v>313</v>
      </c>
      <c r="J1292" s="20" t="s">
        <v>256</v>
      </c>
      <c r="K1292" s="20" t="e">
        <f aca="false">_xlfn.xlookup(J1292,REF!D:D,REF!E:E)</f>
        <v>#NAME?</v>
      </c>
      <c r="L1292" s="1" t="s">
        <v>611</v>
      </c>
      <c r="M1292" s="20" t="s">
        <v>258</v>
      </c>
      <c r="N1292" s="20" t="s">
        <v>259</v>
      </c>
      <c r="O1292" s="1" t="s">
        <v>612</v>
      </c>
      <c r="P1292" s="22" t="str">
        <f aca="false">_xlfn.CONCAT(B1292,C1292,D1292,E1292,F1292)</f>
        <v>BC Ibiuna 1.2Inverter(MBUS-13)46049.486111111146049.486111111146049.8006944444</v>
      </c>
      <c r="Q1292" s="1" t="str">
        <f aca="false">_xlfn.CONCAT(H1292,I1292,J1292)</f>
        <v>DPRRDE</v>
      </c>
    </row>
    <row r="1293" customFormat="false" ht="15" hidden="false" customHeight="false" outlineLevel="0" collapsed="false">
      <c r="B1293" s="1" t="s">
        <v>577</v>
      </c>
      <c r="C1293" s="1" t="s">
        <v>280</v>
      </c>
      <c r="D1293" s="14" t="n">
        <v>46049.4861111111</v>
      </c>
      <c r="E1293" s="14" t="n">
        <v>46049.4861111111</v>
      </c>
      <c r="F1293" s="14" t="n">
        <v>46049.8006944444</v>
      </c>
      <c r="G1293" s="15" t="n">
        <f aca="false">F1293-E1293</f>
        <v>0.314583333333333</v>
      </c>
      <c r="H1293" s="20" t="s">
        <v>313</v>
      </c>
      <c r="J1293" s="20" t="s">
        <v>256</v>
      </c>
      <c r="K1293" s="20" t="e">
        <f aca="false">_xlfn.xlookup(J1293,REF!D:D,REF!E:E)</f>
        <v>#NAME?</v>
      </c>
      <c r="L1293" s="1" t="s">
        <v>611</v>
      </c>
      <c r="M1293" s="20" t="s">
        <v>258</v>
      </c>
      <c r="N1293" s="20" t="s">
        <v>259</v>
      </c>
      <c r="O1293" s="1" t="s">
        <v>612</v>
      </c>
      <c r="P1293" s="22" t="str">
        <f aca="false">_xlfn.CONCAT(B1293,C1293,D1293,E1293,F1293)</f>
        <v>BC Ibiuna 1.2Inverter(MBUS-14)46049.486111111146049.486111111146049.8006944444</v>
      </c>
      <c r="Q1293" s="1" t="str">
        <f aca="false">_xlfn.CONCAT(H1293,I1293,J1293)</f>
        <v>DPRRDE</v>
      </c>
    </row>
    <row r="1294" customFormat="false" ht="15" hidden="false" customHeight="false" outlineLevel="0" collapsed="false">
      <c r="B1294" s="1" t="s">
        <v>577</v>
      </c>
      <c r="C1294" s="1" t="s">
        <v>279</v>
      </c>
      <c r="D1294" s="14" t="n">
        <v>46049.4861111111</v>
      </c>
      <c r="E1294" s="14" t="n">
        <v>46049.4861111111</v>
      </c>
      <c r="F1294" s="14" t="n">
        <v>46049.8006944444</v>
      </c>
      <c r="G1294" s="15" t="n">
        <f aca="false">F1294-E1294</f>
        <v>0.314583333333333</v>
      </c>
      <c r="H1294" s="20" t="s">
        <v>313</v>
      </c>
      <c r="J1294" s="20" t="s">
        <v>256</v>
      </c>
      <c r="K1294" s="20" t="e">
        <f aca="false">_xlfn.xlookup(J1294,REF!D:D,REF!E:E)</f>
        <v>#NAME?</v>
      </c>
      <c r="L1294" s="1" t="s">
        <v>611</v>
      </c>
      <c r="M1294" s="20" t="s">
        <v>258</v>
      </c>
      <c r="N1294" s="20" t="s">
        <v>259</v>
      </c>
      <c r="O1294" s="1" t="s">
        <v>612</v>
      </c>
      <c r="P1294" s="22" t="str">
        <f aca="false">_xlfn.CONCAT(B1294,C1294,D1294,E1294,F1294)</f>
        <v>BC Ibiuna 1.2Inverter(MBUS-15)46049.486111111146049.486111111146049.8006944444</v>
      </c>
      <c r="Q1294" s="1" t="str">
        <f aca="false">_xlfn.CONCAT(H1294,I1294,J1294)</f>
        <v>DPRRDE</v>
      </c>
    </row>
    <row r="1295" customFormat="false" ht="15" hidden="false" customHeight="false" outlineLevel="0" collapsed="false">
      <c r="B1295" s="1" t="s">
        <v>380</v>
      </c>
      <c r="C1295" s="1" t="s">
        <v>277</v>
      </c>
      <c r="D1295" s="14" t="n">
        <v>46049.5069444444</v>
      </c>
      <c r="E1295" s="14" t="n">
        <v>46049.5069444444</v>
      </c>
      <c r="F1295" s="14" t="n">
        <v>46049.5520833333</v>
      </c>
      <c r="G1295" s="15" t="n">
        <f aca="false">F1295-E1295</f>
        <v>0.0451388888888889</v>
      </c>
      <c r="H1295" s="20" t="s">
        <v>445</v>
      </c>
      <c r="I1295" s="1" t="s">
        <v>263</v>
      </c>
      <c r="J1295" s="20" t="s">
        <v>264</v>
      </c>
      <c r="K1295" s="20" t="s">
        <v>456</v>
      </c>
      <c r="L1295" s="1" t="s">
        <v>600</v>
      </c>
      <c r="M1295" s="20" t="s">
        <v>266</v>
      </c>
      <c r="N1295" s="20" t="s">
        <v>252</v>
      </c>
      <c r="O1295" s="1" t="s">
        <v>613</v>
      </c>
      <c r="P1295" s="22" t="str">
        <f aca="false">_xlfn.CONCAT(B1295,C1295,D1295,E1295,F1295)</f>
        <v>ARAGUATINS 1.1Inverter(MBUS-12)46049.506944444446049.506944444446049.5520833333</v>
      </c>
      <c r="Q1295" s="1" t="str">
        <f aca="false">_xlfn.CONCAT(H1295,I1295,J1295)</f>
        <v>LIGRFOCOM</v>
      </c>
    </row>
    <row r="1296" customFormat="false" ht="15" hidden="false" customHeight="false" outlineLevel="0" collapsed="false">
      <c r="B1296" s="1" t="s">
        <v>380</v>
      </c>
      <c r="C1296" s="1" t="s">
        <v>247</v>
      </c>
      <c r="D1296" s="14" t="n">
        <v>46049.5069444444</v>
      </c>
      <c r="E1296" s="14" t="n">
        <v>46049.5069444444</v>
      </c>
      <c r="F1296" s="14" t="n">
        <v>46049.5520833333</v>
      </c>
      <c r="G1296" s="15" t="n">
        <f aca="false">F1296-E1296</f>
        <v>0.0451388888888889</v>
      </c>
      <c r="H1296" s="20" t="s">
        <v>445</v>
      </c>
      <c r="I1296" s="1" t="s">
        <v>263</v>
      </c>
      <c r="J1296" s="20" t="s">
        <v>264</v>
      </c>
      <c r="K1296" s="20" t="s">
        <v>456</v>
      </c>
      <c r="L1296" s="1" t="s">
        <v>600</v>
      </c>
      <c r="M1296" s="20" t="s">
        <v>266</v>
      </c>
      <c r="N1296" s="20" t="s">
        <v>252</v>
      </c>
      <c r="O1296" s="1" t="s">
        <v>613</v>
      </c>
      <c r="P1296" s="22" t="str">
        <f aca="false">_xlfn.CONCAT(B1296,C1296,D1296,E1296,F1296)</f>
        <v>ARAGUATINS 1.1Inverter(MBUS-13)46049.506944444446049.506944444446049.5520833333</v>
      </c>
      <c r="Q1296" s="1" t="str">
        <f aca="false">_xlfn.CONCAT(H1296,I1296,J1296)</f>
        <v>LIGRFOCOM</v>
      </c>
    </row>
    <row r="1297" customFormat="false" ht="15" hidden="false" customHeight="false" outlineLevel="0" collapsed="false">
      <c r="B1297" s="1" t="s">
        <v>380</v>
      </c>
      <c r="C1297" s="1" t="s">
        <v>280</v>
      </c>
      <c r="D1297" s="14" t="n">
        <v>46049.5069444444</v>
      </c>
      <c r="E1297" s="14" t="n">
        <v>46049.5069444444</v>
      </c>
      <c r="F1297" s="14" t="n">
        <v>46049.5520833333</v>
      </c>
      <c r="G1297" s="15" t="n">
        <f aca="false">F1297-E1297</f>
        <v>0.0451388888888889</v>
      </c>
      <c r="H1297" s="20" t="s">
        <v>445</v>
      </c>
      <c r="I1297" s="1" t="s">
        <v>263</v>
      </c>
      <c r="J1297" s="20" t="s">
        <v>264</v>
      </c>
      <c r="K1297" s="20" t="s">
        <v>456</v>
      </c>
      <c r="L1297" s="1" t="s">
        <v>600</v>
      </c>
      <c r="M1297" s="20" t="s">
        <v>266</v>
      </c>
      <c r="N1297" s="20" t="s">
        <v>252</v>
      </c>
      <c r="O1297" s="1" t="s">
        <v>613</v>
      </c>
      <c r="P1297" s="22" t="str">
        <f aca="false">_xlfn.CONCAT(B1297,C1297,D1297,E1297,F1297)</f>
        <v>ARAGUATINS 1.1Inverter(MBUS-14)46049.506944444446049.506944444446049.5520833333</v>
      </c>
      <c r="Q1297" s="1" t="str">
        <f aca="false">_xlfn.CONCAT(H1297,I1297,J1297)</f>
        <v>LIGRFOCOM</v>
      </c>
    </row>
    <row r="1298" customFormat="false" ht="15" hidden="false" customHeight="false" outlineLevel="0" collapsed="false">
      <c r="B1298" s="1" t="s">
        <v>380</v>
      </c>
      <c r="C1298" s="1" t="s">
        <v>279</v>
      </c>
      <c r="D1298" s="14" t="n">
        <v>46049.5069444444</v>
      </c>
      <c r="E1298" s="14" t="n">
        <v>46049.5069444444</v>
      </c>
      <c r="F1298" s="14" t="n">
        <v>46049.5520833333</v>
      </c>
      <c r="G1298" s="15" t="n">
        <f aca="false">F1298-E1298</f>
        <v>0.0451388888888889</v>
      </c>
      <c r="H1298" s="20" t="s">
        <v>445</v>
      </c>
      <c r="I1298" s="1" t="s">
        <v>263</v>
      </c>
      <c r="J1298" s="20" t="s">
        <v>264</v>
      </c>
      <c r="K1298" s="20" t="s">
        <v>456</v>
      </c>
      <c r="L1298" s="1" t="s">
        <v>600</v>
      </c>
      <c r="M1298" s="20" t="s">
        <v>266</v>
      </c>
      <c r="N1298" s="20" t="s">
        <v>252</v>
      </c>
      <c r="O1298" s="1" t="s">
        <v>613</v>
      </c>
      <c r="P1298" s="22" t="str">
        <f aca="false">_xlfn.CONCAT(B1298,C1298,D1298,E1298,F1298)</f>
        <v>ARAGUATINS 1.1Inverter(MBUS-15)46049.506944444446049.506944444446049.5520833333</v>
      </c>
      <c r="Q1298" s="1" t="str">
        <f aca="false">_xlfn.CONCAT(H1298,I1298,J1298)</f>
        <v>LIGRFOCOM</v>
      </c>
    </row>
    <row r="1299" customFormat="false" ht="15" hidden="false" customHeight="false" outlineLevel="0" collapsed="false">
      <c r="B1299" s="1" t="s">
        <v>381</v>
      </c>
      <c r="C1299" s="1" t="s">
        <v>277</v>
      </c>
      <c r="D1299" s="14" t="n">
        <v>46049.5069444444</v>
      </c>
      <c r="E1299" s="14" t="n">
        <v>46049.5069444444</v>
      </c>
      <c r="F1299" s="14" t="n">
        <v>46049.5520833333</v>
      </c>
      <c r="G1299" s="15" t="n">
        <f aca="false">F1299-E1299</f>
        <v>0.0451388888888889</v>
      </c>
      <c r="H1299" s="20" t="s">
        <v>445</v>
      </c>
      <c r="I1299" s="1" t="s">
        <v>263</v>
      </c>
      <c r="J1299" s="20" t="s">
        <v>264</v>
      </c>
      <c r="K1299" s="1" t="s">
        <v>456</v>
      </c>
      <c r="L1299" s="1" t="s">
        <v>600</v>
      </c>
      <c r="M1299" s="20" t="s">
        <v>266</v>
      </c>
      <c r="N1299" s="20" t="s">
        <v>252</v>
      </c>
      <c r="O1299" s="1" t="s">
        <v>613</v>
      </c>
      <c r="P1299" s="22" t="str">
        <f aca="false">_xlfn.CONCAT(B1299,C1299,D1299,E1299,F1299)</f>
        <v>ARAGUATINS 1.2Inverter(MBUS-12)46049.506944444446049.506944444446049.5520833333</v>
      </c>
      <c r="Q1299" s="1" t="str">
        <f aca="false">_xlfn.CONCAT(H1299,I1299,J1299)</f>
        <v>LIGRFOCOM</v>
      </c>
    </row>
    <row r="1300" customFormat="false" ht="15" hidden="false" customHeight="false" outlineLevel="0" collapsed="false">
      <c r="B1300" s="1" t="s">
        <v>381</v>
      </c>
      <c r="C1300" s="1" t="s">
        <v>247</v>
      </c>
      <c r="D1300" s="14" t="n">
        <v>46049.5069444444</v>
      </c>
      <c r="E1300" s="14" t="n">
        <v>46049.5069444444</v>
      </c>
      <c r="F1300" s="14" t="n">
        <v>46049.5520833333</v>
      </c>
      <c r="G1300" s="15" t="n">
        <f aca="false">F1300-E1300</f>
        <v>0.0451388888888889</v>
      </c>
      <c r="H1300" s="20" t="s">
        <v>445</v>
      </c>
      <c r="I1300" s="1" t="s">
        <v>263</v>
      </c>
      <c r="J1300" s="20" t="s">
        <v>264</v>
      </c>
      <c r="K1300" s="1" t="s">
        <v>456</v>
      </c>
      <c r="L1300" s="1" t="s">
        <v>600</v>
      </c>
      <c r="M1300" s="20" t="s">
        <v>266</v>
      </c>
      <c r="N1300" s="20" t="s">
        <v>252</v>
      </c>
      <c r="O1300" s="1" t="s">
        <v>613</v>
      </c>
      <c r="P1300" s="22" t="str">
        <f aca="false">_xlfn.CONCAT(B1300,C1300,D1300,E1300,F1300)</f>
        <v>ARAGUATINS 1.2Inverter(MBUS-13)46049.506944444446049.506944444446049.5520833333</v>
      </c>
      <c r="Q1300" s="1" t="str">
        <f aca="false">_xlfn.CONCAT(H1300,I1300,J1300)</f>
        <v>LIGRFOCOM</v>
      </c>
    </row>
    <row r="1301" customFormat="false" ht="15" hidden="false" customHeight="false" outlineLevel="0" collapsed="false">
      <c r="B1301" s="1" t="s">
        <v>381</v>
      </c>
      <c r="C1301" s="1" t="s">
        <v>280</v>
      </c>
      <c r="D1301" s="14" t="n">
        <v>46049.5069444444</v>
      </c>
      <c r="E1301" s="14" t="n">
        <v>46049.5069444444</v>
      </c>
      <c r="F1301" s="14" t="n">
        <v>46049.5520833333</v>
      </c>
      <c r="G1301" s="15" t="n">
        <f aca="false">F1301-E1301</f>
        <v>0.0451388888888889</v>
      </c>
      <c r="H1301" s="20" t="s">
        <v>445</v>
      </c>
      <c r="I1301" s="1" t="s">
        <v>263</v>
      </c>
      <c r="J1301" s="20" t="s">
        <v>264</v>
      </c>
      <c r="K1301" s="1" t="s">
        <v>456</v>
      </c>
      <c r="L1301" s="1" t="s">
        <v>600</v>
      </c>
      <c r="M1301" s="20" t="s">
        <v>266</v>
      </c>
      <c r="N1301" s="20" t="s">
        <v>252</v>
      </c>
      <c r="O1301" s="1" t="s">
        <v>613</v>
      </c>
      <c r="P1301" s="22" t="str">
        <f aca="false">_xlfn.CONCAT(B1301,C1301,D1301,E1301,F1301)</f>
        <v>ARAGUATINS 1.2Inverter(MBUS-14)46049.506944444446049.506944444446049.5520833333</v>
      </c>
      <c r="Q1301" s="1" t="str">
        <f aca="false">_xlfn.CONCAT(H1301,I1301,J1301)</f>
        <v>LIGRFOCOM</v>
      </c>
    </row>
    <row r="1302" customFormat="false" ht="15" hidden="false" customHeight="false" outlineLevel="0" collapsed="false">
      <c r="B1302" s="1" t="s">
        <v>381</v>
      </c>
      <c r="C1302" s="1" t="s">
        <v>279</v>
      </c>
      <c r="D1302" s="14" t="n">
        <v>46049.5069444444</v>
      </c>
      <c r="E1302" s="14" t="n">
        <v>46049.5069444444</v>
      </c>
      <c r="F1302" s="14" t="n">
        <v>46049.5520833333</v>
      </c>
      <c r="G1302" s="15" t="n">
        <f aca="false">F1302-E1302</f>
        <v>0.0451388888888889</v>
      </c>
      <c r="H1302" s="20" t="s">
        <v>445</v>
      </c>
      <c r="I1302" s="1" t="s">
        <v>263</v>
      </c>
      <c r="J1302" s="20" t="s">
        <v>264</v>
      </c>
      <c r="K1302" s="1" t="s">
        <v>456</v>
      </c>
      <c r="L1302" s="1" t="s">
        <v>600</v>
      </c>
      <c r="M1302" s="20" t="s">
        <v>266</v>
      </c>
      <c r="N1302" s="20" t="s">
        <v>252</v>
      </c>
      <c r="O1302" s="1" t="s">
        <v>613</v>
      </c>
      <c r="P1302" s="22" t="str">
        <f aca="false">_xlfn.CONCAT(B1302,C1302,D1302,E1302,F1302)</f>
        <v>ARAGUATINS 1.2Inverter(MBUS-15)46049.506944444446049.506944444446049.5520833333</v>
      </c>
      <c r="Q1302" s="1" t="str">
        <f aca="false">_xlfn.CONCAT(H1302,I1302,J1302)</f>
        <v>LIGRFOCOM</v>
      </c>
    </row>
    <row r="1303" customFormat="false" ht="15" hidden="false" customHeight="false" outlineLevel="0" collapsed="false">
      <c r="B1303" s="1" t="s">
        <v>382</v>
      </c>
      <c r="C1303" s="1" t="s">
        <v>383</v>
      </c>
      <c r="D1303" s="14" t="n">
        <v>46049.5069444444</v>
      </c>
      <c r="E1303" s="14" t="n">
        <v>46049.5069444444</v>
      </c>
      <c r="F1303" s="14" t="n">
        <v>46049.5520833333</v>
      </c>
      <c r="G1303" s="15" t="n">
        <f aca="false">F1303-E1303</f>
        <v>0.0451388888888889</v>
      </c>
      <c r="H1303" s="20" t="s">
        <v>445</v>
      </c>
      <c r="I1303" s="1" t="s">
        <v>263</v>
      </c>
      <c r="J1303" s="20" t="s">
        <v>264</v>
      </c>
      <c r="K1303" s="1" t="s">
        <v>456</v>
      </c>
      <c r="L1303" s="1" t="s">
        <v>600</v>
      </c>
      <c r="M1303" s="20" t="s">
        <v>266</v>
      </c>
      <c r="N1303" s="20" t="s">
        <v>252</v>
      </c>
      <c r="O1303" s="1" t="s">
        <v>613</v>
      </c>
      <c r="P1303" s="22" t="str">
        <f aca="false">_xlfn.CONCAT(B1303,C1303,D1303,E1303,F1303)</f>
        <v>ARAGUATINS 1.3Inverter(MBUS-20)46049.506944444446049.506944444446049.5520833333</v>
      </c>
      <c r="Q1303" s="1" t="str">
        <f aca="false">_xlfn.CONCAT(H1303,I1303,J1303)</f>
        <v>LIGRFOCOM</v>
      </c>
    </row>
    <row r="1304" customFormat="false" ht="15" hidden="false" customHeight="false" outlineLevel="0" collapsed="false">
      <c r="B1304" s="1" t="s">
        <v>382</v>
      </c>
      <c r="C1304" s="1" t="s">
        <v>255</v>
      </c>
      <c r="D1304" s="14" t="n">
        <v>46049.5069444444</v>
      </c>
      <c r="E1304" s="14" t="n">
        <v>46049.5069444444</v>
      </c>
      <c r="F1304" s="14" t="n">
        <v>46049.5520833333</v>
      </c>
      <c r="G1304" s="15" t="n">
        <f aca="false">F1304-E1304</f>
        <v>0.0451388888888889</v>
      </c>
      <c r="H1304" s="20" t="s">
        <v>445</v>
      </c>
      <c r="I1304" s="1" t="s">
        <v>263</v>
      </c>
      <c r="J1304" s="20" t="s">
        <v>264</v>
      </c>
      <c r="K1304" s="1" t="s">
        <v>456</v>
      </c>
      <c r="L1304" s="1" t="s">
        <v>600</v>
      </c>
      <c r="M1304" s="20" t="s">
        <v>266</v>
      </c>
      <c r="N1304" s="20" t="s">
        <v>252</v>
      </c>
      <c r="O1304" s="1" t="s">
        <v>613</v>
      </c>
      <c r="P1304" s="22" t="str">
        <f aca="false">_xlfn.CONCAT(B1304,C1304,D1304,E1304,F1304)</f>
        <v>ARAGUATINS 1.3Inverter(MBUS-1)46049.506944444446049.506944444446049.5520833333</v>
      </c>
      <c r="Q1304" s="1" t="str">
        <f aca="false">_xlfn.CONCAT(H1304,I1304,J1304)</f>
        <v>LIGRFOCOM</v>
      </c>
    </row>
    <row r="1305" customFormat="false" ht="15" hidden="false" customHeight="false" outlineLevel="0" collapsed="false">
      <c r="B1305" s="1" t="s">
        <v>276</v>
      </c>
      <c r="C1305" s="1" t="s">
        <v>277</v>
      </c>
      <c r="D1305" s="14" t="n">
        <v>46049.5069444444</v>
      </c>
      <c r="E1305" s="14" t="n">
        <v>46049.5069444444</v>
      </c>
      <c r="F1305" s="14" t="n">
        <v>46049.5520833333</v>
      </c>
      <c r="G1305" s="15" t="n">
        <f aca="false">F1305-E1305</f>
        <v>0.0451388888888889</v>
      </c>
      <c r="H1305" s="20" t="s">
        <v>445</v>
      </c>
      <c r="I1305" s="1" t="s">
        <v>263</v>
      </c>
      <c r="J1305" s="20" t="s">
        <v>264</v>
      </c>
      <c r="K1305" s="1" t="s">
        <v>456</v>
      </c>
      <c r="L1305" s="1" t="s">
        <v>600</v>
      </c>
      <c r="M1305" s="20" t="s">
        <v>266</v>
      </c>
      <c r="N1305" s="20" t="s">
        <v>252</v>
      </c>
      <c r="O1305" s="1" t="s">
        <v>613</v>
      </c>
      <c r="P1305" s="22" t="str">
        <f aca="false">_xlfn.CONCAT(B1305,C1305,D1305,E1305,F1305)</f>
        <v>ARAGUATINS 2.1Inverter(MBUS-12)46049.506944444446049.506944444446049.5520833333</v>
      </c>
      <c r="Q1305" s="1" t="str">
        <f aca="false">_xlfn.CONCAT(H1305,I1305,J1305)</f>
        <v>LIGRFOCOM</v>
      </c>
    </row>
    <row r="1306" customFormat="false" ht="15" hidden="false" customHeight="false" outlineLevel="0" collapsed="false">
      <c r="B1306" s="1" t="s">
        <v>276</v>
      </c>
      <c r="C1306" s="1" t="s">
        <v>279</v>
      </c>
      <c r="D1306" s="14" t="n">
        <v>46049.5069444444</v>
      </c>
      <c r="E1306" s="14" t="n">
        <v>46049.5069444444</v>
      </c>
      <c r="F1306" s="14" t="n">
        <v>46049.5520833333</v>
      </c>
      <c r="G1306" s="15" t="n">
        <f aca="false">F1306-E1306</f>
        <v>0.0451388888888889</v>
      </c>
      <c r="H1306" s="20" t="s">
        <v>445</v>
      </c>
      <c r="I1306" s="1" t="s">
        <v>263</v>
      </c>
      <c r="J1306" s="20" t="s">
        <v>264</v>
      </c>
      <c r="K1306" s="1" t="s">
        <v>456</v>
      </c>
      <c r="L1306" s="1" t="s">
        <v>600</v>
      </c>
      <c r="M1306" s="20" t="s">
        <v>266</v>
      </c>
      <c r="N1306" s="20" t="s">
        <v>252</v>
      </c>
      <c r="O1306" s="1" t="s">
        <v>613</v>
      </c>
      <c r="P1306" s="22" t="str">
        <f aca="false">_xlfn.CONCAT(B1306,C1306,D1306,E1306,F1306)</f>
        <v>ARAGUATINS 2.1Inverter(MBUS-15)46049.506944444446049.506944444446049.5520833333</v>
      </c>
      <c r="Q1306" s="1" t="str">
        <f aca="false">_xlfn.CONCAT(H1306,I1306,J1306)</f>
        <v>LIGRFOCOM</v>
      </c>
    </row>
    <row r="1307" customFormat="false" ht="15" hidden="false" customHeight="false" outlineLevel="0" collapsed="false">
      <c r="B1307" s="1" t="s">
        <v>276</v>
      </c>
      <c r="C1307" s="1" t="s">
        <v>280</v>
      </c>
      <c r="D1307" s="14" t="n">
        <v>46049.5069444444</v>
      </c>
      <c r="E1307" s="14" t="n">
        <v>46049.5069444444</v>
      </c>
      <c r="F1307" s="14" t="n">
        <v>46049.5520833333</v>
      </c>
      <c r="G1307" s="15" t="n">
        <f aca="false">F1307-E1307</f>
        <v>0.0451388888888889</v>
      </c>
      <c r="H1307" s="20" t="s">
        <v>445</v>
      </c>
      <c r="I1307" s="1" t="s">
        <v>263</v>
      </c>
      <c r="J1307" s="20" t="s">
        <v>264</v>
      </c>
      <c r="K1307" s="1" t="s">
        <v>456</v>
      </c>
      <c r="L1307" s="1" t="s">
        <v>600</v>
      </c>
      <c r="M1307" s="20" t="s">
        <v>266</v>
      </c>
      <c r="N1307" s="20" t="s">
        <v>252</v>
      </c>
      <c r="O1307" s="1" t="s">
        <v>613</v>
      </c>
      <c r="P1307" s="22" t="str">
        <f aca="false">_xlfn.CONCAT(B1307,C1307,D1307,E1307,F1307)</f>
        <v>ARAGUATINS 2.1Inverter(MBUS-14)46049.506944444446049.506944444446049.5520833333</v>
      </c>
      <c r="Q1307" s="1" t="str">
        <f aca="false">_xlfn.CONCAT(H1307,I1307,J1307)</f>
        <v>LIGRFOCOM</v>
      </c>
    </row>
    <row r="1308" customFormat="false" ht="15" hidden="false" customHeight="false" outlineLevel="0" collapsed="false">
      <c r="B1308" s="1" t="s">
        <v>276</v>
      </c>
      <c r="C1308" s="1" t="s">
        <v>255</v>
      </c>
      <c r="D1308" s="14" t="n">
        <v>46049.5069444444</v>
      </c>
      <c r="E1308" s="14" t="n">
        <v>46049.5069444444</v>
      </c>
      <c r="F1308" s="14" t="n">
        <v>46049.5520833333</v>
      </c>
      <c r="G1308" s="15" t="n">
        <f aca="false">F1308-E1308</f>
        <v>0.0451388888888889</v>
      </c>
      <c r="H1308" s="20" t="s">
        <v>445</v>
      </c>
      <c r="I1308" s="1" t="s">
        <v>263</v>
      </c>
      <c r="J1308" s="20" t="s">
        <v>264</v>
      </c>
      <c r="K1308" s="1" t="s">
        <v>456</v>
      </c>
      <c r="L1308" s="1" t="s">
        <v>600</v>
      </c>
      <c r="M1308" s="20" t="s">
        <v>266</v>
      </c>
      <c r="N1308" s="20" t="s">
        <v>252</v>
      </c>
      <c r="O1308" s="1" t="s">
        <v>613</v>
      </c>
      <c r="P1308" s="22" t="str">
        <f aca="false">_xlfn.CONCAT(B1308,C1308,D1308,E1308,F1308)</f>
        <v>ARAGUATINS 2.1Inverter(MBUS-1)46049.506944444446049.506944444446049.5520833333</v>
      </c>
      <c r="Q1308" s="1" t="str">
        <f aca="false">_xlfn.CONCAT(H1308,I1308,J1308)</f>
        <v>LIGRFOCOM</v>
      </c>
    </row>
    <row r="1309" customFormat="false" ht="15" hidden="false" customHeight="false" outlineLevel="0" collapsed="false">
      <c r="B1309" s="1" t="s">
        <v>386</v>
      </c>
      <c r="C1309" s="1" t="s">
        <v>279</v>
      </c>
      <c r="D1309" s="14" t="n">
        <v>46049.5069444444</v>
      </c>
      <c r="E1309" s="14" t="n">
        <v>46049.5069444444</v>
      </c>
      <c r="F1309" s="14" t="n">
        <v>46049.5520833333</v>
      </c>
      <c r="G1309" s="15" t="n">
        <f aca="false">F1309-E1309</f>
        <v>0.0451388888888889</v>
      </c>
      <c r="H1309" s="20" t="s">
        <v>445</v>
      </c>
      <c r="I1309" s="1" t="s">
        <v>263</v>
      </c>
      <c r="J1309" s="20" t="s">
        <v>264</v>
      </c>
      <c r="K1309" s="1" t="s">
        <v>456</v>
      </c>
      <c r="L1309" s="1" t="s">
        <v>600</v>
      </c>
      <c r="M1309" s="20" t="s">
        <v>266</v>
      </c>
      <c r="N1309" s="20" t="s">
        <v>252</v>
      </c>
      <c r="O1309" s="1" t="s">
        <v>613</v>
      </c>
      <c r="P1309" s="22" t="str">
        <f aca="false">_xlfn.CONCAT(B1309,C1309,D1309,E1309,F1309)</f>
        <v>ARAGUATINS 2.2Inverter(MBUS-15)46049.506944444446049.506944444446049.5520833333</v>
      </c>
      <c r="Q1309" s="1" t="str">
        <f aca="false">_xlfn.CONCAT(H1309,I1309,J1309)</f>
        <v>LIGRFOCOM</v>
      </c>
    </row>
    <row r="1310" customFormat="false" ht="15" hidden="false" customHeight="false" outlineLevel="0" collapsed="false">
      <c r="B1310" s="1" t="s">
        <v>386</v>
      </c>
      <c r="C1310" s="1" t="s">
        <v>247</v>
      </c>
      <c r="D1310" s="14" t="n">
        <v>46049.5069444444</v>
      </c>
      <c r="E1310" s="14" t="n">
        <v>46049.5069444444</v>
      </c>
      <c r="F1310" s="14" t="n">
        <v>46049.5520833333</v>
      </c>
      <c r="G1310" s="15" t="n">
        <f aca="false">F1310-E1310</f>
        <v>0.0451388888888889</v>
      </c>
      <c r="H1310" s="20" t="s">
        <v>445</v>
      </c>
      <c r="I1310" s="1" t="s">
        <v>263</v>
      </c>
      <c r="J1310" s="20" t="s">
        <v>264</v>
      </c>
      <c r="K1310" s="1" t="s">
        <v>456</v>
      </c>
      <c r="L1310" s="1" t="s">
        <v>600</v>
      </c>
      <c r="M1310" s="20" t="s">
        <v>266</v>
      </c>
      <c r="N1310" s="20" t="s">
        <v>252</v>
      </c>
      <c r="O1310" s="1" t="s">
        <v>613</v>
      </c>
      <c r="P1310" s="22" t="str">
        <f aca="false">_xlfn.CONCAT(B1310,C1310,D1310,E1310,F1310)</f>
        <v>ARAGUATINS 2.2Inverter(MBUS-13)46049.506944444446049.506944444446049.5520833333</v>
      </c>
      <c r="Q1310" s="1" t="str">
        <f aca="false">_xlfn.CONCAT(H1310,I1310,J1310)</f>
        <v>LIGRFOCOM</v>
      </c>
    </row>
    <row r="1311" customFormat="false" ht="15" hidden="false" customHeight="false" outlineLevel="0" collapsed="false">
      <c r="B1311" s="1" t="s">
        <v>386</v>
      </c>
      <c r="C1311" s="1" t="s">
        <v>280</v>
      </c>
      <c r="D1311" s="14" t="n">
        <v>46049.5069444444</v>
      </c>
      <c r="E1311" s="14" t="n">
        <v>46049.5069444444</v>
      </c>
      <c r="F1311" s="14" t="n">
        <v>46049.5520833333</v>
      </c>
      <c r="G1311" s="15" t="n">
        <f aca="false">F1311-E1311</f>
        <v>0.0451388888888889</v>
      </c>
      <c r="H1311" s="20" t="s">
        <v>445</v>
      </c>
      <c r="I1311" s="1" t="s">
        <v>263</v>
      </c>
      <c r="J1311" s="20" t="s">
        <v>264</v>
      </c>
      <c r="K1311" s="1" t="s">
        <v>456</v>
      </c>
      <c r="L1311" s="1" t="s">
        <v>600</v>
      </c>
      <c r="M1311" s="20" t="s">
        <v>266</v>
      </c>
      <c r="N1311" s="20" t="s">
        <v>252</v>
      </c>
      <c r="O1311" s="1" t="s">
        <v>613</v>
      </c>
      <c r="P1311" s="22" t="str">
        <f aca="false">_xlfn.CONCAT(B1311,C1311,D1311,E1311,F1311)</f>
        <v>ARAGUATINS 2.2Inverter(MBUS-14)46049.506944444446049.506944444446049.5520833333</v>
      </c>
      <c r="Q1311" s="1" t="str">
        <f aca="false">_xlfn.CONCAT(H1311,I1311,J1311)</f>
        <v>LIGRFOCOM</v>
      </c>
    </row>
    <row r="1312" customFormat="false" ht="15" hidden="false" customHeight="false" outlineLevel="0" collapsed="false">
      <c r="B1312" s="1" t="s">
        <v>386</v>
      </c>
      <c r="C1312" s="1" t="s">
        <v>277</v>
      </c>
      <c r="D1312" s="14" t="n">
        <v>46049.5069444444</v>
      </c>
      <c r="E1312" s="14" t="n">
        <v>46049.5069444444</v>
      </c>
      <c r="F1312" s="14" t="n">
        <v>46049.5520833333</v>
      </c>
      <c r="G1312" s="15" t="n">
        <f aca="false">F1312-E1312</f>
        <v>0.0451388888888889</v>
      </c>
      <c r="H1312" s="20" t="s">
        <v>445</v>
      </c>
      <c r="I1312" s="1" t="s">
        <v>263</v>
      </c>
      <c r="J1312" s="20" t="s">
        <v>264</v>
      </c>
      <c r="K1312" s="1" t="s">
        <v>456</v>
      </c>
      <c r="L1312" s="1" t="s">
        <v>600</v>
      </c>
      <c r="M1312" s="20" t="s">
        <v>266</v>
      </c>
      <c r="N1312" s="20" t="s">
        <v>252</v>
      </c>
      <c r="O1312" s="1" t="s">
        <v>613</v>
      </c>
      <c r="P1312" s="22" t="str">
        <f aca="false">_xlfn.CONCAT(B1312,C1312,D1312,E1312,F1312)</f>
        <v>ARAGUATINS 2.2Inverter(MBUS-12)46049.506944444446049.506944444446049.5520833333</v>
      </c>
      <c r="Q1312" s="1" t="str">
        <f aca="false">_xlfn.CONCAT(H1312,I1312,J1312)</f>
        <v>LIGRFOCOM</v>
      </c>
    </row>
    <row r="1313" customFormat="false" ht="15" hidden="false" customHeight="false" outlineLevel="0" collapsed="false">
      <c r="B1313" s="1" t="s">
        <v>388</v>
      </c>
      <c r="C1313" s="1" t="s">
        <v>277</v>
      </c>
      <c r="D1313" s="14" t="n">
        <v>46049.5069444444</v>
      </c>
      <c r="E1313" s="14" t="n">
        <v>46049.5069444444</v>
      </c>
      <c r="F1313" s="14" t="n">
        <v>46049.5520833333</v>
      </c>
      <c r="G1313" s="15" t="n">
        <f aca="false">F1313-E1313</f>
        <v>0.0451388888888889</v>
      </c>
      <c r="H1313" s="20" t="s">
        <v>445</v>
      </c>
      <c r="I1313" s="1" t="s">
        <v>263</v>
      </c>
      <c r="J1313" s="20" t="s">
        <v>264</v>
      </c>
      <c r="K1313" s="1" t="s">
        <v>456</v>
      </c>
      <c r="L1313" s="1" t="s">
        <v>600</v>
      </c>
      <c r="M1313" s="20" t="s">
        <v>266</v>
      </c>
      <c r="N1313" s="20" t="s">
        <v>252</v>
      </c>
      <c r="O1313" s="1" t="s">
        <v>613</v>
      </c>
      <c r="P1313" s="22" t="str">
        <f aca="false">_xlfn.CONCAT(B1313,C1313,D1313,E1313,F1313)</f>
        <v>ARAGUATINS 2.3Inverter(MBUS-12)46049.506944444446049.506944444446049.5520833333</v>
      </c>
      <c r="Q1313" s="1" t="str">
        <f aca="false">_xlfn.CONCAT(H1313,I1313,J1313)</f>
        <v>LIGRFOCOM</v>
      </c>
    </row>
    <row r="1314" customFormat="false" ht="15" hidden="false" customHeight="false" outlineLevel="0" collapsed="false">
      <c r="B1314" s="1" t="s">
        <v>388</v>
      </c>
      <c r="C1314" s="1" t="s">
        <v>247</v>
      </c>
      <c r="D1314" s="14" t="n">
        <v>46049.5069444444</v>
      </c>
      <c r="E1314" s="14" t="n">
        <v>46049.5069444444</v>
      </c>
      <c r="F1314" s="14" t="n">
        <v>46049.5520833333</v>
      </c>
      <c r="G1314" s="15" t="n">
        <f aca="false">F1314-E1314</f>
        <v>0.0451388888888889</v>
      </c>
      <c r="H1314" s="20" t="s">
        <v>445</v>
      </c>
      <c r="I1314" s="1" t="s">
        <v>263</v>
      </c>
      <c r="J1314" s="20" t="s">
        <v>264</v>
      </c>
      <c r="K1314" s="1" t="s">
        <v>456</v>
      </c>
      <c r="L1314" s="1" t="s">
        <v>600</v>
      </c>
      <c r="M1314" s="20" t="s">
        <v>266</v>
      </c>
      <c r="N1314" s="20" t="s">
        <v>252</v>
      </c>
      <c r="O1314" s="1" t="s">
        <v>613</v>
      </c>
      <c r="P1314" s="22" t="str">
        <f aca="false">_xlfn.CONCAT(B1314,C1314,D1314,E1314,F1314)</f>
        <v>ARAGUATINS 2.3Inverter(MBUS-13)46049.506944444446049.506944444446049.5520833333</v>
      </c>
      <c r="Q1314" s="1" t="str">
        <f aca="false">_xlfn.CONCAT(H1314,I1314,J1314)</f>
        <v>LIGRFOCOM</v>
      </c>
    </row>
    <row r="1315" customFormat="false" ht="15" hidden="false" customHeight="false" outlineLevel="0" collapsed="false">
      <c r="B1315" s="1" t="s">
        <v>614</v>
      </c>
      <c r="C1315" s="1" t="s">
        <v>255</v>
      </c>
      <c r="D1315" s="14" t="n">
        <v>46049.5138888889</v>
      </c>
      <c r="E1315" s="14" t="n">
        <v>46049.5138888889</v>
      </c>
      <c r="F1315" s="31" t="n">
        <v>46053.9999884259</v>
      </c>
      <c r="G1315" s="15" t="n">
        <f aca="false">F1315-E1315</f>
        <v>4.48609953703704</v>
      </c>
      <c r="H1315" s="20" t="s">
        <v>248</v>
      </c>
      <c r="J1315" s="20" t="s">
        <v>249</v>
      </c>
      <c r="K1315" s="1" t="s">
        <v>439</v>
      </c>
      <c r="L1315" s="1" t="s">
        <v>615</v>
      </c>
      <c r="M1315" s="20" t="s">
        <v>251</v>
      </c>
      <c r="N1315" s="20" t="s">
        <v>252</v>
      </c>
      <c r="O1315" s="21" t="s">
        <v>616</v>
      </c>
      <c r="P1315" s="22" t="str">
        <f aca="false">_xlfn.CONCAT(B1315,C1315,D1315,E1315,F1315)</f>
        <v>BC Vazante2.2Inverter(MBUS-1)46049.513888888946049.513888888946053.9999884259</v>
      </c>
      <c r="Q1315" s="1" t="str">
        <f aca="false">_xlfn.CONCAT(H1315,I1315,J1315)</f>
        <v>DAUINV</v>
      </c>
    </row>
    <row r="1316" customFormat="false" ht="15" hidden="false" customHeight="false" outlineLevel="0" collapsed="false">
      <c r="B1316" s="1" t="s">
        <v>273</v>
      </c>
      <c r="C1316" s="1" t="s">
        <v>274</v>
      </c>
      <c r="D1316" s="14" t="n">
        <v>46049.5826388889</v>
      </c>
      <c r="E1316" s="14" t="n">
        <v>46049.5826388889</v>
      </c>
      <c r="F1316" s="14" t="n">
        <v>46049.6041666667</v>
      </c>
      <c r="G1316" s="15" t="n">
        <f aca="false">F1316-E1316</f>
        <v>0.0215277777777778</v>
      </c>
      <c r="H1316" s="20" t="s">
        <v>248</v>
      </c>
      <c r="J1316" s="20" t="s">
        <v>256</v>
      </c>
      <c r="K1316" s="1" t="s">
        <v>430</v>
      </c>
      <c r="L1316" s="1" t="s">
        <v>617</v>
      </c>
      <c r="M1316" s="20" t="s">
        <v>258</v>
      </c>
      <c r="N1316" s="20" t="s">
        <v>259</v>
      </c>
      <c r="O1316" s="1" t="s">
        <v>618</v>
      </c>
      <c r="P1316" s="22" t="str">
        <f aca="false">_xlfn.CONCAT(B1316,C1316,D1316,E1316,F1316)</f>
        <v>BC Vazante 1.1Inverter1246049.582638888946049.582638888946049.6041666667</v>
      </c>
      <c r="Q1316" s="1" t="str">
        <f aca="false">_xlfn.CONCAT(H1316,I1316,J1316)</f>
        <v>DAURDE</v>
      </c>
    </row>
    <row r="1317" customFormat="false" ht="15" hidden="false" customHeight="false" outlineLevel="0" collapsed="false">
      <c r="B1317" s="1" t="s">
        <v>542</v>
      </c>
      <c r="C1317" s="1" t="s">
        <v>543</v>
      </c>
      <c r="D1317" s="14" t="n">
        <v>46049.6006944444</v>
      </c>
      <c r="E1317" s="14" t="n">
        <v>46049.6006944444</v>
      </c>
      <c r="F1317" s="14" t="n">
        <v>46049.6805555556</v>
      </c>
      <c r="G1317" s="15" t="n">
        <f aca="false">F1317-E1317</f>
        <v>0.0798611111111111</v>
      </c>
      <c r="H1317" s="20" t="s">
        <v>248</v>
      </c>
      <c r="J1317" s="20" t="s">
        <v>256</v>
      </c>
      <c r="K1317" s="1" t="s">
        <v>430</v>
      </c>
      <c r="L1317" s="1" t="s">
        <v>619</v>
      </c>
      <c r="M1317" s="20" t="s">
        <v>258</v>
      </c>
      <c r="N1317" s="20" t="s">
        <v>259</v>
      </c>
      <c r="O1317" s="1" t="s">
        <v>603</v>
      </c>
      <c r="P1317" s="22" t="str">
        <f aca="false">_xlfn.CONCAT(B1317,C1317,D1317,E1317,F1317)</f>
        <v>BC Caiaponia1SG60KTL(COM1-001)_001_00746049.600694444446049.600694444446049.6805555556</v>
      </c>
      <c r="Q1317" s="1" t="str">
        <f aca="false">_xlfn.CONCAT(H1317,I1317,J1317)</f>
        <v>DAURDE</v>
      </c>
    </row>
    <row r="1318" customFormat="false" ht="15" hidden="false" customHeight="false" outlineLevel="0" collapsed="false">
      <c r="B1318" s="1" t="s">
        <v>542</v>
      </c>
      <c r="C1318" s="1" t="s">
        <v>545</v>
      </c>
      <c r="D1318" s="14" t="n">
        <v>46049.6006944444</v>
      </c>
      <c r="E1318" s="14" t="n">
        <v>46049.6006944444</v>
      </c>
      <c r="F1318" s="14" t="n">
        <v>46049.6805555556</v>
      </c>
      <c r="G1318" s="15" t="n">
        <f aca="false">F1318-E1318</f>
        <v>0.0798611111111111</v>
      </c>
      <c r="H1318" s="20" t="s">
        <v>248</v>
      </c>
      <c r="J1318" s="20" t="s">
        <v>256</v>
      </c>
      <c r="K1318" s="1" t="s">
        <v>430</v>
      </c>
      <c r="L1318" s="1" t="s">
        <v>619</v>
      </c>
      <c r="M1318" s="20" t="s">
        <v>258</v>
      </c>
      <c r="N1318" s="20" t="s">
        <v>259</v>
      </c>
      <c r="O1318" s="1" t="s">
        <v>603</v>
      </c>
      <c r="P1318" s="22" t="str">
        <f aca="false">_xlfn.CONCAT(B1318,C1318,D1318,E1318,F1318)</f>
        <v>BC Caiaponia1SG60KTL(COM1-002)_001_01046049.600694444446049.600694444446049.6805555556</v>
      </c>
      <c r="Q1318" s="1" t="str">
        <f aca="false">_xlfn.CONCAT(H1318,I1318,J1318)</f>
        <v>DAURDE</v>
      </c>
    </row>
    <row r="1319" customFormat="false" ht="15" hidden="false" customHeight="false" outlineLevel="0" collapsed="false">
      <c r="B1319" s="1" t="s">
        <v>542</v>
      </c>
      <c r="C1319" s="1" t="s">
        <v>546</v>
      </c>
      <c r="D1319" s="14" t="n">
        <v>46049.6006944444</v>
      </c>
      <c r="E1319" s="14" t="n">
        <v>46049.6006944444</v>
      </c>
      <c r="F1319" s="14" t="n">
        <v>46049.6805555556</v>
      </c>
      <c r="G1319" s="15" t="n">
        <f aca="false">F1319-E1319</f>
        <v>0.0798611111111111</v>
      </c>
      <c r="H1319" s="20" t="s">
        <v>248</v>
      </c>
      <c r="J1319" s="20" t="s">
        <v>256</v>
      </c>
      <c r="K1319" s="1" t="s">
        <v>430</v>
      </c>
      <c r="L1319" s="1" t="s">
        <v>619</v>
      </c>
      <c r="M1319" s="20" t="s">
        <v>258</v>
      </c>
      <c r="N1319" s="20" t="s">
        <v>259</v>
      </c>
      <c r="O1319" s="1" t="s">
        <v>603</v>
      </c>
      <c r="P1319" s="22" t="str">
        <f aca="false">_xlfn.CONCAT(B1319,C1319,D1319,E1319,F1319)</f>
        <v>BC Caiaponia1SG60KTL(COM1-003)_001_01146049.600694444446049.600694444446049.6805555556</v>
      </c>
      <c r="Q1319" s="1" t="str">
        <f aca="false">_xlfn.CONCAT(H1319,I1319,J1319)</f>
        <v>DAURDE</v>
      </c>
    </row>
    <row r="1320" customFormat="false" ht="15" hidden="false" customHeight="false" outlineLevel="0" collapsed="false">
      <c r="B1320" s="1" t="s">
        <v>542</v>
      </c>
      <c r="C1320" s="1" t="s">
        <v>547</v>
      </c>
      <c r="D1320" s="14" t="n">
        <v>46049.6006944444</v>
      </c>
      <c r="E1320" s="14" t="n">
        <v>46049.6006944444</v>
      </c>
      <c r="F1320" s="14" t="n">
        <v>46049.6805555556</v>
      </c>
      <c r="G1320" s="15" t="n">
        <f aca="false">F1320-E1320</f>
        <v>0.0798611111111111</v>
      </c>
      <c r="H1320" s="20" t="s">
        <v>248</v>
      </c>
      <c r="J1320" s="20" t="s">
        <v>256</v>
      </c>
      <c r="K1320" s="1" t="s">
        <v>430</v>
      </c>
      <c r="L1320" s="1" t="s">
        <v>619</v>
      </c>
      <c r="M1320" s="20" t="s">
        <v>258</v>
      </c>
      <c r="N1320" s="20" t="s">
        <v>259</v>
      </c>
      <c r="O1320" s="1" t="s">
        <v>603</v>
      </c>
      <c r="P1320" s="22" t="str">
        <f aca="false">_xlfn.CONCAT(B1320,C1320,D1320,E1320,F1320)</f>
        <v>BC Caiaponia1SG60KTL(COM1-004)_001_01446049.600694444446049.600694444446049.6805555556</v>
      </c>
      <c r="Q1320" s="1" t="str">
        <f aca="false">_xlfn.CONCAT(H1320,I1320,J1320)</f>
        <v>DAURDE</v>
      </c>
    </row>
    <row r="1321" customFormat="false" ht="15" hidden="false" customHeight="false" outlineLevel="0" collapsed="false">
      <c r="B1321" s="1" t="s">
        <v>542</v>
      </c>
      <c r="C1321" s="1" t="s">
        <v>548</v>
      </c>
      <c r="D1321" s="14" t="n">
        <v>46049.6006944444</v>
      </c>
      <c r="E1321" s="14" t="n">
        <v>46049.6006944444</v>
      </c>
      <c r="F1321" s="14" t="n">
        <v>46049.6805555556</v>
      </c>
      <c r="G1321" s="15" t="n">
        <f aca="false">F1321-E1321</f>
        <v>0.0798611111111111</v>
      </c>
      <c r="H1321" s="20" t="s">
        <v>248</v>
      </c>
      <c r="J1321" s="20" t="s">
        <v>256</v>
      </c>
      <c r="K1321" s="1" t="s">
        <v>430</v>
      </c>
      <c r="L1321" s="1" t="s">
        <v>619</v>
      </c>
      <c r="M1321" s="20" t="s">
        <v>258</v>
      </c>
      <c r="N1321" s="20" t="s">
        <v>259</v>
      </c>
      <c r="O1321" s="1" t="s">
        <v>603</v>
      </c>
      <c r="P1321" s="22" t="str">
        <f aca="false">_xlfn.CONCAT(B1321,C1321,D1321,E1321,F1321)</f>
        <v>BC Caiaponia1SG60KTL(COM1-005)_001_01746049.600694444446049.600694444446049.6805555556</v>
      </c>
      <c r="Q1321" s="1" t="str">
        <f aca="false">_xlfn.CONCAT(H1321,I1321,J1321)</f>
        <v>DAURDE</v>
      </c>
    </row>
    <row r="1322" customFormat="false" ht="15" hidden="false" customHeight="false" outlineLevel="0" collapsed="false">
      <c r="B1322" s="1" t="s">
        <v>542</v>
      </c>
      <c r="C1322" s="1" t="s">
        <v>549</v>
      </c>
      <c r="D1322" s="14" t="n">
        <v>46049.6006944444</v>
      </c>
      <c r="E1322" s="14" t="n">
        <v>46049.6006944444</v>
      </c>
      <c r="F1322" s="14" t="n">
        <v>46049.6805555556</v>
      </c>
      <c r="G1322" s="15" t="n">
        <f aca="false">F1322-E1322</f>
        <v>0.0798611111111111</v>
      </c>
      <c r="H1322" s="20" t="s">
        <v>248</v>
      </c>
      <c r="J1322" s="20" t="s">
        <v>256</v>
      </c>
      <c r="K1322" s="1" t="s">
        <v>430</v>
      </c>
      <c r="L1322" s="1" t="s">
        <v>619</v>
      </c>
      <c r="M1322" s="20" t="s">
        <v>258</v>
      </c>
      <c r="N1322" s="20" t="s">
        <v>259</v>
      </c>
      <c r="O1322" s="1" t="s">
        <v>603</v>
      </c>
      <c r="P1322" s="22" t="str">
        <f aca="false">_xlfn.CONCAT(B1322,C1322,D1322,E1322,F1322)</f>
        <v>BC Caiaponia1SG60KTL(COM1-006)_001_01646049.600694444446049.600694444446049.6805555556</v>
      </c>
      <c r="Q1322" s="1" t="str">
        <f aca="false">_xlfn.CONCAT(H1322,I1322,J1322)</f>
        <v>DAURDE</v>
      </c>
    </row>
    <row r="1323" customFormat="false" ht="15" hidden="false" customHeight="false" outlineLevel="0" collapsed="false">
      <c r="B1323" s="1" t="s">
        <v>542</v>
      </c>
      <c r="C1323" s="1" t="s">
        <v>550</v>
      </c>
      <c r="D1323" s="14" t="n">
        <v>46049.6006944444</v>
      </c>
      <c r="E1323" s="14" t="n">
        <v>46049.6006944444</v>
      </c>
      <c r="F1323" s="14" t="n">
        <v>46049.6805555556</v>
      </c>
      <c r="G1323" s="15" t="n">
        <f aca="false">F1323-E1323</f>
        <v>0.0798611111111111</v>
      </c>
      <c r="H1323" s="20" t="s">
        <v>248</v>
      </c>
      <c r="J1323" s="20" t="s">
        <v>256</v>
      </c>
      <c r="K1323" s="1" t="s">
        <v>430</v>
      </c>
      <c r="L1323" s="1" t="s">
        <v>619</v>
      </c>
      <c r="M1323" s="20" t="s">
        <v>258</v>
      </c>
      <c r="N1323" s="20" t="s">
        <v>259</v>
      </c>
      <c r="O1323" s="1" t="s">
        <v>603</v>
      </c>
      <c r="P1323" s="22" t="str">
        <f aca="false">_xlfn.CONCAT(B1323,C1323,D1323,E1323,F1323)</f>
        <v>BC Caiaponia1SG60KTL(COM1-007)_001_01346049.600694444446049.600694444446049.6805555556</v>
      </c>
      <c r="Q1323" s="1" t="str">
        <f aca="false">_xlfn.CONCAT(H1323,I1323,J1323)</f>
        <v>DAURDE</v>
      </c>
    </row>
    <row r="1324" customFormat="false" ht="15" hidden="false" customHeight="false" outlineLevel="0" collapsed="false">
      <c r="B1324" s="1" t="s">
        <v>542</v>
      </c>
      <c r="C1324" s="1" t="s">
        <v>551</v>
      </c>
      <c r="D1324" s="14" t="n">
        <v>46049.6006944444</v>
      </c>
      <c r="E1324" s="14" t="n">
        <v>46049.6006944444</v>
      </c>
      <c r="F1324" s="14" t="n">
        <v>46049.6805555556</v>
      </c>
      <c r="G1324" s="15" t="n">
        <f aca="false">F1324-E1324</f>
        <v>0.0798611111111111</v>
      </c>
      <c r="H1324" s="20" t="s">
        <v>248</v>
      </c>
      <c r="J1324" s="20" t="s">
        <v>256</v>
      </c>
      <c r="K1324" s="1" t="s">
        <v>430</v>
      </c>
      <c r="L1324" s="1" t="s">
        <v>619</v>
      </c>
      <c r="M1324" s="20" t="s">
        <v>258</v>
      </c>
      <c r="N1324" s="20" t="s">
        <v>259</v>
      </c>
      <c r="O1324" s="1" t="s">
        <v>603</v>
      </c>
      <c r="P1324" s="22" t="str">
        <f aca="false">_xlfn.CONCAT(B1324,C1324,D1324,E1324,F1324)</f>
        <v>BC Caiaponia1SG60KTL(COM1-008)_001_00146049.600694444446049.600694444446049.6805555556</v>
      </c>
      <c r="Q1324" s="1" t="str">
        <f aca="false">_xlfn.CONCAT(H1324,I1324,J1324)</f>
        <v>DAURDE</v>
      </c>
    </row>
    <row r="1325" customFormat="false" ht="15" hidden="false" customHeight="false" outlineLevel="0" collapsed="false">
      <c r="B1325" s="1" t="s">
        <v>542</v>
      </c>
      <c r="C1325" s="1" t="s">
        <v>552</v>
      </c>
      <c r="D1325" s="14" t="n">
        <v>46049.6006944444</v>
      </c>
      <c r="E1325" s="14" t="n">
        <v>46049.6006944444</v>
      </c>
      <c r="F1325" s="14" t="n">
        <v>46049.6805555556</v>
      </c>
      <c r="G1325" s="15" t="n">
        <f aca="false">F1325-E1325</f>
        <v>0.0798611111111111</v>
      </c>
      <c r="H1325" s="20" t="s">
        <v>248</v>
      </c>
      <c r="J1325" s="20" t="s">
        <v>256</v>
      </c>
      <c r="K1325" s="1" t="s">
        <v>430</v>
      </c>
      <c r="L1325" s="1" t="s">
        <v>619</v>
      </c>
      <c r="M1325" s="20" t="s">
        <v>258</v>
      </c>
      <c r="N1325" s="20" t="s">
        <v>259</v>
      </c>
      <c r="O1325" s="1" t="s">
        <v>603</v>
      </c>
      <c r="P1325" s="22" t="str">
        <f aca="false">_xlfn.CONCAT(B1325,C1325,D1325,E1325,F1325)</f>
        <v>BC Caiaponia1SG60KTL(COM1-009)46049.600694444446049.600694444446049.6805555556</v>
      </c>
      <c r="Q1325" s="1" t="str">
        <f aca="false">_xlfn.CONCAT(H1325,I1325,J1325)</f>
        <v>DAURDE</v>
      </c>
    </row>
    <row r="1326" customFormat="false" ht="15" hidden="false" customHeight="false" outlineLevel="0" collapsed="false">
      <c r="B1326" s="1" t="s">
        <v>542</v>
      </c>
      <c r="C1326" s="1" t="s">
        <v>553</v>
      </c>
      <c r="D1326" s="14" t="n">
        <v>46049.6006944444</v>
      </c>
      <c r="E1326" s="14" t="n">
        <v>46049.6006944444</v>
      </c>
      <c r="F1326" s="14" t="n">
        <v>46049.6805555556</v>
      </c>
      <c r="G1326" s="15" t="n">
        <f aca="false">F1326-E1326</f>
        <v>0.0798611111111111</v>
      </c>
      <c r="H1326" s="20" t="s">
        <v>248</v>
      </c>
      <c r="J1326" s="20" t="s">
        <v>256</v>
      </c>
      <c r="K1326" s="1" t="s">
        <v>430</v>
      </c>
      <c r="L1326" s="1" t="s">
        <v>619</v>
      </c>
      <c r="M1326" s="20" t="s">
        <v>258</v>
      </c>
      <c r="N1326" s="20" t="s">
        <v>259</v>
      </c>
      <c r="O1326" s="1" t="s">
        <v>603</v>
      </c>
      <c r="P1326" s="22" t="str">
        <f aca="false">_xlfn.CONCAT(B1326,C1326,D1326,E1326,F1326)</f>
        <v>BC Caiaponia1SG60KTL(COM1-010)46049.600694444446049.600694444446049.6805555556</v>
      </c>
      <c r="Q1326" s="1" t="str">
        <f aca="false">_xlfn.CONCAT(H1326,I1326,J1326)</f>
        <v>DAURDE</v>
      </c>
    </row>
    <row r="1327" customFormat="false" ht="15" hidden="false" customHeight="false" outlineLevel="0" collapsed="false">
      <c r="B1327" s="1" t="s">
        <v>542</v>
      </c>
      <c r="C1327" s="1" t="s">
        <v>554</v>
      </c>
      <c r="D1327" s="14" t="n">
        <v>46049.6006944444</v>
      </c>
      <c r="E1327" s="14" t="n">
        <v>46049.6006944444</v>
      </c>
      <c r="F1327" s="14" t="n">
        <v>46049.6805555556</v>
      </c>
      <c r="G1327" s="15" t="n">
        <f aca="false">F1327-E1327</f>
        <v>0.0798611111111111</v>
      </c>
      <c r="H1327" s="20" t="s">
        <v>248</v>
      </c>
      <c r="J1327" s="20" t="s">
        <v>256</v>
      </c>
      <c r="K1327" s="1" t="s">
        <v>430</v>
      </c>
      <c r="L1327" s="1" t="s">
        <v>619</v>
      </c>
      <c r="M1327" s="20" t="s">
        <v>258</v>
      </c>
      <c r="N1327" s="20" t="s">
        <v>259</v>
      </c>
      <c r="O1327" s="1" t="s">
        <v>603</v>
      </c>
      <c r="P1327" s="22" t="str">
        <f aca="false">_xlfn.CONCAT(B1327,C1327,D1327,E1327,F1327)</f>
        <v>BC Caiaponia1SG60KTL(COM1-011)46049.600694444446049.600694444446049.6805555556</v>
      </c>
      <c r="Q1327" s="1" t="str">
        <f aca="false">_xlfn.CONCAT(H1327,I1327,J1327)</f>
        <v>DAURDE</v>
      </c>
    </row>
    <row r="1328" customFormat="false" ht="15" hidden="false" customHeight="false" outlineLevel="0" collapsed="false">
      <c r="B1328" s="1" t="s">
        <v>542</v>
      </c>
      <c r="C1328" s="1" t="s">
        <v>555</v>
      </c>
      <c r="D1328" s="14" t="n">
        <v>46049.6006944444</v>
      </c>
      <c r="E1328" s="14" t="n">
        <v>46049.6006944444</v>
      </c>
      <c r="F1328" s="14" t="n">
        <v>46049.6805555556</v>
      </c>
      <c r="G1328" s="15" t="n">
        <f aca="false">F1328-E1328</f>
        <v>0.0798611111111111</v>
      </c>
      <c r="H1328" s="20" t="s">
        <v>248</v>
      </c>
      <c r="J1328" s="20" t="s">
        <v>256</v>
      </c>
      <c r="K1328" s="1" t="s">
        <v>430</v>
      </c>
      <c r="L1328" s="1" t="s">
        <v>619</v>
      </c>
      <c r="M1328" s="20" t="s">
        <v>258</v>
      </c>
      <c r="N1328" s="20" t="s">
        <v>259</v>
      </c>
      <c r="O1328" s="1" t="s">
        <v>603</v>
      </c>
      <c r="P1328" s="22" t="str">
        <f aca="false">_xlfn.CONCAT(B1328,C1328,D1328,E1328,F1328)</f>
        <v>BC Caiaponia1SG60KTL(COM1-012)46049.600694444446049.600694444446049.6805555556</v>
      </c>
      <c r="Q1328" s="1" t="str">
        <f aca="false">_xlfn.CONCAT(H1328,I1328,J1328)</f>
        <v>DAURDE</v>
      </c>
    </row>
    <row r="1329" customFormat="false" ht="15" hidden="false" customHeight="false" outlineLevel="0" collapsed="false">
      <c r="B1329" s="1" t="s">
        <v>542</v>
      </c>
      <c r="C1329" s="1" t="s">
        <v>556</v>
      </c>
      <c r="D1329" s="14" t="n">
        <v>46049.6006944444</v>
      </c>
      <c r="E1329" s="14" t="n">
        <v>46049.6006944444</v>
      </c>
      <c r="F1329" s="14" t="n">
        <v>46049.6805555556</v>
      </c>
      <c r="G1329" s="15" t="n">
        <f aca="false">F1329-E1329</f>
        <v>0.0798611111111111</v>
      </c>
      <c r="H1329" s="20" t="s">
        <v>248</v>
      </c>
      <c r="J1329" s="20" t="s">
        <v>256</v>
      </c>
      <c r="K1329" s="1" t="s">
        <v>430</v>
      </c>
      <c r="L1329" s="1" t="s">
        <v>619</v>
      </c>
      <c r="M1329" s="20" t="s">
        <v>258</v>
      </c>
      <c r="N1329" s="20" t="s">
        <v>259</v>
      </c>
      <c r="O1329" s="1" t="s">
        <v>603</v>
      </c>
      <c r="P1329" s="22" t="str">
        <f aca="false">_xlfn.CONCAT(B1329,C1329,D1329,E1329,F1329)</f>
        <v>BC Caiaponia1SG60KTL(COM1-013)46049.600694444446049.600694444446049.6805555556</v>
      </c>
      <c r="Q1329" s="1" t="str">
        <f aca="false">_xlfn.CONCAT(H1329,I1329,J1329)</f>
        <v>DAURDE</v>
      </c>
    </row>
    <row r="1330" customFormat="false" ht="15" hidden="false" customHeight="false" outlineLevel="0" collapsed="false">
      <c r="B1330" s="1" t="s">
        <v>542</v>
      </c>
      <c r="C1330" s="1" t="s">
        <v>557</v>
      </c>
      <c r="D1330" s="14" t="n">
        <v>46049.6006944444</v>
      </c>
      <c r="E1330" s="14" t="n">
        <v>46049.6006944444</v>
      </c>
      <c r="F1330" s="14" t="n">
        <v>46049.6805555556</v>
      </c>
      <c r="G1330" s="15" t="n">
        <f aca="false">F1330-E1330</f>
        <v>0.0798611111111111</v>
      </c>
      <c r="H1330" s="20" t="s">
        <v>248</v>
      </c>
      <c r="J1330" s="20" t="s">
        <v>256</v>
      </c>
      <c r="K1330" s="1" t="s">
        <v>430</v>
      </c>
      <c r="L1330" s="1" t="s">
        <v>619</v>
      </c>
      <c r="M1330" s="20" t="s">
        <v>258</v>
      </c>
      <c r="N1330" s="20" t="s">
        <v>259</v>
      </c>
      <c r="O1330" s="1" t="s">
        <v>603</v>
      </c>
      <c r="P1330" s="22" t="str">
        <f aca="false">_xlfn.CONCAT(B1330,C1330,D1330,E1330,F1330)</f>
        <v>BC Caiaponia1SG60KTL(COM1-014)46049.600694444446049.600694444446049.6805555556</v>
      </c>
      <c r="Q1330" s="1" t="str">
        <f aca="false">_xlfn.CONCAT(H1330,I1330,J1330)</f>
        <v>DAURDE</v>
      </c>
    </row>
    <row r="1331" customFormat="false" ht="15" hidden="false" customHeight="false" outlineLevel="0" collapsed="false">
      <c r="B1331" s="1" t="s">
        <v>542</v>
      </c>
      <c r="C1331" s="1" t="s">
        <v>558</v>
      </c>
      <c r="D1331" s="14" t="n">
        <v>46049.6006944444</v>
      </c>
      <c r="E1331" s="14" t="n">
        <v>46049.6006944444</v>
      </c>
      <c r="F1331" s="14" t="n">
        <v>46049.6805555556</v>
      </c>
      <c r="G1331" s="15" t="n">
        <f aca="false">F1331-E1331</f>
        <v>0.0798611111111111</v>
      </c>
      <c r="H1331" s="20" t="s">
        <v>248</v>
      </c>
      <c r="J1331" s="20" t="s">
        <v>256</v>
      </c>
      <c r="K1331" s="1" t="s">
        <v>430</v>
      </c>
      <c r="L1331" s="1" t="s">
        <v>619</v>
      </c>
      <c r="M1331" s="20" t="s">
        <v>258</v>
      </c>
      <c r="N1331" s="20" t="s">
        <v>259</v>
      </c>
      <c r="O1331" s="1" t="s">
        <v>603</v>
      </c>
      <c r="P1331" s="22" t="str">
        <f aca="false">_xlfn.CONCAT(B1331,C1331,D1331,E1331,F1331)</f>
        <v>BC Caiaponia1SG60KTL(COM1-015)46049.600694444446049.600694444446049.6805555556</v>
      </c>
      <c r="Q1331" s="1" t="str">
        <f aca="false">_xlfn.CONCAT(H1331,I1331,J1331)</f>
        <v>DAURDE</v>
      </c>
    </row>
    <row r="1332" customFormat="false" ht="15" hidden="false" customHeight="false" outlineLevel="0" collapsed="false">
      <c r="B1332" s="1" t="s">
        <v>542</v>
      </c>
      <c r="C1332" s="1" t="s">
        <v>559</v>
      </c>
      <c r="D1332" s="14" t="n">
        <v>46049.6006944444</v>
      </c>
      <c r="E1332" s="14" t="n">
        <v>46049.6006944444</v>
      </c>
      <c r="F1332" s="14" t="n">
        <v>46049.6805555556</v>
      </c>
      <c r="G1332" s="15" t="n">
        <f aca="false">F1332-E1332</f>
        <v>0.0798611111111111</v>
      </c>
      <c r="H1332" s="20" t="s">
        <v>248</v>
      </c>
      <c r="J1332" s="20" t="s">
        <v>256</v>
      </c>
      <c r="K1332" s="1" t="s">
        <v>430</v>
      </c>
      <c r="L1332" s="1" t="s">
        <v>619</v>
      </c>
      <c r="M1332" s="20" t="s">
        <v>258</v>
      </c>
      <c r="N1332" s="20" t="s">
        <v>259</v>
      </c>
      <c r="O1332" s="1" t="s">
        <v>603</v>
      </c>
      <c r="P1332" s="22" t="str">
        <f aca="false">_xlfn.CONCAT(B1332,C1332,D1332,E1332,F1332)</f>
        <v>BC Caiaponia1SG60KTL(COM3-016)_001_00946049.600694444446049.600694444446049.6805555556</v>
      </c>
      <c r="Q1332" s="1" t="str">
        <f aca="false">_xlfn.CONCAT(H1332,I1332,J1332)</f>
        <v>DAURDE</v>
      </c>
    </row>
    <row r="1333" customFormat="false" ht="15" hidden="false" customHeight="false" outlineLevel="0" collapsed="false">
      <c r="B1333" s="1" t="s">
        <v>542</v>
      </c>
      <c r="C1333" s="1" t="s">
        <v>560</v>
      </c>
      <c r="D1333" s="14" t="n">
        <v>46049.6006944444</v>
      </c>
      <c r="E1333" s="14" t="n">
        <v>46049.6006944444</v>
      </c>
      <c r="F1333" s="14" t="n">
        <v>46049.6805555556</v>
      </c>
      <c r="G1333" s="15" t="n">
        <f aca="false">F1333-E1333</f>
        <v>0.0798611111111111</v>
      </c>
      <c r="H1333" s="20" t="s">
        <v>248</v>
      </c>
      <c r="J1333" s="20" t="s">
        <v>256</v>
      </c>
      <c r="K1333" s="1" t="s">
        <v>430</v>
      </c>
      <c r="L1333" s="1" t="s">
        <v>619</v>
      </c>
      <c r="M1333" s="20" t="s">
        <v>258</v>
      </c>
      <c r="N1333" s="20" t="s">
        <v>259</v>
      </c>
      <c r="O1333" s="1" t="s">
        <v>603</v>
      </c>
      <c r="P1333" s="22" t="str">
        <f aca="false">_xlfn.CONCAT(B1333,C1333,D1333,E1333,F1333)</f>
        <v>BC Caiaponia1SG60KTL(COM3-017)_001_01246049.600694444446049.600694444446049.6805555556</v>
      </c>
      <c r="Q1333" s="1" t="str">
        <f aca="false">_xlfn.CONCAT(H1333,I1333,J1333)</f>
        <v>DAURDE</v>
      </c>
    </row>
    <row r="1334" customFormat="false" ht="15" hidden="false" customHeight="false" outlineLevel="0" collapsed="false">
      <c r="B1334" s="1" t="s">
        <v>542</v>
      </c>
      <c r="C1334" s="1" t="s">
        <v>561</v>
      </c>
      <c r="D1334" s="14" t="n">
        <v>46049.6006944444</v>
      </c>
      <c r="E1334" s="14" t="n">
        <v>46049.6006944444</v>
      </c>
      <c r="F1334" s="14" t="n">
        <v>46049.6805555556</v>
      </c>
      <c r="G1334" s="15" t="n">
        <f aca="false">F1334-E1334</f>
        <v>0.0798611111111111</v>
      </c>
      <c r="H1334" s="20" t="s">
        <v>248</v>
      </c>
      <c r="J1334" s="20" t="s">
        <v>256</v>
      </c>
      <c r="K1334" s="1" t="s">
        <v>430</v>
      </c>
      <c r="L1334" s="1" t="s">
        <v>619</v>
      </c>
      <c r="M1334" s="20" t="s">
        <v>258</v>
      </c>
      <c r="N1334" s="20" t="s">
        <v>259</v>
      </c>
      <c r="O1334" s="1" t="s">
        <v>603</v>
      </c>
      <c r="P1334" s="22" t="str">
        <f aca="false">_xlfn.CONCAT(B1334,C1334,D1334,E1334,F1334)</f>
        <v>BC Caiaponia1SG60KTL(COM3-018)_001_00846049.600694444446049.600694444446049.6805555556</v>
      </c>
      <c r="Q1334" s="1" t="str">
        <f aca="false">_xlfn.CONCAT(H1334,I1334,J1334)</f>
        <v>DAURDE</v>
      </c>
    </row>
    <row r="1335" customFormat="false" ht="15" hidden="false" customHeight="false" outlineLevel="0" collapsed="false">
      <c r="B1335" s="1" t="s">
        <v>542</v>
      </c>
      <c r="C1335" s="1" t="s">
        <v>562</v>
      </c>
      <c r="D1335" s="14" t="n">
        <v>46049.6006944444</v>
      </c>
      <c r="E1335" s="14" t="n">
        <v>46049.6006944444</v>
      </c>
      <c r="F1335" s="14" t="n">
        <v>46049.6805555556</v>
      </c>
      <c r="G1335" s="15" t="n">
        <f aca="false">F1335-E1335</f>
        <v>0.0798611111111111</v>
      </c>
      <c r="H1335" s="20" t="s">
        <v>248</v>
      </c>
      <c r="J1335" s="20" t="s">
        <v>256</v>
      </c>
      <c r="K1335" s="1" t="s">
        <v>430</v>
      </c>
      <c r="L1335" s="1" t="s">
        <v>619</v>
      </c>
      <c r="M1335" s="20" t="s">
        <v>258</v>
      </c>
      <c r="N1335" s="20" t="s">
        <v>259</v>
      </c>
      <c r="O1335" s="1" t="s">
        <v>603</v>
      </c>
      <c r="P1335" s="22" t="str">
        <f aca="false">_xlfn.CONCAT(B1335,C1335,D1335,E1335,F1335)</f>
        <v>BC Caiaponia1SG60KTL(COM3-019)_001_01946049.600694444446049.600694444446049.6805555556</v>
      </c>
      <c r="Q1335" s="1" t="str">
        <f aca="false">_xlfn.CONCAT(H1335,I1335,J1335)</f>
        <v>DAURDE</v>
      </c>
    </row>
    <row r="1336" customFormat="false" ht="15" hidden="false" customHeight="false" outlineLevel="0" collapsed="false">
      <c r="B1336" s="1" t="s">
        <v>542</v>
      </c>
      <c r="C1336" s="1" t="s">
        <v>563</v>
      </c>
      <c r="D1336" s="14" t="n">
        <v>46049.6006944444</v>
      </c>
      <c r="E1336" s="14" t="n">
        <v>46049.6006944444</v>
      </c>
      <c r="F1336" s="14" t="n">
        <v>46049.6805555556</v>
      </c>
      <c r="G1336" s="15" t="n">
        <f aca="false">F1336-E1336</f>
        <v>0.0798611111111111</v>
      </c>
      <c r="H1336" s="20" t="s">
        <v>248</v>
      </c>
      <c r="J1336" s="20" t="s">
        <v>256</v>
      </c>
      <c r="K1336" s="1" t="s">
        <v>430</v>
      </c>
      <c r="L1336" s="1" t="s">
        <v>619</v>
      </c>
      <c r="M1336" s="20" t="s">
        <v>258</v>
      </c>
      <c r="N1336" s="20" t="s">
        <v>259</v>
      </c>
      <c r="O1336" s="1" t="s">
        <v>603</v>
      </c>
      <c r="P1336" s="22" t="str">
        <f aca="false">_xlfn.CONCAT(B1336,C1336,D1336,E1336,F1336)</f>
        <v>BC Caiaponia1SG60KTL(COM3-020)_001_02046049.600694444446049.600694444446049.6805555556</v>
      </c>
      <c r="Q1336" s="1" t="str">
        <f aca="false">_xlfn.CONCAT(H1336,I1336,J1336)</f>
        <v>DAURDE</v>
      </c>
    </row>
    <row r="1337" customFormat="false" ht="15" hidden="false" customHeight="false" outlineLevel="0" collapsed="false">
      <c r="B1337" s="1" t="s">
        <v>542</v>
      </c>
      <c r="C1337" s="1" t="s">
        <v>564</v>
      </c>
      <c r="D1337" s="14" t="n">
        <v>46049.6006944444</v>
      </c>
      <c r="E1337" s="14" t="n">
        <v>46049.6006944444</v>
      </c>
      <c r="F1337" s="14" t="n">
        <v>46049.6805555556</v>
      </c>
      <c r="G1337" s="15" t="n">
        <f aca="false">F1337-E1337</f>
        <v>0.0798611111111111</v>
      </c>
      <c r="H1337" s="20" t="s">
        <v>248</v>
      </c>
      <c r="J1337" s="20" t="s">
        <v>256</v>
      </c>
      <c r="K1337" s="1" t="s">
        <v>430</v>
      </c>
      <c r="L1337" s="1" t="s">
        <v>619</v>
      </c>
      <c r="M1337" s="20" t="s">
        <v>258</v>
      </c>
      <c r="N1337" s="20" t="s">
        <v>259</v>
      </c>
      <c r="O1337" s="1" t="s">
        <v>603</v>
      </c>
      <c r="P1337" s="22" t="str">
        <f aca="false">_xlfn.CONCAT(B1337,C1337,D1337,E1337,F1337)</f>
        <v>BC Caiaponia1SG60KTL(COM2-026)46049.600694444446049.600694444446049.6805555556</v>
      </c>
      <c r="Q1337" s="1" t="str">
        <f aca="false">_xlfn.CONCAT(H1337,I1337,J1337)</f>
        <v>DAURDE</v>
      </c>
    </row>
    <row r="1338" customFormat="false" ht="15" hidden="false" customHeight="false" outlineLevel="0" collapsed="false">
      <c r="B1338" s="1" t="s">
        <v>542</v>
      </c>
      <c r="C1338" s="1" t="s">
        <v>565</v>
      </c>
      <c r="D1338" s="14" t="n">
        <v>46049.6006944444</v>
      </c>
      <c r="E1338" s="14" t="n">
        <v>46049.6006944444</v>
      </c>
      <c r="F1338" s="14" t="n">
        <v>46049.6805555556</v>
      </c>
      <c r="G1338" s="15" t="n">
        <f aca="false">F1338-E1338</f>
        <v>0.0798611111111111</v>
      </c>
      <c r="H1338" s="20" t="s">
        <v>248</v>
      </c>
      <c r="J1338" s="20" t="s">
        <v>256</v>
      </c>
      <c r="K1338" s="1" t="s">
        <v>430</v>
      </c>
      <c r="L1338" s="1" t="s">
        <v>619</v>
      </c>
      <c r="M1338" s="20" t="s">
        <v>258</v>
      </c>
      <c r="N1338" s="20" t="s">
        <v>259</v>
      </c>
      <c r="O1338" s="1" t="s">
        <v>603</v>
      </c>
      <c r="P1338" s="22" t="str">
        <f aca="false">_xlfn.CONCAT(B1338,C1338,D1338,E1338,F1338)</f>
        <v>BC Caiaponia1SG60KTL(COM2-027)46049.600694444446049.600694444446049.6805555556</v>
      </c>
      <c r="Q1338" s="1" t="str">
        <f aca="false">_xlfn.CONCAT(H1338,I1338,J1338)</f>
        <v>DAURDE</v>
      </c>
    </row>
    <row r="1339" customFormat="false" ht="15" hidden="false" customHeight="false" outlineLevel="0" collapsed="false">
      <c r="B1339" s="1" t="s">
        <v>542</v>
      </c>
      <c r="C1339" s="1" t="s">
        <v>566</v>
      </c>
      <c r="D1339" s="14" t="n">
        <v>46049.6006944444</v>
      </c>
      <c r="E1339" s="14" t="n">
        <v>46049.6006944444</v>
      </c>
      <c r="F1339" s="14" t="n">
        <v>46049.6805555556</v>
      </c>
      <c r="G1339" s="15" t="n">
        <f aca="false">F1339-E1339</f>
        <v>0.0798611111111111</v>
      </c>
      <c r="H1339" s="20" t="s">
        <v>248</v>
      </c>
      <c r="J1339" s="20" t="s">
        <v>256</v>
      </c>
      <c r="K1339" s="1" t="s">
        <v>430</v>
      </c>
      <c r="L1339" s="1" t="s">
        <v>619</v>
      </c>
      <c r="M1339" s="20" t="s">
        <v>258</v>
      </c>
      <c r="N1339" s="20" t="s">
        <v>259</v>
      </c>
      <c r="O1339" s="1" t="s">
        <v>603</v>
      </c>
      <c r="P1339" s="22" t="str">
        <f aca="false">_xlfn.CONCAT(B1339,C1339,D1339,E1339,F1339)</f>
        <v>BC Caiaponia1SG60KTL(COM2-028)46049.600694444446049.600694444446049.6805555556</v>
      </c>
      <c r="Q1339" s="1" t="str">
        <f aca="false">_xlfn.CONCAT(H1339,I1339,J1339)</f>
        <v>DAURDE</v>
      </c>
    </row>
    <row r="1340" customFormat="false" ht="15" hidden="false" customHeight="false" outlineLevel="0" collapsed="false">
      <c r="B1340" s="1" t="s">
        <v>542</v>
      </c>
      <c r="C1340" s="1" t="s">
        <v>567</v>
      </c>
      <c r="D1340" s="14" t="n">
        <v>46049.6006944444</v>
      </c>
      <c r="E1340" s="14" t="n">
        <v>46049.6006944444</v>
      </c>
      <c r="F1340" s="14" t="n">
        <v>46049.6805555556</v>
      </c>
      <c r="G1340" s="15" t="n">
        <f aca="false">F1340-E1340</f>
        <v>0.0798611111111111</v>
      </c>
      <c r="H1340" s="20" t="s">
        <v>248</v>
      </c>
      <c r="J1340" s="20" t="s">
        <v>256</v>
      </c>
      <c r="K1340" s="1" t="s">
        <v>430</v>
      </c>
      <c r="L1340" s="1" t="s">
        <v>619</v>
      </c>
      <c r="M1340" s="20" t="s">
        <v>258</v>
      </c>
      <c r="N1340" s="20" t="s">
        <v>259</v>
      </c>
      <c r="O1340" s="1" t="s">
        <v>603</v>
      </c>
      <c r="P1340" s="22" t="str">
        <f aca="false">_xlfn.CONCAT(B1340,C1340,D1340,E1340,F1340)</f>
        <v>BC Caiaponia1SG60KTL(COM2-029)46049.600694444446049.600694444446049.6805555556</v>
      </c>
      <c r="Q1340" s="1" t="str">
        <f aca="false">_xlfn.CONCAT(H1340,I1340,J1340)</f>
        <v>DAURDE</v>
      </c>
    </row>
    <row r="1341" customFormat="false" ht="15" hidden="false" customHeight="false" outlineLevel="0" collapsed="false">
      <c r="B1341" s="1" t="s">
        <v>542</v>
      </c>
      <c r="C1341" s="1" t="s">
        <v>568</v>
      </c>
      <c r="D1341" s="14" t="n">
        <v>46049.6006944444</v>
      </c>
      <c r="E1341" s="14" t="n">
        <v>46049.6006944444</v>
      </c>
      <c r="F1341" s="14" t="n">
        <v>46049.6805555556</v>
      </c>
      <c r="G1341" s="15" t="n">
        <f aca="false">F1341-E1341</f>
        <v>0.0798611111111111</v>
      </c>
      <c r="H1341" s="20" t="s">
        <v>248</v>
      </c>
      <c r="J1341" s="20" t="s">
        <v>256</v>
      </c>
      <c r="K1341" s="1" t="s">
        <v>430</v>
      </c>
      <c r="L1341" s="1" t="s">
        <v>619</v>
      </c>
      <c r="M1341" s="20" t="s">
        <v>258</v>
      </c>
      <c r="N1341" s="20" t="s">
        <v>259</v>
      </c>
      <c r="O1341" s="1" t="s">
        <v>603</v>
      </c>
      <c r="P1341" s="22" t="str">
        <f aca="false">_xlfn.CONCAT(B1341,C1341,D1341,E1341,F1341)</f>
        <v>BC Caiaponia1SG50CX(COM1-021)46049.600694444446049.600694444446049.6805555556</v>
      </c>
      <c r="Q1341" s="1" t="str">
        <f aca="false">_xlfn.CONCAT(H1341,I1341,J1341)</f>
        <v>DAURDE</v>
      </c>
    </row>
    <row r="1342" customFormat="false" ht="15" hidden="false" customHeight="false" outlineLevel="0" collapsed="false">
      <c r="B1342" s="1" t="s">
        <v>542</v>
      </c>
      <c r="C1342" s="1" t="s">
        <v>569</v>
      </c>
      <c r="D1342" s="14" t="n">
        <v>46049.6006944444</v>
      </c>
      <c r="E1342" s="14" t="n">
        <v>46049.6006944444</v>
      </c>
      <c r="F1342" s="14" t="n">
        <v>46049.6805555556</v>
      </c>
      <c r="G1342" s="15" t="n">
        <f aca="false">F1342-E1342</f>
        <v>0.0798611111111111</v>
      </c>
      <c r="H1342" s="20" t="s">
        <v>248</v>
      </c>
      <c r="J1342" s="20" t="s">
        <v>256</v>
      </c>
      <c r="K1342" s="1" t="s">
        <v>430</v>
      </c>
      <c r="L1342" s="1" t="s">
        <v>619</v>
      </c>
      <c r="M1342" s="20" t="s">
        <v>258</v>
      </c>
      <c r="N1342" s="20" t="s">
        <v>259</v>
      </c>
      <c r="O1342" s="1" t="s">
        <v>603</v>
      </c>
      <c r="P1342" s="22" t="str">
        <f aca="false">_xlfn.CONCAT(B1342,C1342,D1342,E1342,F1342)</f>
        <v>BC Caiaponia1SG50CX(COM1-022)46049.600694444446049.600694444446049.6805555556</v>
      </c>
      <c r="Q1342" s="1" t="str">
        <f aca="false">_xlfn.CONCAT(H1342,I1342,J1342)</f>
        <v>DAURDE</v>
      </c>
    </row>
    <row r="1343" customFormat="false" ht="15" hidden="false" customHeight="false" outlineLevel="0" collapsed="false">
      <c r="B1343" s="1" t="s">
        <v>542</v>
      </c>
      <c r="C1343" s="1" t="s">
        <v>570</v>
      </c>
      <c r="D1343" s="14" t="n">
        <v>46049.6006944444</v>
      </c>
      <c r="E1343" s="14" t="n">
        <v>46049.6006944444</v>
      </c>
      <c r="F1343" s="14" t="n">
        <v>46049.6805555556</v>
      </c>
      <c r="G1343" s="15" t="n">
        <f aca="false">F1343-E1343</f>
        <v>0.0798611111111111</v>
      </c>
      <c r="H1343" s="20" t="s">
        <v>248</v>
      </c>
      <c r="J1343" s="20" t="s">
        <v>256</v>
      </c>
      <c r="K1343" s="1" t="s">
        <v>430</v>
      </c>
      <c r="L1343" s="1" t="s">
        <v>619</v>
      </c>
      <c r="M1343" s="20" t="s">
        <v>258</v>
      </c>
      <c r="N1343" s="20" t="s">
        <v>259</v>
      </c>
      <c r="O1343" s="1" t="s">
        <v>603</v>
      </c>
      <c r="P1343" s="22" t="str">
        <f aca="false">_xlfn.CONCAT(B1343,C1343,D1343,E1343,F1343)</f>
        <v>BC Caiaponia1SG50CX(COM1-023)46049.600694444446049.600694444446049.6805555556</v>
      </c>
      <c r="Q1343" s="1" t="str">
        <f aca="false">_xlfn.CONCAT(H1343,I1343,J1343)</f>
        <v>DAURDE</v>
      </c>
    </row>
    <row r="1344" customFormat="false" ht="15" hidden="false" customHeight="false" outlineLevel="0" collapsed="false">
      <c r="B1344" s="1" t="s">
        <v>542</v>
      </c>
      <c r="C1344" s="1" t="s">
        <v>571</v>
      </c>
      <c r="D1344" s="14" t="n">
        <v>46049.6006944444</v>
      </c>
      <c r="E1344" s="14" t="n">
        <v>46049.6006944444</v>
      </c>
      <c r="F1344" s="14" t="n">
        <v>46049.6805555556</v>
      </c>
      <c r="G1344" s="15" t="n">
        <f aca="false">F1344-E1344</f>
        <v>0.0798611111111111</v>
      </c>
      <c r="H1344" s="20" t="s">
        <v>248</v>
      </c>
      <c r="J1344" s="20" t="s">
        <v>256</v>
      </c>
      <c r="K1344" s="1" t="s">
        <v>430</v>
      </c>
      <c r="L1344" s="1" t="s">
        <v>619</v>
      </c>
      <c r="M1344" s="20" t="s">
        <v>258</v>
      </c>
      <c r="N1344" s="20" t="s">
        <v>259</v>
      </c>
      <c r="O1344" s="1" t="s">
        <v>603</v>
      </c>
      <c r="P1344" s="22" t="str">
        <f aca="false">_xlfn.CONCAT(B1344,C1344,D1344,E1344,F1344)</f>
        <v>BC Caiaponia1SG50CX(COM1-024)46049.600694444446049.600694444446049.6805555556</v>
      </c>
      <c r="Q1344" s="1" t="str">
        <f aca="false">_xlfn.CONCAT(H1344,I1344,J1344)</f>
        <v>DAURDE</v>
      </c>
    </row>
    <row r="1345" customFormat="false" ht="15" hidden="false" customHeight="false" outlineLevel="0" collapsed="false">
      <c r="B1345" s="1" t="s">
        <v>542</v>
      </c>
      <c r="C1345" s="1" t="s">
        <v>572</v>
      </c>
      <c r="D1345" s="14" t="n">
        <v>46049.6006944444</v>
      </c>
      <c r="E1345" s="14" t="n">
        <v>46049.6006944444</v>
      </c>
      <c r="F1345" s="14" t="n">
        <v>46049.6805555556</v>
      </c>
      <c r="G1345" s="15" t="n">
        <f aca="false">F1345-E1345</f>
        <v>0.0798611111111111</v>
      </c>
      <c r="H1345" s="20" t="s">
        <v>248</v>
      </c>
      <c r="J1345" s="20" t="s">
        <v>256</v>
      </c>
      <c r="K1345" s="1" t="s">
        <v>430</v>
      </c>
      <c r="L1345" s="1" t="s">
        <v>619</v>
      </c>
      <c r="M1345" s="20" t="s">
        <v>258</v>
      </c>
      <c r="N1345" s="20" t="s">
        <v>259</v>
      </c>
      <c r="O1345" s="1" t="s">
        <v>603</v>
      </c>
      <c r="P1345" s="22" t="str">
        <f aca="false">_xlfn.CONCAT(B1345,C1345,D1345,E1345,F1345)</f>
        <v>BC Caiaponia1SG50CX(COM1-025)46049.600694444446049.600694444446049.6805555556</v>
      </c>
      <c r="Q1345" s="1" t="str">
        <f aca="false">_xlfn.CONCAT(H1345,I1345,J1345)</f>
        <v>DAURDE</v>
      </c>
    </row>
    <row r="1346" customFormat="false" ht="15" hidden="false" customHeight="false" outlineLevel="0" collapsed="false">
      <c r="B1346" s="1" t="s">
        <v>578</v>
      </c>
      <c r="C1346" s="1" t="s">
        <v>396</v>
      </c>
      <c r="D1346" s="14" t="n">
        <v>46049.6006944444</v>
      </c>
      <c r="E1346" s="14" t="n">
        <v>46049.6006944444</v>
      </c>
      <c r="F1346" s="14" t="n">
        <v>46049.6805555556</v>
      </c>
      <c r="G1346" s="15" t="n">
        <f aca="false">F1346-E1346</f>
        <v>0.0798611111111111</v>
      </c>
      <c r="H1346" s="20" t="s">
        <v>248</v>
      </c>
      <c r="J1346" s="20" t="s">
        <v>256</v>
      </c>
      <c r="K1346" s="1" t="s">
        <v>430</v>
      </c>
      <c r="L1346" s="1" t="s">
        <v>619</v>
      </c>
      <c r="M1346" s="20" t="s">
        <v>258</v>
      </c>
      <c r="N1346" s="20" t="s">
        <v>259</v>
      </c>
      <c r="O1346" s="1" t="s">
        <v>603</v>
      </c>
      <c r="P1346" s="22" t="str">
        <f aca="false">_xlfn.CONCAT(B1346,C1346,D1346,E1346,F1346)</f>
        <v>BC Caiaponia2.1215KTL-H3(MBUS-12)46049.600694444446049.600694444446049.6805555556</v>
      </c>
      <c r="Q1346" s="1" t="str">
        <f aca="false">_xlfn.CONCAT(H1346,I1346,J1346)</f>
        <v>DAURDE</v>
      </c>
    </row>
    <row r="1347" customFormat="false" ht="15" hidden="false" customHeight="false" outlineLevel="0" collapsed="false">
      <c r="B1347" s="1" t="s">
        <v>578</v>
      </c>
      <c r="C1347" s="1" t="s">
        <v>397</v>
      </c>
      <c r="D1347" s="14" t="n">
        <v>46049.6006944444</v>
      </c>
      <c r="E1347" s="14" t="n">
        <v>46049.6006944444</v>
      </c>
      <c r="F1347" s="14" t="n">
        <v>46049.6805555556</v>
      </c>
      <c r="G1347" s="15" t="n">
        <f aca="false">F1347-E1347</f>
        <v>0.0798611111111111</v>
      </c>
      <c r="H1347" s="20" t="s">
        <v>248</v>
      </c>
      <c r="J1347" s="20" t="s">
        <v>256</v>
      </c>
      <c r="K1347" s="1" t="s">
        <v>430</v>
      </c>
      <c r="L1347" s="1" t="s">
        <v>619</v>
      </c>
      <c r="M1347" s="20" t="s">
        <v>258</v>
      </c>
      <c r="N1347" s="20" t="s">
        <v>259</v>
      </c>
      <c r="O1347" s="1" t="s">
        <v>603</v>
      </c>
      <c r="P1347" s="22" t="str">
        <f aca="false">_xlfn.CONCAT(B1347,C1347,D1347,E1347,F1347)</f>
        <v>BC Caiaponia2.1215KTL-H3(MBUS-13)46049.600694444446049.600694444446049.6805555556</v>
      </c>
      <c r="Q1347" s="1" t="str">
        <f aca="false">_xlfn.CONCAT(H1347,I1347,J1347)</f>
        <v>DAURDE</v>
      </c>
    </row>
    <row r="1348" customFormat="false" ht="15" hidden="false" customHeight="false" outlineLevel="0" collapsed="false">
      <c r="B1348" s="1" t="s">
        <v>578</v>
      </c>
      <c r="C1348" s="1" t="s">
        <v>394</v>
      </c>
      <c r="D1348" s="14" t="n">
        <v>46049.6006944444</v>
      </c>
      <c r="E1348" s="14" t="n">
        <v>46049.6006944444</v>
      </c>
      <c r="F1348" s="14" t="n">
        <v>46049.6805555556</v>
      </c>
      <c r="G1348" s="15" t="n">
        <f aca="false">F1348-E1348</f>
        <v>0.0798611111111111</v>
      </c>
      <c r="H1348" s="20" t="s">
        <v>248</v>
      </c>
      <c r="J1348" s="20" t="s">
        <v>256</v>
      </c>
      <c r="K1348" s="1" t="s">
        <v>430</v>
      </c>
      <c r="L1348" s="1" t="s">
        <v>619</v>
      </c>
      <c r="M1348" s="20" t="s">
        <v>258</v>
      </c>
      <c r="N1348" s="20" t="s">
        <v>259</v>
      </c>
      <c r="O1348" s="1" t="s">
        <v>603</v>
      </c>
      <c r="P1348" s="22" t="str">
        <f aca="false">_xlfn.CONCAT(B1348,C1348,D1348,E1348,F1348)</f>
        <v>BC Caiaponia2.1215KTL-H3(MBUS-14)46049.600694444446049.600694444446049.6805555556</v>
      </c>
      <c r="Q1348" s="1" t="str">
        <f aca="false">_xlfn.CONCAT(H1348,I1348,J1348)</f>
        <v>DAURDE</v>
      </c>
    </row>
    <row r="1349" customFormat="false" ht="15" hidden="false" customHeight="false" outlineLevel="0" collapsed="false">
      <c r="B1349" s="1" t="s">
        <v>578</v>
      </c>
      <c r="C1349" s="1" t="s">
        <v>395</v>
      </c>
      <c r="D1349" s="14" t="n">
        <v>46049.6006944444</v>
      </c>
      <c r="E1349" s="14" t="n">
        <v>46049.6006944444</v>
      </c>
      <c r="F1349" s="14" t="n">
        <v>46049.6805555556</v>
      </c>
      <c r="G1349" s="15" t="n">
        <f aca="false">F1349-E1349</f>
        <v>0.0798611111111111</v>
      </c>
      <c r="H1349" s="20" t="s">
        <v>248</v>
      </c>
      <c r="J1349" s="20" t="s">
        <v>256</v>
      </c>
      <c r="K1349" s="1" t="s">
        <v>430</v>
      </c>
      <c r="L1349" s="1" t="s">
        <v>619</v>
      </c>
      <c r="M1349" s="20" t="s">
        <v>258</v>
      </c>
      <c r="N1349" s="20" t="s">
        <v>259</v>
      </c>
      <c r="O1349" s="1" t="s">
        <v>603</v>
      </c>
      <c r="P1349" s="22" t="str">
        <f aca="false">_xlfn.CONCAT(B1349,C1349,D1349,E1349,F1349)</f>
        <v>BC Caiaponia2.1215KTL-H3(MBUS-15)46049.600694444446049.600694444446049.6805555556</v>
      </c>
      <c r="Q1349" s="1" t="str">
        <f aca="false">_xlfn.CONCAT(H1349,I1349,J1349)</f>
        <v>DAURDE</v>
      </c>
    </row>
    <row r="1350" customFormat="false" ht="15" hidden="false" customHeight="false" outlineLevel="0" collapsed="false">
      <c r="B1350" s="1" t="s">
        <v>578</v>
      </c>
      <c r="C1350" s="1" t="s">
        <v>391</v>
      </c>
      <c r="D1350" s="14" t="n">
        <v>46049.6006944444</v>
      </c>
      <c r="E1350" s="14" t="n">
        <v>46049.6006944444</v>
      </c>
      <c r="F1350" s="14" t="n">
        <v>46049.6805555556</v>
      </c>
      <c r="G1350" s="15" t="n">
        <f aca="false">F1350-E1350</f>
        <v>0.0798611111111111</v>
      </c>
      <c r="H1350" s="20" t="s">
        <v>248</v>
      </c>
      <c r="J1350" s="20" t="s">
        <v>256</v>
      </c>
      <c r="K1350" s="1" t="s">
        <v>430</v>
      </c>
      <c r="L1350" s="1" t="s">
        <v>619</v>
      </c>
      <c r="M1350" s="20" t="s">
        <v>258</v>
      </c>
      <c r="N1350" s="20" t="s">
        <v>259</v>
      </c>
      <c r="O1350" s="1" t="s">
        <v>603</v>
      </c>
      <c r="P1350" s="22" t="str">
        <f aca="false">_xlfn.CONCAT(B1350,C1350,D1350,E1350,F1350)</f>
        <v>BC Caiaponia2.1215KTL-H3(MBUS-16)46049.600694444446049.600694444446049.6805555556</v>
      </c>
      <c r="Q1350" s="1" t="str">
        <f aca="false">_xlfn.CONCAT(H1350,I1350,J1350)</f>
        <v>DAURDE</v>
      </c>
    </row>
    <row r="1351" customFormat="false" ht="15" hidden="false" customHeight="false" outlineLevel="0" collapsed="false">
      <c r="B1351" s="1" t="s">
        <v>579</v>
      </c>
      <c r="C1351" s="1" t="s">
        <v>396</v>
      </c>
      <c r="D1351" s="14" t="n">
        <v>46049.6006944444</v>
      </c>
      <c r="E1351" s="14" t="n">
        <v>46049.6006944444</v>
      </c>
      <c r="F1351" s="14" t="n">
        <v>46049.6805555556</v>
      </c>
      <c r="G1351" s="15" t="n">
        <f aca="false">F1351-E1351</f>
        <v>0.0798611111111111</v>
      </c>
      <c r="H1351" s="20" t="s">
        <v>248</v>
      </c>
      <c r="J1351" s="20" t="s">
        <v>256</v>
      </c>
      <c r="K1351" s="1" t="s">
        <v>430</v>
      </c>
      <c r="L1351" s="1" t="s">
        <v>619</v>
      </c>
      <c r="M1351" s="20" t="s">
        <v>258</v>
      </c>
      <c r="N1351" s="20" t="s">
        <v>259</v>
      </c>
      <c r="O1351" s="1" t="s">
        <v>603</v>
      </c>
      <c r="P1351" s="22" t="str">
        <f aca="false">_xlfn.CONCAT(B1351,C1351,D1351,E1351,F1351)</f>
        <v>BC Caiaponia2.2215KTL-H3(MBUS-12)46049.600694444446049.600694444446049.6805555556</v>
      </c>
      <c r="Q1351" s="1" t="str">
        <f aca="false">_xlfn.CONCAT(H1351,I1351,J1351)</f>
        <v>DAURDE</v>
      </c>
    </row>
    <row r="1352" customFormat="false" ht="15" hidden="false" customHeight="false" outlineLevel="0" collapsed="false">
      <c r="B1352" s="1" t="s">
        <v>579</v>
      </c>
      <c r="C1352" s="1" t="s">
        <v>397</v>
      </c>
      <c r="D1352" s="14" t="n">
        <v>46049.6006944444</v>
      </c>
      <c r="E1352" s="14" t="n">
        <v>46049.6006944444</v>
      </c>
      <c r="F1352" s="14" t="n">
        <v>46049.6805555556</v>
      </c>
      <c r="G1352" s="15" t="n">
        <f aca="false">F1352-E1352</f>
        <v>0.0798611111111111</v>
      </c>
      <c r="H1352" s="20" t="s">
        <v>248</v>
      </c>
      <c r="J1352" s="20" t="s">
        <v>256</v>
      </c>
      <c r="K1352" s="1" t="s">
        <v>430</v>
      </c>
      <c r="L1352" s="1" t="s">
        <v>619</v>
      </c>
      <c r="M1352" s="20" t="s">
        <v>258</v>
      </c>
      <c r="N1352" s="20" t="s">
        <v>259</v>
      </c>
      <c r="O1352" s="1" t="s">
        <v>603</v>
      </c>
      <c r="P1352" s="22" t="str">
        <f aca="false">_xlfn.CONCAT(B1352,C1352,D1352,E1352,F1352)</f>
        <v>BC Caiaponia2.2215KTL-H3(MBUS-13)46049.600694444446049.600694444446049.6805555556</v>
      </c>
      <c r="Q1352" s="1" t="str">
        <f aca="false">_xlfn.CONCAT(H1352,I1352,J1352)</f>
        <v>DAURDE</v>
      </c>
    </row>
    <row r="1353" customFormat="false" ht="15" hidden="false" customHeight="false" outlineLevel="0" collapsed="false">
      <c r="B1353" s="1" t="s">
        <v>579</v>
      </c>
      <c r="C1353" s="1" t="s">
        <v>394</v>
      </c>
      <c r="D1353" s="14" t="n">
        <v>46049.6006944444</v>
      </c>
      <c r="E1353" s="14" t="n">
        <v>46049.6006944444</v>
      </c>
      <c r="F1353" s="14" t="n">
        <v>46049.6805555556</v>
      </c>
      <c r="G1353" s="15" t="n">
        <f aca="false">F1353-E1353</f>
        <v>0.0798611111111111</v>
      </c>
      <c r="H1353" s="20" t="s">
        <v>248</v>
      </c>
      <c r="J1353" s="20" t="s">
        <v>256</v>
      </c>
      <c r="K1353" s="1" t="s">
        <v>430</v>
      </c>
      <c r="L1353" s="1" t="s">
        <v>619</v>
      </c>
      <c r="M1353" s="20" t="s">
        <v>258</v>
      </c>
      <c r="N1353" s="20" t="s">
        <v>259</v>
      </c>
      <c r="O1353" s="1" t="s">
        <v>603</v>
      </c>
      <c r="P1353" s="22" t="str">
        <f aca="false">_xlfn.CONCAT(B1353,C1353,D1353,E1353,F1353)</f>
        <v>BC Caiaponia2.2215KTL-H3(MBUS-14)46049.600694444446049.600694444446049.6805555556</v>
      </c>
      <c r="Q1353" s="1" t="str">
        <f aca="false">_xlfn.CONCAT(H1353,I1353,J1353)</f>
        <v>DAURDE</v>
      </c>
    </row>
    <row r="1354" customFormat="false" ht="15" hidden="false" customHeight="false" outlineLevel="0" collapsed="false">
      <c r="B1354" s="1" t="s">
        <v>579</v>
      </c>
      <c r="C1354" s="1" t="s">
        <v>395</v>
      </c>
      <c r="D1354" s="14" t="n">
        <v>46049.6006944444</v>
      </c>
      <c r="E1354" s="14" t="n">
        <v>46049.6006944444</v>
      </c>
      <c r="F1354" s="14" t="n">
        <v>46049.6805555556</v>
      </c>
      <c r="G1354" s="15" t="n">
        <f aca="false">F1354-E1354</f>
        <v>0.0798611111111111</v>
      </c>
      <c r="H1354" s="20" t="s">
        <v>248</v>
      </c>
      <c r="J1354" s="20" t="s">
        <v>256</v>
      </c>
      <c r="K1354" s="1" t="s">
        <v>430</v>
      </c>
      <c r="L1354" s="1" t="s">
        <v>619</v>
      </c>
      <c r="M1354" s="20" t="s">
        <v>258</v>
      </c>
      <c r="N1354" s="20" t="s">
        <v>259</v>
      </c>
      <c r="O1354" s="1" t="s">
        <v>603</v>
      </c>
      <c r="P1354" s="22" t="str">
        <f aca="false">_xlfn.CONCAT(B1354,C1354,D1354,E1354,F1354)</f>
        <v>BC Caiaponia2.2215KTL-H3(MBUS-15)46049.600694444446049.600694444446049.6805555556</v>
      </c>
      <c r="Q1354" s="1" t="str">
        <f aca="false">_xlfn.CONCAT(H1354,I1354,J1354)</f>
        <v>DAURDE</v>
      </c>
    </row>
    <row r="1355" customFormat="false" ht="15" hidden="false" customHeight="false" outlineLevel="0" collapsed="false">
      <c r="B1355" s="1" t="s">
        <v>579</v>
      </c>
      <c r="C1355" s="1" t="s">
        <v>391</v>
      </c>
      <c r="D1355" s="14" t="n">
        <v>46049.6006944444</v>
      </c>
      <c r="E1355" s="14" t="n">
        <v>46049.6006944444</v>
      </c>
      <c r="F1355" s="14" t="n">
        <v>46049.6805555556</v>
      </c>
      <c r="G1355" s="15" t="n">
        <f aca="false">F1355-E1355</f>
        <v>0.0798611111111111</v>
      </c>
      <c r="H1355" s="20" t="s">
        <v>248</v>
      </c>
      <c r="J1355" s="20" t="s">
        <v>256</v>
      </c>
      <c r="K1355" s="1" t="s">
        <v>430</v>
      </c>
      <c r="L1355" s="1" t="s">
        <v>619</v>
      </c>
      <c r="M1355" s="20" t="s">
        <v>258</v>
      </c>
      <c r="N1355" s="20" t="s">
        <v>259</v>
      </c>
      <c r="O1355" s="1" t="s">
        <v>603</v>
      </c>
      <c r="P1355" s="22" t="str">
        <f aca="false">_xlfn.CONCAT(B1355,C1355,D1355,E1355,F1355)</f>
        <v>BC Caiaponia2.2215KTL-H3(MBUS-16)46049.600694444446049.600694444446049.6805555556</v>
      </c>
      <c r="Q1355" s="1" t="str">
        <f aca="false">_xlfn.CONCAT(H1355,I1355,J1355)</f>
        <v>DAURDE</v>
      </c>
    </row>
    <row r="1356" customFormat="false" ht="15" hidden="false" customHeight="false" outlineLevel="0" collapsed="false">
      <c r="B1356" s="1" t="s">
        <v>580</v>
      </c>
      <c r="C1356" s="1" t="s">
        <v>396</v>
      </c>
      <c r="D1356" s="14" t="n">
        <v>46049.6006944444</v>
      </c>
      <c r="E1356" s="14" t="n">
        <v>46049.6006944444</v>
      </c>
      <c r="F1356" s="14" t="n">
        <v>46049.6805555556</v>
      </c>
      <c r="G1356" s="15" t="n">
        <f aca="false">F1356-E1356</f>
        <v>0.0798611111111111</v>
      </c>
      <c r="H1356" s="20" t="s">
        <v>248</v>
      </c>
      <c r="J1356" s="20" t="s">
        <v>256</v>
      </c>
      <c r="K1356" s="1" t="s">
        <v>430</v>
      </c>
      <c r="L1356" s="1" t="s">
        <v>619</v>
      </c>
      <c r="M1356" s="20" t="s">
        <v>258</v>
      </c>
      <c r="N1356" s="20" t="s">
        <v>259</v>
      </c>
      <c r="O1356" s="1" t="s">
        <v>603</v>
      </c>
      <c r="P1356" s="22" t="str">
        <f aca="false">_xlfn.CONCAT(B1356,C1356,D1356,E1356,F1356)</f>
        <v>BC Caiaponia2.3215KTL-H3(MBUS-12)46049.600694444446049.600694444446049.6805555556</v>
      </c>
      <c r="Q1356" s="1" t="str">
        <f aca="false">_xlfn.CONCAT(H1356,I1356,J1356)</f>
        <v>DAURDE</v>
      </c>
    </row>
    <row r="1357" customFormat="false" ht="15" hidden="false" customHeight="false" outlineLevel="0" collapsed="false">
      <c r="B1357" s="1" t="s">
        <v>580</v>
      </c>
      <c r="C1357" s="1" t="s">
        <v>397</v>
      </c>
      <c r="D1357" s="14" t="n">
        <v>46049.6006944444</v>
      </c>
      <c r="E1357" s="14" t="n">
        <v>46049.6006944444</v>
      </c>
      <c r="F1357" s="14" t="n">
        <v>46049.6805555556</v>
      </c>
      <c r="G1357" s="15" t="n">
        <f aca="false">F1357-E1357</f>
        <v>0.0798611111111111</v>
      </c>
      <c r="H1357" s="20" t="s">
        <v>248</v>
      </c>
      <c r="J1357" s="20" t="s">
        <v>256</v>
      </c>
      <c r="K1357" s="1" t="s">
        <v>430</v>
      </c>
      <c r="L1357" s="1" t="s">
        <v>619</v>
      </c>
      <c r="M1357" s="20" t="s">
        <v>258</v>
      </c>
      <c r="N1357" s="20" t="s">
        <v>259</v>
      </c>
      <c r="O1357" s="1" t="s">
        <v>603</v>
      </c>
      <c r="P1357" s="22" t="str">
        <f aca="false">_xlfn.CONCAT(B1357,C1357,D1357,E1357,F1357)</f>
        <v>BC Caiaponia2.3215KTL-H3(MBUS-13)46049.600694444446049.600694444446049.6805555556</v>
      </c>
      <c r="Q1357" s="1" t="str">
        <f aca="false">_xlfn.CONCAT(H1357,I1357,J1357)</f>
        <v>DAURDE</v>
      </c>
    </row>
    <row r="1358" customFormat="false" ht="15" hidden="false" customHeight="false" outlineLevel="0" collapsed="false">
      <c r="B1358" s="1" t="s">
        <v>580</v>
      </c>
      <c r="C1358" s="1" t="s">
        <v>394</v>
      </c>
      <c r="D1358" s="14" t="n">
        <v>46049.6006944444</v>
      </c>
      <c r="E1358" s="14" t="n">
        <v>46049.6006944444</v>
      </c>
      <c r="F1358" s="14" t="n">
        <v>46049.6805555556</v>
      </c>
      <c r="G1358" s="15" t="n">
        <f aca="false">F1358-E1358</f>
        <v>0.0798611111111111</v>
      </c>
      <c r="H1358" s="20" t="s">
        <v>248</v>
      </c>
      <c r="J1358" s="20" t="s">
        <v>256</v>
      </c>
      <c r="K1358" s="1" t="s">
        <v>430</v>
      </c>
      <c r="L1358" s="1" t="s">
        <v>619</v>
      </c>
      <c r="M1358" s="20" t="s">
        <v>258</v>
      </c>
      <c r="N1358" s="20" t="s">
        <v>259</v>
      </c>
      <c r="O1358" s="1" t="s">
        <v>603</v>
      </c>
      <c r="P1358" s="22" t="str">
        <f aca="false">_xlfn.CONCAT(B1358,C1358,D1358,E1358,F1358)</f>
        <v>BC Caiaponia2.3215KTL-H3(MBUS-14)46049.600694444446049.600694444446049.6805555556</v>
      </c>
      <c r="Q1358" s="1" t="str">
        <f aca="false">_xlfn.CONCAT(H1358,I1358,J1358)</f>
        <v>DAURDE</v>
      </c>
    </row>
    <row r="1359" customFormat="false" ht="15" hidden="false" customHeight="false" outlineLevel="0" collapsed="false">
      <c r="B1359" s="1" t="s">
        <v>580</v>
      </c>
      <c r="C1359" s="1" t="s">
        <v>395</v>
      </c>
      <c r="D1359" s="14" t="n">
        <v>46049.6006944444</v>
      </c>
      <c r="E1359" s="14" t="n">
        <v>46049.6006944444</v>
      </c>
      <c r="F1359" s="14" t="n">
        <v>46049.6805555556</v>
      </c>
      <c r="G1359" s="15" t="n">
        <f aca="false">F1359-E1359</f>
        <v>0.0798611111111111</v>
      </c>
      <c r="H1359" s="20" t="s">
        <v>248</v>
      </c>
      <c r="J1359" s="20" t="s">
        <v>256</v>
      </c>
      <c r="K1359" s="1" t="s">
        <v>430</v>
      </c>
      <c r="L1359" s="1" t="s">
        <v>619</v>
      </c>
      <c r="M1359" s="20" t="s">
        <v>258</v>
      </c>
      <c r="N1359" s="20" t="s">
        <v>259</v>
      </c>
      <c r="O1359" s="1" t="s">
        <v>603</v>
      </c>
      <c r="P1359" s="22" t="str">
        <f aca="false">_xlfn.CONCAT(B1359,C1359,D1359,E1359,F1359)</f>
        <v>BC Caiaponia2.3215KTL-H3(MBUS-15)46049.600694444446049.600694444446049.6805555556</v>
      </c>
      <c r="Q1359" s="1" t="str">
        <f aca="false">_xlfn.CONCAT(H1359,I1359,J1359)</f>
        <v>DAURDE</v>
      </c>
    </row>
    <row r="1360" customFormat="false" ht="15" hidden="false" customHeight="false" outlineLevel="0" collapsed="false">
      <c r="B1360" s="1" t="s">
        <v>580</v>
      </c>
      <c r="C1360" s="1" t="s">
        <v>391</v>
      </c>
      <c r="D1360" s="14" t="n">
        <v>46049.6006944444</v>
      </c>
      <c r="E1360" s="14" t="n">
        <v>46049.6006944444</v>
      </c>
      <c r="F1360" s="14" t="n">
        <v>46049.6805555556</v>
      </c>
      <c r="G1360" s="15" t="n">
        <f aca="false">F1360-E1360</f>
        <v>0.0798611111111111</v>
      </c>
      <c r="H1360" s="20" t="s">
        <v>248</v>
      </c>
      <c r="J1360" s="20" t="s">
        <v>256</v>
      </c>
      <c r="K1360" s="1" t="s">
        <v>430</v>
      </c>
      <c r="L1360" s="1" t="s">
        <v>619</v>
      </c>
      <c r="M1360" s="20" t="s">
        <v>258</v>
      </c>
      <c r="N1360" s="20" t="s">
        <v>259</v>
      </c>
      <c r="O1360" s="1" t="s">
        <v>603</v>
      </c>
      <c r="P1360" s="22" t="str">
        <f aca="false">_xlfn.CONCAT(B1360,C1360,D1360,E1360,F1360)</f>
        <v>BC Caiaponia2.3215KTL-H3(MBUS-16)46049.600694444446049.600694444446049.6805555556</v>
      </c>
      <c r="Q1360" s="1" t="str">
        <f aca="false">_xlfn.CONCAT(H1360,I1360,J1360)</f>
        <v>DAURDE</v>
      </c>
    </row>
    <row r="1361" customFormat="false" ht="15" hidden="false" customHeight="false" outlineLevel="0" collapsed="false">
      <c r="B1361" s="24" t="s">
        <v>542</v>
      </c>
      <c r="C1361" s="1" t="s">
        <v>543</v>
      </c>
      <c r="D1361" s="14" t="n">
        <v>46049.6006944444</v>
      </c>
      <c r="E1361" s="14" t="n">
        <v>46049.6006944444</v>
      </c>
      <c r="F1361" s="14" t="n">
        <v>46049.6805555556</v>
      </c>
      <c r="G1361" s="15" t="n">
        <f aca="false">F1361-E1361</f>
        <v>0.0798611111111111</v>
      </c>
      <c r="H1361" s="20" t="s">
        <v>248</v>
      </c>
      <c r="J1361" s="20" t="s">
        <v>256</v>
      </c>
      <c r="K1361" s="1" t="s">
        <v>430</v>
      </c>
      <c r="L1361" s="1" t="s">
        <v>275</v>
      </c>
      <c r="M1361" s="20" t="s">
        <v>258</v>
      </c>
      <c r="N1361" s="20" t="s">
        <v>259</v>
      </c>
      <c r="O1361" s="1" t="s">
        <v>260</v>
      </c>
      <c r="P1361" s="22" t="str">
        <f aca="false">_xlfn.CONCAT(B1361,C1361,D1361,E1361,F1361)</f>
        <v>BC Caiaponia1SG60KTL(COM1-001)_001_00746049.600694444446049.600694444446049.6805555556</v>
      </c>
      <c r="Q1361" s="1" t="str">
        <f aca="false">_xlfn.CONCAT(H1361,I1361,J1361)</f>
        <v>DAURDE</v>
      </c>
    </row>
    <row r="1362" customFormat="false" ht="15" hidden="false" customHeight="false" outlineLevel="0" collapsed="false">
      <c r="B1362" s="24" t="s">
        <v>542</v>
      </c>
      <c r="C1362" s="1" t="s">
        <v>545</v>
      </c>
      <c r="D1362" s="14" t="n">
        <v>46049.6006944444</v>
      </c>
      <c r="E1362" s="14" t="n">
        <v>46049.6006944444</v>
      </c>
      <c r="F1362" s="14" t="n">
        <v>46049.6805555556</v>
      </c>
      <c r="G1362" s="15" t="n">
        <f aca="false">F1362-E1362</f>
        <v>0.0798611111111111</v>
      </c>
      <c r="H1362" s="20" t="s">
        <v>248</v>
      </c>
      <c r="J1362" s="20" t="s">
        <v>256</v>
      </c>
      <c r="K1362" s="1" t="s">
        <v>430</v>
      </c>
      <c r="L1362" s="1" t="s">
        <v>275</v>
      </c>
      <c r="M1362" s="20" t="s">
        <v>258</v>
      </c>
      <c r="N1362" s="20" t="s">
        <v>259</v>
      </c>
      <c r="O1362" s="1" t="s">
        <v>260</v>
      </c>
      <c r="P1362" s="22" t="str">
        <f aca="false">_xlfn.CONCAT(B1362,C1362,D1362,E1362,F1362)</f>
        <v>BC Caiaponia1SG60KTL(COM1-002)_001_01046049.600694444446049.600694444446049.6805555556</v>
      </c>
      <c r="Q1362" s="1" t="str">
        <f aca="false">_xlfn.CONCAT(H1362,I1362,J1362)</f>
        <v>DAURDE</v>
      </c>
    </row>
    <row r="1363" customFormat="false" ht="15" hidden="false" customHeight="false" outlineLevel="0" collapsed="false">
      <c r="B1363" s="1" t="s">
        <v>542</v>
      </c>
      <c r="C1363" s="1" t="s">
        <v>546</v>
      </c>
      <c r="D1363" s="14" t="n">
        <v>46049.6006944444</v>
      </c>
      <c r="E1363" s="14" t="n">
        <v>46049.6006944444</v>
      </c>
      <c r="F1363" s="14" t="n">
        <v>46049.6805554977</v>
      </c>
      <c r="G1363" s="15" t="n">
        <f aca="false">F1363-E1363</f>
        <v>0.0798610532407407</v>
      </c>
      <c r="H1363" s="20" t="s">
        <v>248</v>
      </c>
      <c r="J1363" s="20" t="s">
        <v>256</v>
      </c>
      <c r="K1363" s="1" t="s">
        <v>430</v>
      </c>
      <c r="L1363" s="1" t="s">
        <v>275</v>
      </c>
      <c r="M1363" s="20" t="s">
        <v>258</v>
      </c>
      <c r="N1363" s="20" t="s">
        <v>259</v>
      </c>
      <c r="O1363" s="1" t="s">
        <v>260</v>
      </c>
      <c r="P1363" s="22" t="str">
        <f aca="false">_xlfn.CONCAT(B1363,C1363,D1363,E1363,F1363)</f>
        <v>BC Caiaponia1SG60KTL(COM1-003)_001_01146049.600694444446049.600694444446049.6805554977</v>
      </c>
      <c r="Q1363" s="1" t="str">
        <f aca="false">_xlfn.CONCAT(H1363,I1363,J1363)</f>
        <v>DAURDE</v>
      </c>
    </row>
    <row r="1364" customFormat="false" ht="15" hidden="false" customHeight="false" outlineLevel="0" collapsed="false">
      <c r="B1364" s="1" t="s">
        <v>542</v>
      </c>
      <c r="C1364" s="1" t="s">
        <v>547</v>
      </c>
      <c r="D1364" s="14" t="n">
        <v>46049.6006944444</v>
      </c>
      <c r="E1364" s="14" t="n">
        <v>46049.6006944444</v>
      </c>
      <c r="F1364" s="14" t="n">
        <v>46049.6805554977</v>
      </c>
      <c r="G1364" s="15" t="n">
        <f aca="false">F1364-E1364</f>
        <v>0.0798610532407407</v>
      </c>
      <c r="H1364" s="20" t="s">
        <v>248</v>
      </c>
      <c r="J1364" s="20" t="s">
        <v>256</v>
      </c>
      <c r="K1364" s="1" t="s">
        <v>430</v>
      </c>
      <c r="L1364" s="1" t="s">
        <v>275</v>
      </c>
      <c r="M1364" s="20" t="s">
        <v>258</v>
      </c>
      <c r="N1364" s="20" t="s">
        <v>259</v>
      </c>
      <c r="O1364" s="1" t="s">
        <v>260</v>
      </c>
      <c r="P1364" s="22" t="str">
        <f aca="false">_xlfn.CONCAT(B1364,C1364,D1364,E1364,F1364)</f>
        <v>BC Caiaponia1SG60KTL(COM1-004)_001_01446049.600694444446049.600694444446049.6805554977</v>
      </c>
      <c r="Q1364" s="1" t="str">
        <f aca="false">_xlfn.CONCAT(H1364,I1364,J1364)</f>
        <v>DAURDE</v>
      </c>
    </row>
    <row r="1365" customFormat="false" ht="15" hidden="false" customHeight="false" outlineLevel="0" collapsed="false">
      <c r="B1365" s="1" t="s">
        <v>542</v>
      </c>
      <c r="C1365" s="1" t="s">
        <v>548</v>
      </c>
      <c r="D1365" s="14" t="n">
        <v>46049.6006944444</v>
      </c>
      <c r="E1365" s="14" t="n">
        <v>46049.6006944444</v>
      </c>
      <c r="F1365" s="14" t="n">
        <v>46049.6805554977</v>
      </c>
      <c r="G1365" s="15" t="n">
        <f aca="false">F1365-E1365</f>
        <v>0.0798610532407407</v>
      </c>
      <c r="H1365" s="20" t="s">
        <v>248</v>
      </c>
      <c r="J1365" s="20" t="s">
        <v>256</v>
      </c>
      <c r="K1365" s="1" t="s">
        <v>430</v>
      </c>
      <c r="L1365" s="1" t="s">
        <v>275</v>
      </c>
      <c r="M1365" s="20" t="s">
        <v>258</v>
      </c>
      <c r="N1365" s="20" t="s">
        <v>259</v>
      </c>
      <c r="O1365" s="1" t="s">
        <v>260</v>
      </c>
      <c r="P1365" s="22" t="str">
        <f aca="false">_xlfn.CONCAT(B1365,C1365,D1365,E1365,F1365)</f>
        <v>BC Caiaponia1SG60KTL(COM1-005)_001_01746049.600694444446049.600694444446049.6805554977</v>
      </c>
      <c r="Q1365" s="1" t="str">
        <f aca="false">_xlfn.CONCAT(H1365,I1365,J1365)</f>
        <v>DAURDE</v>
      </c>
    </row>
    <row r="1366" customFormat="false" ht="15" hidden="false" customHeight="false" outlineLevel="0" collapsed="false">
      <c r="B1366" s="1" t="s">
        <v>542</v>
      </c>
      <c r="C1366" s="1" t="s">
        <v>549</v>
      </c>
      <c r="D1366" s="14" t="n">
        <v>46049.6006944444</v>
      </c>
      <c r="E1366" s="14" t="n">
        <v>46049.6006944444</v>
      </c>
      <c r="F1366" s="14" t="n">
        <v>46049.6805554977</v>
      </c>
      <c r="G1366" s="15" t="n">
        <f aca="false">F1366-E1366</f>
        <v>0.0798610532407407</v>
      </c>
      <c r="H1366" s="20" t="s">
        <v>248</v>
      </c>
      <c r="J1366" s="20" t="s">
        <v>256</v>
      </c>
      <c r="K1366" s="1" t="s">
        <v>430</v>
      </c>
      <c r="L1366" s="1" t="s">
        <v>275</v>
      </c>
      <c r="M1366" s="20" t="s">
        <v>258</v>
      </c>
      <c r="N1366" s="20" t="s">
        <v>259</v>
      </c>
      <c r="O1366" s="1" t="s">
        <v>260</v>
      </c>
      <c r="P1366" s="22" t="str">
        <f aca="false">_xlfn.CONCAT(B1366,C1366,D1366,E1366,F1366)</f>
        <v>BC Caiaponia1SG60KTL(COM1-006)_001_01646049.600694444446049.600694444446049.6805554977</v>
      </c>
      <c r="Q1366" s="1" t="str">
        <f aca="false">_xlfn.CONCAT(H1366,I1366,J1366)</f>
        <v>DAURDE</v>
      </c>
    </row>
    <row r="1367" customFormat="false" ht="15" hidden="false" customHeight="false" outlineLevel="0" collapsed="false">
      <c r="B1367" s="1" t="s">
        <v>542</v>
      </c>
      <c r="C1367" s="1" t="s">
        <v>550</v>
      </c>
      <c r="D1367" s="14" t="n">
        <v>46049.6006944444</v>
      </c>
      <c r="E1367" s="14" t="n">
        <v>46049.6006944444</v>
      </c>
      <c r="F1367" s="14" t="n">
        <v>46049.6805554977</v>
      </c>
      <c r="G1367" s="15" t="n">
        <f aca="false">F1367-E1367</f>
        <v>0.0798610532407407</v>
      </c>
      <c r="H1367" s="20" t="s">
        <v>248</v>
      </c>
      <c r="J1367" s="20" t="s">
        <v>256</v>
      </c>
      <c r="K1367" s="1" t="s">
        <v>430</v>
      </c>
      <c r="L1367" s="1" t="s">
        <v>275</v>
      </c>
      <c r="M1367" s="20" t="s">
        <v>258</v>
      </c>
      <c r="N1367" s="20" t="s">
        <v>259</v>
      </c>
      <c r="O1367" s="1" t="s">
        <v>260</v>
      </c>
      <c r="P1367" s="22" t="str">
        <f aca="false">_xlfn.CONCAT(B1367,C1367,D1367,E1367,F1367)</f>
        <v>BC Caiaponia1SG60KTL(COM1-007)_001_01346049.600694444446049.600694444446049.6805554977</v>
      </c>
      <c r="Q1367" s="1" t="str">
        <f aca="false">_xlfn.CONCAT(H1367,I1367,J1367)</f>
        <v>DAURDE</v>
      </c>
    </row>
    <row r="1368" customFormat="false" ht="15" hidden="false" customHeight="false" outlineLevel="0" collapsed="false">
      <c r="B1368" s="1" t="s">
        <v>542</v>
      </c>
      <c r="C1368" s="1" t="s">
        <v>551</v>
      </c>
      <c r="D1368" s="14" t="n">
        <v>46049.6006944444</v>
      </c>
      <c r="E1368" s="14" t="n">
        <v>46049.6006944444</v>
      </c>
      <c r="F1368" s="14" t="n">
        <v>46049.6805554977</v>
      </c>
      <c r="G1368" s="15" t="n">
        <f aca="false">F1368-E1368</f>
        <v>0.0798610532407407</v>
      </c>
      <c r="H1368" s="20" t="s">
        <v>248</v>
      </c>
      <c r="J1368" s="20" t="s">
        <v>256</v>
      </c>
      <c r="K1368" s="1" t="s">
        <v>430</v>
      </c>
      <c r="L1368" s="1" t="s">
        <v>275</v>
      </c>
      <c r="M1368" s="20" t="s">
        <v>258</v>
      </c>
      <c r="N1368" s="20" t="s">
        <v>259</v>
      </c>
      <c r="O1368" s="1" t="s">
        <v>260</v>
      </c>
      <c r="P1368" s="22" t="str">
        <f aca="false">_xlfn.CONCAT(B1368,C1368,D1368,E1368,F1368)</f>
        <v>BC Caiaponia1SG60KTL(COM1-008)_001_00146049.600694444446049.600694444446049.6805554977</v>
      </c>
      <c r="Q1368" s="1" t="str">
        <f aca="false">_xlfn.CONCAT(H1368,I1368,J1368)</f>
        <v>DAURDE</v>
      </c>
    </row>
    <row r="1369" customFormat="false" ht="15" hidden="false" customHeight="false" outlineLevel="0" collapsed="false">
      <c r="B1369" s="1" t="s">
        <v>542</v>
      </c>
      <c r="C1369" s="1" t="s">
        <v>552</v>
      </c>
      <c r="D1369" s="14" t="n">
        <v>46049.6006944444</v>
      </c>
      <c r="E1369" s="14" t="n">
        <v>46049.6006944444</v>
      </c>
      <c r="F1369" s="14" t="n">
        <v>46049.6805554977</v>
      </c>
      <c r="G1369" s="15" t="n">
        <f aca="false">F1369-E1369</f>
        <v>0.0798610532407407</v>
      </c>
      <c r="H1369" s="20" t="s">
        <v>248</v>
      </c>
      <c r="J1369" s="20" t="s">
        <v>256</v>
      </c>
      <c r="K1369" s="1" t="s">
        <v>430</v>
      </c>
      <c r="L1369" s="1" t="s">
        <v>275</v>
      </c>
      <c r="M1369" s="20" t="s">
        <v>258</v>
      </c>
      <c r="N1369" s="20" t="s">
        <v>259</v>
      </c>
      <c r="O1369" s="1" t="s">
        <v>260</v>
      </c>
      <c r="P1369" s="22" t="str">
        <f aca="false">_xlfn.CONCAT(B1369,C1369,D1369,E1369,F1369)</f>
        <v>BC Caiaponia1SG60KTL(COM1-009)46049.600694444446049.600694444446049.6805554977</v>
      </c>
      <c r="Q1369" s="1" t="str">
        <f aca="false">_xlfn.CONCAT(H1369,I1369,J1369)</f>
        <v>DAURDE</v>
      </c>
    </row>
    <row r="1370" customFormat="false" ht="15" hidden="false" customHeight="false" outlineLevel="0" collapsed="false">
      <c r="B1370" s="1" t="s">
        <v>542</v>
      </c>
      <c r="C1370" s="1" t="s">
        <v>553</v>
      </c>
      <c r="D1370" s="14" t="n">
        <v>46049.6006944444</v>
      </c>
      <c r="E1370" s="14" t="n">
        <v>46049.6006944444</v>
      </c>
      <c r="F1370" s="14" t="n">
        <v>46049.6805554977</v>
      </c>
      <c r="G1370" s="15" t="n">
        <f aca="false">F1370-E1370</f>
        <v>0.0798610532407407</v>
      </c>
      <c r="H1370" s="20" t="s">
        <v>248</v>
      </c>
      <c r="J1370" s="20" t="s">
        <v>256</v>
      </c>
      <c r="K1370" s="1" t="s">
        <v>430</v>
      </c>
      <c r="L1370" s="1" t="s">
        <v>275</v>
      </c>
      <c r="M1370" s="20" t="s">
        <v>258</v>
      </c>
      <c r="N1370" s="20" t="s">
        <v>259</v>
      </c>
      <c r="O1370" s="1" t="s">
        <v>260</v>
      </c>
      <c r="P1370" s="22" t="str">
        <f aca="false">_xlfn.CONCAT(B1370,C1370,D1370,E1370,F1370)</f>
        <v>BC Caiaponia1SG60KTL(COM1-010)46049.600694444446049.600694444446049.6805554977</v>
      </c>
      <c r="Q1370" s="1" t="str">
        <f aca="false">_xlfn.CONCAT(H1370,I1370,J1370)</f>
        <v>DAURDE</v>
      </c>
    </row>
    <row r="1371" customFormat="false" ht="15" hidden="false" customHeight="false" outlineLevel="0" collapsed="false">
      <c r="B1371" s="1" t="s">
        <v>542</v>
      </c>
      <c r="C1371" s="1" t="s">
        <v>554</v>
      </c>
      <c r="D1371" s="14" t="n">
        <v>46049.6006944444</v>
      </c>
      <c r="E1371" s="14" t="n">
        <v>46049.6006944444</v>
      </c>
      <c r="F1371" s="14" t="n">
        <v>46049.6805554977</v>
      </c>
      <c r="G1371" s="15" t="n">
        <f aca="false">F1371-E1371</f>
        <v>0.0798610532407407</v>
      </c>
      <c r="H1371" s="20" t="s">
        <v>248</v>
      </c>
      <c r="J1371" s="20" t="s">
        <v>256</v>
      </c>
      <c r="K1371" s="1" t="s">
        <v>430</v>
      </c>
      <c r="L1371" s="1" t="s">
        <v>275</v>
      </c>
      <c r="M1371" s="20" t="s">
        <v>258</v>
      </c>
      <c r="N1371" s="20" t="s">
        <v>259</v>
      </c>
      <c r="O1371" s="1" t="s">
        <v>260</v>
      </c>
      <c r="P1371" s="22" t="str">
        <f aca="false">_xlfn.CONCAT(B1371,C1371,D1371,E1371,F1371)</f>
        <v>BC Caiaponia1SG60KTL(COM1-011)46049.600694444446049.600694444446049.6805554977</v>
      </c>
      <c r="Q1371" s="1" t="str">
        <f aca="false">_xlfn.CONCAT(H1371,I1371,J1371)</f>
        <v>DAURDE</v>
      </c>
    </row>
    <row r="1372" customFormat="false" ht="15" hidden="false" customHeight="false" outlineLevel="0" collapsed="false">
      <c r="B1372" s="1" t="s">
        <v>542</v>
      </c>
      <c r="C1372" s="1" t="s">
        <v>555</v>
      </c>
      <c r="D1372" s="14" t="n">
        <v>46049.6006944444</v>
      </c>
      <c r="E1372" s="14" t="n">
        <v>46049.6006944444</v>
      </c>
      <c r="F1372" s="14" t="n">
        <v>46049.6805554977</v>
      </c>
      <c r="G1372" s="15" t="n">
        <f aca="false">F1372-E1372</f>
        <v>0.0798610532407407</v>
      </c>
      <c r="H1372" s="20" t="s">
        <v>248</v>
      </c>
      <c r="J1372" s="20" t="s">
        <v>256</v>
      </c>
      <c r="K1372" s="1" t="s">
        <v>430</v>
      </c>
      <c r="L1372" s="1" t="s">
        <v>275</v>
      </c>
      <c r="M1372" s="20" t="s">
        <v>258</v>
      </c>
      <c r="N1372" s="20" t="s">
        <v>259</v>
      </c>
      <c r="O1372" s="1" t="s">
        <v>260</v>
      </c>
      <c r="P1372" s="22" t="str">
        <f aca="false">_xlfn.CONCAT(B1372,C1372,D1372,E1372,F1372)</f>
        <v>BC Caiaponia1SG60KTL(COM1-012)46049.600694444446049.600694444446049.6805554977</v>
      </c>
      <c r="Q1372" s="1" t="str">
        <f aca="false">_xlfn.CONCAT(H1372,I1372,J1372)</f>
        <v>DAURDE</v>
      </c>
    </row>
    <row r="1373" customFormat="false" ht="15" hidden="false" customHeight="false" outlineLevel="0" collapsed="false">
      <c r="B1373" s="1" t="s">
        <v>542</v>
      </c>
      <c r="C1373" s="1" t="s">
        <v>556</v>
      </c>
      <c r="D1373" s="14" t="n">
        <v>46049.6006944444</v>
      </c>
      <c r="E1373" s="14" t="n">
        <v>46049.6006944444</v>
      </c>
      <c r="F1373" s="14" t="n">
        <v>46049.6805554977</v>
      </c>
      <c r="G1373" s="15" t="n">
        <f aca="false">F1373-E1373</f>
        <v>0.0798610532407407</v>
      </c>
      <c r="H1373" s="20" t="s">
        <v>248</v>
      </c>
      <c r="J1373" s="20" t="s">
        <v>256</v>
      </c>
      <c r="K1373" s="1" t="s">
        <v>430</v>
      </c>
      <c r="L1373" s="1" t="s">
        <v>275</v>
      </c>
      <c r="M1373" s="20" t="s">
        <v>258</v>
      </c>
      <c r="N1373" s="20" t="s">
        <v>259</v>
      </c>
      <c r="O1373" s="1" t="s">
        <v>260</v>
      </c>
      <c r="P1373" s="22" t="str">
        <f aca="false">_xlfn.CONCAT(B1373,C1373,D1373,E1373,F1373)</f>
        <v>BC Caiaponia1SG60KTL(COM1-013)46049.600694444446049.600694444446049.6805554977</v>
      </c>
      <c r="Q1373" s="1" t="str">
        <f aca="false">_xlfn.CONCAT(H1373,I1373,J1373)</f>
        <v>DAURDE</v>
      </c>
    </row>
    <row r="1374" customFormat="false" ht="15" hidden="false" customHeight="false" outlineLevel="0" collapsed="false">
      <c r="B1374" s="1" t="s">
        <v>542</v>
      </c>
      <c r="C1374" s="1" t="s">
        <v>557</v>
      </c>
      <c r="D1374" s="14" t="n">
        <v>46049.6006944444</v>
      </c>
      <c r="E1374" s="14" t="n">
        <v>46049.6006944444</v>
      </c>
      <c r="F1374" s="14" t="n">
        <v>46049.6805554977</v>
      </c>
      <c r="G1374" s="15" t="n">
        <f aca="false">F1374-E1374</f>
        <v>0.0798610532407407</v>
      </c>
      <c r="H1374" s="20" t="s">
        <v>248</v>
      </c>
      <c r="J1374" s="20" t="s">
        <v>256</v>
      </c>
      <c r="K1374" s="1" t="s">
        <v>430</v>
      </c>
      <c r="L1374" s="1" t="s">
        <v>275</v>
      </c>
      <c r="M1374" s="20" t="s">
        <v>258</v>
      </c>
      <c r="N1374" s="20" t="s">
        <v>259</v>
      </c>
      <c r="O1374" s="1" t="s">
        <v>260</v>
      </c>
      <c r="P1374" s="22" t="str">
        <f aca="false">_xlfn.CONCAT(B1374,C1374,D1374,E1374,F1374)</f>
        <v>BC Caiaponia1SG60KTL(COM1-014)46049.600694444446049.600694444446049.6805554977</v>
      </c>
      <c r="Q1374" s="1" t="str">
        <f aca="false">_xlfn.CONCAT(H1374,I1374,J1374)</f>
        <v>DAURDE</v>
      </c>
    </row>
    <row r="1375" customFormat="false" ht="15" hidden="false" customHeight="false" outlineLevel="0" collapsed="false">
      <c r="B1375" s="1" t="s">
        <v>542</v>
      </c>
      <c r="C1375" s="1" t="s">
        <v>558</v>
      </c>
      <c r="D1375" s="14" t="n">
        <v>46049.6006944444</v>
      </c>
      <c r="E1375" s="14" t="n">
        <v>46049.6006944444</v>
      </c>
      <c r="F1375" s="14" t="n">
        <v>46049.6805554977</v>
      </c>
      <c r="G1375" s="15" t="n">
        <f aca="false">F1375-E1375</f>
        <v>0.0798610532407407</v>
      </c>
      <c r="H1375" s="20" t="s">
        <v>248</v>
      </c>
      <c r="J1375" s="20" t="s">
        <v>256</v>
      </c>
      <c r="K1375" s="1" t="s">
        <v>430</v>
      </c>
      <c r="L1375" s="1" t="s">
        <v>275</v>
      </c>
      <c r="M1375" s="20" t="s">
        <v>258</v>
      </c>
      <c r="N1375" s="20" t="s">
        <v>259</v>
      </c>
      <c r="O1375" s="1" t="s">
        <v>260</v>
      </c>
      <c r="P1375" s="22" t="str">
        <f aca="false">_xlfn.CONCAT(B1375,C1375,D1375,E1375,F1375)</f>
        <v>BC Caiaponia1SG60KTL(COM1-015)46049.600694444446049.600694444446049.6805554977</v>
      </c>
      <c r="Q1375" s="1" t="str">
        <f aca="false">_xlfn.CONCAT(H1375,I1375,J1375)</f>
        <v>DAURDE</v>
      </c>
    </row>
    <row r="1376" customFormat="false" ht="15" hidden="false" customHeight="false" outlineLevel="0" collapsed="false">
      <c r="B1376" s="1" t="s">
        <v>542</v>
      </c>
      <c r="C1376" s="1" t="s">
        <v>559</v>
      </c>
      <c r="D1376" s="14" t="n">
        <v>46049.6006944444</v>
      </c>
      <c r="E1376" s="14" t="n">
        <v>46049.6006944444</v>
      </c>
      <c r="F1376" s="14" t="n">
        <v>46049.6805554977</v>
      </c>
      <c r="G1376" s="15" t="n">
        <f aca="false">F1376-E1376</f>
        <v>0.0798610532407407</v>
      </c>
      <c r="H1376" s="20" t="s">
        <v>248</v>
      </c>
      <c r="J1376" s="20" t="s">
        <v>256</v>
      </c>
      <c r="K1376" s="1" t="s">
        <v>430</v>
      </c>
      <c r="L1376" s="1" t="s">
        <v>275</v>
      </c>
      <c r="M1376" s="20" t="s">
        <v>258</v>
      </c>
      <c r="N1376" s="20" t="s">
        <v>259</v>
      </c>
      <c r="O1376" s="1" t="s">
        <v>260</v>
      </c>
      <c r="P1376" s="22" t="str">
        <f aca="false">_xlfn.CONCAT(B1376,C1376,D1376,E1376,F1376)</f>
        <v>BC Caiaponia1SG60KTL(COM3-016)_001_00946049.600694444446049.600694444446049.6805554977</v>
      </c>
      <c r="Q1376" s="1" t="str">
        <f aca="false">_xlfn.CONCAT(H1376,I1376,J1376)</f>
        <v>DAURDE</v>
      </c>
    </row>
    <row r="1377" customFormat="false" ht="15" hidden="false" customHeight="false" outlineLevel="0" collapsed="false">
      <c r="B1377" s="1" t="s">
        <v>542</v>
      </c>
      <c r="C1377" s="1" t="s">
        <v>560</v>
      </c>
      <c r="D1377" s="14" t="n">
        <v>46049.6006944444</v>
      </c>
      <c r="E1377" s="14" t="n">
        <v>46049.6006944444</v>
      </c>
      <c r="F1377" s="14" t="n">
        <v>46049.6805554977</v>
      </c>
      <c r="G1377" s="15" t="n">
        <f aca="false">F1377-E1377</f>
        <v>0.0798610532407407</v>
      </c>
      <c r="H1377" s="20" t="s">
        <v>248</v>
      </c>
      <c r="J1377" s="20" t="s">
        <v>256</v>
      </c>
      <c r="K1377" s="1" t="s">
        <v>430</v>
      </c>
      <c r="L1377" s="1" t="s">
        <v>275</v>
      </c>
      <c r="M1377" s="20" t="s">
        <v>258</v>
      </c>
      <c r="N1377" s="20" t="s">
        <v>259</v>
      </c>
      <c r="O1377" s="1" t="s">
        <v>260</v>
      </c>
      <c r="P1377" s="22" t="str">
        <f aca="false">_xlfn.CONCAT(B1377,C1377,D1377,E1377,F1377)</f>
        <v>BC Caiaponia1SG60KTL(COM3-017)_001_01246049.600694444446049.600694444446049.6805554977</v>
      </c>
      <c r="Q1377" s="1" t="str">
        <f aca="false">_xlfn.CONCAT(H1377,I1377,J1377)</f>
        <v>DAURDE</v>
      </c>
    </row>
    <row r="1378" customFormat="false" ht="15" hidden="false" customHeight="false" outlineLevel="0" collapsed="false">
      <c r="B1378" s="1" t="s">
        <v>542</v>
      </c>
      <c r="C1378" s="1" t="s">
        <v>561</v>
      </c>
      <c r="D1378" s="14" t="n">
        <v>46049.6006944444</v>
      </c>
      <c r="E1378" s="14" t="n">
        <v>46049.6006944444</v>
      </c>
      <c r="F1378" s="14" t="n">
        <v>46049.6805554977</v>
      </c>
      <c r="G1378" s="15" t="n">
        <f aca="false">F1378-E1378</f>
        <v>0.0798610532407407</v>
      </c>
      <c r="H1378" s="20" t="s">
        <v>248</v>
      </c>
      <c r="J1378" s="20" t="s">
        <v>256</v>
      </c>
      <c r="K1378" s="1" t="s">
        <v>430</v>
      </c>
      <c r="L1378" s="1" t="s">
        <v>275</v>
      </c>
      <c r="M1378" s="20" t="s">
        <v>258</v>
      </c>
      <c r="N1378" s="20" t="s">
        <v>259</v>
      </c>
      <c r="O1378" s="1" t="s">
        <v>260</v>
      </c>
      <c r="P1378" s="22" t="str">
        <f aca="false">_xlfn.CONCAT(B1378,C1378,D1378,E1378,F1378)</f>
        <v>BC Caiaponia1SG60KTL(COM3-018)_001_00846049.600694444446049.600694444446049.6805554977</v>
      </c>
      <c r="Q1378" s="1" t="str">
        <f aca="false">_xlfn.CONCAT(H1378,I1378,J1378)</f>
        <v>DAURDE</v>
      </c>
    </row>
    <row r="1379" customFormat="false" ht="15" hidden="false" customHeight="false" outlineLevel="0" collapsed="false">
      <c r="B1379" s="1" t="s">
        <v>542</v>
      </c>
      <c r="C1379" s="1" t="s">
        <v>562</v>
      </c>
      <c r="D1379" s="14" t="n">
        <v>46049.6006944444</v>
      </c>
      <c r="E1379" s="14" t="n">
        <v>46049.6006944444</v>
      </c>
      <c r="F1379" s="14" t="n">
        <v>46049.6805554977</v>
      </c>
      <c r="G1379" s="15" t="n">
        <f aca="false">F1379-E1379</f>
        <v>0.0798610532407407</v>
      </c>
      <c r="H1379" s="20" t="s">
        <v>248</v>
      </c>
      <c r="J1379" s="20" t="s">
        <v>256</v>
      </c>
      <c r="K1379" s="1" t="s">
        <v>430</v>
      </c>
      <c r="L1379" s="1" t="s">
        <v>275</v>
      </c>
      <c r="M1379" s="20" t="s">
        <v>258</v>
      </c>
      <c r="N1379" s="20" t="s">
        <v>259</v>
      </c>
      <c r="O1379" s="1" t="s">
        <v>260</v>
      </c>
      <c r="P1379" s="22" t="str">
        <f aca="false">_xlfn.CONCAT(B1379,C1379,D1379,E1379,F1379)</f>
        <v>BC Caiaponia1SG60KTL(COM3-019)_001_01946049.600694444446049.600694444446049.6805554977</v>
      </c>
      <c r="Q1379" s="1" t="str">
        <f aca="false">_xlfn.CONCAT(H1379,I1379,J1379)</f>
        <v>DAURDE</v>
      </c>
    </row>
    <row r="1380" customFormat="false" ht="15" hidden="false" customHeight="false" outlineLevel="0" collapsed="false">
      <c r="B1380" s="1" t="s">
        <v>542</v>
      </c>
      <c r="C1380" s="1" t="s">
        <v>563</v>
      </c>
      <c r="D1380" s="14" t="n">
        <v>46049.6006944444</v>
      </c>
      <c r="E1380" s="14" t="n">
        <v>46049.6006944444</v>
      </c>
      <c r="F1380" s="14" t="n">
        <v>46049.6805554977</v>
      </c>
      <c r="G1380" s="15" t="n">
        <f aca="false">F1380-E1380</f>
        <v>0.0798610532407407</v>
      </c>
      <c r="H1380" s="20" t="s">
        <v>248</v>
      </c>
      <c r="J1380" s="20" t="s">
        <v>256</v>
      </c>
      <c r="K1380" s="1" t="s">
        <v>430</v>
      </c>
      <c r="L1380" s="1" t="s">
        <v>275</v>
      </c>
      <c r="M1380" s="20" t="s">
        <v>258</v>
      </c>
      <c r="N1380" s="20" t="s">
        <v>259</v>
      </c>
      <c r="O1380" s="1" t="s">
        <v>260</v>
      </c>
      <c r="P1380" s="22" t="str">
        <f aca="false">_xlfn.CONCAT(B1380,C1380,D1380,E1380,F1380)</f>
        <v>BC Caiaponia1SG60KTL(COM3-020)_001_02046049.600694444446049.600694444446049.6805554977</v>
      </c>
      <c r="Q1380" s="1" t="str">
        <f aca="false">_xlfn.CONCAT(H1380,I1380,J1380)</f>
        <v>DAURDE</v>
      </c>
    </row>
    <row r="1381" customFormat="false" ht="15" hidden="false" customHeight="false" outlineLevel="0" collapsed="false">
      <c r="B1381" s="1" t="s">
        <v>542</v>
      </c>
      <c r="C1381" s="1" t="s">
        <v>564</v>
      </c>
      <c r="D1381" s="14" t="n">
        <v>46049.6006944444</v>
      </c>
      <c r="E1381" s="14" t="n">
        <v>46049.6006944444</v>
      </c>
      <c r="F1381" s="14" t="n">
        <v>46049.6805554977</v>
      </c>
      <c r="G1381" s="15" t="n">
        <f aca="false">F1381-E1381</f>
        <v>0.0798610532407407</v>
      </c>
      <c r="H1381" s="20" t="s">
        <v>248</v>
      </c>
      <c r="J1381" s="20" t="s">
        <v>256</v>
      </c>
      <c r="K1381" s="1" t="s">
        <v>430</v>
      </c>
      <c r="L1381" s="1" t="s">
        <v>275</v>
      </c>
      <c r="M1381" s="20" t="s">
        <v>258</v>
      </c>
      <c r="N1381" s="20" t="s">
        <v>259</v>
      </c>
      <c r="O1381" s="1" t="s">
        <v>260</v>
      </c>
      <c r="P1381" s="22" t="str">
        <f aca="false">_xlfn.CONCAT(B1381,C1381,D1381,E1381,F1381)</f>
        <v>BC Caiaponia1SG60KTL(COM2-026)46049.600694444446049.600694444446049.6805554977</v>
      </c>
      <c r="Q1381" s="1" t="str">
        <f aca="false">_xlfn.CONCAT(H1381,I1381,J1381)</f>
        <v>DAURDE</v>
      </c>
    </row>
    <row r="1382" customFormat="false" ht="15" hidden="false" customHeight="false" outlineLevel="0" collapsed="false">
      <c r="B1382" s="1" t="s">
        <v>542</v>
      </c>
      <c r="C1382" s="1" t="s">
        <v>565</v>
      </c>
      <c r="D1382" s="14" t="n">
        <v>46049.6006944444</v>
      </c>
      <c r="E1382" s="14" t="n">
        <v>46049.6006944444</v>
      </c>
      <c r="F1382" s="14" t="n">
        <v>46049.6805554977</v>
      </c>
      <c r="G1382" s="15" t="n">
        <f aca="false">F1382-E1382</f>
        <v>0.0798610532407407</v>
      </c>
      <c r="H1382" s="20" t="s">
        <v>248</v>
      </c>
      <c r="J1382" s="20" t="s">
        <v>256</v>
      </c>
      <c r="K1382" s="1" t="s">
        <v>430</v>
      </c>
      <c r="L1382" s="1" t="s">
        <v>275</v>
      </c>
      <c r="M1382" s="20" t="s">
        <v>258</v>
      </c>
      <c r="N1382" s="20" t="s">
        <v>259</v>
      </c>
      <c r="O1382" s="1" t="s">
        <v>260</v>
      </c>
      <c r="P1382" s="22" t="str">
        <f aca="false">_xlfn.CONCAT(B1382,C1382,D1382,E1382,F1382)</f>
        <v>BC Caiaponia1SG60KTL(COM2-027)46049.600694444446049.600694444446049.6805554977</v>
      </c>
      <c r="Q1382" s="1" t="str">
        <f aca="false">_xlfn.CONCAT(H1382,I1382,J1382)</f>
        <v>DAURDE</v>
      </c>
    </row>
    <row r="1383" customFormat="false" ht="15" hidden="false" customHeight="false" outlineLevel="0" collapsed="false">
      <c r="B1383" s="1" t="s">
        <v>542</v>
      </c>
      <c r="C1383" s="1" t="s">
        <v>566</v>
      </c>
      <c r="D1383" s="14" t="n">
        <v>46049.6006944444</v>
      </c>
      <c r="E1383" s="14" t="n">
        <v>46049.6006944444</v>
      </c>
      <c r="F1383" s="14" t="n">
        <v>46049.6805554977</v>
      </c>
      <c r="G1383" s="15" t="n">
        <f aca="false">F1383-E1383</f>
        <v>0.0798610532407407</v>
      </c>
      <c r="H1383" s="20" t="s">
        <v>248</v>
      </c>
      <c r="J1383" s="20" t="s">
        <v>256</v>
      </c>
      <c r="K1383" s="1" t="s">
        <v>430</v>
      </c>
      <c r="L1383" s="1" t="s">
        <v>275</v>
      </c>
      <c r="M1383" s="20" t="s">
        <v>258</v>
      </c>
      <c r="N1383" s="20" t="s">
        <v>259</v>
      </c>
      <c r="O1383" s="1" t="s">
        <v>260</v>
      </c>
      <c r="P1383" s="22" t="str">
        <f aca="false">_xlfn.CONCAT(B1383,C1383,D1383,E1383,F1383)</f>
        <v>BC Caiaponia1SG60KTL(COM2-028)46049.600694444446049.600694444446049.6805554977</v>
      </c>
      <c r="Q1383" s="1" t="str">
        <f aca="false">_xlfn.CONCAT(H1383,I1383,J1383)</f>
        <v>DAURDE</v>
      </c>
    </row>
    <row r="1384" customFormat="false" ht="15" hidden="false" customHeight="false" outlineLevel="0" collapsed="false">
      <c r="B1384" s="1" t="s">
        <v>542</v>
      </c>
      <c r="C1384" s="1" t="s">
        <v>567</v>
      </c>
      <c r="D1384" s="14" t="n">
        <v>46049.6006944444</v>
      </c>
      <c r="E1384" s="14" t="n">
        <v>46049.6006944444</v>
      </c>
      <c r="F1384" s="14" t="n">
        <v>46049.6805554977</v>
      </c>
      <c r="G1384" s="15" t="n">
        <f aca="false">F1384-E1384</f>
        <v>0.0798610532407407</v>
      </c>
      <c r="H1384" s="20" t="s">
        <v>248</v>
      </c>
      <c r="J1384" s="20" t="s">
        <v>256</v>
      </c>
      <c r="K1384" s="1" t="s">
        <v>430</v>
      </c>
      <c r="L1384" s="1" t="s">
        <v>275</v>
      </c>
      <c r="M1384" s="20" t="s">
        <v>258</v>
      </c>
      <c r="N1384" s="20" t="s">
        <v>259</v>
      </c>
      <c r="O1384" s="1" t="s">
        <v>260</v>
      </c>
      <c r="P1384" s="22" t="str">
        <f aca="false">_xlfn.CONCAT(B1384,C1384,D1384,E1384,F1384)</f>
        <v>BC Caiaponia1SG60KTL(COM2-029)46049.600694444446049.600694444446049.6805554977</v>
      </c>
      <c r="Q1384" s="1" t="str">
        <f aca="false">_xlfn.CONCAT(H1384,I1384,J1384)</f>
        <v>DAURDE</v>
      </c>
    </row>
    <row r="1385" customFormat="false" ht="15" hidden="false" customHeight="false" outlineLevel="0" collapsed="false">
      <c r="B1385" s="1" t="s">
        <v>542</v>
      </c>
      <c r="C1385" s="1" t="s">
        <v>568</v>
      </c>
      <c r="D1385" s="14" t="n">
        <v>46049.6006944444</v>
      </c>
      <c r="E1385" s="14" t="n">
        <v>46049.6006944444</v>
      </c>
      <c r="F1385" s="14" t="n">
        <v>46049.6805554977</v>
      </c>
      <c r="G1385" s="15" t="n">
        <f aca="false">F1385-E1385</f>
        <v>0.0798610532407407</v>
      </c>
      <c r="H1385" s="20" t="s">
        <v>248</v>
      </c>
      <c r="J1385" s="20" t="s">
        <v>256</v>
      </c>
      <c r="K1385" s="1" t="s">
        <v>430</v>
      </c>
      <c r="L1385" s="1" t="s">
        <v>275</v>
      </c>
      <c r="M1385" s="20" t="s">
        <v>258</v>
      </c>
      <c r="N1385" s="20" t="s">
        <v>259</v>
      </c>
      <c r="O1385" s="1" t="s">
        <v>260</v>
      </c>
      <c r="P1385" s="22" t="str">
        <f aca="false">_xlfn.CONCAT(B1385,C1385,D1385,E1385,F1385)</f>
        <v>BC Caiaponia1SG50CX(COM1-021)46049.600694444446049.600694444446049.6805554977</v>
      </c>
      <c r="Q1385" s="1" t="str">
        <f aca="false">_xlfn.CONCAT(H1385,I1385,J1385)</f>
        <v>DAURDE</v>
      </c>
    </row>
    <row r="1386" customFormat="false" ht="15" hidden="false" customHeight="false" outlineLevel="0" collapsed="false">
      <c r="B1386" s="1" t="s">
        <v>542</v>
      </c>
      <c r="C1386" s="1" t="s">
        <v>569</v>
      </c>
      <c r="D1386" s="14" t="n">
        <v>46049.6006944444</v>
      </c>
      <c r="E1386" s="14" t="n">
        <v>46049.6006944444</v>
      </c>
      <c r="F1386" s="14" t="n">
        <v>46049.6805554977</v>
      </c>
      <c r="G1386" s="15" t="n">
        <f aca="false">F1386-E1386</f>
        <v>0.0798610532407407</v>
      </c>
      <c r="H1386" s="20" t="s">
        <v>248</v>
      </c>
      <c r="J1386" s="20" t="s">
        <v>256</v>
      </c>
      <c r="K1386" s="1" t="s">
        <v>430</v>
      </c>
      <c r="L1386" s="1" t="s">
        <v>275</v>
      </c>
      <c r="M1386" s="20" t="s">
        <v>258</v>
      </c>
      <c r="N1386" s="20" t="s">
        <v>259</v>
      </c>
      <c r="O1386" s="1" t="s">
        <v>260</v>
      </c>
      <c r="P1386" s="22" t="str">
        <f aca="false">_xlfn.CONCAT(B1386,C1386,D1386,E1386,F1386)</f>
        <v>BC Caiaponia1SG50CX(COM1-022)46049.600694444446049.600694444446049.6805554977</v>
      </c>
      <c r="Q1386" s="1" t="str">
        <f aca="false">_xlfn.CONCAT(H1386,I1386,J1386)</f>
        <v>DAURDE</v>
      </c>
    </row>
    <row r="1387" customFormat="false" ht="15" hidden="false" customHeight="false" outlineLevel="0" collapsed="false">
      <c r="B1387" s="1" t="s">
        <v>542</v>
      </c>
      <c r="C1387" s="1" t="s">
        <v>570</v>
      </c>
      <c r="D1387" s="14" t="n">
        <v>46049.6006944444</v>
      </c>
      <c r="E1387" s="14" t="n">
        <v>46049.6006944444</v>
      </c>
      <c r="F1387" s="14" t="n">
        <v>46049.6805554977</v>
      </c>
      <c r="G1387" s="15" t="n">
        <f aca="false">F1387-E1387</f>
        <v>0.0798610532407407</v>
      </c>
      <c r="H1387" s="20" t="s">
        <v>248</v>
      </c>
      <c r="J1387" s="20" t="s">
        <v>256</v>
      </c>
      <c r="K1387" s="1" t="s">
        <v>430</v>
      </c>
      <c r="L1387" s="1" t="s">
        <v>275</v>
      </c>
      <c r="M1387" s="20" t="s">
        <v>258</v>
      </c>
      <c r="N1387" s="20" t="s">
        <v>259</v>
      </c>
      <c r="O1387" s="1" t="s">
        <v>260</v>
      </c>
      <c r="P1387" s="22" t="str">
        <f aca="false">_xlfn.CONCAT(B1387,C1387,D1387,E1387,F1387)</f>
        <v>BC Caiaponia1SG50CX(COM1-023)46049.600694444446049.600694444446049.6805554977</v>
      </c>
      <c r="Q1387" s="1" t="str">
        <f aca="false">_xlfn.CONCAT(H1387,I1387,J1387)</f>
        <v>DAURDE</v>
      </c>
    </row>
    <row r="1388" customFormat="false" ht="15" hidden="false" customHeight="false" outlineLevel="0" collapsed="false">
      <c r="B1388" s="1" t="s">
        <v>542</v>
      </c>
      <c r="C1388" s="1" t="s">
        <v>571</v>
      </c>
      <c r="D1388" s="14" t="n">
        <v>46049.6006944444</v>
      </c>
      <c r="E1388" s="14" t="n">
        <v>46049.6006944444</v>
      </c>
      <c r="F1388" s="14" t="n">
        <v>46049.6805554977</v>
      </c>
      <c r="G1388" s="15" t="n">
        <f aca="false">F1388-E1388</f>
        <v>0.0798610532407407</v>
      </c>
      <c r="H1388" s="20" t="s">
        <v>248</v>
      </c>
      <c r="J1388" s="20" t="s">
        <v>256</v>
      </c>
      <c r="K1388" s="1" t="s">
        <v>430</v>
      </c>
      <c r="L1388" s="1" t="s">
        <v>275</v>
      </c>
      <c r="M1388" s="20" t="s">
        <v>258</v>
      </c>
      <c r="N1388" s="20" t="s">
        <v>259</v>
      </c>
      <c r="O1388" s="1" t="s">
        <v>260</v>
      </c>
      <c r="P1388" s="22" t="str">
        <f aca="false">_xlfn.CONCAT(B1388,C1388,D1388,E1388,F1388)</f>
        <v>BC Caiaponia1SG50CX(COM1-024)46049.600694444446049.600694444446049.6805554977</v>
      </c>
      <c r="Q1388" s="1" t="str">
        <f aca="false">_xlfn.CONCAT(H1388,I1388,J1388)</f>
        <v>DAURDE</v>
      </c>
    </row>
    <row r="1389" customFormat="false" ht="15" hidden="false" customHeight="false" outlineLevel="0" collapsed="false">
      <c r="B1389" s="1" t="s">
        <v>542</v>
      </c>
      <c r="C1389" s="1" t="s">
        <v>572</v>
      </c>
      <c r="D1389" s="14" t="n">
        <v>46049.6006944444</v>
      </c>
      <c r="E1389" s="14" t="n">
        <v>46049.6006944444</v>
      </c>
      <c r="F1389" s="14" t="n">
        <v>46049.6805554977</v>
      </c>
      <c r="G1389" s="15" t="n">
        <f aca="false">F1389-E1389</f>
        <v>0.0798610532407407</v>
      </c>
      <c r="H1389" s="20" t="s">
        <v>248</v>
      </c>
      <c r="J1389" s="20" t="s">
        <v>256</v>
      </c>
      <c r="K1389" s="1" t="s">
        <v>430</v>
      </c>
      <c r="L1389" s="1" t="s">
        <v>275</v>
      </c>
      <c r="M1389" s="20" t="s">
        <v>258</v>
      </c>
      <c r="N1389" s="20" t="s">
        <v>259</v>
      </c>
      <c r="O1389" s="1" t="s">
        <v>260</v>
      </c>
      <c r="P1389" s="22" t="str">
        <f aca="false">_xlfn.CONCAT(B1389,C1389,D1389,E1389,F1389)</f>
        <v>BC Caiaponia1SG50CX(COM1-025)46049.600694444446049.600694444446049.6805554977</v>
      </c>
      <c r="Q1389" s="1" t="str">
        <f aca="false">_xlfn.CONCAT(H1389,I1389,J1389)</f>
        <v>DAURDE</v>
      </c>
    </row>
    <row r="1390" customFormat="false" ht="15" hidden="false" customHeight="false" outlineLevel="0" collapsed="false">
      <c r="B1390" s="1" t="s">
        <v>578</v>
      </c>
      <c r="C1390" s="1" t="s">
        <v>396</v>
      </c>
      <c r="D1390" s="14" t="n">
        <v>46049.6006944444</v>
      </c>
      <c r="E1390" s="14" t="n">
        <v>46049.6006944444</v>
      </c>
      <c r="F1390" s="14" t="n">
        <v>46049.6805554977</v>
      </c>
      <c r="G1390" s="15" t="n">
        <f aca="false">F1390-E1390</f>
        <v>0.0798610532407407</v>
      </c>
      <c r="H1390" s="20" t="s">
        <v>248</v>
      </c>
      <c r="J1390" s="20" t="s">
        <v>256</v>
      </c>
      <c r="K1390" s="1" t="s">
        <v>430</v>
      </c>
      <c r="L1390" s="1" t="s">
        <v>275</v>
      </c>
      <c r="M1390" s="20" t="s">
        <v>258</v>
      </c>
      <c r="N1390" s="20" t="s">
        <v>259</v>
      </c>
      <c r="O1390" s="1" t="s">
        <v>260</v>
      </c>
      <c r="P1390" s="22" t="str">
        <f aca="false">_xlfn.CONCAT(B1390,C1390,D1390,E1390,F1390)</f>
        <v>BC Caiaponia2.1215KTL-H3(MBUS-12)46049.600694444446049.600694444446049.6805554977</v>
      </c>
      <c r="Q1390" s="1" t="str">
        <f aca="false">_xlfn.CONCAT(H1390,I1390,J1390)</f>
        <v>DAURDE</v>
      </c>
    </row>
    <row r="1391" customFormat="false" ht="15" hidden="false" customHeight="false" outlineLevel="0" collapsed="false">
      <c r="B1391" s="1" t="s">
        <v>578</v>
      </c>
      <c r="C1391" s="1" t="s">
        <v>397</v>
      </c>
      <c r="D1391" s="14" t="n">
        <v>46049.6006944444</v>
      </c>
      <c r="E1391" s="14" t="n">
        <v>46049.6006944444</v>
      </c>
      <c r="F1391" s="14" t="n">
        <v>46049.6805554977</v>
      </c>
      <c r="G1391" s="15" t="n">
        <f aca="false">F1391-E1391</f>
        <v>0.0798610532407407</v>
      </c>
      <c r="H1391" s="20" t="s">
        <v>248</v>
      </c>
      <c r="J1391" s="20" t="s">
        <v>256</v>
      </c>
      <c r="K1391" s="1" t="s">
        <v>430</v>
      </c>
      <c r="L1391" s="1" t="s">
        <v>275</v>
      </c>
      <c r="M1391" s="20" t="s">
        <v>258</v>
      </c>
      <c r="N1391" s="20" t="s">
        <v>259</v>
      </c>
      <c r="O1391" s="1" t="s">
        <v>260</v>
      </c>
      <c r="P1391" s="22" t="str">
        <f aca="false">_xlfn.CONCAT(B1391,C1391,D1391,E1391,F1391)</f>
        <v>BC Caiaponia2.1215KTL-H3(MBUS-13)46049.600694444446049.600694444446049.6805554977</v>
      </c>
      <c r="Q1391" s="1" t="str">
        <f aca="false">_xlfn.CONCAT(H1391,I1391,J1391)</f>
        <v>DAURDE</v>
      </c>
    </row>
    <row r="1392" customFormat="false" ht="15" hidden="false" customHeight="false" outlineLevel="0" collapsed="false">
      <c r="B1392" s="1" t="s">
        <v>578</v>
      </c>
      <c r="C1392" s="1" t="s">
        <v>394</v>
      </c>
      <c r="D1392" s="14" t="n">
        <v>46049.6006944444</v>
      </c>
      <c r="E1392" s="14" t="n">
        <v>46049.6006944444</v>
      </c>
      <c r="F1392" s="14" t="n">
        <v>46049.6805554977</v>
      </c>
      <c r="G1392" s="15" t="n">
        <f aca="false">F1392-E1392</f>
        <v>0.0798610532407407</v>
      </c>
      <c r="H1392" s="20" t="s">
        <v>248</v>
      </c>
      <c r="J1392" s="20" t="s">
        <v>256</v>
      </c>
      <c r="K1392" s="1" t="s">
        <v>430</v>
      </c>
      <c r="L1392" s="1" t="s">
        <v>275</v>
      </c>
      <c r="M1392" s="20" t="s">
        <v>258</v>
      </c>
      <c r="N1392" s="20" t="s">
        <v>259</v>
      </c>
      <c r="O1392" s="1" t="s">
        <v>260</v>
      </c>
      <c r="P1392" s="22" t="str">
        <f aca="false">_xlfn.CONCAT(B1392,C1392,D1392,E1392,F1392)</f>
        <v>BC Caiaponia2.1215KTL-H3(MBUS-14)46049.600694444446049.600694444446049.6805554977</v>
      </c>
      <c r="Q1392" s="1" t="str">
        <f aca="false">_xlfn.CONCAT(H1392,I1392,J1392)</f>
        <v>DAURDE</v>
      </c>
    </row>
    <row r="1393" customFormat="false" ht="15" hidden="false" customHeight="false" outlineLevel="0" collapsed="false">
      <c r="B1393" s="1" t="s">
        <v>578</v>
      </c>
      <c r="C1393" s="1" t="s">
        <v>395</v>
      </c>
      <c r="D1393" s="14" t="n">
        <v>46049.6006944444</v>
      </c>
      <c r="E1393" s="14" t="n">
        <v>46049.6006944444</v>
      </c>
      <c r="F1393" s="14" t="n">
        <v>46049.6805554977</v>
      </c>
      <c r="G1393" s="15" t="n">
        <f aca="false">F1393-E1393</f>
        <v>0.0798610532407407</v>
      </c>
      <c r="H1393" s="20" t="s">
        <v>248</v>
      </c>
      <c r="J1393" s="20" t="s">
        <v>256</v>
      </c>
      <c r="K1393" s="1" t="s">
        <v>430</v>
      </c>
      <c r="L1393" s="1" t="s">
        <v>275</v>
      </c>
      <c r="M1393" s="20" t="s">
        <v>258</v>
      </c>
      <c r="N1393" s="20" t="s">
        <v>259</v>
      </c>
      <c r="O1393" s="1" t="s">
        <v>260</v>
      </c>
      <c r="P1393" s="22" t="str">
        <f aca="false">_xlfn.CONCAT(B1393,C1393,D1393,E1393,F1393)</f>
        <v>BC Caiaponia2.1215KTL-H3(MBUS-15)46049.600694444446049.600694444446049.6805554977</v>
      </c>
      <c r="Q1393" s="1" t="str">
        <f aca="false">_xlfn.CONCAT(H1393,I1393,J1393)</f>
        <v>DAURDE</v>
      </c>
    </row>
    <row r="1394" customFormat="false" ht="15" hidden="false" customHeight="false" outlineLevel="0" collapsed="false">
      <c r="B1394" s="1" t="s">
        <v>578</v>
      </c>
      <c r="C1394" s="1" t="s">
        <v>391</v>
      </c>
      <c r="D1394" s="14" t="n">
        <v>46049.6006944444</v>
      </c>
      <c r="E1394" s="14" t="n">
        <v>46049.6006944444</v>
      </c>
      <c r="F1394" s="14" t="n">
        <v>46049.6805554977</v>
      </c>
      <c r="G1394" s="15" t="n">
        <f aca="false">F1394-E1394</f>
        <v>0.0798610532407407</v>
      </c>
      <c r="H1394" s="20" t="s">
        <v>248</v>
      </c>
      <c r="J1394" s="20" t="s">
        <v>256</v>
      </c>
      <c r="K1394" s="1" t="s">
        <v>430</v>
      </c>
      <c r="L1394" s="1" t="s">
        <v>275</v>
      </c>
      <c r="M1394" s="20" t="s">
        <v>258</v>
      </c>
      <c r="N1394" s="20" t="s">
        <v>259</v>
      </c>
      <c r="O1394" s="1" t="s">
        <v>260</v>
      </c>
      <c r="P1394" s="22" t="str">
        <f aca="false">_xlfn.CONCAT(B1394,C1394,D1394,E1394,F1394)</f>
        <v>BC Caiaponia2.1215KTL-H3(MBUS-16)46049.600694444446049.600694444446049.6805554977</v>
      </c>
      <c r="Q1394" s="1" t="str">
        <f aca="false">_xlfn.CONCAT(H1394,I1394,J1394)</f>
        <v>DAURDE</v>
      </c>
    </row>
    <row r="1395" customFormat="false" ht="15" hidden="false" customHeight="false" outlineLevel="0" collapsed="false">
      <c r="B1395" s="1" t="s">
        <v>579</v>
      </c>
      <c r="C1395" s="1" t="s">
        <v>396</v>
      </c>
      <c r="D1395" s="14" t="n">
        <v>46049.6006944444</v>
      </c>
      <c r="E1395" s="14" t="n">
        <v>46049.6006944444</v>
      </c>
      <c r="F1395" s="14" t="n">
        <v>46049.6805554977</v>
      </c>
      <c r="G1395" s="15" t="n">
        <f aca="false">F1395-E1395</f>
        <v>0.0798610532407407</v>
      </c>
      <c r="H1395" s="20" t="s">
        <v>248</v>
      </c>
      <c r="J1395" s="20" t="s">
        <v>256</v>
      </c>
      <c r="K1395" s="1" t="s">
        <v>430</v>
      </c>
      <c r="L1395" s="1" t="s">
        <v>275</v>
      </c>
      <c r="M1395" s="20" t="s">
        <v>258</v>
      </c>
      <c r="N1395" s="20" t="s">
        <v>259</v>
      </c>
      <c r="O1395" s="1" t="s">
        <v>260</v>
      </c>
      <c r="P1395" s="22" t="str">
        <f aca="false">_xlfn.CONCAT(B1395,C1395,D1395,E1395,F1395)</f>
        <v>BC Caiaponia2.2215KTL-H3(MBUS-12)46049.600694444446049.600694444446049.6805554977</v>
      </c>
      <c r="Q1395" s="1" t="str">
        <f aca="false">_xlfn.CONCAT(H1395,I1395,J1395)</f>
        <v>DAURDE</v>
      </c>
    </row>
    <row r="1396" customFormat="false" ht="15" hidden="false" customHeight="false" outlineLevel="0" collapsed="false">
      <c r="B1396" s="1" t="s">
        <v>579</v>
      </c>
      <c r="C1396" s="1" t="s">
        <v>397</v>
      </c>
      <c r="D1396" s="14" t="n">
        <v>46049.6006944444</v>
      </c>
      <c r="E1396" s="14" t="n">
        <v>46049.6006944444</v>
      </c>
      <c r="F1396" s="14" t="n">
        <v>46049.6805554977</v>
      </c>
      <c r="G1396" s="15" t="n">
        <f aca="false">F1396-E1396</f>
        <v>0.0798610532407407</v>
      </c>
      <c r="H1396" s="20" t="s">
        <v>248</v>
      </c>
      <c r="J1396" s="20" t="s">
        <v>256</v>
      </c>
      <c r="K1396" s="1" t="s">
        <v>430</v>
      </c>
      <c r="L1396" s="1" t="s">
        <v>275</v>
      </c>
      <c r="M1396" s="20" t="s">
        <v>258</v>
      </c>
      <c r="N1396" s="20" t="s">
        <v>259</v>
      </c>
      <c r="O1396" s="1" t="s">
        <v>260</v>
      </c>
      <c r="P1396" s="22" t="str">
        <f aca="false">_xlfn.CONCAT(B1396,C1396,D1396,E1396,F1396)</f>
        <v>BC Caiaponia2.2215KTL-H3(MBUS-13)46049.600694444446049.600694444446049.6805554977</v>
      </c>
      <c r="Q1396" s="1" t="str">
        <f aca="false">_xlfn.CONCAT(H1396,I1396,J1396)</f>
        <v>DAURDE</v>
      </c>
    </row>
    <row r="1397" customFormat="false" ht="15" hidden="false" customHeight="false" outlineLevel="0" collapsed="false">
      <c r="B1397" s="1" t="s">
        <v>579</v>
      </c>
      <c r="C1397" s="1" t="s">
        <v>394</v>
      </c>
      <c r="D1397" s="14" t="n">
        <v>46049.6006944444</v>
      </c>
      <c r="E1397" s="14" t="n">
        <v>46049.6006944444</v>
      </c>
      <c r="F1397" s="14" t="n">
        <v>46049.6805554977</v>
      </c>
      <c r="G1397" s="15" t="n">
        <f aca="false">F1397-E1397</f>
        <v>0.0798610532407407</v>
      </c>
      <c r="H1397" s="20" t="s">
        <v>248</v>
      </c>
      <c r="J1397" s="20" t="s">
        <v>256</v>
      </c>
      <c r="K1397" s="1" t="s">
        <v>430</v>
      </c>
      <c r="L1397" s="1" t="s">
        <v>275</v>
      </c>
      <c r="M1397" s="20" t="s">
        <v>258</v>
      </c>
      <c r="N1397" s="20" t="s">
        <v>259</v>
      </c>
      <c r="O1397" s="1" t="s">
        <v>260</v>
      </c>
      <c r="P1397" s="22" t="str">
        <f aca="false">_xlfn.CONCAT(B1397,C1397,D1397,E1397,F1397)</f>
        <v>BC Caiaponia2.2215KTL-H3(MBUS-14)46049.600694444446049.600694444446049.6805554977</v>
      </c>
      <c r="Q1397" s="1" t="str">
        <f aca="false">_xlfn.CONCAT(H1397,I1397,J1397)</f>
        <v>DAURDE</v>
      </c>
    </row>
    <row r="1398" customFormat="false" ht="15" hidden="false" customHeight="false" outlineLevel="0" collapsed="false">
      <c r="B1398" s="1" t="s">
        <v>579</v>
      </c>
      <c r="C1398" s="1" t="s">
        <v>395</v>
      </c>
      <c r="D1398" s="14" t="n">
        <v>46049.6006944444</v>
      </c>
      <c r="E1398" s="14" t="n">
        <v>46049.6006944444</v>
      </c>
      <c r="F1398" s="14" t="n">
        <v>46049.6805554977</v>
      </c>
      <c r="G1398" s="15" t="n">
        <f aca="false">F1398-E1398</f>
        <v>0.0798610532407407</v>
      </c>
      <c r="H1398" s="20" t="s">
        <v>248</v>
      </c>
      <c r="J1398" s="20" t="s">
        <v>256</v>
      </c>
      <c r="K1398" s="1" t="s">
        <v>430</v>
      </c>
      <c r="L1398" s="1" t="s">
        <v>275</v>
      </c>
      <c r="M1398" s="20" t="s">
        <v>258</v>
      </c>
      <c r="N1398" s="20" t="s">
        <v>259</v>
      </c>
      <c r="O1398" s="1" t="s">
        <v>260</v>
      </c>
      <c r="P1398" s="22" t="str">
        <f aca="false">_xlfn.CONCAT(B1398,C1398,D1398,E1398,F1398)</f>
        <v>BC Caiaponia2.2215KTL-H3(MBUS-15)46049.600694444446049.600694444446049.6805554977</v>
      </c>
      <c r="Q1398" s="1" t="str">
        <f aca="false">_xlfn.CONCAT(H1398,I1398,J1398)</f>
        <v>DAURDE</v>
      </c>
    </row>
    <row r="1399" customFormat="false" ht="15" hidden="false" customHeight="false" outlineLevel="0" collapsed="false">
      <c r="B1399" s="1" t="s">
        <v>579</v>
      </c>
      <c r="C1399" s="1" t="s">
        <v>391</v>
      </c>
      <c r="D1399" s="14" t="n">
        <v>46049.6006944444</v>
      </c>
      <c r="E1399" s="14" t="n">
        <v>46049.6006944444</v>
      </c>
      <c r="F1399" s="14" t="n">
        <v>46049.6805554977</v>
      </c>
      <c r="G1399" s="15" t="n">
        <f aca="false">F1399-E1399</f>
        <v>0.0798610532407407</v>
      </c>
      <c r="H1399" s="20" t="s">
        <v>248</v>
      </c>
      <c r="J1399" s="20" t="s">
        <v>256</v>
      </c>
      <c r="K1399" s="1" t="s">
        <v>430</v>
      </c>
      <c r="L1399" s="1" t="s">
        <v>275</v>
      </c>
      <c r="M1399" s="20" t="s">
        <v>258</v>
      </c>
      <c r="N1399" s="20" t="s">
        <v>259</v>
      </c>
      <c r="O1399" s="1" t="s">
        <v>260</v>
      </c>
      <c r="P1399" s="22" t="str">
        <f aca="false">_xlfn.CONCAT(B1399,C1399,D1399,E1399,F1399)</f>
        <v>BC Caiaponia2.2215KTL-H3(MBUS-16)46049.600694444446049.600694444446049.6805554977</v>
      </c>
      <c r="Q1399" s="1" t="str">
        <f aca="false">_xlfn.CONCAT(H1399,I1399,J1399)</f>
        <v>DAURDE</v>
      </c>
    </row>
    <row r="1400" customFormat="false" ht="15" hidden="false" customHeight="false" outlineLevel="0" collapsed="false">
      <c r="B1400" s="1" t="s">
        <v>580</v>
      </c>
      <c r="C1400" s="1" t="s">
        <v>396</v>
      </c>
      <c r="D1400" s="14" t="n">
        <v>46049.6006944444</v>
      </c>
      <c r="E1400" s="14" t="n">
        <v>46049.6006944444</v>
      </c>
      <c r="F1400" s="14" t="n">
        <v>46049.6805554977</v>
      </c>
      <c r="G1400" s="15" t="n">
        <f aca="false">F1400-E1400</f>
        <v>0.0798610532407407</v>
      </c>
      <c r="H1400" s="20" t="s">
        <v>248</v>
      </c>
      <c r="J1400" s="20" t="s">
        <v>256</v>
      </c>
      <c r="K1400" s="1" t="s">
        <v>430</v>
      </c>
      <c r="L1400" s="1" t="s">
        <v>275</v>
      </c>
      <c r="M1400" s="20" t="s">
        <v>258</v>
      </c>
      <c r="N1400" s="20" t="s">
        <v>259</v>
      </c>
      <c r="O1400" s="1" t="s">
        <v>260</v>
      </c>
      <c r="P1400" s="22" t="str">
        <f aca="false">_xlfn.CONCAT(B1400,C1400,D1400,E1400,F1400)</f>
        <v>BC Caiaponia2.3215KTL-H3(MBUS-12)46049.600694444446049.600694444446049.6805554977</v>
      </c>
      <c r="Q1400" s="1" t="str">
        <f aca="false">_xlfn.CONCAT(H1400,I1400,J1400)</f>
        <v>DAURDE</v>
      </c>
    </row>
    <row r="1401" customFormat="false" ht="15" hidden="false" customHeight="false" outlineLevel="0" collapsed="false">
      <c r="B1401" s="1" t="s">
        <v>580</v>
      </c>
      <c r="C1401" s="1" t="s">
        <v>397</v>
      </c>
      <c r="D1401" s="14" t="n">
        <v>46049.6006944444</v>
      </c>
      <c r="E1401" s="14" t="n">
        <v>46049.6006944444</v>
      </c>
      <c r="F1401" s="14" t="n">
        <v>46049.6805554977</v>
      </c>
      <c r="G1401" s="15" t="n">
        <f aca="false">F1401-E1401</f>
        <v>0.0798610532407407</v>
      </c>
      <c r="H1401" s="20" t="s">
        <v>248</v>
      </c>
      <c r="J1401" s="20" t="s">
        <v>256</v>
      </c>
      <c r="K1401" s="1" t="s">
        <v>430</v>
      </c>
      <c r="L1401" s="1" t="s">
        <v>275</v>
      </c>
      <c r="M1401" s="20" t="s">
        <v>258</v>
      </c>
      <c r="N1401" s="20" t="s">
        <v>259</v>
      </c>
      <c r="O1401" s="1" t="s">
        <v>260</v>
      </c>
      <c r="P1401" s="22" t="str">
        <f aca="false">_xlfn.CONCAT(B1401,C1401,D1401,E1401,F1401)</f>
        <v>BC Caiaponia2.3215KTL-H3(MBUS-13)46049.600694444446049.600694444446049.6805554977</v>
      </c>
      <c r="Q1401" s="1" t="str">
        <f aca="false">_xlfn.CONCAT(H1401,I1401,J1401)</f>
        <v>DAURDE</v>
      </c>
    </row>
    <row r="1402" customFormat="false" ht="15" hidden="false" customHeight="false" outlineLevel="0" collapsed="false">
      <c r="B1402" s="1" t="s">
        <v>580</v>
      </c>
      <c r="C1402" s="1" t="s">
        <v>394</v>
      </c>
      <c r="D1402" s="14" t="n">
        <v>46049.6006944444</v>
      </c>
      <c r="E1402" s="14" t="n">
        <v>46049.6006944444</v>
      </c>
      <c r="F1402" s="14" t="n">
        <v>46049.6805554977</v>
      </c>
      <c r="G1402" s="15" t="n">
        <f aca="false">F1402-E1402</f>
        <v>0.0798610532407407</v>
      </c>
      <c r="H1402" s="20" t="s">
        <v>248</v>
      </c>
      <c r="J1402" s="20" t="s">
        <v>256</v>
      </c>
      <c r="K1402" s="1" t="s">
        <v>430</v>
      </c>
      <c r="L1402" s="1" t="s">
        <v>275</v>
      </c>
      <c r="M1402" s="20" t="s">
        <v>258</v>
      </c>
      <c r="N1402" s="20" t="s">
        <v>259</v>
      </c>
      <c r="O1402" s="1" t="s">
        <v>260</v>
      </c>
      <c r="P1402" s="22" t="str">
        <f aca="false">_xlfn.CONCAT(B1402,C1402,D1402,E1402,F1402)</f>
        <v>BC Caiaponia2.3215KTL-H3(MBUS-14)46049.600694444446049.600694444446049.6805554977</v>
      </c>
      <c r="Q1402" s="1" t="str">
        <f aca="false">_xlfn.CONCAT(H1402,I1402,J1402)</f>
        <v>DAURDE</v>
      </c>
    </row>
    <row r="1403" customFormat="false" ht="15" hidden="false" customHeight="false" outlineLevel="0" collapsed="false">
      <c r="B1403" s="1" t="s">
        <v>580</v>
      </c>
      <c r="C1403" s="1" t="s">
        <v>395</v>
      </c>
      <c r="D1403" s="14" t="n">
        <v>46049.6006944444</v>
      </c>
      <c r="E1403" s="14" t="n">
        <v>46049.6006944444</v>
      </c>
      <c r="F1403" s="14" t="n">
        <v>46049.6805554977</v>
      </c>
      <c r="G1403" s="15" t="n">
        <f aca="false">F1403-E1403</f>
        <v>0.0798610532407407</v>
      </c>
      <c r="H1403" s="20" t="s">
        <v>248</v>
      </c>
      <c r="J1403" s="20" t="s">
        <v>256</v>
      </c>
      <c r="K1403" s="1" t="s">
        <v>430</v>
      </c>
      <c r="L1403" s="1" t="s">
        <v>275</v>
      </c>
      <c r="M1403" s="20" t="s">
        <v>258</v>
      </c>
      <c r="N1403" s="20" t="s">
        <v>259</v>
      </c>
      <c r="O1403" s="1" t="s">
        <v>260</v>
      </c>
      <c r="P1403" s="22" t="str">
        <f aca="false">_xlfn.CONCAT(B1403,C1403,D1403,E1403,F1403)</f>
        <v>BC Caiaponia2.3215KTL-H3(MBUS-15)46049.600694444446049.600694444446049.6805554977</v>
      </c>
      <c r="Q1403" s="1" t="str">
        <f aca="false">_xlfn.CONCAT(H1403,I1403,J1403)</f>
        <v>DAURDE</v>
      </c>
    </row>
    <row r="1404" customFormat="false" ht="15" hidden="false" customHeight="false" outlineLevel="0" collapsed="false">
      <c r="B1404" s="1" t="s">
        <v>580</v>
      </c>
      <c r="C1404" s="1" t="s">
        <v>391</v>
      </c>
      <c r="D1404" s="14" t="n">
        <v>46049.6006944444</v>
      </c>
      <c r="E1404" s="14" t="n">
        <v>46049.6006944444</v>
      </c>
      <c r="F1404" s="14" t="n">
        <v>46049.6805554977</v>
      </c>
      <c r="G1404" s="15" t="n">
        <f aca="false">F1404-E1404</f>
        <v>0.0798610532407407</v>
      </c>
      <c r="H1404" s="20" t="s">
        <v>248</v>
      </c>
      <c r="J1404" s="20" t="s">
        <v>256</v>
      </c>
      <c r="K1404" s="1" t="s">
        <v>430</v>
      </c>
      <c r="L1404" s="1" t="s">
        <v>275</v>
      </c>
      <c r="M1404" s="20" t="s">
        <v>258</v>
      </c>
      <c r="N1404" s="20" t="s">
        <v>259</v>
      </c>
      <c r="O1404" s="1" t="s">
        <v>260</v>
      </c>
      <c r="P1404" s="22" t="str">
        <f aca="false">_xlfn.CONCAT(B1404,C1404,D1404,E1404,F1404)</f>
        <v>BC Caiaponia2.3215KTL-H3(MBUS-16)46049.600694444446049.600694444446049.6805554977</v>
      </c>
      <c r="Q1404" s="1" t="str">
        <f aca="false">_xlfn.CONCAT(H1404,I1404,J1404)</f>
        <v>DAURDE</v>
      </c>
    </row>
    <row r="1405" customFormat="false" ht="15" hidden="false" customHeight="false" outlineLevel="0" collapsed="false">
      <c r="B1405" s="1" t="s">
        <v>254</v>
      </c>
      <c r="C1405" s="1" t="s">
        <v>255</v>
      </c>
      <c r="D1405" s="14" t="n">
        <v>46049.6284722222</v>
      </c>
      <c r="E1405" s="14" t="n">
        <v>46049.6284722222</v>
      </c>
      <c r="F1405" s="14" t="n">
        <v>46049.7701388889</v>
      </c>
      <c r="G1405" s="15" t="n">
        <f aca="false">F1405-E1405</f>
        <v>0.141666666666667</v>
      </c>
      <c r="H1405" s="20" t="s">
        <v>248</v>
      </c>
      <c r="J1405" s="20" t="s">
        <v>256</v>
      </c>
      <c r="K1405" s="1" t="s">
        <v>430</v>
      </c>
      <c r="L1405" s="1" t="s">
        <v>620</v>
      </c>
      <c r="M1405" s="20" t="s">
        <v>258</v>
      </c>
      <c r="N1405" s="20" t="s">
        <v>259</v>
      </c>
      <c r="O1405" s="1" t="s">
        <v>603</v>
      </c>
      <c r="P1405" s="22" t="str">
        <f aca="false">_xlfn.CONCAT(B1405,C1405,D1405,E1405,F1405)</f>
        <v>BC Aracu5.1Inverter(MBUS-1)46049.628472222246049.628472222246049.7701388889</v>
      </c>
      <c r="Q1405" s="1" t="str">
        <f aca="false">_xlfn.CONCAT(H1405,I1405,J1405)</f>
        <v>DAURDE</v>
      </c>
    </row>
    <row r="1406" customFormat="false" ht="15" hidden="false" customHeight="false" outlineLevel="0" collapsed="false">
      <c r="B1406" s="1" t="s">
        <v>307</v>
      </c>
      <c r="C1406" s="1" t="s">
        <v>255</v>
      </c>
      <c r="D1406" s="14" t="n">
        <v>46049.6284722222</v>
      </c>
      <c r="E1406" s="14" t="n">
        <v>46049.6284722222</v>
      </c>
      <c r="F1406" s="14" t="n">
        <v>46049.7701388889</v>
      </c>
      <c r="G1406" s="15" t="n">
        <f aca="false">F1406-E1406</f>
        <v>0.141666666666667</v>
      </c>
      <c r="H1406" s="20" t="s">
        <v>248</v>
      </c>
      <c r="J1406" s="20" t="s">
        <v>256</v>
      </c>
      <c r="K1406" s="1" t="s">
        <v>430</v>
      </c>
      <c r="L1406" s="1" t="s">
        <v>620</v>
      </c>
      <c r="M1406" s="20" t="s">
        <v>258</v>
      </c>
      <c r="N1406" s="20" t="s">
        <v>259</v>
      </c>
      <c r="O1406" s="1" t="s">
        <v>603</v>
      </c>
      <c r="P1406" s="22" t="str">
        <f aca="false">_xlfn.CONCAT(B1406,C1406,D1406,E1406,F1406)</f>
        <v>BC Aracu5.2Inverter(MBUS-1)46049.628472222246049.628472222246049.7701388889</v>
      </c>
      <c r="Q1406" s="1" t="str">
        <f aca="false">_xlfn.CONCAT(H1406,I1406,J1406)</f>
        <v>DAURDE</v>
      </c>
    </row>
    <row r="1407" customFormat="false" ht="15" hidden="false" customHeight="false" outlineLevel="0" collapsed="false">
      <c r="B1407" s="1" t="s">
        <v>308</v>
      </c>
      <c r="C1407" s="1" t="s">
        <v>255</v>
      </c>
      <c r="D1407" s="14" t="n">
        <v>46049.6284722222</v>
      </c>
      <c r="E1407" s="14" t="n">
        <v>46049.6284722222</v>
      </c>
      <c r="F1407" s="14" t="n">
        <v>46049.7701388889</v>
      </c>
      <c r="G1407" s="15" t="n">
        <f aca="false">F1407-E1407</f>
        <v>0.141666666666667</v>
      </c>
      <c r="H1407" s="20" t="s">
        <v>248</v>
      </c>
      <c r="J1407" s="20" t="s">
        <v>256</v>
      </c>
      <c r="K1407" s="1" t="s">
        <v>430</v>
      </c>
      <c r="L1407" s="1" t="s">
        <v>620</v>
      </c>
      <c r="M1407" s="20" t="s">
        <v>258</v>
      </c>
      <c r="N1407" s="20" t="s">
        <v>259</v>
      </c>
      <c r="O1407" s="1" t="s">
        <v>603</v>
      </c>
      <c r="P1407" s="22" t="str">
        <f aca="false">_xlfn.CONCAT(B1407,C1407,D1407,E1407,F1407)</f>
        <v>BC Aracu5.3Inverter(MBUS-1)46049.628472222246049.628472222246049.7701388889</v>
      </c>
      <c r="Q1407" s="1" t="str">
        <f aca="false">_xlfn.CONCAT(H1407,I1407,J1407)</f>
        <v>DAURDE</v>
      </c>
    </row>
    <row r="1408" customFormat="false" ht="15" hidden="false" customHeight="false" outlineLevel="0" collapsed="false">
      <c r="B1408" s="1" t="s">
        <v>309</v>
      </c>
      <c r="C1408" s="1" t="s">
        <v>255</v>
      </c>
      <c r="D1408" s="14" t="n">
        <v>46049.6284722222</v>
      </c>
      <c r="E1408" s="14" t="n">
        <v>46049.6284722222</v>
      </c>
      <c r="F1408" s="14" t="n">
        <v>46049.7701388889</v>
      </c>
      <c r="G1408" s="15" t="n">
        <f aca="false">F1408-E1408</f>
        <v>0.141666666666667</v>
      </c>
      <c r="H1408" s="1" t="s">
        <v>248</v>
      </c>
      <c r="J1408" s="1" t="s">
        <v>256</v>
      </c>
      <c r="K1408" s="1" t="s">
        <v>430</v>
      </c>
      <c r="L1408" s="1" t="s">
        <v>620</v>
      </c>
      <c r="M1408" s="1" t="s">
        <v>258</v>
      </c>
      <c r="N1408" s="1" t="s">
        <v>259</v>
      </c>
      <c r="O1408" s="1" t="s">
        <v>603</v>
      </c>
      <c r="P1408" s="22" t="str">
        <f aca="false">_xlfn.CONCAT(B1408,C1408,D1408,E1408,F1408)</f>
        <v>BC Aracu5.4Inverter(MBUS-1)46049.628472222246049.628472222246049.7701388889</v>
      </c>
      <c r="Q1408" s="1" t="str">
        <f aca="false">_xlfn.CONCAT(H1408,I1408,J1408)</f>
        <v>DAURDE</v>
      </c>
    </row>
    <row r="1409" customFormat="false" ht="15" hidden="false" customHeight="false" outlineLevel="0" collapsed="false">
      <c r="B1409" s="1" t="s">
        <v>310</v>
      </c>
      <c r="C1409" s="1" t="s">
        <v>255</v>
      </c>
      <c r="D1409" s="14" t="n">
        <v>46049.6284722222</v>
      </c>
      <c r="E1409" s="14" t="n">
        <v>46049.6284722222</v>
      </c>
      <c r="F1409" s="14" t="n">
        <v>46049.7701388889</v>
      </c>
      <c r="G1409" s="15" t="n">
        <f aca="false">F1409-E1409</f>
        <v>0.141666666666667</v>
      </c>
      <c r="H1409" s="1" t="s">
        <v>248</v>
      </c>
      <c r="J1409" s="1" t="s">
        <v>256</v>
      </c>
      <c r="K1409" s="1" t="s">
        <v>430</v>
      </c>
      <c r="L1409" s="1" t="s">
        <v>620</v>
      </c>
      <c r="M1409" s="1" t="s">
        <v>258</v>
      </c>
      <c r="N1409" s="1" t="s">
        <v>259</v>
      </c>
      <c r="O1409" s="1" t="s">
        <v>603</v>
      </c>
      <c r="P1409" s="22" t="str">
        <f aca="false">_xlfn.CONCAT(B1409,C1409,D1409,E1409,F1409)</f>
        <v>BC Aracu5.5Inverter(MBUS-1)46049.628472222246049.628472222246049.7701388889</v>
      </c>
      <c r="Q1409" s="1" t="str">
        <f aca="false">_xlfn.CONCAT(H1409,I1409,J1409)</f>
        <v>DAURDE</v>
      </c>
    </row>
    <row r="1410" customFormat="false" ht="15" hidden="false" customHeight="false" outlineLevel="0" collapsed="false">
      <c r="B1410" s="1" t="s">
        <v>330</v>
      </c>
      <c r="C1410" s="1" t="s">
        <v>277</v>
      </c>
      <c r="D1410" s="14" t="n">
        <v>46049.8402777778</v>
      </c>
      <c r="E1410" s="14" t="n">
        <v>46049.8402777778</v>
      </c>
      <c r="F1410" s="14" t="n">
        <v>46049.9375</v>
      </c>
      <c r="G1410" s="15" t="n">
        <f aca="false">F1410-E1410</f>
        <v>0.0972222222222222</v>
      </c>
      <c r="H1410" s="1" t="s">
        <v>248</v>
      </c>
      <c r="J1410" s="1" t="s">
        <v>256</v>
      </c>
      <c r="K1410" s="1" t="s">
        <v>430</v>
      </c>
      <c r="L1410" s="1" t="s">
        <v>621</v>
      </c>
      <c r="M1410" s="1" t="s">
        <v>258</v>
      </c>
      <c r="N1410" s="1" t="s">
        <v>259</v>
      </c>
      <c r="O1410" s="1" t="s">
        <v>603</v>
      </c>
      <c r="P1410" s="22" t="str">
        <f aca="false">_xlfn.CONCAT(B1410,C1410,D1410,E1410,F1410)</f>
        <v>BC Formoso2.1Inverter(MBUS-12)46049.840277777846049.840277777846049.9375</v>
      </c>
      <c r="Q1410" s="1" t="str">
        <f aca="false">_xlfn.CONCAT(H1410,I1410,J1410)</f>
        <v>DAURDE</v>
      </c>
    </row>
    <row r="1411" customFormat="false" ht="15" hidden="false" customHeight="false" outlineLevel="0" collapsed="false">
      <c r="B1411" s="1" t="s">
        <v>330</v>
      </c>
      <c r="C1411" s="1" t="s">
        <v>280</v>
      </c>
      <c r="D1411" s="14" t="n">
        <v>46049.8402777778</v>
      </c>
      <c r="E1411" s="14" t="n">
        <v>46049.8402777778</v>
      </c>
      <c r="F1411" s="14" t="n">
        <v>46049.9375</v>
      </c>
      <c r="G1411" s="15" t="n">
        <f aca="false">F1411-E1411</f>
        <v>0.0972222222222222</v>
      </c>
      <c r="H1411" s="1" t="s">
        <v>248</v>
      </c>
      <c r="J1411" s="1" t="s">
        <v>256</v>
      </c>
      <c r="K1411" s="1" t="s">
        <v>430</v>
      </c>
      <c r="L1411" s="1" t="s">
        <v>621</v>
      </c>
      <c r="M1411" s="1" t="s">
        <v>258</v>
      </c>
      <c r="N1411" s="1" t="s">
        <v>259</v>
      </c>
      <c r="O1411" s="1" t="s">
        <v>603</v>
      </c>
      <c r="P1411" s="22" t="str">
        <f aca="false">_xlfn.CONCAT(B1411,C1411,D1411,E1411,F1411)</f>
        <v>BC Formoso2.1Inverter(MBUS-14)46049.840277777846049.840277777846049.9375</v>
      </c>
      <c r="Q1411" s="1" t="str">
        <f aca="false">_xlfn.CONCAT(H1411,I1411,J1411)</f>
        <v>DAURDE</v>
      </c>
    </row>
    <row r="1412" customFormat="false" ht="15" hidden="false" customHeight="false" outlineLevel="0" collapsed="false">
      <c r="B1412" s="1" t="s">
        <v>330</v>
      </c>
      <c r="C1412" s="1" t="s">
        <v>247</v>
      </c>
      <c r="D1412" s="14" t="n">
        <v>46049.8402777778</v>
      </c>
      <c r="E1412" s="14" t="n">
        <v>46049.8402777778</v>
      </c>
      <c r="F1412" s="14" t="n">
        <v>46049.9375</v>
      </c>
      <c r="G1412" s="15" t="n">
        <f aca="false">F1412-E1412</f>
        <v>0.0972222222222222</v>
      </c>
      <c r="H1412" s="1" t="s">
        <v>248</v>
      </c>
      <c r="J1412" s="1" t="s">
        <v>256</v>
      </c>
      <c r="K1412" s="1" t="s">
        <v>430</v>
      </c>
      <c r="L1412" s="1" t="s">
        <v>621</v>
      </c>
      <c r="M1412" s="1" t="s">
        <v>258</v>
      </c>
      <c r="N1412" s="1" t="s">
        <v>259</v>
      </c>
      <c r="O1412" s="1" t="s">
        <v>603</v>
      </c>
      <c r="P1412" s="22" t="str">
        <f aca="false">_xlfn.CONCAT(B1412,C1412,D1412,E1412,F1412)</f>
        <v>BC Formoso2.1Inverter(MBUS-13)46049.840277777846049.840277777846049.9375</v>
      </c>
      <c r="Q1412" s="1" t="str">
        <f aca="false">_xlfn.CONCAT(H1412,I1412,J1412)</f>
        <v>DAURDE</v>
      </c>
    </row>
    <row r="1413" customFormat="false" ht="15" hidden="false" customHeight="false" outlineLevel="0" collapsed="false">
      <c r="B1413" s="1" t="s">
        <v>330</v>
      </c>
      <c r="C1413" s="1" t="s">
        <v>255</v>
      </c>
      <c r="D1413" s="14" t="n">
        <v>46049.8402777778</v>
      </c>
      <c r="E1413" s="14" t="n">
        <v>46049.8402777778</v>
      </c>
      <c r="F1413" s="14" t="n">
        <v>46049.9375</v>
      </c>
      <c r="G1413" s="15" t="n">
        <f aca="false">F1413-E1413</f>
        <v>0.0972222222222222</v>
      </c>
      <c r="H1413" s="1" t="s">
        <v>248</v>
      </c>
      <c r="J1413" s="1" t="s">
        <v>256</v>
      </c>
      <c r="K1413" s="1" t="s">
        <v>430</v>
      </c>
      <c r="L1413" s="1" t="s">
        <v>621</v>
      </c>
      <c r="M1413" s="1" t="s">
        <v>258</v>
      </c>
      <c r="N1413" s="1" t="s">
        <v>259</v>
      </c>
      <c r="O1413" s="1" t="s">
        <v>603</v>
      </c>
      <c r="P1413" s="22" t="str">
        <f aca="false">_xlfn.CONCAT(B1413,C1413,D1413,E1413,F1413)</f>
        <v>BC Formoso2.1Inverter(MBUS-1)46049.840277777846049.840277777846049.9375</v>
      </c>
      <c r="Q1413" s="1" t="str">
        <f aca="false">_xlfn.CONCAT(H1413,I1413,J1413)</f>
        <v>DAURDE</v>
      </c>
    </row>
    <row r="1414" customFormat="false" ht="15" hidden="false" customHeight="false" outlineLevel="0" collapsed="false">
      <c r="B1414" s="1" t="s">
        <v>622</v>
      </c>
      <c r="C1414" s="1" t="s">
        <v>280</v>
      </c>
      <c r="D1414" s="14" t="n">
        <v>46049.8402777778</v>
      </c>
      <c r="E1414" s="14" t="n">
        <v>46049.8402777778</v>
      </c>
      <c r="F1414" s="14" t="n">
        <v>46049.9375</v>
      </c>
      <c r="G1414" s="15" t="n">
        <f aca="false">F1414-E1414</f>
        <v>0.0972222222222222</v>
      </c>
      <c r="H1414" s="1" t="s">
        <v>248</v>
      </c>
      <c r="J1414" s="1" t="s">
        <v>256</v>
      </c>
      <c r="K1414" s="1" t="s">
        <v>430</v>
      </c>
      <c r="L1414" s="1" t="s">
        <v>621</v>
      </c>
      <c r="M1414" s="1" t="s">
        <v>258</v>
      </c>
      <c r="N1414" s="1" t="s">
        <v>259</v>
      </c>
      <c r="O1414" s="1" t="s">
        <v>603</v>
      </c>
      <c r="P1414" s="22" t="str">
        <f aca="false">_xlfn.CONCAT(B1414,C1414,D1414,E1414,F1414)</f>
        <v>BC Formoso2.2Inverter(MBUS-14)46049.840277777846049.840277777846049.9375</v>
      </c>
      <c r="Q1414" s="1" t="str">
        <f aca="false">_xlfn.CONCAT(H1414,I1414,J1414)</f>
        <v>DAURDE</v>
      </c>
    </row>
    <row r="1415" customFormat="false" ht="15" hidden="false" customHeight="false" outlineLevel="0" collapsed="false">
      <c r="B1415" s="1" t="s">
        <v>622</v>
      </c>
      <c r="C1415" s="1" t="s">
        <v>247</v>
      </c>
      <c r="D1415" s="14" t="n">
        <v>46049.8402777778</v>
      </c>
      <c r="E1415" s="14" t="n">
        <v>46049.8402777778</v>
      </c>
      <c r="F1415" s="14" t="n">
        <v>46049.9375</v>
      </c>
      <c r="G1415" s="15" t="n">
        <f aca="false">F1415-E1415</f>
        <v>0.0972222222222222</v>
      </c>
      <c r="H1415" s="1" t="s">
        <v>248</v>
      </c>
      <c r="J1415" s="1" t="s">
        <v>256</v>
      </c>
      <c r="K1415" s="1" t="s">
        <v>430</v>
      </c>
      <c r="L1415" s="1" t="s">
        <v>621</v>
      </c>
      <c r="M1415" s="1" t="s">
        <v>258</v>
      </c>
      <c r="N1415" s="1" t="s">
        <v>259</v>
      </c>
      <c r="O1415" s="1" t="s">
        <v>603</v>
      </c>
      <c r="P1415" s="22" t="str">
        <f aca="false">_xlfn.CONCAT(B1415,C1415,D1415,E1415,F1415)</f>
        <v>BC Formoso2.2Inverter(MBUS-13)46049.840277777846049.840277777846049.9375</v>
      </c>
      <c r="Q1415" s="1" t="str">
        <f aca="false">_xlfn.CONCAT(H1415,I1415,J1415)</f>
        <v>DAURDE</v>
      </c>
    </row>
    <row r="1416" customFormat="false" ht="15" hidden="false" customHeight="false" outlineLevel="0" collapsed="false">
      <c r="B1416" s="1" t="s">
        <v>622</v>
      </c>
      <c r="C1416" s="1" t="s">
        <v>277</v>
      </c>
      <c r="D1416" s="14" t="n">
        <v>46049.8402777778</v>
      </c>
      <c r="E1416" s="14" t="n">
        <v>46049.8402777778</v>
      </c>
      <c r="F1416" s="14" t="n">
        <v>46049.9375</v>
      </c>
      <c r="G1416" s="15" t="n">
        <f aca="false">F1416-E1416</f>
        <v>0.0972222222222222</v>
      </c>
      <c r="H1416" s="1" t="s">
        <v>248</v>
      </c>
      <c r="J1416" s="1" t="s">
        <v>256</v>
      </c>
      <c r="K1416" s="1" t="s">
        <v>430</v>
      </c>
      <c r="L1416" s="1" t="s">
        <v>621</v>
      </c>
      <c r="M1416" s="1" t="s">
        <v>258</v>
      </c>
      <c r="N1416" s="1" t="s">
        <v>259</v>
      </c>
      <c r="O1416" s="1" t="s">
        <v>603</v>
      </c>
      <c r="P1416" s="22" t="str">
        <f aca="false">_xlfn.CONCAT(B1416,C1416,D1416,E1416,F1416)</f>
        <v>BC Formoso2.2Inverter(MBUS-12)46049.840277777846049.840277777846049.9375</v>
      </c>
      <c r="Q1416" s="1" t="str">
        <f aca="false">_xlfn.CONCAT(H1416,I1416,J1416)</f>
        <v>DAURDE</v>
      </c>
    </row>
    <row r="1417" customFormat="false" ht="15" hidden="false" customHeight="false" outlineLevel="0" collapsed="false">
      <c r="B1417" s="1" t="s">
        <v>622</v>
      </c>
      <c r="C1417" s="1" t="s">
        <v>255</v>
      </c>
      <c r="D1417" s="14" t="n">
        <v>46049.8402777778</v>
      </c>
      <c r="E1417" s="14" t="n">
        <v>46049.8402777778</v>
      </c>
      <c r="F1417" s="14" t="n">
        <v>46049.9375</v>
      </c>
      <c r="G1417" s="15" t="n">
        <f aca="false">F1417-E1417</f>
        <v>0.0972222222222222</v>
      </c>
      <c r="H1417" s="1" t="s">
        <v>248</v>
      </c>
      <c r="J1417" s="1" t="s">
        <v>256</v>
      </c>
      <c r="K1417" s="1" t="s">
        <v>430</v>
      </c>
      <c r="L1417" s="1" t="s">
        <v>621</v>
      </c>
      <c r="M1417" s="1" t="s">
        <v>258</v>
      </c>
      <c r="N1417" s="1" t="s">
        <v>259</v>
      </c>
      <c r="O1417" s="1" t="s">
        <v>603</v>
      </c>
      <c r="P1417" s="22" t="str">
        <f aca="false">_xlfn.CONCAT(B1417,C1417,D1417,E1417,F1417)</f>
        <v>BC Formoso2.2Inverter(MBUS-1)46049.840277777846049.840277777846049.9375</v>
      </c>
      <c r="Q1417" s="1" t="str">
        <f aca="false">_xlfn.CONCAT(H1417,I1417,J1417)</f>
        <v>DAURDE</v>
      </c>
    </row>
    <row r="1418" customFormat="false" ht="15" hidden="false" customHeight="false" outlineLevel="0" collapsed="false">
      <c r="B1418" s="1" t="s">
        <v>332</v>
      </c>
      <c r="C1418" s="1" t="s">
        <v>247</v>
      </c>
      <c r="D1418" s="14" t="n">
        <v>46049.8402777778</v>
      </c>
      <c r="E1418" s="14" t="n">
        <v>46049.8402777778</v>
      </c>
      <c r="F1418" s="14" t="n">
        <v>46049.9375</v>
      </c>
      <c r="G1418" s="15" t="n">
        <f aca="false">F1418-E1418</f>
        <v>0.0972222222222222</v>
      </c>
      <c r="H1418" s="1" t="s">
        <v>248</v>
      </c>
      <c r="J1418" s="1" t="s">
        <v>256</v>
      </c>
      <c r="K1418" s="1" t="s">
        <v>430</v>
      </c>
      <c r="L1418" s="1" t="s">
        <v>621</v>
      </c>
      <c r="M1418" s="1" t="s">
        <v>258</v>
      </c>
      <c r="N1418" s="1" t="s">
        <v>259</v>
      </c>
      <c r="O1418" s="1" t="s">
        <v>603</v>
      </c>
      <c r="P1418" s="22" t="str">
        <f aca="false">_xlfn.CONCAT(B1418,C1418,D1418,E1418,F1418)</f>
        <v>BC Formoso2.3Inverter(MBUS-13)46049.840277777846049.840277777846049.9375</v>
      </c>
      <c r="Q1418" s="1" t="str">
        <f aca="false">_xlfn.CONCAT(H1418,I1418,J1418)</f>
        <v>DAURDE</v>
      </c>
    </row>
    <row r="1419" customFormat="false" ht="15" hidden="false" customHeight="false" outlineLevel="0" collapsed="false">
      <c r="B1419" s="1" t="s">
        <v>332</v>
      </c>
      <c r="C1419" s="1" t="s">
        <v>277</v>
      </c>
      <c r="D1419" s="14" t="n">
        <v>46049.8402777778</v>
      </c>
      <c r="E1419" s="14" t="n">
        <v>46049.8402777778</v>
      </c>
      <c r="F1419" s="14" t="n">
        <v>46049.9375</v>
      </c>
      <c r="G1419" s="15" t="n">
        <f aca="false">F1419-E1419</f>
        <v>0.0972222222222222</v>
      </c>
      <c r="H1419" s="1" t="s">
        <v>248</v>
      </c>
      <c r="J1419" s="1" t="s">
        <v>256</v>
      </c>
      <c r="K1419" s="1" t="s">
        <v>430</v>
      </c>
      <c r="L1419" s="1" t="s">
        <v>621</v>
      </c>
      <c r="M1419" s="1" t="s">
        <v>258</v>
      </c>
      <c r="N1419" s="1" t="s">
        <v>259</v>
      </c>
      <c r="O1419" s="1" t="s">
        <v>603</v>
      </c>
      <c r="P1419" s="22" t="str">
        <f aca="false">_xlfn.CONCAT(B1419,C1419,D1419,E1419,F1419)</f>
        <v>BC Formoso2.3Inverter(MBUS-12)46049.840277777846049.840277777846049.9375</v>
      </c>
      <c r="Q1419" s="1" t="str">
        <f aca="false">_xlfn.CONCAT(H1419,I1419,J1419)</f>
        <v>DAURDE</v>
      </c>
    </row>
    <row r="1420" customFormat="false" ht="15" hidden="false" customHeight="false" outlineLevel="0" collapsed="false">
      <c r="B1420" s="1" t="s">
        <v>380</v>
      </c>
      <c r="C1420" s="1" t="s">
        <v>277</v>
      </c>
      <c r="D1420" s="14" t="n">
        <v>46049.9375</v>
      </c>
      <c r="E1420" s="14" t="n">
        <v>46049.9375</v>
      </c>
      <c r="F1420" s="14" t="n">
        <v>46050.3326388889</v>
      </c>
      <c r="G1420" s="15" t="n">
        <f aca="false">F1420-E1420</f>
        <v>0.395138888888889</v>
      </c>
      <c r="H1420" s="1" t="s">
        <v>248</v>
      </c>
      <c r="J1420" s="1" t="s">
        <v>256</v>
      </c>
      <c r="K1420" s="1" t="s">
        <v>430</v>
      </c>
      <c r="L1420" s="1" t="s">
        <v>623</v>
      </c>
      <c r="M1420" s="1" t="s">
        <v>258</v>
      </c>
      <c r="N1420" s="1" t="s">
        <v>259</v>
      </c>
      <c r="O1420" s="1" t="s">
        <v>603</v>
      </c>
      <c r="P1420" s="22" t="str">
        <f aca="false">_xlfn.CONCAT(B1420,C1420,D1420,E1420,F1420)</f>
        <v>ARAGUATINS 1.1Inverter(MBUS-12)46049.937546049.937546050.3326388889</v>
      </c>
      <c r="Q1420" s="1" t="str">
        <f aca="false">_xlfn.CONCAT(H1420,I1420,J1420)</f>
        <v>DAURDE</v>
      </c>
    </row>
    <row r="1421" customFormat="false" ht="15" hidden="false" customHeight="false" outlineLevel="0" collapsed="false">
      <c r="B1421" s="1" t="s">
        <v>380</v>
      </c>
      <c r="C1421" s="1" t="s">
        <v>247</v>
      </c>
      <c r="D1421" s="14" t="n">
        <v>46049.9375</v>
      </c>
      <c r="E1421" s="14" t="n">
        <v>46049.9375</v>
      </c>
      <c r="F1421" s="14" t="n">
        <v>46050.3326388889</v>
      </c>
      <c r="G1421" s="15" t="n">
        <f aca="false">F1421-E1421</f>
        <v>0.395138888888889</v>
      </c>
      <c r="H1421" s="1" t="s">
        <v>248</v>
      </c>
      <c r="J1421" s="1" t="s">
        <v>256</v>
      </c>
      <c r="K1421" s="1" t="s">
        <v>430</v>
      </c>
      <c r="L1421" s="1" t="s">
        <v>623</v>
      </c>
      <c r="M1421" s="1" t="s">
        <v>258</v>
      </c>
      <c r="N1421" s="1" t="s">
        <v>259</v>
      </c>
      <c r="O1421" s="1" t="s">
        <v>603</v>
      </c>
      <c r="P1421" s="22" t="str">
        <f aca="false">_xlfn.CONCAT(B1421,C1421,D1421,E1421,F1421)</f>
        <v>ARAGUATINS 1.1Inverter(MBUS-13)46049.937546049.937546050.3326388889</v>
      </c>
      <c r="Q1421" s="1" t="str">
        <f aca="false">_xlfn.CONCAT(H1421,I1421,J1421)</f>
        <v>DAURDE</v>
      </c>
    </row>
    <row r="1422" customFormat="false" ht="15" hidden="false" customHeight="false" outlineLevel="0" collapsed="false">
      <c r="B1422" s="1" t="s">
        <v>380</v>
      </c>
      <c r="C1422" s="1" t="s">
        <v>280</v>
      </c>
      <c r="D1422" s="14" t="n">
        <v>46049.9375</v>
      </c>
      <c r="E1422" s="14" t="n">
        <v>46049.9375</v>
      </c>
      <c r="F1422" s="14" t="n">
        <v>46050.3326388889</v>
      </c>
      <c r="G1422" s="15" t="n">
        <f aca="false">F1422-E1422</f>
        <v>0.395138888888889</v>
      </c>
      <c r="H1422" s="1" t="s">
        <v>248</v>
      </c>
      <c r="J1422" s="1" t="s">
        <v>256</v>
      </c>
      <c r="K1422" s="1" t="s">
        <v>430</v>
      </c>
      <c r="L1422" s="1" t="s">
        <v>623</v>
      </c>
      <c r="M1422" s="1" t="s">
        <v>258</v>
      </c>
      <c r="N1422" s="1" t="s">
        <v>259</v>
      </c>
      <c r="O1422" s="1" t="s">
        <v>603</v>
      </c>
      <c r="P1422" s="22" t="str">
        <f aca="false">_xlfn.CONCAT(B1422,C1422,D1422,E1422,F1422)</f>
        <v>ARAGUATINS 1.1Inverter(MBUS-14)46049.937546049.937546050.3326388889</v>
      </c>
      <c r="Q1422" s="1" t="str">
        <f aca="false">_xlfn.CONCAT(H1422,I1422,J1422)</f>
        <v>DAURDE</v>
      </c>
    </row>
    <row r="1423" customFormat="false" ht="15" hidden="false" customHeight="false" outlineLevel="0" collapsed="false">
      <c r="B1423" s="1" t="s">
        <v>380</v>
      </c>
      <c r="C1423" s="1" t="s">
        <v>279</v>
      </c>
      <c r="D1423" s="14" t="n">
        <v>46049.9375</v>
      </c>
      <c r="E1423" s="14" t="n">
        <v>46049.9375</v>
      </c>
      <c r="F1423" s="14" t="n">
        <v>46050.3326388889</v>
      </c>
      <c r="G1423" s="15" t="n">
        <f aca="false">F1423-E1423</f>
        <v>0.395138888888889</v>
      </c>
      <c r="H1423" s="1" t="s">
        <v>248</v>
      </c>
      <c r="J1423" s="1" t="s">
        <v>256</v>
      </c>
      <c r="K1423" s="1" t="s">
        <v>430</v>
      </c>
      <c r="L1423" s="1" t="s">
        <v>623</v>
      </c>
      <c r="M1423" s="1" t="s">
        <v>258</v>
      </c>
      <c r="N1423" s="1" t="s">
        <v>259</v>
      </c>
      <c r="O1423" s="1" t="s">
        <v>603</v>
      </c>
      <c r="P1423" s="22" t="str">
        <f aca="false">_xlfn.CONCAT(B1423,C1423,D1423,E1423,F1423)</f>
        <v>ARAGUATINS 1.1Inverter(MBUS-15)46049.937546049.937546050.3326388889</v>
      </c>
      <c r="Q1423" s="1" t="str">
        <f aca="false">_xlfn.CONCAT(H1423,I1423,J1423)</f>
        <v>DAURDE</v>
      </c>
    </row>
    <row r="1424" customFormat="false" ht="15" hidden="false" customHeight="false" outlineLevel="0" collapsed="false">
      <c r="B1424" s="1" t="s">
        <v>381</v>
      </c>
      <c r="C1424" s="1" t="s">
        <v>277</v>
      </c>
      <c r="D1424" s="14" t="n">
        <v>46049.9375</v>
      </c>
      <c r="E1424" s="14" t="n">
        <v>46049.9375</v>
      </c>
      <c r="F1424" s="14" t="n">
        <v>46050.3326388889</v>
      </c>
      <c r="G1424" s="15" t="n">
        <f aca="false">F1424-E1424</f>
        <v>0.395138888888889</v>
      </c>
      <c r="H1424" s="1" t="s">
        <v>248</v>
      </c>
      <c r="J1424" s="1" t="s">
        <v>256</v>
      </c>
      <c r="K1424" s="1" t="s">
        <v>430</v>
      </c>
      <c r="L1424" s="1" t="s">
        <v>623</v>
      </c>
      <c r="M1424" s="1" t="s">
        <v>258</v>
      </c>
      <c r="N1424" s="1" t="s">
        <v>259</v>
      </c>
      <c r="O1424" s="1" t="s">
        <v>603</v>
      </c>
      <c r="P1424" s="22" t="str">
        <f aca="false">_xlfn.CONCAT(B1424,C1424,D1424,E1424,F1424)</f>
        <v>ARAGUATINS 1.2Inverter(MBUS-12)46049.937546049.937546050.3326388889</v>
      </c>
      <c r="Q1424" s="1" t="str">
        <f aca="false">_xlfn.CONCAT(H1424,I1424,J1424)</f>
        <v>DAURDE</v>
      </c>
    </row>
    <row r="1425" customFormat="false" ht="15" hidden="false" customHeight="false" outlineLevel="0" collapsed="false">
      <c r="B1425" s="1" t="s">
        <v>381</v>
      </c>
      <c r="C1425" s="1" t="s">
        <v>247</v>
      </c>
      <c r="D1425" s="14" t="n">
        <v>46049.9375</v>
      </c>
      <c r="E1425" s="14" t="n">
        <v>46049.9375</v>
      </c>
      <c r="F1425" s="14" t="n">
        <v>46050.3326388889</v>
      </c>
      <c r="G1425" s="15" t="n">
        <f aca="false">F1425-E1425</f>
        <v>0.395138888888889</v>
      </c>
      <c r="H1425" s="1" t="s">
        <v>248</v>
      </c>
      <c r="J1425" s="1" t="s">
        <v>256</v>
      </c>
      <c r="K1425" s="1" t="s">
        <v>430</v>
      </c>
      <c r="L1425" s="1" t="s">
        <v>623</v>
      </c>
      <c r="M1425" s="1" t="s">
        <v>258</v>
      </c>
      <c r="N1425" s="1" t="s">
        <v>259</v>
      </c>
      <c r="O1425" s="1" t="s">
        <v>603</v>
      </c>
      <c r="P1425" s="22" t="str">
        <f aca="false">_xlfn.CONCAT(B1425,C1425,D1425,E1425,F1425)</f>
        <v>ARAGUATINS 1.2Inverter(MBUS-13)46049.937546049.937546050.3326388889</v>
      </c>
      <c r="Q1425" s="1" t="str">
        <f aca="false">_xlfn.CONCAT(H1425,I1425,J1425)</f>
        <v>DAURDE</v>
      </c>
    </row>
    <row r="1426" customFormat="false" ht="15" hidden="false" customHeight="false" outlineLevel="0" collapsed="false">
      <c r="B1426" s="1" t="s">
        <v>381</v>
      </c>
      <c r="C1426" s="1" t="s">
        <v>280</v>
      </c>
      <c r="D1426" s="14" t="n">
        <v>46049.9375</v>
      </c>
      <c r="E1426" s="14" t="n">
        <v>46049.9375</v>
      </c>
      <c r="F1426" s="14" t="n">
        <v>46050.3326388889</v>
      </c>
      <c r="G1426" s="15" t="n">
        <f aca="false">F1426-E1426</f>
        <v>0.395138888888889</v>
      </c>
      <c r="H1426" s="1" t="s">
        <v>248</v>
      </c>
      <c r="J1426" s="1" t="s">
        <v>256</v>
      </c>
      <c r="K1426" s="1" t="s">
        <v>430</v>
      </c>
      <c r="L1426" s="1" t="s">
        <v>623</v>
      </c>
      <c r="M1426" s="1" t="s">
        <v>258</v>
      </c>
      <c r="N1426" s="1" t="s">
        <v>259</v>
      </c>
      <c r="O1426" s="1" t="s">
        <v>603</v>
      </c>
      <c r="P1426" s="22" t="str">
        <f aca="false">_xlfn.CONCAT(B1426,C1426,D1426,E1426,F1426)</f>
        <v>ARAGUATINS 1.2Inverter(MBUS-14)46049.937546049.937546050.3326388889</v>
      </c>
      <c r="Q1426" s="1" t="str">
        <f aca="false">_xlfn.CONCAT(H1426,I1426,J1426)</f>
        <v>DAURDE</v>
      </c>
    </row>
    <row r="1427" customFormat="false" ht="15" hidden="false" customHeight="false" outlineLevel="0" collapsed="false">
      <c r="B1427" s="1" t="s">
        <v>381</v>
      </c>
      <c r="C1427" s="1" t="s">
        <v>279</v>
      </c>
      <c r="D1427" s="14" t="n">
        <v>46049.9375</v>
      </c>
      <c r="E1427" s="14" t="n">
        <v>46049.9375</v>
      </c>
      <c r="F1427" s="14" t="n">
        <v>46050.3326388889</v>
      </c>
      <c r="G1427" s="15" t="n">
        <f aca="false">F1427-E1427</f>
        <v>0.395138888888889</v>
      </c>
      <c r="H1427" s="1" t="s">
        <v>248</v>
      </c>
      <c r="J1427" s="1" t="s">
        <v>256</v>
      </c>
      <c r="K1427" s="1" t="s">
        <v>430</v>
      </c>
      <c r="L1427" s="1" t="s">
        <v>623</v>
      </c>
      <c r="M1427" s="1" t="s">
        <v>258</v>
      </c>
      <c r="N1427" s="1" t="s">
        <v>259</v>
      </c>
      <c r="O1427" s="1" t="s">
        <v>603</v>
      </c>
      <c r="P1427" s="22" t="str">
        <f aca="false">_xlfn.CONCAT(B1427,C1427,D1427,E1427,F1427)</f>
        <v>ARAGUATINS 1.2Inverter(MBUS-15)46049.937546049.937546050.3326388889</v>
      </c>
      <c r="Q1427" s="1" t="str">
        <f aca="false">_xlfn.CONCAT(H1427,I1427,J1427)</f>
        <v>DAURDE</v>
      </c>
    </row>
    <row r="1428" customFormat="false" ht="15" hidden="false" customHeight="false" outlineLevel="0" collapsed="false">
      <c r="B1428" s="1" t="s">
        <v>382</v>
      </c>
      <c r="C1428" s="1" t="s">
        <v>383</v>
      </c>
      <c r="D1428" s="14" t="n">
        <v>46049.9375</v>
      </c>
      <c r="E1428" s="14" t="n">
        <v>46049.9375</v>
      </c>
      <c r="F1428" s="14" t="n">
        <v>46050.3326388889</v>
      </c>
      <c r="G1428" s="15" t="n">
        <f aca="false">F1428-E1428</f>
        <v>0.395138888888889</v>
      </c>
      <c r="H1428" s="1" t="s">
        <v>248</v>
      </c>
      <c r="J1428" s="1" t="s">
        <v>256</v>
      </c>
      <c r="K1428" s="1" t="s">
        <v>430</v>
      </c>
      <c r="L1428" s="1" t="s">
        <v>623</v>
      </c>
      <c r="M1428" s="1" t="s">
        <v>258</v>
      </c>
      <c r="N1428" s="1" t="s">
        <v>259</v>
      </c>
      <c r="O1428" s="1" t="s">
        <v>603</v>
      </c>
      <c r="P1428" s="22" t="str">
        <f aca="false">_xlfn.CONCAT(B1428,C1428,D1428,E1428,F1428)</f>
        <v>ARAGUATINS 1.3Inverter(MBUS-20)46049.937546049.937546050.3326388889</v>
      </c>
      <c r="Q1428" s="1" t="str">
        <f aca="false">_xlfn.CONCAT(H1428,I1428,J1428)</f>
        <v>DAURDE</v>
      </c>
    </row>
    <row r="1429" customFormat="false" ht="15" hidden="false" customHeight="false" outlineLevel="0" collapsed="false">
      <c r="B1429" s="1" t="s">
        <v>382</v>
      </c>
      <c r="C1429" s="1" t="s">
        <v>255</v>
      </c>
      <c r="D1429" s="14" t="n">
        <v>46049.9375</v>
      </c>
      <c r="E1429" s="14" t="n">
        <v>46049.9375</v>
      </c>
      <c r="F1429" s="14" t="n">
        <v>46050.3326388889</v>
      </c>
      <c r="G1429" s="15" t="n">
        <f aca="false">F1429-E1429</f>
        <v>0.395138888888889</v>
      </c>
      <c r="H1429" s="1" t="s">
        <v>248</v>
      </c>
      <c r="J1429" s="1" t="s">
        <v>256</v>
      </c>
      <c r="K1429" s="1" t="s">
        <v>430</v>
      </c>
      <c r="L1429" s="1" t="s">
        <v>623</v>
      </c>
      <c r="M1429" s="1" t="s">
        <v>258</v>
      </c>
      <c r="N1429" s="1" t="s">
        <v>259</v>
      </c>
      <c r="O1429" s="1" t="s">
        <v>603</v>
      </c>
      <c r="P1429" s="22" t="str">
        <f aca="false">_xlfn.CONCAT(B1429,C1429,D1429,E1429,F1429)</f>
        <v>ARAGUATINS 1.3Inverter(MBUS-1)46049.937546049.937546050.3326388889</v>
      </c>
      <c r="Q1429" s="1" t="str">
        <f aca="false">_xlfn.CONCAT(H1429,I1429,J1429)</f>
        <v>DAURDE</v>
      </c>
    </row>
    <row r="1430" customFormat="false" ht="15" hidden="false" customHeight="false" outlineLevel="0" collapsed="false">
      <c r="B1430" s="1" t="s">
        <v>542</v>
      </c>
      <c r="C1430" s="1" t="s">
        <v>543</v>
      </c>
      <c r="D1430" s="14" t="n">
        <v>46049.9652777778</v>
      </c>
      <c r="E1430" s="14" t="n">
        <v>46049.9652777778</v>
      </c>
      <c r="F1430" s="14" t="n">
        <v>46050.3319444444</v>
      </c>
      <c r="G1430" s="15" t="n">
        <f aca="false">F1430-E1430</f>
        <v>0.366666666666667</v>
      </c>
      <c r="H1430" s="1" t="s">
        <v>248</v>
      </c>
      <c r="J1430" s="1" t="s">
        <v>256</v>
      </c>
      <c r="K1430" s="1" t="s">
        <v>430</v>
      </c>
      <c r="L1430" s="1" t="s">
        <v>624</v>
      </c>
      <c r="M1430" s="1" t="s">
        <v>258</v>
      </c>
      <c r="N1430" s="1" t="s">
        <v>259</v>
      </c>
      <c r="O1430" s="1" t="s">
        <v>603</v>
      </c>
      <c r="P1430" s="22" t="str">
        <f aca="false">_xlfn.CONCAT(B1430,C1430,D1430,E1430,F1430)</f>
        <v>BC Caiaponia1SG60KTL(COM1-001)_001_00746049.965277777846049.965277777846050.3319444444</v>
      </c>
      <c r="Q1430" s="1" t="str">
        <f aca="false">_xlfn.CONCAT(H1430,I1430,J1430)</f>
        <v>DAURDE</v>
      </c>
    </row>
    <row r="1431" customFormat="false" ht="15" hidden="false" customHeight="false" outlineLevel="0" collapsed="false">
      <c r="B1431" s="1" t="s">
        <v>542</v>
      </c>
      <c r="C1431" s="1" t="s">
        <v>545</v>
      </c>
      <c r="D1431" s="14" t="n">
        <v>46049.9652777778</v>
      </c>
      <c r="E1431" s="14" t="n">
        <v>46049.9652777778</v>
      </c>
      <c r="F1431" s="14" t="n">
        <v>46050.3319444444</v>
      </c>
      <c r="G1431" s="15" t="n">
        <f aca="false">F1431-E1431</f>
        <v>0.366666666666667</v>
      </c>
      <c r="H1431" s="1" t="s">
        <v>248</v>
      </c>
      <c r="J1431" s="1" t="s">
        <v>256</v>
      </c>
      <c r="K1431" s="1" t="s">
        <v>430</v>
      </c>
      <c r="L1431" s="1" t="s">
        <v>624</v>
      </c>
      <c r="M1431" s="1" t="s">
        <v>258</v>
      </c>
      <c r="N1431" s="1" t="s">
        <v>259</v>
      </c>
      <c r="O1431" s="1" t="s">
        <v>603</v>
      </c>
      <c r="P1431" s="22" t="str">
        <f aca="false">_xlfn.CONCAT(B1431,C1431,D1431,E1431,F1431)</f>
        <v>BC Caiaponia1SG60KTL(COM1-002)_001_01046049.965277777846049.965277777846050.3319444444</v>
      </c>
      <c r="Q1431" s="1" t="str">
        <f aca="false">_xlfn.CONCAT(H1431,I1431,J1431)</f>
        <v>DAURDE</v>
      </c>
    </row>
    <row r="1432" customFormat="false" ht="15" hidden="false" customHeight="false" outlineLevel="0" collapsed="false">
      <c r="B1432" s="1" t="s">
        <v>542</v>
      </c>
      <c r="C1432" s="1" t="s">
        <v>546</v>
      </c>
      <c r="D1432" s="14" t="n">
        <v>46049.9652777778</v>
      </c>
      <c r="E1432" s="14" t="n">
        <v>46049.9652777778</v>
      </c>
      <c r="F1432" s="14" t="n">
        <v>46050.3319444444</v>
      </c>
      <c r="G1432" s="15" t="n">
        <f aca="false">F1432-E1432</f>
        <v>0.366666666666667</v>
      </c>
      <c r="H1432" s="1" t="s">
        <v>248</v>
      </c>
      <c r="J1432" s="1" t="s">
        <v>256</v>
      </c>
      <c r="K1432" s="1" t="s">
        <v>430</v>
      </c>
      <c r="L1432" s="1" t="s">
        <v>624</v>
      </c>
      <c r="M1432" s="1" t="s">
        <v>258</v>
      </c>
      <c r="N1432" s="1" t="s">
        <v>259</v>
      </c>
      <c r="O1432" s="1" t="s">
        <v>603</v>
      </c>
      <c r="P1432" s="22" t="str">
        <f aca="false">_xlfn.CONCAT(B1432,C1432,D1432,E1432,F1432)</f>
        <v>BC Caiaponia1SG60KTL(COM1-003)_001_01146049.965277777846049.965277777846050.3319444444</v>
      </c>
      <c r="Q1432" s="1" t="str">
        <f aca="false">_xlfn.CONCAT(H1432,I1432,J1432)</f>
        <v>DAURDE</v>
      </c>
    </row>
    <row r="1433" customFormat="false" ht="15" hidden="false" customHeight="false" outlineLevel="0" collapsed="false">
      <c r="B1433" s="1" t="s">
        <v>542</v>
      </c>
      <c r="C1433" s="1" t="s">
        <v>547</v>
      </c>
      <c r="D1433" s="14" t="n">
        <v>46049.9652777778</v>
      </c>
      <c r="E1433" s="14" t="n">
        <v>46049.9652777778</v>
      </c>
      <c r="F1433" s="14" t="n">
        <v>46050.3319444444</v>
      </c>
      <c r="G1433" s="15" t="n">
        <f aca="false">F1433-E1433</f>
        <v>0.366666666666667</v>
      </c>
      <c r="H1433" s="1" t="s">
        <v>248</v>
      </c>
      <c r="J1433" s="1" t="s">
        <v>256</v>
      </c>
      <c r="K1433" s="1" t="s">
        <v>430</v>
      </c>
      <c r="L1433" s="1" t="s">
        <v>624</v>
      </c>
      <c r="M1433" s="1" t="s">
        <v>258</v>
      </c>
      <c r="N1433" s="1" t="s">
        <v>259</v>
      </c>
      <c r="O1433" s="1" t="s">
        <v>603</v>
      </c>
      <c r="P1433" s="22" t="str">
        <f aca="false">_xlfn.CONCAT(B1433,C1433,D1433,E1433,F1433)</f>
        <v>BC Caiaponia1SG60KTL(COM1-004)_001_01446049.965277777846049.965277777846050.3319444444</v>
      </c>
      <c r="Q1433" s="1" t="str">
        <f aca="false">_xlfn.CONCAT(H1433,I1433,J1433)</f>
        <v>DAURDE</v>
      </c>
    </row>
    <row r="1434" customFormat="false" ht="15" hidden="false" customHeight="false" outlineLevel="0" collapsed="false">
      <c r="B1434" s="1" t="s">
        <v>542</v>
      </c>
      <c r="C1434" s="1" t="s">
        <v>548</v>
      </c>
      <c r="D1434" s="14" t="n">
        <v>46049.9652777778</v>
      </c>
      <c r="E1434" s="14" t="n">
        <v>46049.9652777778</v>
      </c>
      <c r="F1434" s="14" t="n">
        <v>46050.3319444444</v>
      </c>
      <c r="G1434" s="15" t="n">
        <f aca="false">F1434-E1434</f>
        <v>0.366666666666667</v>
      </c>
      <c r="H1434" s="1" t="s">
        <v>248</v>
      </c>
      <c r="J1434" s="1" t="s">
        <v>256</v>
      </c>
      <c r="K1434" s="1" t="s">
        <v>430</v>
      </c>
      <c r="L1434" s="1" t="s">
        <v>624</v>
      </c>
      <c r="M1434" s="1" t="s">
        <v>258</v>
      </c>
      <c r="N1434" s="1" t="s">
        <v>259</v>
      </c>
      <c r="O1434" s="1" t="s">
        <v>603</v>
      </c>
      <c r="P1434" s="22" t="str">
        <f aca="false">_xlfn.CONCAT(B1434,C1434,D1434,E1434,F1434)</f>
        <v>BC Caiaponia1SG60KTL(COM1-005)_001_01746049.965277777846049.965277777846050.3319444444</v>
      </c>
      <c r="Q1434" s="1" t="str">
        <f aca="false">_xlfn.CONCAT(H1434,I1434,J1434)</f>
        <v>DAURDE</v>
      </c>
    </row>
    <row r="1435" customFormat="false" ht="15" hidden="false" customHeight="false" outlineLevel="0" collapsed="false">
      <c r="B1435" s="1" t="s">
        <v>542</v>
      </c>
      <c r="C1435" s="1" t="s">
        <v>549</v>
      </c>
      <c r="D1435" s="14" t="n">
        <v>46049.9652777778</v>
      </c>
      <c r="E1435" s="14" t="n">
        <v>46049.9652777778</v>
      </c>
      <c r="F1435" s="14" t="n">
        <v>46050.3319444444</v>
      </c>
      <c r="G1435" s="15" t="n">
        <f aca="false">F1435-E1435</f>
        <v>0.366666666666667</v>
      </c>
      <c r="H1435" s="1" t="s">
        <v>248</v>
      </c>
      <c r="J1435" s="1" t="s">
        <v>256</v>
      </c>
      <c r="K1435" s="1" t="s">
        <v>430</v>
      </c>
      <c r="L1435" s="1" t="s">
        <v>624</v>
      </c>
      <c r="M1435" s="1" t="s">
        <v>258</v>
      </c>
      <c r="N1435" s="1" t="s">
        <v>259</v>
      </c>
      <c r="O1435" s="1" t="s">
        <v>603</v>
      </c>
      <c r="P1435" s="22" t="str">
        <f aca="false">_xlfn.CONCAT(B1435,C1435,D1435,E1435,F1435)</f>
        <v>BC Caiaponia1SG60KTL(COM1-006)_001_01646049.965277777846049.965277777846050.3319444444</v>
      </c>
      <c r="Q1435" s="1" t="str">
        <f aca="false">_xlfn.CONCAT(H1435,I1435,J1435)</f>
        <v>DAURDE</v>
      </c>
    </row>
    <row r="1436" customFormat="false" ht="15" hidden="false" customHeight="false" outlineLevel="0" collapsed="false">
      <c r="B1436" s="1" t="s">
        <v>542</v>
      </c>
      <c r="C1436" s="1" t="s">
        <v>550</v>
      </c>
      <c r="D1436" s="14" t="n">
        <v>46049.9652777778</v>
      </c>
      <c r="E1436" s="14" t="n">
        <v>46049.9652777778</v>
      </c>
      <c r="F1436" s="14" t="n">
        <v>46050.3319444444</v>
      </c>
      <c r="G1436" s="15" t="n">
        <f aca="false">F1436-E1436</f>
        <v>0.366666666666667</v>
      </c>
      <c r="H1436" s="1" t="s">
        <v>248</v>
      </c>
      <c r="J1436" s="1" t="s">
        <v>256</v>
      </c>
      <c r="K1436" s="1" t="s">
        <v>430</v>
      </c>
      <c r="L1436" s="1" t="s">
        <v>624</v>
      </c>
      <c r="M1436" s="1" t="s">
        <v>258</v>
      </c>
      <c r="N1436" s="1" t="s">
        <v>259</v>
      </c>
      <c r="O1436" s="1" t="s">
        <v>603</v>
      </c>
      <c r="P1436" s="22" t="str">
        <f aca="false">_xlfn.CONCAT(B1436,C1436,D1436,E1436,F1436)</f>
        <v>BC Caiaponia1SG60KTL(COM1-007)_001_01346049.965277777846049.965277777846050.3319444444</v>
      </c>
      <c r="Q1436" s="1" t="str">
        <f aca="false">_xlfn.CONCAT(H1436,I1436,J1436)</f>
        <v>DAURDE</v>
      </c>
    </row>
    <row r="1437" customFormat="false" ht="15" hidden="false" customHeight="false" outlineLevel="0" collapsed="false">
      <c r="B1437" s="1" t="s">
        <v>542</v>
      </c>
      <c r="C1437" s="1" t="s">
        <v>551</v>
      </c>
      <c r="D1437" s="14" t="n">
        <v>46049.9652777778</v>
      </c>
      <c r="E1437" s="14" t="n">
        <v>46049.9652777778</v>
      </c>
      <c r="F1437" s="14" t="n">
        <v>46050.3319444444</v>
      </c>
      <c r="G1437" s="15" t="n">
        <f aca="false">F1437-E1437</f>
        <v>0.366666666666667</v>
      </c>
      <c r="H1437" s="1" t="s">
        <v>248</v>
      </c>
      <c r="J1437" s="1" t="s">
        <v>256</v>
      </c>
      <c r="K1437" s="1" t="s">
        <v>430</v>
      </c>
      <c r="L1437" s="1" t="s">
        <v>624</v>
      </c>
      <c r="M1437" s="1" t="s">
        <v>258</v>
      </c>
      <c r="N1437" s="1" t="s">
        <v>259</v>
      </c>
      <c r="O1437" s="1" t="s">
        <v>603</v>
      </c>
      <c r="P1437" s="22" t="str">
        <f aca="false">_xlfn.CONCAT(B1437,C1437,D1437,E1437,F1437)</f>
        <v>BC Caiaponia1SG60KTL(COM1-008)_001_00146049.965277777846049.965277777846050.3319444444</v>
      </c>
      <c r="Q1437" s="1" t="str">
        <f aca="false">_xlfn.CONCAT(H1437,I1437,J1437)</f>
        <v>DAURDE</v>
      </c>
    </row>
    <row r="1438" customFormat="false" ht="15" hidden="false" customHeight="false" outlineLevel="0" collapsed="false">
      <c r="B1438" s="1" t="s">
        <v>542</v>
      </c>
      <c r="C1438" s="1" t="s">
        <v>552</v>
      </c>
      <c r="D1438" s="14" t="n">
        <v>46049.9652777778</v>
      </c>
      <c r="E1438" s="14" t="n">
        <v>46049.9652777778</v>
      </c>
      <c r="F1438" s="14" t="n">
        <v>46050.3319444444</v>
      </c>
      <c r="G1438" s="15" t="n">
        <f aca="false">F1438-E1438</f>
        <v>0.366666666666667</v>
      </c>
      <c r="H1438" s="1" t="s">
        <v>248</v>
      </c>
      <c r="J1438" s="1" t="s">
        <v>256</v>
      </c>
      <c r="K1438" s="1" t="s">
        <v>430</v>
      </c>
      <c r="L1438" s="1" t="s">
        <v>624</v>
      </c>
      <c r="M1438" s="1" t="s">
        <v>258</v>
      </c>
      <c r="N1438" s="1" t="s">
        <v>259</v>
      </c>
      <c r="O1438" s="1" t="s">
        <v>603</v>
      </c>
      <c r="P1438" s="22" t="str">
        <f aca="false">_xlfn.CONCAT(B1438,C1438,D1438,E1438,F1438)</f>
        <v>BC Caiaponia1SG60KTL(COM1-009)46049.965277777846049.965277777846050.3319444444</v>
      </c>
      <c r="Q1438" s="1" t="str">
        <f aca="false">_xlfn.CONCAT(H1438,I1438,J1438)</f>
        <v>DAURDE</v>
      </c>
    </row>
    <row r="1439" customFormat="false" ht="15" hidden="false" customHeight="false" outlineLevel="0" collapsed="false">
      <c r="B1439" s="1" t="s">
        <v>542</v>
      </c>
      <c r="C1439" s="1" t="s">
        <v>553</v>
      </c>
      <c r="D1439" s="14" t="n">
        <v>46049.9652777778</v>
      </c>
      <c r="E1439" s="14" t="n">
        <v>46049.9652777778</v>
      </c>
      <c r="F1439" s="14" t="n">
        <v>46050.3319444444</v>
      </c>
      <c r="G1439" s="15" t="n">
        <f aca="false">F1439-E1439</f>
        <v>0.366666666666667</v>
      </c>
      <c r="H1439" s="1" t="s">
        <v>248</v>
      </c>
      <c r="J1439" s="1" t="s">
        <v>256</v>
      </c>
      <c r="K1439" s="1" t="s">
        <v>430</v>
      </c>
      <c r="L1439" s="1" t="s">
        <v>624</v>
      </c>
      <c r="M1439" s="1" t="s">
        <v>258</v>
      </c>
      <c r="N1439" s="1" t="s">
        <v>259</v>
      </c>
      <c r="O1439" s="1" t="s">
        <v>603</v>
      </c>
      <c r="P1439" s="22" t="str">
        <f aca="false">_xlfn.CONCAT(B1439,C1439,D1439,E1439,F1439)</f>
        <v>BC Caiaponia1SG60KTL(COM1-010)46049.965277777846049.965277777846050.3319444444</v>
      </c>
      <c r="Q1439" s="1" t="str">
        <f aca="false">_xlfn.CONCAT(H1439,I1439,J1439)</f>
        <v>DAURDE</v>
      </c>
    </row>
    <row r="1440" customFormat="false" ht="15" hidden="false" customHeight="false" outlineLevel="0" collapsed="false">
      <c r="B1440" s="1" t="s">
        <v>542</v>
      </c>
      <c r="C1440" s="1" t="s">
        <v>554</v>
      </c>
      <c r="D1440" s="14" t="n">
        <v>46049.9652777778</v>
      </c>
      <c r="E1440" s="14" t="n">
        <v>46049.9652777778</v>
      </c>
      <c r="F1440" s="14" t="n">
        <v>46050.3319444444</v>
      </c>
      <c r="G1440" s="15" t="n">
        <f aca="false">F1440-E1440</f>
        <v>0.366666666666667</v>
      </c>
      <c r="H1440" s="1" t="s">
        <v>248</v>
      </c>
      <c r="J1440" s="1" t="s">
        <v>256</v>
      </c>
      <c r="K1440" s="1" t="s">
        <v>430</v>
      </c>
      <c r="L1440" s="1" t="s">
        <v>624</v>
      </c>
      <c r="M1440" s="1" t="s">
        <v>258</v>
      </c>
      <c r="N1440" s="1" t="s">
        <v>259</v>
      </c>
      <c r="O1440" s="1" t="s">
        <v>603</v>
      </c>
      <c r="P1440" s="22" t="str">
        <f aca="false">_xlfn.CONCAT(B1440,C1440,D1440,E1440,F1440)</f>
        <v>BC Caiaponia1SG60KTL(COM1-011)46049.965277777846049.965277777846050.3319444444</v>
      </c>
      <c r="Q1440" s="1" t="str">
        <f aca="false">_xlfn.CONCAT(H1440,I1440,J1440)</f>
        <v>DAURDE</v>
      </c>
    </row>
    <row r="1441" customFormat="false" ht="15" hidden="false" customHeight="false" outlineLevel="0" collapsed="false">
      <c r="B1441" s="1" t="s">
        <v>542</v>
      </c>
      <c r="C1441" s="1" t="s">
        <v>555</v>
      </c>
      <c r="D1441" s="14" t="n">
        <v>46049.9652777778</v>
      </c>
      <c r="E1441" s="14" t="n">
        <v>46049.9652777778</v>
      </c>
      <c r="F1441" s="14" t="n">
        <v>46050.3319444444</v>
      </c>
      <c r="G1441" s="15" t="n">
        <f aca="false">F1441-E1441</f>
        <v>0.366666666666667</v>
      </c>
      <c r="H1441" s="1" t="s">
        <v>248</v>
      </c>
      <c r="J1441" s="1" t="s">
        <v>256</v>
      </c>
      <c r="K1441" s="1" t="s">
        <v>430</v>
      </c>
      <c r="L1441" s="1" t="s">
        <v>624</v>
      </c>
      <c r="M1441" s="1" t="s">
        <v>258</v>
      </c>
      <c r="N1441" s="1" t="s">
        <v>259</v>
      </c>
      <c r="O1441" s="1" t="s">
        <v>603</v>
      </c>
      <c r="P1441" s="22" t="str">
        <f aca="false">_xlfn.CONCAT(B1441,C1441,D1441,E1441,F1441)</f>
        <v>BC Caiaponia1SG60KTL(COM1-012)46049.965277777846049.965277777846050.3319444444</v>
      </c>
      <c r="Q1441" s="1" t="str">
        <f aca="false">_xlfn.CONCAT(H1441,I1441,J1441)</f>
        <v>DAURDE</v>
      </c>
    </row>
    <row r="1442" customFormat="false" ht="15" hidden="false" customHeight="false" outlineLevel="0" collapsed="false">
      <c r="B1442" s="1" t="s">
        <v>542</v>
      </c>
      <c r="C1442" s="1" t="s">
        <v>556</v>
      </c>
      <c r="D1442" s="14" t="n">
        <v>46049.9652777778</v>
      </c>
      <c r="E1442" s="14" t="n">
        <v>46049.9652777778</v>
      </c>
      <c r="F1442" s="14" t="n">
        <v>46050.3319444444</v>
      </c>
      <c r="G1442" s="15" t="n">
        <f aca="false">F1442-E1442</f>
        <v>0.366666666666667</v>
      </c>
      <c r="H1442" s="1" t="s">
        <v>248</v>
      </c>
      <c r="J1442" s="1" t="s">
        <v>256</v>
      </c>
      <c r="K1442" s="1" t="s">
        <v>430</v>
      </c>
      <c r="L1442" s="1" t="s">
        <v>624</v>
      </c>
      <c r="M1442" s="1" t="s">
        <v>258</v>
      </c>
      <c r="N1442" s="1" t="s">
        <v>259</v>
      </c>
      <c r="O1442" s="1" t="s">
        <v>603</v>
      </c>
      <c r="P1442" s="22" t="str">
        <f aca="false">_xlfn.CONCAT(B1442,C1442,D1442,E1442,F1442)</f>
        <v>BC Caiaponia1SG60KTL(COM1-013)46049.965277777846049.965277777846050.3319444444</v>
      </c>
      <c r="Q1442" s="1" t="str">
        <f aca="false">_xlfn.CONCAT(H1442,I1442,J1442)</f>
        <v>DAURDE</v>
      </c>
    </row>
    <row r="1443" customFormat="false" ht="15" hidden="false" customHeight="false" outlineLevel="0" collapsed="false">
      <c r="B1443" s="1" t="s">
        <v>542</v>
      </c>
      <c r="C1443" s="1" t="s">
        <v>557</v>
      </c>
      <c r="D1443" s="14" t="n">
        <v>46049.9652777778</v>
      </c>
      <c r="E1443" s="14" t="n">
        <v>46049.9652777778</v>
      </c>
      <c r="F1443" s="14" t="n">
        <v>46050.3319444444</v>
      </c>
      <c r="G1443" s="15" t="n">
        <f aca="false">F1443-E1443</f>
        <v>0.366666666666667</v>
      </c>
      <c r="H1443" s="1" t="s">
        <v>248</v>
      </c>
      <c r="J1443" s="1" t="s">
        <v>256</v>
      </c>
      <c r="K1443" s="1" t="s">
        <v>430</v>
      </c>
      <c r="L1443" s="1" t="s">
        <v>624</v>
      </c>
      <c r="M1443" s="1" t="s">
        <v>258</v>
      </c>
      <c r="N1443" s="1" t="s">
        <v>259</v>
      </c>
      <c r="O1443" s="1" t="s">
        <v>603</v>
      </c>
      <c r="P1443" s="22" t="str">
        <f aca="false">_xlfn.CONCAT(B1443,C1443,D1443,E1443,F1443)</f>
        <v>BC Caiaponia1SG60KTL(COM1-014)46049.965277777846049.965277777846050.3319444444</v>
      </c>
      <c r="Q1443" s="1" t="str">
        <f aca="false">_xlfn.CONCAT(H1443,I1443,J1443)</f>
        <v>DAURDE</v>
      </c>
    </row>
    <row r="1444" customFormat="false" ht="15" hidden="false" customHeight="false" outlineLevel="0" collapsed="false">
      <c r="B1444" s="1" t="s">
        <v>542</v>
      </c>
      <c r="C1444" s="1" t="s">
        <v>558</v>
      </c>
      <c r="D1444" s="14" t="n">
        <v>46049.9652777778</v>
      </c>
      <c r="E1444" s="14" t="n">
        <v>46049.9652777778</v>
      </c>
      <c r="F1444" s="14" t="n">
        <v>46050.3319444444</v>
      </c>
      <c r="G1444" s="15" t="n">
        <f aca="false">F1444-E1444</f>
        <v>0.366666666666667</v>
      </c>
      <c r="H1444" s="1" t="s">
        <v>248</v>
      </c>
      <c r="J1444" s="1" t="s">
        <v>256</v>
      </c>
      <c r="K1444" s="1" t="s">
        <v>430</v>
      </c>
      <c r="L1444" s="1" t="s">
        <v>624</v>
      </c>
      <c r="M1444" s="1" t="s">
        <v>258</v>
      </c>
      <c r="N1444" s="1" t="s">
        <v>259</v>
      </c>
      <c r="O1444" s="1" t="s">
        <v>603</v>
      </c>
      <c r="P1444" s="22" t="str">
        <f aca="false">_xlfn.CONCAT(B1444,C1444,D1444,E1444,F1444)</f>
        <v>BC Caiaponia1SG60KTL(COM1-015)46049.965277777846049.965277777846050.3319444444</v>
      </c>
      <c r="Q1444" s="1" t="str">
        <f aca="false">_xlfn.CONCAT(H1444,I1444,J1444)</f>
        <v>DAURDE</v>
      </c>
    </row>
    <row r="1445" customFormat="false" ht="15" hidden="false" customHeight="false" outlineLevel="0" collapsed="false">
      <c r="B1445" s="1" t="s">
        <v>542</v>
      </c>
      <c r="C1445" s="1" t="s">
        <v>559</v>
      </c>
      <c r="D1445" s="14" t="n">
        <v>46049.9652777778</v>
      </c>
      <c r="E1445" s="14" t="n">
        <v>46049.9652777778</v>
      </c>
      <c r="F1445" s="14" t="n">
        <v>46050.3319444444</v>
      </c>
      <c r="G1445" s="15" t="n">
        <f aca="false">F1445-E1445</f>
        <v>0.366666666666667</v>
      </c>
      <c r="H1445" s="1" t="s">
        <v>248</v>
      </c>
      <c r="J1445" s="1" t="s">
        <v>256</v>
      </c>
      <c r="K1445" s="1" t="s">
        <v>430</v>
      </c>
      <c r="L1445" s="1" t="s">
        <v>624</v>
      </c>
      <c r="M1445" s="1" t="s">
        <v>258</v>
      </c>
      <c r="N1445" s="1" t="s">
        <v>259</v>
      </c>
      <c r="O1445" s="1" t="s">
        <v>603</v>
      </c>
      <c r="P1445" s="22" t="str">
        <f aca="false">_xlfn.CONCAT(B1445,C1445,D1445,E1445,F1445)</f>
        <v>BC Caiaponia1SG60KTL(COM3-016)_001_00946049.965277777846049.965277777846050.3319444444</v>
      </c>
      <c r="Q1445" s="1" t="str">
        <f aca="false">_xlfn.CONCAT(H1445,I1445,J1445)</f>
        <v>DAURDE</v>
      </c>
    </row>
    <row r="1446" customFormat="false" ht="15" hidden="false" customHeight="false" outlineLevel="0" collapsed="false">
      <c r="B1446" s="1" t="s">
        <v>542</v>
      </c>
      <c r="C1446" s="1" t="s">
        <v>560</v>
      </c>
      <c r="D1446" s="14" t="n">
        <v>46049.9652777778</v>
      </c>
      <c r="E1446" s="14" t="n">
        <v>46049.9652777778</v>
      </c>
      <c r="F1446" s="14" t="n">
        <v>46050.3319444444</v>
      </c>
      <c r="G1446" s="15" t="n">
        <f aca="false">F1446-E1446</f>
        <v>0.366666666666667</v>
      </c>
      <c r="H1446" s="1" t="s">
        <v>248</v>
      </c>
      <c r="J1446" s="1" t="s">
        <v>256</v>
      </c>
      <c r="K1446" s="1" t="s">
        <v>430</v>
      </c>
      <c r="L1446" s="1" t="s">
        <v>624</v>
      </c>
      <c r="M1446" s="1" t="s">
        <v>258</v>
      </c>
      <c r="N1446" s="1" t="s">
        <v>259</v>
      </c>
      <c r="O1446" s="1" t="s">
        <v>603</v>
      </c>
      <c r="P1446" s="22" t="str">
        <f aca="false">_xlfn.CONCAT(B1446,C1446,D1446,E1446,F1446)</f>
        <v>BC Caiaponia1SG60KTL(COM3-017)_001_01246049.965277777846049.965277777846050.3319444444</v>
      </c>
      <c r="Q1446" s="1" t="str">
        <f aca="false">_xlfn.CONCAT(H1446,I1446,J1446)</f>
        <v>DAURDE</v>
      </c>
    </row>
    <row r="1447" customFormat="false" ht="15" hidden="false" customHeight="false" outlineLevel="0" collapsed="false">
      <c r="B1447" s="1" t="s">
        <v>542</v>
      </c>
      <c r="C1447" s="1" t="s">
        <v>561</v>
      </c>
      <c r="D1447" s="14" t="n">
        <v>46049.9652777778</v>
      </c>
      <c r="E1447" s="14" t="n">
        <v>46049.9652777778</v>
      </c>
      <c r="F1447" s="14" t="n">
        <v>46050.3319444444</v>
      </c>
      <c r="G1447" s="15" t="n">
        <f aca="false">F1447-E1447</f>
        <v>0.366666666666667</v>
      </c>
      <c r="H1447" s="1" t="s">
        <v>248</v>
      </c>
      <c r="J1447" s="1" t="s">
        <v>256</v>
      </c>
      <c r="K1447" s="1" t="s">
        <v>430</v>
      </c>
      <c r="L1447" s="1" t="s">
        <v>624</v>
      </c>
      <c r="M1447" s="1" t="s">
        <v>258</v>
      </c>
      <c r="N1447" s="1" t="s">
        <v>259</v>
      </c>
      <c r="O1447" s="1" t="s">
        <v>603</v>
      </c>
      <c r="P1447" s="22" t="str">
        <f aca="false">_xlfn.CONCAT(B1447,C1447,D1447,E1447,F1447)</f>
        <v>BC Caiaponia1SG60KTL(COM3-018)_001_00846049.965277777846049.965277777846050.3319444444</v>
      </c>
      <c r="Q1447" s="1" t="str">
        <f aca="false">_xlfn.CONCAT(H1447,I1447,J1447)</f>
        <v>DAURDE</v>
      </c>
    </row>
    <row r="1448" customFormat="false" ht="15" hidden="false" customHeight="false" outlineLevel="0" collapsed="false">
      <c r="B1448" s="1" t="s">
        <v>542</v>
      </c>
      <c r="C1448" s="1" t="s">
        <v>562</v>
      </c>
      <c r="D1448" s="14" t="n">
        <v>46049.9652777778</v>
      </c>
      <c r="E1448" s="14" t="n">
        <v>46049.9652777778</v>
      </c>
      <c r="F1448" s="14" t="n">
        <v>46050.3319444444</v>
      </c>
      <c r="G1448" s="15" t="n">
        <f aca="false">F1448-E1448</f>
        <v>0.366666666666667</v>
      </c>
      <c r="H1448" s="1" t="s">
        <v>248</v>
      </c>
      <c r="J1448" s="1" t="s">
        <v>256</v>
      </c>
      <c r="K1448" s="1" t="s">
        <v>430</v>
      </c>
      <c r="L1448" s="1" t="s">
        <v>624</v>
      </c>
      <c r="M1448" s="1" t="s">
        <v>258</v>
      </c>
      <c r="N1448" s="1" t="s">
        <v>259</v>
      </c>
      <c r="O1448" s="1" t="s">
        <v>603</v>
      </c>
      <c r="P1448" s="22" t="str">
        <f aca="false">_xlfn.CONCAT(B1448,C1448,D1448,E1448,F1448)</f>
        <v>BC Caiaponia1SG60KTL(COM3-019)_001_01946049.965277777846049.965277777846050.3319444444</v>
      </c>
      <c r="Q1448" s="1" t="str">
        <f aca="false">_xlfn.CONCAT(H1448,I1448,J1448)</f>
        <v>DAURDE</v>
      </c>
    </row>
    <row r="1449" customFormat="false" ht="15" hidden="false" customHeight="false" outlineLevel="0" collapsed="false">
      <c r="B1449" s="1" t="s">
        <v>542</v>
      </c>
      <c r="C1449" s="1" t="s">
        <v>563</v>
      </c>
      <c r="D1449" s="14" t="n">
        <v>46049.9652777778</v>
      </c>
      <c r="E1449" s="14" t="n">
        <v>46049.9652777778</v>
      </c>
      <c r="F1449" s="14" t="n">
        <v>46050.3319444444</v>
      </c>
      <c r="G1449" s="15" t="n">
        <f aca="false">F1449-E1449</f>
        <v>0.366666666666667</v>
      </c>
      <c r="H1449" s="1" t="s">
        <v>248</v>
      </c>
      <c r="J1449" s="1" t="s">
        <v>256</v>
      </c>
      <c r="K1449" s="1" t="s">
        <v>430</v>
      </c>
      <c r="L1449" s="1" t="s">
        <v>624</v>
      </c>
      <c r="M1449" s="1" t="s">
        <v>258</v>
      </c>
      <c r="N1449" s="1" t="s">
        <v>259</v>
      </c>
      <c r="O1449" s="1" t="s">
        <v>603</v>
      </c>
      <c r="P1449" s="22" t="str">
        <f aca="false">_xlfn.CONCAT(B1449,C1449,D1449,E1449,F1449)</f>
        <v>BC Caiaponia1SG60KTL(COM3-020)_001_02046049.965277777846049.965277777846050.3319444444</v>
      </c>
      <c r="Q1449" s="1" t="str">
        <f aca="false">_xlfn.CONCAT(H1449,I1449,J1449)</f>
        <v>DAURDE</v>
      </c>
    </row>
    <row r="1450" customFormat="false" ht="15" hidden="false" customHeight="false" outlineLevel="0" collapsed="false">
      <c r="B1450" s="1" t="s">
        <v>542</v>
      </c>
      <c r="C1450" s="1" t="s">
        <v>564</v>
      </c>
      <c r="D1450" s="14" t="n">
        <v>46049.9652777778</v>
      </c>
      <c r="E1450" s="14" t="n">
        <v>46049.9652777778</v>
      </c>
      <c r="F1450" s="14" t="n">
        <v>46050.3319444444</v>
      </c>
      <c r="G1450" s="15" t="n">
        <f aca="false">F1450-E1450</f>
        <v>0.366666666666667</v>
      </c>
      <c r="H1450" s="1" t="s">
        <v>248</v>
      </c>
      <c r="J1450" s="1" t="s">
        <v>256</v>
      </c>
      <c r="K1450" s="1" t="s">
        <v>430</v>
      </c>
      <c r="L1450" s="1" t="s">
        <v>624</v>
      </c>
      <c r="M1450" s="1" t="s">
        <v>258</v>
      </c>
      <c r="N1450" s="1" t="s">
        <v>259</v>
      </c>
      <c r="O1450" s="1" t="s">
        <v>603</v>
      </c>
      <c r="P1450" s="22" t="str">
        <f aca="false">_xlfn.CONCAT(B1450,C1450,D1450,E1450,F1450)</f>
        <v>BC Caiaponia1SG60KTL(COM2-026)46049.965277777846049.965277777846050.3319444444</v>
      </c>
      <c r="Q1450" s="1" t="str">
        <f aca="false">_xlfn.CONCAT(H1450,I1450,J1450)</f>
        <v>DAURDE</v>
      </c>
    </row>
    <row r="1451" customFormat="false" ht="15" hidden="false" customHeight="false" outlineLevel="0" collapsed="false">
      <c r="B1451" s="1" t="s">
        <v>542</v>
      </c>
      <c r="C1451" s="1" t="s">
        <v>565</v>
      </c>
      <c r="D1451" s="14" t="n">
        <v>46049.9652777778</v>
      </c>
      <c r="E1451" s="14" t="n">
        <v>46049.9652777778</v>
      </c>
      <c r="F1451" s="14" t="n">
        <v>46050.3319444444</v>
      </c>
      <c r="G1451" s="15" t="n">
        <f aca="false">F1451-E1451</f>
        <v>0.366666666666667</v>
      </c>
      <c r="H1451" s="1" t="s">
        <v>248</v>
      </c>
      <c r="J1451" s="1" t="s">
        <v>256</v>
      </c>
      <c r="K1451" s="1" t="s">
        <v>430</v>
      </c>
      <c r="L1451" s="1" t="s">
        <v>624</v>
      </c>
      <c r="M1451" s="1" t="s">
        <v>258</v>
      </c>
      <c r="N1451" s="1" t="s">
        <v>259</v>
      </c>
      <c r="O1451" s="1" t="s">
        <v>603</v>
      </c>
      <c r="P1451" s="22" t="str">
        <f aca="false">_xlfn.CONCAT(B1451,C1451,D1451,E1451,F1451)</f>
        <v>BC Caiaponia1SG60KTL(COM2-027)46049.965277777846049.965277777846050.3319444444</v>
      </c>
      <c r="Q1451" s="1" t="str">
        <f aca="false">_xlfn.CONCAT(H1451,I1451,J1451)</f>
        <v>DAURDE</v>
      </c>
    </row>
    <row r="1452" customFormat="false" ht="15" hidden="false" customHeight="false" outlineLevel="0" collapsed="false">
      <c r="B1452" s="1" t="s">
        <v>542</v>
      </c>
      <c r="C1452" s="1" t="s">
        <v>566</v>
      </c>
      <c r="D1452" s="14" t="n">
        <v>46049.9652777778</v>
      </c>
      <c r="E1452" s="14" t="n">
        <v>46049.9652777778</v>
      </c>
      <c r="F1452" s="14" t="n">
        <v>46050.3319444444</v>
      </c>
      <c r="G1452" s="15" t="n">
        <f aca="false">F1452-E1452</f>
        <v>0.366666666666667</v>
      </c>
      <c r="H1452" s="1" t="s">
        <v>248</v>
      </c>
      <c r="J1452" s="1" t="s">
        <v>256</v>
      </c>
      <c r="K1452" s="1" t="s">
        <v>430</v>
      </c>
      <c r="L1452" s="1" t="s">
        <v>624</v>
      </c>
      <c r="M1452" s="1" t="s">
        <v>258</v>
      </c>
      <c r="N1452" s="1" t="s">
        <v>259</v>
      </c>
      <c r="O1452" s="1" t="s">
        <v>603</v>
      </c>
      <c r="P1452" s="22" t="str">
        <f aca="false">_xlfn.CONCAT(B1452,C1452,D1452,E1452,F1452)</f>
        <v>BC Caiaponia1SG60KTL(COM2-028)46049.965277777846049.965277777846050.3319444444</v>
      </c>
      <c r="Q1452" s="1" t="str">
        <f aca="false">_xlfn.CONCAT(H1452,I1452,J1452)</f>
        <v>DAURDE</v>
      </c>
    </row>
    <row r="1453" customFormat="false" ht="15" hidden="false" customHeight="false" outlineLevel="0" collapsed="false">
      <c r="B1453" s="1" t="s">
        <v>542</v>
      </c>
      <c r="C1453" s="1" t="s">
        <v>567</v>
      </c>
      <c r="D1453" s="14" t="n">
        <v>46049.9652777778</v>
      </c>
      <c r="E1453" s="14" t="n">
        <v>46049.9652777778</v>
      </c>
      <c r="F1453" s="14" t="n">
        <v>46050.3319444444</v>
      </c>
      <c r="G1453" s="15" t="n">
        <f aca="false">F1453-E1453</f>
        <v>0.366666666666667</v>
      </c>
      <c r="H1453" s="1" t="s">
        <v>248</v>
      </c>
      <c r="J1453" s="1" t="s">
        <v>256</v>
      </c>
      <c r="K1453" s="1" t="s">
        <v>430</v>
      </c>
      <c r="L1453" s="1" t="s">
        <v>624</v>
      </c>
      <c r="M1453" s="1" t="s">
        <v>258</v>
      </c>
      <c r="N1453" s="1" t="s">
        <v>259</v>
      </c>
      <c r="O1453" s="1" t="s">
        <v>603</v>
      </c>
      <c r="P1453" s="22" t="str">
        <f aca="false">_xlfn.CONCAT(B1453,C1453,D1453,E1453,F1453)</f>
        <v>BC Caiaponia1SG60KTL(COM2-029)46049.965277777846049.965277777846050.3319444444</v>
      </c>
      <c r="Q1453" s="1" t="str">
        <f aca="false">_xlfn.CONCAT(H1453,I1453,J1453)</f>
        <v>DAURDE</v>
      </c>
    </row>
    <row r="1454" customFormat="false" ht="15" hidden="false" customHeight="false" outlineLevel="0" collapsed="false">
      <c r="B1454" s="1" t="s">
        <v>542</v>
      </c>
      <c r="C1454" s="1" t="s">
        <v>568</v>
      </c>
      <c r="D1454" s="14" t="n">
        <v>46049.9652777778</v>
      </c>
      <c r="E1454" s="14" t="n">
        <v>46049.9652777778</v>
      </c>
      <c r="F1454" s="14" t="n">
        <v>46050.3319444444</v>
      </c>
      <c r="G1454" s="15" t="n">
        <f aca="false">F1454-E1454</f>
        <v>0.366666666666667</v>
      </c>
      <c r="H1454" s="1" t="s">
        <v>248</v>
      </c>
      <c r="J1454" s="1" t="s">
        <v>256</v>
      </c>
      <c r="K1454" s="1" t="s">
        <v>430</v>
      </c>
      <c r="L1454" s="1" t="s">
        <v>624</v>
      </c>
      <c r="M1454" s="1" t="s">
        <v>258</v>
      </c>
      <c r="N1454" s="1" t="s">
        <v>259</v>
      </c>
      <c r="O1454" s="1" t="s">
        <v>603</v>
      </c>
      <c r="P1454" s="22" t="str">
        <f aca="false">_xlfn.CONCAT(B1454,C1454,D1454,E1454,F1454)</f>
        <v>BC Caiaponia1SG50CX(COM1-021)46049.965277777846049.965277777846050.3319444444</v>
      </c>
      <c r="Q1454" s="1" t="str">
        <f aca="false">_xlfn.CONCAT(H1454,I1454,J1454)</f>
        <v>DAURDE</v>
      </c>
    </row>
    <row r="1455" customFormat="false" ht="15" hidden="false" customHeight="false" outlineLevel="0" collapsed="false">
      <c r="B1455" s="1" t="s">
        <v>542</v>
      </c>
      <c r="C1455" s="1" t="s">
        <v>569</v>
      </c>
      <c r="D1455" s="14" t="n">
        <v>46049.9652777778</v>
      </c>
      <c r="E1455" s="14" t="n">
        <v>46049.9652777778</v>
      </c>
      <c r="F1455" s="14" t="n">
        <v>46050.3319444444</v>
      </c>
      <c r="G1455" s="15" t="n">
        <f aca="false">F1455-E1455</f>
        <v>0.366666666666667</v>
      </c>
      <c r="H1455" s="1" t="s">
        <v>248</v>
      </c>
      <c r="J1455" s="1" t="s">
        <v>256</v>
      </c>
      <c r="K1455" s="1" t="s">
        <v>430</v>
      </c>
      <c r="L1455" s="1" t="s">
        <v>624</v>
      </c>
      <c r="M1455" s="1" t="s">
        <v>258</v>
      </c>
      <c r="N1455" s="1" t="s">
        <v>259</v>
      </c>
      <c r="O1455" s="1" t="s">
        <v>603</v>
      </c>
      <c r="P1455" s="22" t="str">
        <f aca="false">_xlfn.CONCAT(B1455,C1455,D1455,E1455,F1455)</f>
        <v>BC Caiaponia1SG50CX(COM1-022)46049.965277777846049.965277777846050.3319444444</v>
      </c>
      <c r="Q1455" s="1" t="str">
        <f aca="false">_xlfn.CONCAT(H1455,I1455,J1455)</f>
        <v>DAURDE</v>
      </c>
    </row>
    <row r="1456" customFormat="false" ht="15" hidden="false" customHeight="false" outlineLevel="0" collapsed="false">
      <c r="B1456" s="1" t="s">
        <v>542</v>
      </c>
      <c r="C1456" s="1" t="s">
        <v>570</v>
      </c>
      <c r="D1456" s="14" t="n">
        <v>46049.9652777778</v>
      </c>
      <c r="E1456" s="14" t="n">
        <v>46049.9652777778</v>
      </c>
      <c r="F1456" s="14" t="n">
        <v>46050.3319444444</v>
      </c>
      <c r="G1456" s="15" t="n">
        <f aca="false">F1456-E1456</f>
        <v>0.366666666666667</v>
      </c>
      <c r="H1456" s="1" t="s">
        <v>248</v>
      </c>
      <c r="J1456" s="1" t="s">
        <v>256</v>
      </c>
      <c r="K1456" s="1" t="s">
        <v>430</v>
      </c>
      <c r="L1456" s="1" t="s">
        <v>624</v>
      </c>
      <c r="M1456" s="1" t="s">
        <v>258</v>
      </c>
      <c r="N1456" s="1" t="s">
        <v>259</v>
      </c>
      <c r="O1456" s="1" t="s">
        <v>603</v>
      </c>
      <c r="P1456" s="22" t="str">
        <f aca="false">_xlfn.CONCAT(B1456,C1456,D1456,E1456,F1456)</f>
        <v>BC Caiaponia1SG50CX(COM1-023)46049.965277777846049.965277777846050.3319444444</v>
      </c>
      <c r="Q1456" s="1" t="str">
        <f aca="false">_xlfn.CONCAT(H1456,I1456,J1456)</f>
        <v>DAURDE</v>
      </c>
    </row>
    <row r="1457" customFormat="false" ht="15" hidden="false" customHeight="false" outlineLevel="0" collapsed="false">
      <c r="B1457" s="1" t="s">
        <v>542</v>
      </c>
      <c r="C1457" s="1" t="s">
        <v>571</v>
      </c>
      <c r="D1457" s="14" t="n">
        <v>46049.9652777778</v>
      </c>
      <c r="E1457" s="14" t="n">
        <v>46049.9652777778</v>
      </c>
      <c r="F1457" s="14" t="n">
        <v>46050.3319444444</v>
      </c>
      <c r="G1457" s="15" t="n">
        <f aca="false">F1457-E1457</f>
        <v>0.366666666666667</v>
      </c>
      <c r="H1457" s="1" t="s">
        <v>248</v>
      </c>
      <c r="J1457" s="1" t="s">
        <v>256</v>
      </c>
      <c r="K1457" s="1" t="s">
        <v>430</v>
      </c>
      <c r="L1457" s="1" t="s">
        <v>624</v>
      </c>
      <c r="M1457" s="1" t="s">
        <v>258</v>
      </c>
      <c r="N1457" s="1" t="s">
        <v>259</v>
      </c>
      <c r="O1457" s="1" t="s">
        <v>603</v>
      </c>
      <c r="P1457" s="22" t="str">
        <f aca="false">_xlfn.CONCAT(B1457,C1457,D1457,E1457,F1457)</f>
        <v>BC Caiaponia1SG50CX(COM1-024)46049.965277777846049.965277777846050.3319444444</v>
      </c>
      <c r="Q1457" s="1" t="str">
        <f aca="false">_xlfn.CONCAT(H1457,I1457,J1457)</f>
        <v>DAURDE</v>
      </c>
    </row>
    <row r="1458" customFormat="false" ht="15" hidden="false" customHeight="false" outlineLevel="0" collapsed="false">
      <c r="B1458" s="1" t="s">
        <v>542</v>
      </c>
      <c r="C1458" s="1" t="s">
        <v>572</v>
      </c>
      <c r="D1458" s="14" t="n">
        <v>46049.9652777778</v>
      </c>
      <c r="E1458" s="14" t="n">
        <v>46049.9652777778</v>
      </c>
      <c r="F1458" s="14" t="n">
        <v>46050.3319444444</v>
      </c>
      <c r="G1458" s="15" t="n">
        <f aca="false">F1458-E1458</f>
        <v>0.366666666666667</v>
      </c>
      <c r="H1458" s="1" t="s">
        <v>248</v>
      </c>
      <c r="J1458" s="1" t="s">
        <v>256</v>
      </c>
      <c r="K1458" s="1" t="s">
        <v>430</v>
      </c>
      <c r="L1458" s="1" t="s">
        <v>624</v>
      </c>
      <c r="M1458" s="1" t="s">
        <v>258</v>
      </c>
      <c r="N1458" s="1" t="s">
        <v>259</v>
      </c>
      <c r="O1458" s="1" t="s">
        <v>603</v>
      </c>
      <c r="P1458" s="22" t="str">
        <f aca="false">_xlfn.CONCAT(B1458,C1458,D1458,E1458,F1458)</f>
        <v>BC Caiaponia1SG50CX(COM1-025)46049.965277777846049.965277777846050.3319444444</v>
      </c>
      <c r="Q1458" s="1" t="str">
        <f aca="false">_xlfn.CONCAT(H1458,I1458,J1458)</f>
        <v>DAURDE</v>
      </c>
    </row>
    <row r="1459" customFormat="false" ht="15" hidden="false" customHeight="false" outlineLevel="0" collapsed="false">
      <c r="B1459" s="1" t="s">
        <v>578</v>
      </c>
      <c r="C1459" s="1" t="s">
        <v>396</v>
      </c>
      <c r="D1459" s="14" t="n">
        <v>46049.9652777778</v>
      </c>
      <c r="E1459" s="14" t="n">
        <v>46049.9652777778</v>
      </c>
      <c r="F1459" s="14" t="n">
        <v>46050.3319444444</v>
      </c>
      <c r="G1459" s="15" t="n">
        <f aca="false">F1459-E1459</f>
        <v>0.366666666666667</v>
      </c>
      <c r="H1459" s="1" t="s">
        <v>248</v>
      </c>
      <c r="J1459" s="1" t="s">
        <v>256</v>
      </c>
      <c r="K1459" s="1" t="s">
        <v>430</v>
      </c>
      <c r="L1459" s="1" t="s">
        <v>624</v>
      </c>
      <c r="M1459" s="1" t="s">
        <v>258</v>
      </c>
      <c r="N1459" s="1" t="s">
        <v>259</v>
      </c>
      <c r="O1459" s="1" t="s">
        <v>603</v>
      </c>
      <c r="P1459" s="22" t="str">
        <f aca="false">_xlfn.CONCAT(B1459,C1459,D1459,E1459,F1459)</f>
        <v>BC Caiaponia2.1215KTL-H3(MBUS-12)46049.965277777846049.965277777846050.3319444444</v>
      </c>
      <c r="Q1459" s="1" t="str">
        <f aca="false">_xlfn.CONCAT(H1459,I1459,J1459)</f>
        <v>DAURDE</v>
      </c>
    </row>
    <row r="1460" customFormat="false" ht="15" hidden="false" customHeight="false" outlineLevel="0" collapsed="false">
      <c r="B1460" s="1" t="s">
        <v>578</v>
      </c>
      <c r="C1460" s="1" t="s">
        <v>397</v>
      </c>
      <c r="D1460" s="14" t="n">
        <v>46049.9652777778</v>
      </c>
      <c r="E1460" s="14" t="n">
        <v>46049.9652777778</v>
      </c>
      <c r="F1460" s="14" t="n">
        <v>46050.3319444444</v>
      </c>
      <c r="G1460" s="15" t="n">
        <f aca="false">F1460-E1460</f>
        <v>0.366666666666667</v>
      </c>
      <c r="H1460" s="1" t="s">
        <v>248</v>
      </c>
      <c r="J1460" s="1" t="s">
        <v>256</v>
      </c>
      <c r="K1460" s="1" t="s">
        <v>430</v>
      </c>
      <c r="L1460" s="1" t="s">
        <v>624</v>
      </c>
      <c r="M1460" s="1" t="s">
        <v>258</v>
      </c>
      <c r="N1460" s="1" t="s">
        <v>259</v>
      </c>
      <c r="O1460" s="1" t="s">
        <v>603</v>
      </c>
      <c r="P1460" s="22" t="str">
        <f aca="false">_xlfn.CONCAT(B1460,C1460,D1460,E1460,F1460)</f>
        <v>BC Caiaponia2.1215KTL-H3(MBUS-13)46049.965277777846049.965277777846050.3319444444</v>
      </c>
      <c r="Q1460" s="1" t="str">
        <f aca="false">_xlfn.CONCAT(H1460,I1460,J1460)</f>
        <v>DAURDE</v>
      </c>
    </row>
    <row r="1461" customFormat="false" ht="15" hidden="false" customHeight="false" outlineLevel="0" collapsed="false">
      <c r="B1461" s="1" t="s">
        <v>578</v>
      </c>
      <c r="C1461" s="1" t="s">
        <v>394</v>
      </c>
      <c r="D1461" s="14" t="n">
        <v>46049.9652777778</v>
      </c>
      <c r="E1461" s="14" t="n">
        <v>46049.9652777778</v>
      </c>
      <c r="F1461" s="14" t="n">
        <v>46050.3319444444</v>
      </c>
      <c r="G1461" s="15" t="n">
        <f aca="false">F1461-E1461</f>
        <v>0.366666666666667</v>
      </c>
      <c r="H1461" s="1" t="s">
        <v>248</v>
      </c>
      <c r="J1461" s="1" t="s">
        <v>256</v>
      </c>
      <c r="K1461" s="1" t="s">
        <v>430</v>
      </c>
      <c r="L1461" s="1" t="s">
        <v>624</v>
      </c>
      <c r="M1461" s="1" t="s">
        <v>258</v>
      </c>
      <c r="N1461" s="1" t="s">
        <v>259</v>
      </c>
      <c r="O1461" s="1" t="s">
        <v>603</v>
      </c>
      <c r="P1461" s="22" t="str">
        <f aca="false">_xlfn.CONCAT(B1461,C1461,D1461,E1461,F1461)</f>
        <v>BC Caiaponia2.1215KTL-H3(MBUS-14)46049.965277777846049.965277777846050.3319444444</v>
      </c>
      <c r="Q1461" s="1" t="str">
        <f aca="false">_xlfn.CONCAT(H1461,I1461,J1461)</f>
        <v>DAURDE</v>
      </c>
    </row>
    <row r="1462" customFormat="false" ht="15" hidden="false" customHeight="false" outlineLevel="0" collapsed="false">
      <c r="B1462" s="1" t="s">
        <v>578</v>
      </c>
      <c r="C1462" s="1" t="s">
        <v>395</v>
      </c>
      <c r="D1462" s="14" t="n">
        <v>46049.9652777778</v>
      </c>
      <c r="E1462" s="14" t="n">
        <v>46049.9652777778</v>
      </c>
      <c r="F1462" s="14" t="n">
        <v>46050.3319444444</v>
      </c>
      <c r="G1462" s="15" t="n">
        <f aca="false">F1462-E1462</f>
        <v>0.366666666666667</v>
      </c>
      <c r="H1462" s="1" t="s">
        <v>248</v>
      </c>
      <c r="J1462" s="1" t="s">
        <v>256</v>
      </c>
      <c r="K1462" s="1" t="s">
        <v>430</v>
      </c>
      <c r="L1462" s="1" t="s">
        <v>624</v>
      </c>
      <c r="M1462" s="1" t="s">
        <v>258</v>
      </c>
      <c r="N1462" s="1" t="s">
        <v>259</v>
      </c>
      <c r="O1462" s="1" t="s">
        <v>603</v>
      </c>
      <c r="P1462" s="22" t="str">
        <f aca="false">_xlfn.CONCAT(B1462,C1462,D1462,E1462,F1462)</f>
        <v>BC Caiaponia2.1215KTL-H3(MBUS-15)46049.965277777846049.965277777846050.3319444444</v>
      </c>
      <c r="Q1462" s="1" t="str">
        <f aca="false">_xlfn.CONCAT(H1462,I1462,J1462)</f>
        <v>DAURDE</v>
      </c>
    </row>
    <row r="1463" customFormat="false" ht="15" hidden="false" customHeight="false" outlineLevel="0" collapsed="false">
      <c r="B1463" s="1" t="s">
        <v>578</v>
      </c>
      <c r="C1463" s="1" t="s">
        <v>391</v>
      </c>
      <c r="D1463" s="14" t="n">
        <v>46049.9652777778</v>
      </c>
      <c r="E1463" s="14" t="n">
        <v>46049.9652777778</v>
      </c>
      <c r="F1463" s="14" t="n">
        <v>46050.3319444444</v>
      </c>
      <c r="G1463" s="15" t="n">
        <f aca="false">F1463-E1463</f>
        <v>0.366666666666667</v>
      </c>
      <c r="H1463" s="1" t="s">
        <v>248</v>
      </c>
      <c r="J1463" s="1" t="s">
        <v>256</v>
      </c>
      <c r="K1463" s="1" t="s">
        <v>430</v>
      </c>
      <c r="L1463" s="1" t="s">
        <v>624</v>
      </c>
      <c r="M1463" s="1" t="s">
        <v>258</v>
      </c>
      <c r="N1463" s="1" t="s">
        <v>259</v>
      </c>
      <c r="O1463" s="1" t="s">
        <v>603</v>
      </c>
      <c r="P1463" s="22" t="str">
        <f aca="false">_xlfn.CONCAT(B1463,C1463,D1463,E1463,F1463)</f>
        <v>BC Caiaponia2.1215KTL-H3(MBUS-16)46049.965277777846049.965277777846050.3319444444</v>
      </c>
      <c r="Q1463" s="1" t="str">
        <f aca="false">_xlfn.CONCAT(H1463,I1463,J1463)</f>
        <v>DAURDE</v>
      </c>
    </row>
    <row r="1464" customFormat="false" ht="15" hidden="false" customHeight="false" outlineLevel="0" collapsed="false">
      <c r="B1464" s="1" t="s">
        <v>579</v>
      </c>
      <c r="C1464" s="1" t="s">
        <v>396</v>
      </c>
      <c r="D1464" s="14" t="n">
        <v>46049.9652777778</v>
      </c>
      <c r="E1464" s="14" t="n">
        <v>46049.9652777778</v>
      </c>
      <c r="F1464" s="14" t="n">
        <v>46050.3319444444</v>
      </c>
      <c r="G1464" s="15" t="n">
        <f aca="false">F1464-E1464</f>
        <v>0.366666666666667</v>
      </c>
      <c r="H1464" s="1" t="s">
        <v>248</v>
      </c>
      <c r="J1464" s="1" t="s">
        <v>256</v>
      </c>
      <c r="K1464" s="1" t="s">
        <v>430</v>
      </c>
      <c r="L1464" s="1" t="s">
        <v>624</v>
      </c>
      <c r="M1464" s="1" t="s">
        <v>258</v>
      </c>
      <c r="N1464" s="1" t="s">
        <v>259</v>
      </c>
      <c r="O1464" s="1" t="s">
        <v>603</v>
      </c>
      <c r="P1464" s="22" t="str">
        <f aca="false">_xlfn.CONCAT(B1464,C1464,D1464,E1464,F1464)</f>
        <v>BC Caiaponia2.2215KTL-H3(MBUS-12)46049.965277777846049.965277777846050.3319444444</v>
      </c>
      <c r="Q1464" s="1" t="str">
        <f aca="false">_xlfn.CONCAT(H1464,I1464,J1464)</f>
        <v>DAURDE</v>
      </c>
    </row>
    <row r="1465" customFormat="false" ht="15" hidden="false" customHeight="false" outlineLevel="0" collapsed="false">
      <c r="B1465" s="1" t="s">
        <v>579</v>
      </c>
      <c r="C1465" s="1" t="s">
        <v>397</v>
      </c>
      <c r="D1465" s="14" t="n">
        <v>46049.9652777778</v>
      </c>
      <c r="E1465" s="14" t="n">
        <v>46049.9652777778</v>
      </c>
      <c r="F1465" s="14" t="n">
        <v>46050.3319444444</v>
      </c>
      <c r="G1465" s="15" t="n">
        <f aca="false">F1465-E1465</f>
        <v>0.366666666666667</v>
      </c>
      <c r="H1465" s="1" t="s">
        <v>248</v>
      </c>
      <c r="J1465" s="1" t="s">
        <v>256</v>
      </c>
      <c r="K1465" s="1" t="s">
        <v>430</v>
      </c>
      <c r="L1465" s="1" t="s">
        <v>624</v>
      </c>
      <c r="M1465" s="1" t="s">
        <v>258</v>
      </c>
      <c r="N1465" s="1" t="s">
        <v>259</v>
      </c>
      <c r="O1465" s="1" t="s">
        <v>603</v>
      </c>
      <c r="P1465" s="22" t="str">
        <f aca="false">_xlfn.CONCAT(B1465,C1465,D1465,E1465,F1465)</f>
        <v>BC Caiaponia2.2215KTL-H3(MBUS-13)46049.965277777846049.965277777846050.3319444444</v>
      </c>
      <c r="Q1465" s="1" t="str">
        <f aca="false">_xlfn.CONCAT(H1465,I1465,J1465)</f>
        <v>DAURDE</v>
      </c>
    </row>
    <row r="1466" customFormat="false" ht="15" hidden="false" customHeight="false" outlineLevel="0" collapsed="false">
      <c r="B1466" s="1" t="s">
        <v>579</v>
      </c>
      <c r="C1466" s="1" t="s">
        <v>394</v>
      </c>
      <c r="D1466" s="14" t="n">
        <v>46049.9652777778</v>
      </c>
      <c r="E1466" s="14" t="n">
        <v>46049.9652777778</v>
      </c>
      <c r="F1466" s="14" t="n">
        <v>46050.3319444444</v>
      </c>
      <c r="G1466" s="15" t="n">
        <f aca="false">F1466-E1466</f>
        <v>0.366666666666667</v>
      </c>
      <c r="H1466" s="1" t="s">
        <v>248</v>
      </c>
      <c r="J1466" s="1" t="s">
        <v>256</v>
      </c>
      <c r="K1466" s="1" t="s">
        <v>430</v>
      </c>
      <c r="L1466" s="1" t="s">
        <v>624</v>
      </c>
      <c r="M1466" s="1" t="s">
        <v>258</v>
      </c>
      <c r="N1466" s="1" t="s">
        <v>259</v>
      </c>
      <c r="O1466" s="1" t="s">
        <v>603</v>
      </c>
      <c r="P1466" s="22" t="str">
        <f aca="false">_xlfn.CONCAT(B1466,C1466,D1466,E1466,F1466)</f>
        <v>BC Caiaponia2.2215KTL-H3(MBUS-14)46049.965277777846049.965277777846050.3319444444</v>
      </c>
      <c r="Q1466" s="1" t="str">
        <f aca="false">_xlfn.CONCAT(H1466,I1466,J1466)</f>
        <v>DAURDE</v>
      </c>
    </row>
    <row r="1467" customFormat="false" ht="15" hidden="false" customHeight="false" outlineLevel="0" collapsed="false">
      <c r="B1467" s="1" t="s">
        <v>579</v>
      </c>
      <c r="C1467" s="1" t="s">
        <v>395</v>
      </c>
      <c r="D1467" s="14" t="n">
        <v>46049.9652777778</v>
      </c>
      <c r="E1467" s="14" t="n">
        <v>46049.9652777778</v>
      </c>
      <c r="F1467" s="14" t="n">
        <v>46050.3319444444</v>
      </c>
      <c r="G1467" s="15" t="n">
        <f aca="false">F1467-E1467</f>
        <v>0.366666666666667</v>
      </c>
      <c r="H1467" s="1" t="s">
        <v>248</v>
      </c>
      <c r="J1467" s="1" t="s">
        <v>256</v>
      </c>
      <c r="K1467" s="1" t="s">
        <v>430</v>
      </c>
      <c r="L1467" s="1" t="s">
        <v>624</v>
      </c>
      <c r="M1467" s="1" t="s">
        <v>258</v>
      </c>
      <c r="N1467" s="1" t="s">
        <v>259</v>
      </c>
      <c r="O1467" s="1" t="s">
        <v>603</v>
      </c>
      <c r="P1467" s="22" t="str">
        <f aca="false">_xlfn.CONCAT(B1467,C1467,D1467,E1467,F1467)</f>
        <v>BC Caiaponia2.2215KTL-H3(MBUS-15)46049.965277777846049.965277777846050.3319444444</v>
      </c>
      <c r="Q1467" s="1" t="str">
        <f aca="false">_xlfn.CONCAT(H1467,I1467,J1467)</f>
        <v>DAURDE</v>
      </c>
    </row>
    <row r="1468" customFormat="false" ht="15" hidden="false" customHeight="false" outlineLevel="0" collapsed="false">
      <c r="B1468" s="1" t="s">
        <v>579</v>
      </c>
      <c r="C1468" s="1" t="s">
        <v>391</v>
      </c>
      <c r="D1468" s="14" t="n">
        <v>46049.9652777778</v>
      </c>
      <c r="E1468" s="14" t="n">
        <v>46049.9652777778</v>
      </c>
      <c r="F1468" s="14" t="n">
        <v>46050.3319444444</v>
      </c>
      <c r="G1468" s="15" t="n">
        <f aca="false">F1468-E1468</f>
        <v>0.366666666666667</v>
      </c>
      <c r="H1468" s="1" t="s">
        <v>248</v>
      </c>
      <c r="J1468" s="1" t="s">
        <v>256</v>
      </c>
      <c r="K1468" s="1" t="s">
        <v>430</v>
      </c>
      <c r="L1468" s="1" t="s">
        <v>624</v>
      </c>
      <c r="M1468" s="1" t="s">
        <v>258</v>
      </c>
      <c r="N1468" s="1" t="s">
        <v>259</v>
      </c>
      <c r="O1468" s="1" t="s">
        <v>603</v>
      </c>
      <c r="P1468" s="22" t="str">
        <f aca="false">_xlfn.CONCAT(B1468,C1468,D1468,E1468,F1468)</f>
        <v>BC Caiaponia2.2215KTL-H3(MBUS-16)46049.965277777846049.965277777846050.3319444444</v>
      </c>
      <c r="Q1468" s="1" t="str">
        <f aca="false">_xlfn.CONCAT(H1468,I1468,J1468)</f>
        <v>DAURDE</v>
      </c>
    </row>
    <row r="1469" customFormat="false" ht="15" hidden="false" customHeight="false" outlineLevel="0" collapsed="false">
      <c r="B1469" s="1" t="s">
        <v>580</v>
      </c>
      <c r="C1469" s="1" t="s">
        <v>396</v>
      </c>
      <c r="D1469" s="14" t="n">
        <v>46049.9652777778</v>
      </c>
      <c r="E1469" s="14" t="n">
        <v>46049.9652777778</v>
      </c>
      <c r="F1469" s="14" t="n">
        <v>46050.3319444444</v>
      </c>
      <c r="G1469" s="15" t="n">
        <f aca="false">F1469-E1469</f>
        <v>0.366666666666667</v>
      </c>
      <c r="H1469" s="1" t="s">
        <v>248</v>
      </c>
      <c r="J1469" s="1" t="s">
        <v>256</v>
      </c>
      <c r="K1469" s="1" t="s">
        <v>430</v>
      </c>
      <c r="L1469" s="1" t="s">
        <v>624</v>
      </c>
      <c r="M1469" s="1" t="s">
        <v>258</v>
      </c>
      <c r="N1469" s="1" t="s">
        <v>259</v>
      </c>
      <c r="O1469" s="1" t="s">
        <v>603</v>
      </c>
      <c r="P1469" s="22" t="str">
        <f aca="false">_xlfn.CONCAT(B1469,C1469,D1469,E1469,F1469)</f>
        <v>BC Caiaponia2.3215KTL-H3(MBUS-12)46049.965277777846049.965277777846050.3319444444</v>
      </c>
      <c r="Q1469" s="1" t="str">
        <f aca="false">_xlfn.CONCAT(H1469,I1469,J1469)</f>
        <v>DAURDE</v>
      </c>
    </row>
    <row r="1470" customFormat="false" ht="15" hidden="false" customHeight="false" outlineLevel="0" collapsed="false">
      <c r="B1470" s="1" t="s">
        <v>580</v>
      </c>
      <c r="C1470" s="1" t="s">
        <v>397</v>
      </c>
      <c r="D1470" s="14" t="n">
        <v>46049.9652777778</v>
      </c>
      <c r="E1470" s="14" t="n">
        <v>46049.9652777778</v>
      </c>
      <c r="F1470" s="14" t="n">
        <v>46050.3319444444</v>
      </c>
      <c r="G1470" s="15" t="n">
        <f aca="false">F1470-E1470</f>
        <v>0.366666666666667</v>
      </c>
      <c r="H1470" s="1" t="s">
        <v>248</v>
      </c>
      <c r="J1470" s="1" t="s">
        <v>256</v>
      </c>
      <c r="K1470" s="1" t="s">
        <v>430</v>
      </c>
      <c r="L1470" s="1" t="s">
        <v>624</v>
      </c>
      <c r="M1470" s="1" t="s">
        <v>258</v>
      </c>
      <c r="N1470" s="1" t="s">
        <v>259</v>
      </c>
      <c r="O1470" s="1" t="s">
        <v>603</v>
      </c>
      <c r="P1470" s="22" t="str">
        <f aca="false">_xlfn.CONCAT(B1470,C1470,D1470,E1470,F1470)</f>
        <v>BC Caiaponia2.3215KTL-H3(MBUS-13)46049.965277777846049.965277777846050.3319444444</v>
      </c>
      <c r="Q1470" s="1" t="str">
        <f aca="false">_xlfn.CONCAT(H1470,I1470,J1470)</f>
        <v>DAURDE</v>
      </c>
    </row>
    <row r="1471" customFormat="false" ht="15" hidden="false" customHeight="false" outlineLevel="0" collapsed="false">
      <c r="B1471" s="1" t="s">
        <v>580</v>
      </c>
      <c r="C1471" s="1" t="s">
        <v>394</v>
      </c>
      <c r="D1471" s="14" t="n">
        <v>46049.9652777778</v>
      </c>
      <c r="E1471" s="14" t="n">
        <v>46049.9652777778</v>
      </c>
      <c r="F1471" s="14" t="n">
        <v>46050.3319444444</v>
      </c>
      <c r="G1471" s="15" t="n">
        <f aca="false">F1471-E1471</f>
        <v>0.366666666666667</v>
      </c>
      <c r="H1471" s="1" t="s">
        <v>248</v>
      </c>
      <c r="J1471" s="1" t="s">
        <v>256</v>
      </c>
      <c r="K1471" s="1" t="s">
        <v>430</v>
      </c>
      <c r="L1471" s="1" t="s">
        <v>624</v>
      </c>
      <c r="M1471" s="1" t="s">
        <v>258</v>
      </c>
      <c r="N1471" s="1" t="s">
        <v>259</v>
      </c>
      <c r="O1471" s="1" t="s">
        <v>603</v>
      </c>
      <c r="P1471" s="22" t="str">
        <f aca="false">_xlfn.CONCAT(B1471,C1471,D1471,E1471,F1471)</f>
        <v>BC Caiaponia2.3215KTL-H3(MBUS-14)46049.965277777846049.965277777846050.3319444444</v>
      </c>
      <c r="Q1471" s="1" t="str">
        <f aca="false">_xlfn.CONCAT(H1471,I1471,J1471)</f>
        <v>DAURDE</v>
      </c>
    </row>
    <row r="1472" customFormat="false" ht="15" hidden="false" customHeight="false" outlineLevel="0" collapsed="false">
      <c r="B1472" s="1" t="s">
        <v>580</v>
      </c>
      <c r="C1472" s="1" t="s">
        <v>395</v>
      </c>
      <c r="D1472" s="14" t="n">
        <v>46049.9652777778</v>
      </c>
      <c r="E1472" s="14" t="n">
        <v>46049.9652777778</v>
      </c>
      <c r="F1472" s="14" t="n">
        <v>46050.3319444444</v>
      </c>
      <c r="G1472" s="15" t="n">
        <f aca="false">F1472-E1472</f>
        <v>0.366666666666667</v>
      </c>
      <c r="H1472" s="1" t="s">
        <v>248</v>
      </c>
      <c r="J1472" s="1" t="s">
        <v>256</v>
      </c>
      <c r="K1472" s="1" t="s">
        <v>430</v>
      </c>
      <c r="L1472" s="1" t="s">
        <v>624</v>
      </c>
      <c r="M1472" s="1" t="s">
        <v>258</v>
      </c>
      <c r="N1472" s="1" t="s">
        <v>259</v>
      </c>
      <c r="O1472" s="1" t="s">
        <v>603</v>
      </c>
      <c r="P1472" s="22" t="str">
        <f aca="false">_xlfn.CONCAT(B1472,C1472,D1472,E1472,F1472)</f>
        <v>BC Caiaponia2.3215KTL-H3(MBUS-15)46049.965277777846049.965277777846050.3319444444</v>
      </c>
      <c r="Q1472" s="1" t="str">
        <f aca="false">_xlfn.CONCAT(H1472,I1472,J1472)</f>
        <v>DAURDE</v>
      </c>
    </row>
    <row r="1473" customFormat="false" ht="15" hidden="false" customHeight="false" outlineLevel="0" collapsed="false">
      <c r="B1473" s="1" t="s">
        <v>580</v>
      </c>
      <c r="C1473" s="1" t="s">
        <v>391</v>
      </c>
      <c r="D1473" s="14" t="n">
        <v>46049.9652777778</v>
      </c>
      <c r="E1473" s="14" t="n">
        <v>46049.9652777778</v>
      </c>
      <c r="F1473" s="14" t="n">
        <v>46050.3319444444</v>
      </c>
      <c r="G1473" s="15" t="n">
        <f aca="false">F1473-E1473</f>
        <v>0.366666666666667</v>
      </c>
      <c r="H1473" s="1" t="s">
        <v>248</v>
      </c>
      <c r="J1473" s="1" t="s">
        <v>256</v>
      </c>
      <c r="K1473" s="1" t="s">
        <v>430</v>
      </c>
      <c r="L1473" s="1" t="s">
        <v>624</v>
      </c>
      <c r="M1473" s="1" t="s">
        <v>258</v>
      </c>
      <c r="N1473" s="1" t="s">
        <v>259</v>
      </c>
      <c r="O1473" s="1" t="s">
        <v>603</v>
      </c>
      <c r="P1473" s="22" t="str">
        <f aca="false">_xlfn.CONCAT(B1473,C1473,D1473,E1473,F1473)</f>
        <v>BC Caiaponia2.3215KTL-H3(MBUS-16)46049.965277777846049.965277777846050.3319444444</v>
      </c>
      <c r="Q1473" s="1" t="str">
        <f aca="false">_xlfn.CONCAT(H1473,I1473,J1473)</f>
        <v>DAURDE</v>
      </c>
    </row>
    <row r="1474" customFormat="false" ht="15" hidden="false" customHeight="false" outlineLevel="0" collapsed="false">
      <c r="B1474" s="1" t="s">
        <v>261</v>
      </c>
      <c r="C1474" s="1" t="s">
        <v>262</v>
      </c>
      <c r="D1474" s="14" t="n">
        <v>46050.3125</v>
      </c>
      <c r="E1474" s="14" t="n">
        <v>46050.3125</v>
      </c>
      <c r="F1474" s="14" t="n">
        <v>46050.3131944445</v>
      </c>
      <c r="G1474" s="15" t="n">
        <f aca="false">F1474-E1474</f>
        <v>0.000694444444444445</v>
      </c>
      <c r="H1474" s="1" t="s">
        <v>445</v>
      </c>
      <c r="I1474" s="1" t="s">
        <v>263</v>
      </c>
      <c r="J1474" s="1" t="s">
        <v>264</v>
      </c>
      <c r="K1474" s="1" t="s">
        <v>456</v>
      </c>
      <c r="L1474" s="1" t="s">
        <v>600</v>
      </c>
      <c r="M1474" s="1" t="s">
        <v>266</v>
      </c>
      <c r="N1474" s="1" t="s">
        <v>625</v>
      </c>
      <c r="O1474" s="1" t="s">
        <v>625</v>
      </c>
      <c r="P1474" s="22" t="str">
        <f aca="false">_xlfn.CONCAT(B1474,C1474,D1474,E1474,F1474)</f>
        <v>BC Corumba2.2U02.I0146050.312546050.312546050.3131944445</v>
      </c>
      <c r="Q1474" s="1" t="str">
        <f aca="false">_xlfn.CONCAT(H1474,I1474,J1474)</f>
        <v>LIGRFOCOM</v>
      </c>
    </row>
    <row r="1475" customFormat="false" ht="15" hidden="false" customHeight="false" outlineLevel="0" collapsed="false">
      <c r="B1475" s="1" t="s">
        <v>261</v>
      </c>
      <c r="C1475" s="1" t="s">
        <v>269</v>
      </c>
      <c r="D1475" s="14" t="n">
        <v>46050.3125</v>
      </c>
      <c r="E1475" s="14" t="n">
        <v>46050.3125</v>
      </c>
      <c r="F1475" s="14" t="n">
        <v>46050.3131944445</v>
      </c>
      <c r="G1475" s="15" t="n">
        <f aca="false">F1475-E1475</f>
        <v>0.000694444444444445</v>
      </c>
      <c r="H1475" s="1" t="s">
        <v>445</v>
      </c>
      <c r="I1475" s="1" t="s">
        <v>263</v>
      </c>
      <c r="J1475" s="1" t="s">
        <v>264</v>
      </c>
      <c r="K1475" s="1" t="s">
        <v>456</v>
      </c>
      <c r="L1475" s="1" t="s">
        <v>600</v>
      </c>
      <c r="M1475" s="1" t="s">
        <v>266</v>
      </c>
      <c r="N1475" s="1" t="s">
        <v>625</v>
      </c>
      <c r="O1475" s="1" t="s">
        <v>625</v>
      </c>
      <c r="P1475" s="22" t="str">
        <f aca="false">_xlfn.CONCAT(B1475,C1475,D1475,E1475,F1475)</f>
        <v>BC Corumba2.2U02.I0246050.312546050.312546050.3131944445</v>
      </c>
      <c r="Q1475" s="1" t="str">
        <f aca="false">_xlfn.CONCAT(H1475,I1475,J1475)</f>
        <v>LIGRFOCOM</v>
      </c>
    </row>
    <row r="1476" customFormat="false" ht="15" hidden="false" customHeight="false" outlineLevel="0" collapsed="false">
      <c r="B1476" s="1" t="s">
        <v>261</v>
      </c>
      <c r="C1476" s="1" t="s">
        <v>270</v>
      </c>
      <c r="D1476" s="14" t="n">
        <v>46050.3125</v>
      </c>
      <c r="E1476" s="14" t="n">
        <v>46050.3125</v>
      </c>
      <c r="F1476" s="14" t="n">
        <v>46050.3131944445</v>
      </c>
      <c r="G1476" s="15" t="n">
        <f aca="false">F1476-E1476</f>
        <v>0.000694444444444445</v>
      </c>
      <c r="H1476" s="1" t="s">
        <v>445</v>
      </c>
      <c r="I1476" s="1" t="s">
        <v>263</v>
      </c>
      <c r="J1476" s="1" t="s">
        <v>264</v>
      </c>
      <c r="K1476" s="1" t="s">
        <v>456</v>
      </c>
      <c r="L1476" s="1" t="s">
        <v>600</v>
      </c>
      <c r="M1476" s="1" t="s">
        <v>266</v>
      </c>
      <c r="N1476" s="1" t="s">
        <v>625</v>
      </c>
      <c r="O1476" s="1" t="s">
        <v>625</v>
      </c>
      <c r="P1476" s="22" t="str">
        <f aca="false">_xlfn.CONCAT(B1476,C1476,D1476,E1476,F1476)</f>
        <v>BC Corumba2.2U02.I0346050.312546050.312546050.3131944445</v>
      </c>
      <c r="Q1476" s="1" t="str">
        <f aca="false">_xlfn.CONCAT(H1476,I1476,J1476)</f>
        <v>LIGRFOCOM</v>
      </c>
    </row>
    <row r="1477" customFormat="false" ht="15" hidden="false" customHeight="false" outlineLevel="0" collapsed="false">
      <c r="B1477" s="1" t="s">
        <v>261</v>
      </c>
      <c r="C1477" s="1" t="s">
        <v>271</v>
      </c>
      <c r="D1477" s="14" t="n">
        <v>46050.3125</v>
      </c>
      <c r="E1477" s="14" t="n">
        <v>46050.3125</v>
      </c>
      <c r="F1477" s="14" t="n">
        <v>46050.3131944445</v>
      </c>
      <c r="G1477" s="15" t="n">
        <f aca="false">F1477-E1477</f>
        <v>0.000694444444444445</v>
      </c>
      <c r="H1477" s="1" t="s">
        <v>445</v>
      </c>
      <c r="I1477" s="1" t="s">
        <v>263</v>
      </c>
      <c r="J1477" s="1" t="s">
        <v>264</v>
      </c>
      <c r="K1477" s="1" t="s">
        <v>456</v>
      </c>
      <c r="L1477" s="1" t="s">
        <v>600</v>
      </c>
      <c r="M1477" s="1" t="s">
        <v>266</v>
      </c>
      <c r="N1477" s="1" t="s">
        <v>625</v>
      </c>
      <c r="O1477" s="1" t="s">
        <v>625</v>
      </c>
      <c r="P1477" s="22" t="str">
        <f aca="false">_xlfn.CONCAT(B1477,C1477,D1477,E1477,F1477)</f>
        <v>BC Corumba2.2U02.I0446050.312546050.312546050.3131944445</v>
      </c>
      <c r="Q1477" s="1" t="str">
        <f aca="false">_xlfn.CONCAT(H1477,I1477,J1477)</f>
        <v>LIGRFOCOM</v>
      </c>
    </row>
    <row r="1478" customFormat="false" ht="15" hidden="false" customHeight="false" outlineLevel="0" collapsed="false">
      <c r="B1478" s="1" t="s">
        <v>261</v>
      </c>
      <c r="C1478" s="1" t="s">
        <v>272</v>
      </c>
      <c r="D1478" s="14" t="n">
        <v>46050.3125</v>
      </c>
      <c r="E1478" s="14" t="n">
        <v>46050.3125</v>
      </c>
      <c r="F1478" s="14" t="n">
        <v>46050.3131944445</v>
      </c>
      <c r="G1478" s="15" t="n">
        <f aca="false">F1478-E1478</f>
        <v>0.000694444444444445</v>
      </c>
      <c r="H1478" s="1" t="s">
        <v>445</v>
      </c>
      <c r="I1478" s="1" t="s">
        <v>263</v>
      </c>
      <c r="J1478" s="1" t="s">
        <v>264</v>
      </c>
      <c r="K1478" s="1" t="s">
        <v>456</v>
      </c>
      <c r="L1478" s="1" t="s">
        <v>600</v>
      </c>
      <c r="M1478" s="1" t="s">
        <v>266</v>
      </c>
      <c r="N1478" s="1" t="s">
        <v>625</v>
      </c>
      <c r="O1478" s="1" t="s">
        <v>625</v>
      </c>
      <c r="P1478" s="22" t="str">
        <f aca="false">_xlfn.CONCAT(B1478,C1478,D1478,E1478,F1478)</f>
        <v>BC Corumba2.2U02.I0546050.312546050.312546050.3131944445</v>
      </c>
      <c r="Q1478" s="1" t="str">
        <f aca="false">_xlfn.CONCAT(H1478,I1478,J1478)</f>
        <v>LIGRFOCOM</v>
      </c>
    </row>
    <row r="1479" customFormat="false" ht="15" hidden="false" customHeight="false" outlineLevel="0" collapsed="false">
      <c r="B1479" s="1" t="s">
        <v>308</v>
      </c>
      <c r="C1479" s="1" t="s">
        <v>255</v>
      </c>
      <c r="D1479" s="14" t="n">
        <v>46050.3611111111</v>
      </c>
      <c r="E1479" s="14" t="n">
        <v>46050.3611111111</v>
      </c>
      <c r="F1479" s="14" t="n">
        <v>46053.9999884259</v>
      </c>
      <c r="G1479" s="15" t="n">
        <f aca="false">F1479-E1479</f>
        <v>3.63887731481482</v>
      </c>
      <c r="H1479" s="1" t="s">
        <v>445</v>
      </c>
      <c r="I1479" s="1" t="s">
        <v>263</v>
      </c>
      <c r="J1479" s="1" t="s">
        <v>264</v>
      </c>
      <c r="K1479" s="1" t="s">
        <v>456</v>
      </c>
      <c r="L1479" s="1" t="s">
        <v>600</v>
      </c>
      <c r="M1479" s="1" t="s">
        <v>266</v>
      </c>
      <c r="N1479" s="1" t="s">
        <v>625</v>
      </c>
      <c r="O1479" s="1" t="s">
        <v>625</v>
      </c>
      <c r="P1479" s="22" t="str">
        <f aca="false">_xlfn.CONCAT(B1479,C1479,D1479,E1479,F1479)</f>
        <v>BC Aracu5.3Inverter(MBUS-1)46050.361111111146050.361111111146053.9999884259</v>
      </c>
      <c r="Q1479" s="1" t="str">
        <f aca="false">_xlfn.CONCAT(H1479,I1479,J1479)</f>
        <v>LIGRFOCOM</v>
      </c>
    </row>
    <row r="1480" customFormat="false" ht="15" hidden="false" customHeight="false" outlineLevel="0" collapsed="false">
      <c r="B1480" s="1" t="s">
        <v>254</v>
      </c>
      <c r="C1480" s="1" t="s">
        <v>255</v>
      </c>
      <c r="D1480" s="14" t="n">
        <v>46050.9506944444</v>
      </c>
      <c r="E1480" s="14" t="n">
        <v>46050.9506944444</v>
      </c>
      <c r="F1480" s="14" t="n">
        <v>46051.3090277778</v>
      </c>
      <c r="G1480" s="15" t="n">
        <f aca="false">F1480-E1480</f>
        <v>0.358333333333333</v>
      </c>
      <c r="H1480" s="1" t="s">
        <v>248</v>
      </c>
      <c r="J1480" s="1" t="s">
        <v>256</v>
      </c>
      <c r="K1480" s="1" t="s">
        <v>430</v>
      </c>
      <c r="L1480" s="1" t="s">
        <v>257</v>
      </c>
      <c r="M1480" s="1" t="s">
        <v>258</v>
      </c>
      <c r="N1480" s="1" t="s">
        <v>379</v>
      </c>
      <c r="O1480" s="1" t="s">
        <v>399</v>
      </c>
      <c r="P1480" s="22" t="str">
        <f aca="false">_xlfn.CONCAT(B1480,C1480,D1480,E1480,F1480)</f>
        <v>BC Aracu5.1Inverter(MBUS-1)46050.950694444446050.950694444446051.3090277778</v>
      </c>
      <c r="Q1480" s="1" t="str">
        <f aca="false">_xlfn.CONCAT(H1480,I1480,J1480)</f>
        <v>DAURDE</v>
      </c>
    </row>
    <row r="1481" customFormat="false" ht="15" hidden="false" customHeight="false" outlineLevel="0" collapsed="false">
      <c r="B1481" s="1" t="s">
        <v>308</v>
      </c>
      <c r="C1481" s="1" t="s">
        <v>255</v>
      </c>
      <c r="D1481" s="14" t="n">
        <v>46050.9506944444</v>
      </c>
      <c r="E1481" s="14" t="n">
        <v>46050.9506944444</v>
      </c>
      <c r="F1481" s="14" t="n">
        <v>46051.3090277778</v>
      </c>
      <c r="G1481" s="15" t="n">
        <f aca="false">F1481-E1481</f>
        <v>0.358333333333333</v>
      </c>
      <c r="H1481" s="1" t="s">
        <v>248</v>
      </c>
      <c r="J1481" s="1" t="s">
        <v>256</v>
      </c>
      <c r="K1481" s="1" t="s">
        <v>430</v>
      </c>
      <c r="L1481" s="1" t="s">
        <v>257</v>
      </c>
      <c r="M1481" s="1" t="s">
        <v>258</v>
      </c>
      <c r="N1481" s="1" t="s">
        <v>379</v>
      </c>
      <c r="O1481" s="1" t="s">
        <v>399</v>
      </c>
      <c r="P1481" s="22" t="str">
        <f aca="false">_xlfn.CONCAT(B1481,C1481,D1481,E1481,F1481)</f>
        <v>BC Aracu5.3Inverter(MBUS-1)46050.950694444446050.950694444446051.3090277778</v>
      </c>
      <c r="Q1481" s="1" t="str">
        <f aca="false">_xlfn.CONCAT(H1481,I1481,J1481)</f>
        <v>DAURDE</v>
      </c>
    </row>
    <row r="1482" customFormat="false" ht="15" hidden="false" customHeight="false" outlineLevel="0" collapsed="false">
      <c r="B1482" s="1" t="s">
        <v>309</v>
      </c>
      <c r="C1482" s="1" t="s">
        <v>255</v>
      </c>
      <c r="D1482" s="14" t="n">
        <v>46050.9506944444</v>
      </c>
      <c r="E1482" s="14" t="n">
        <v>46050.9506944444</v>
      </c>
      <c r="F1482" s="14" t="n">
        <v>46051.3090277778</v>
      </c>
      <c r="G1482" s="15" t="n">
        <f aca="false">F1482-E1482</f>
        <v>0.358333333333333</v>
      </c>
      <c r="H1482" s="1" t="s">
        <v>248</v>
      </c>
      <c r="J1482" s="1" t="s">
        <v>256</v>
      </c>
      <c r="K1482" s="1" t="s">
        <v>430</v>
      </c>
      <c r="L1482" s="1" t="s">
        <v>257</v>
      </c>
      <c r="M1482" s="1" t="s">
        <v>258</v>
      </c>
      <c r="N1482" s="1" t="s">
        <v>379</v>
      </c>
      <c r="O1482" s="1" t="s">
        <v>399</v>
      </c>
      <c r="P1482" s="22" t="str">
        <f aca="false">_xlfn.CONCAT(B1482,C1482,D1482,E1482,F1482)</f>
        <v>BC Aracu5.4Inverter(MBUS-1)46050.950694444446050.950694444446051.3090277778</v>
      </c>
      <c r="Q1482" s="1" t="str">
        <f aca="false">_xlfn.CONCAT(H1482,I1482,J1482)</f>
        <v>DAURDE</v>
      </c>
    </row>
    <row r="1483" customFormat="false" ht="15" hidden="false" customHeight="false" outlineLevel="0" collapsed="false">
      <c r="B1483" s="1" t="s">
        <v>310</v>
      </c>
      <c r="C1483" s="1" t="s">
        <v>255</v>
      </c>
      <c r="D1483" s="14" t="n">
        <v>46050.9506944444</v>
      </c>
      <c r="E1483" s="14" t="n">
        <v>46050.9506944444</v>
      </c>
      <c r="F1483" s="14" t="n">
        <v>46051.3090277778</v>
      </c>
      <c r="G1483" s="15" t="n">
        <f aca="false">F1483-E1483</f>
        <v>0.358333333333333</v>
      </c>
      <c r="H1483" s="1" t="s">
        <v>248</v>
      </c>
      <c r="J1483" s="1" t="s">
        <v>256</v>
      </c>
      <c r="K1483" s="1" t="s">
        <v>430</v>
      </c>
      <c r="L1483" s="1" t="s">
        <v>257</v>
      </c>
      <c r="M1483" s="1" t="s">
        <v>258</v>
      </c>
      <c r="N1483" s="1" t="s">
        <v>379</v>
      </c>
      <c r="O1483" s="1" t="s">
        <v>399</v>
      </c>
      <c r="P1483" s="22" t="str">
        <f aca="false">_xlfn.CONCAT(B1483,C1483,D1483,E1483,F1483)</f>
        <v>BC Aracu5.5Inverter(MBUS-1)46050.950694444446050.950694444446051.3090277778</v>
      </c>
      <c r="Q1483" s="1" t="str">
        <f aca="false">_xlfn.CONCAT(H1483,I1483,J1483)</f>
        <v>DAURDE</v>
      </c>
    </row>
    <row r="1484" customFormat="false" ht="15" hidden="false" customHeight="false" outlineLevel="0" collapsed="false">
      <c r="B1484" s="1" t="s">
        <v>261</v>
      </c>
      <c r="C1484" s="1" t="s">
        <v>262</v>
      </c>
      <c r="D1484" s="14" t="n">
        <v>46051.46875</v>
      </c>
      <c r="E1484" s="14" t="n">
        <v>46051.46875</v>
      </c>
      <c r="F1484" s="14" t="n">
        <v>46051.4701388889</v>
      </c>
      <c r="G1484" s="15" t="n">
        <f aca="false">F1484-E1484</f>
        <v>0.00138888888888889</v>
      </c>
      <c r="H1484" s="1" t="s">
        <v>445</v>
      </c>
      <c r="I1484" s="1" t="s">
        <v>263</v>
      </c>
      <c r="J1484" s="1" t="s">
        <v>264</v>
      </c>
      <c r="K1484" s="1" t="s">
        <v>456</v>
      </c>
      <c r="L1484" s="1" t="s">
        <v>600</v>
      </c>
      <c r="M1484" s="1" t="s">
        <v>266</v>
      </c>
      <c r="N1484" s="1" t="s">
        <v>625</v>
      </c>
      <c r="O1484" s="1" t="s">
        <v>625</v>
      </c>
      <c r="P1484" s="22" t="str">
        <f aca="false">_xlfn.CONCAT(B1484,C1484,D1484,E1484,F1484)</f>
        <v>BC Corumba2.2U02.I0146051.4687546051.4687546051.4701388889</v>
      </c>
      <c r="Q1484" s="1" t="str">
        <f aca="false">_xlfn.CONCAT(H1484,I1484,J1484)</f>
        <v>LIGRFOCOM</v>
      </c>
    </row>
    <row r="1485" customFormat="false" ht="15" hidden="false" customHeight="false" outlineLevel="0" collapsed="false">
      <c r="B1485" s="1" t="s">
        <v>261</v>
      </c>
      <c r="C1485" s="1" t="s">
        <v>269</v>
      </c>
      <c r="D1485" s="14" t="n">
        <v>46051.46875</v>
      </c>
      <c r="E1485" s="14" t="n">
        <v>46051.46875</v>
      </c>
      <c r="F1485" s="14" t="n">
        <v>46051.4701388889</v>
      </c>
      <c r="G1485" s="15" t="n">
        <f aca="false">F1485-E1485</f>
        <v>0.00138888888888889</v>
      </c>
      <c r="H1485" s="1" t="s">
        <v>445</v>
      </c>
      <c r="I1485" s="1" t="s">
        <v>263</v>
      </c>
      <c r="J1485" s="1" t="s">
        <v>264</v>
      </c>
      <c r="K1485" s="1" t="s">
        <v>456</v>
      </c>
      <c r="L1485" s="1" t="s">
        <v>600</v>
      </c>
      <c r="M1485" s="1" t="s">
        <v>266</v>
      </c>
      <c r="N1485" s="1" t="s">
        <v>625</v>
      </c>
      <c r="O1485" s="1" t="s">
        <v>625</v>
      </c>
      <c r="P1485" s="22" t="str">
        <f aca="false">_xlfn.CONCAT(B1485,C1485,D1485,E1485,F1485)</f>
        <v>BC Corumba2.2U02.I0246051.4687546051.4687546051.4701388889</v>
      </c>
      <c r="Q1485" s="1" t="str">
        <f aca="false">_xlfn.CONCAT(H1485,I1485,J1485)</f>
        <v>LIGRFOCOM</v>
      </c>
    </row>
    <row r="1486" customFormat="false" ht="15" hidden="false" customHeight="false" outlineLevel="0" collapsed="false">
      <c r="B1486" s="1" t="s">
        <v>261</v>
      </c>
      <c r="C1486" s="1" t="s">
        <v>270</v>
      </c>
      <c r="D1486" s="14" t="n">
        <v>46051.46875</v>
      </c>
      <c r="E1486" s="14" t="n">
        <v>46051.46875</v>
      </c>
      <c r="F1486" s="14" t="n">
        <v>46051.4701388889</v>
      </c>
      <c r="G1486" s="15" t="n">
        <f aca="false">F1486-E1486</f>
        <v>0.00138888888888889</v>
      </c>
      <c r="H1486" s="1" t="s">
        <v>445</v>
      </c>
      <c r="I1486" s="1" t="s">
        <v>263</v>
      </c>
      <c r="J1486" s="1" t="s">
        <v>264</v>
      </c>
      <c r="K1486" s="1" t="s">
        <v>456</v>
      </c>
      <c r="L1486" s="1" t="s">
        <v>600</v>
      </c>
      <c r="M1486" s="1" t="s">
        <v>266</v>
      </c>
      <c r="N1486" s="1" t="s">
        <v>625</v>
      </c>
      <c r="O1486" s="1" t="s">
        <v>625</v>
      </c>
      <c r="P1486" s="22" t="str">
        <f aca="false">_xlfn.CONCAT(B1486,C1486,D1486,E1486,F1486)</f>
        <v>BC Corumba2.2U02.I0346051.4687546051.4687546051.4701388889</v>
      </c>
      <c r="Q1486" s="1" t="str">
        <f aca="false">_xlfn.CONCAT(H1486,I1486,J1486)</f>
        <v>LIGRFOCOM</v>
      </c>
    </row>
    <row r="1487" customFormat="false" ht="15" hidden="false" customHeight="false" outlineLevel="0" collapsed="false">
      <c r="B1487" s="1" t="s">
        <v>261</v>
      </c>
      <c r="C1487" s="1" t="s">
        <v>271</v>
      </c>
      <c r="D1487" s="14" t="n">
        <v>46051.46875</v>
      </c>
      <c r="E1487" s="14" t="n">
        <v>46051.46875</v>
      </c>
      <c r="F1487" s="14" t="n">
        <v>46051.4701388889</v>
      </c>
      <c r="G1487" s="15" t="n">
        <f aca="false">F1487-E1487</f>
        <v>0.00138888888888889</v>
      </c>
      <c r="H1487" s="1" t="s">
        <v>445</v>
      </c>
      <c r="I1487" s="1" t="s">
        <v>263</v>
      </c>
      <c r="J1487" s="1" t="s">
        <v>264</v>
      </c>
      <c r="K1487" s="1" t="s">
        <v>456</v>
      </c>
      <c r="L1487" s="1" t="s">
        <v>600</v>
      </c>
      <c r="M1487" s="1" t="s">
        <v>266</v>
      </c>
      <c r="N1487" s="1" t="s">
        <v>625</v>
      </c>
      <c r="O1487" s="1" t="s">
        <v>625</v>
      </c>
      <c r="P1487" s="22" t="str">
        <f aca="false">_xlfn.CONCAT(B1487,C1487,D1487,E1487,F1487)</f>
        <v>BC Corumba2.2U02.I0446051.4687546051.4687546051.4701388889</v>
      </c>
      <c r="Q1487" s="1" t="str">
        <f aca="false">_xlfn.CONCAT(H1487,I1487,J1487)</f>
        <v>LIGRFOCOM</v>
      </c>
    </row>
    <row r="1488" customFormat="false" ht="15" hidden="false" customHeight="false" outlineLevel="0" collapsed="false">
      <c r="B1488" s="1" t="s">
        <v>261</v>
      </c>
      <c r="C1488" s="1" t="s">
        <v>272</v>
      </c>
      <c r="D1488" s="14" t="n">
        <v>46051.46875</v>
      </c>
      <c r="E1488" s="14" t="n">
        <v>46051.46875</v>
      </c>
      <c r="F1488" s="14" t="n">
        <v>46051.4701388889</v>
      </c>
      <c r="G1488" s="15" t="n">
        <f aca="false">F1488-E1488</f>
        <v>0.00138888888888889</v>
      </c>
      <c r="H1488" s="1" t="s">
        <v>445</v>
      </c>
      <c r="I1488" s="1" t="s">
        <v>263</v>
      </c>
      <c r="J1488" s="1" t="s">
        <v>264</v>
      </c>
      <c r="K1488" s="1" t="s">
        <v>456</v>
      </c>
      <c r="L1488" s="1" t="s">
        <v>600</v>
      </c>
      <c r="M1488" s="1" t="s">
        <v>266</v>
      </c>
      <c r="N1488" s="1" t="s">
        <v>625</v>
      </c>
      <c r="O1488" s="1" t="s">
        <v>625</v>
      </c>
      <c r="P1488" s="22" t="str">
        <f aca="false">_xlfn.CONCAT(B1488,C1488,D1488,E1488,F1488)</f>
        <v>BC Corumba2.2U02.I0546051.4687546051.4687546051.4701388889</v>
      </c>
      <c r="Q1488" s="1" t="str">
        <f aca="false">_xlfn.CONCAT(H1488,I1488,J1488)</f>
        <v>LIGRFOCOM</v>
      </c>
    </row>
    <row r="1489" customFormat="false" ht="15" hidden="false" customHeight="false" outlineLevel="0" collapsed="false">
      <c r="B1489" s="1" t="s">
        <v>254</v>
      </c>
      <c r="C1489" s="1" t="s">
        <v>255</v>
      </c>
      <c r="D1489" s="14" t="n">
        <v>46051.5027777778</v>
      </c>
      <c r="E1489" s="14" t="n">
        <v>46051.5027777778</v>
      </c>
      <c r="F1489" s="14" t="n">
        <v>46051.5125</v>
      </c>
      <c r="G1489" s="15" t="n">
        <f aca="false">F1489-E1489</f>
        <v>0.00972222222222222</v>
      </c>
      <c r="H1489" s="1" t="s">
        <v>248</v>
      </c>
      <c r="J1489" s="1" t="s">
        <v>256</v>
      </c>
      <c r="K1489" s="1" t="s">
        <v>430</v>
      </c>
      <c r="L1489" s="1" t="s">
        <v>257</v>
      </c>
      <c r="M1489" s="1" t="s">
        <v>258</v>
      </c>
      <c r="N1489" s="1" t="s">
        <v>379</v>
      </c>
      <c r="O1489" s="1" t="s">
        <v>399</v>
      </c>
      <c r="P1489" s="22" t="str">
        <f aca="false">_xlfn.CONCAT(B1489,C1489,D1489,E1489,F1489)</f>
        <v>BC Aracu5.1Inverter(MBUS-1)46051.502777777846051.502777777846051.5125</v>
      </c>
      <c r="Q1489" s="1" t="str">
        <f aca="false">_xlfn.CONCAT(H1489,I1489,J1489)</f>
        <v>DAURDE</v>
      </c>
    </row>
    <row r="1490" customFormat="false" ht="15" hidden="false" customHeight="false" outlineLevel="0" collapsed="false">
      <c r="B1490" s="1" t="s">
        <v>308</v>
      </c>
      <c r="C1490" s="1" t="s">
        <v>255</v>
      </c>
      <c r="D1490" s="14" t="n">
        <v>46051.5027777778</v>
      </c>
      <c r="E1490" s="14" t="n">
        <v>46051.5027777778</v>
      </c>
      <c r="F1490" s="14" t="n">
        <v>46051.5125</v>
      </c>
      <c r="G1490" s="15" t="n">
        <f aca="false">F1490-E1490</f>
        <v>0.00972222222222222</v>
      </c>
      <c r="H1490" s="1" t="s">
        <v>248</v>
      </c>
      <c r="J1490" s="1" t="s">
        <v>256</v>
      </c>
      <c r="K1490" s="1" t="s">
        <v>430</v>
      </c>
      <c r="L1490" s="1" t="s">
        <v>257</v>
      </c>
      <c r="M1490" s="1" t="s">
        <v>258</v>
      </c>
      <c r="N1490" s="1" t="s">
        <v>379</v>
      </c>
      <c r="O1490" s="1" t="s">
        <v>399</v>
      </c>
      <c r="P1490" s="22" t="str">
        <f aca="false">_xlfn.CONCAT(B1490,C1490,D1490,E1490,F1490)</f>
        <v>BC Aracu5.3Inverter(MBUS-1)46051.502777777846051.502777777846051.5125</v>
      </c>
      <c r="Q1490" s="1" t="str">
        <f aca="false">_xlfn.CONCAT(H1490,I1490,J1490)</f>
        <v>DAURDE</v>
      </c>
    </row>
    <row r="1491" customFormat="false" ht="15" hidden="false" customHeight="false" outlineLevel="0" collapsed="false">
      <c r="B1491" s="1" t="s">
        <v>309</v>
      </c>
      <c r="C1491" s="1" t="s">
        <v>255</v>
      </c>
      <c r="D1491" s="14" t="n">
        <v>46051.5027777778</v>
      </c>
      <c r="E1491" s="14" t="n">
        <v>46051.5027777778</v>
      </c>
      <c r="F1491" s="14" t="n">
        <v>46051.5125</v>
      </c>
      <c r="G1491" s="15" t="n">
        <f aca="false">F1491-E1491</f>
        <v>0.00972222222222222</v>
      </c>
      <c r="H1491" s="1" t="s">
        <v>248</v>
      </c>
      <c r="J1491" s="1" t="s">
        <v>256</v>
      </c>
      <c r="K1491" s="1" t="s">
        <v>430</v>
      </c>
      <c r="L1491" s="1" t="s">
        <v>257</v>
      </c>
      <c r="M1491" s="1" t="s">
        <v>258</v>
      </c>
      <c r="N1491" s="1" t="s">
        <v>379</v>
      </c>
      <c r="O1491" s="1" t="s">
        <v>399</v>
      </c>
      <c r="P1491" s="22" t="str">
        <f aca="false">_xlfn.CONCAT(B1491,C1491,D1491,E1491,F1491)</f>
        <v>BC Aracu5.4Inverter(MBUS-1)46051.502777777846051.502777777846051.5125</v>
      </c>
      <c r="Q1491" s="1" t="str">
        <f aca="false">_xlfn.CONCAT(H1491,I1491,J1491)</f>
        <v>DAURDE</v>
      </c>
    </row>
    <row r="1492" customFormat="false" ht="15" hidden="false" customHeight="false" outlineLevel="0" collapsed="false">
      <c r="B1492" s="1" t="s">
        <v>310</v>
      </c>
      <c r="C1492" s="1" t="s">
        <v>255</v>
      </c>
      <c r="D1492" s="14" t="n">
        <v>46051.5027777778</v>
      </c>
      <c r="E1492" s="14" t="n">
        <v>46051.5027777778</v>
      </c>
      <c r="F1492" s="14" t="n">
        <v>46051.5125</v>
      </c>
      <c r="G1492" s="15" t="n">
        <f aca="false">F1492-E1492</f>
        <v>0.00972222222222222</v>
      </c>
      <c r="H1492" s="1" t="s">
        <v>248</v>
      </c>
      <c r="J1492" s="1" t="s">
        <v>256</v>
      </c>
      <c r="K1492" s="1" t="s">
        <v>430</v>
      </c>
      <c r="L1492" s="1" t="s">
        <v>257</v>
      </c>
      <c r="M1492" s="1" t="s">
        <v>258</v>
      </c>
      <c r="N1492" s="1" t="s">
        <v>379</v>
      </c>
      <c r="O1492" s="1" t="s">
        <v>399</v>
      </c>
      <c r="P1492" s="22" t="str">
        <f aca="false">_xlfn.CONCAT(B1492,C1492,D1492,E1492,F1492)</f>
        <v>BC Aracu5.5Inverter(MBUS-1)46051.502777777846051.502777777846051.5125</v>
      </c>
      <c r="Q1492" s="1" t="str">
        <f aca="false">_xlfn.CONCAT(H1492,I1492,J1492)</f>
        <v>DAURDE</v>
      </c>
    </row>
    <row r="1493" customFormat="false" ht="15" hidden="false" customHeight="false" outlineLevel="0" collapsed="false">
      <c r="B1493" s="1" t="s">
        <v>626</v>
      </c>
      <c r="C1493" s="1" t="s">
        <v>627</v>
      </c>
      <c r="D1493" s="14" t="n">
        <v>46051.6076388889</v>
      </c>
      <c r="E1493" s="14" t="n">
        <v>46051.6076388889</v>
      </c>
      <c r="F1493" s="14" t="n">
        <v>46051.6979166667</v>
      </c>
      <c r="G1493" s="15" t="n">
        <f aca="false">F1493-E1493</f>
        <v>0.0902777777777778</v>
      </c>
      <c r="H1493" s="1" t="s">
        <v>248</v>
      </c>
      <c r="J1493" s="1" t="s">
        <v>256</v>
      </c>
      <c r="K1493" s="1" t="s">
        <v>430</v>
      </c>
      <c r="L1493" s="1" t="s">
        <v>275</v>
      </c>
      <c r="M1493" s="1" t="s">
        <v>258</v>
      </c>
      <c r="N1493" s="1" t="s">
        <v>379</v>
      </c>
      <c r="O1493" s="1" t="s">
        <v>628</v>
      </c>
      <c r="P1493" s="22" t="str">
        <f aca="false">_xlfn.CONCAT(B1493,C1493,D1493,E1493,F1493)</f>
        <v>BC Varjao2.1215KTL-H0(MBUS-12)46051.607638888946051.607638888946051.6979166667</v>
      </c>
      <c r="Q1493" s="1" t="str">
        <f aca="false">_xlfn.CONCAT(H1493,I1493,J1493)</f>
        <v>DAURDE</v>
      </c>
    </row>
    <row r="1494" customFormat="false" ht="15" hidden="false" customHeight="false" outlineLevel="0" collapsed="false">
      <c r="B1494" s="1" t="s">
        <v>626</v>
      </c>
      <c r="C1494" s="1" t="s">
        <v>629</v>
      </c>
      <c r="D1494" s="14" t="n">
        <v>46051.6076388889</v>
      </c>
      <c r="E1494" s="14" t="n">
        <v>46051.6076388889</v>
      </c>
      <c r="F1494" s="14" t="n">
        <v>46051.6979166667</v>
      </c>
      <c r="G1494" s="15" t="n">
        <f aca="false">F1494-E1494</f>
        <v>0.0902777777777778</v>
      </c>
      <c r="H1494" s="1" t="s">
        <v>248</v>
      </c>
      <c r="J1494" s="1" t="s">
        <v>256</v>
      </c>
      <c r="K1494" s="1" t="s">
        <v>430</v>
      </c>
      <c r="L1494" s="1" t="s">
        <v>275</v>
      </c>
      <c r="M1494" s="1" t="s">
        <v>258</v>
      </c>
      <c r="N1494" s="1" t="s">
        <v>379</v>
      </c>
      <c r="O1494" s="1" t="s">
        <v>628</v>
      </c>
      <c r="P1494" s="22" t="str">
        <f aca="false">_xlfn.CONCAT(B1494,C1494,D1494,E1494,F1494)</f>
        <v>BC Varjao2.1215KTL-H0(MBUS-13)46051.607638888946051.607638888946051.6979166667</v>
      </c>
      <c r="Q1494" s="1" t="str">
        <f aca="false">_xlfn.CONCAT(H1494,I1494,J1494)</f>
        <v>DAURDE</v>
      </c>
    </row>
    <row r="1495" customFormat="false" ht="15" hidden="false" customHeight="false" outlineLevel="0" collapsed="false">
      <c r="B1495" s="1" t="s">
        <v>626</v>
      </c>
      <c r="C1495" s="1" t="s">
        <v>282</v>
      </c>
      <c r="D1495" s="14" t="n">
        <v>46051.6076388889</v>
      </c>
      <c r="E1495" s="14" t="n">
        <v>46051.6076388889</v>
      </c>
      <c r="F1495" s="14" t="n">
        <v>46051.6979166667</v>
      </c>
      <c r="G1495" s="15" t="n">
        <f aca="false">F1495-E1495</f>
        <v>0.0902777777777778</v>
      </c>
      <c r="H1495" s="1" t="s">
        <v>248</v>
      </c>
      <c r="J1495" s="1" t="s">
        <v>256</v>
      </c>
      <c r="K1495" s="1" t="s">
        <v>430</v>
      </c>
      <c r="L1495" s="1" t="s">
        <v>275</v>
      </c>
      <c r="M1495" s="1" t="s">
        <v>258</v>
      </c>
      <c r="N1495" s="1" t="s">
        <v>379</v>
      </c>
      <c r="O1495" s="1" t="s">
        <v>628</v>
      </c>
      <c r="P1495" s="22" t="str">
        <f aca="false">_xlfn.CONCAT(B1495,C1495,D1495,E1495,F1495)</f>
        <v>BC Varjao2.1215KTL-H0(MBUS-14)46051.607638888946051.607638888946051.6979166667</v>
      </c>
      <c r="Q1495" s="1" t="str">
        <f aca="false">_xlfn.CONCAT(H1495,I1495,J1495)</f>
        <v>DAURDE</v>
      </c>
    </row>
    <row r="1496" customFormat="false" ht="15" hidden="false" customHeight="false" outlineLevel="0" collapsed="false">
      <c r="B1496" s="1" t="s">
        <v>626</v>
      </c>
      <c r="C1496" s="1" t="s">
        <v>630</v>
      </c>
      <c r="D1496" s="14" t="n">
        <v>46051.6076388889</v>
      </c>
      <c r="E1496" s="14" t="n">
        <v>46051.6076388889</v>
      </c>
      <c r="F1496" s="14" t="n">
        <v>46051.6979166667</v>
      </c>
      <c r="G1496" s="15" t="n">
        <f aca="false">F1496-E1496</f>
        <v>0.0902777777777778</v>
      </c>
      <c r="H1496" s="1" t="s">
        <v>248</v>
      </c>
      <c r="J1496" s="1" t="s">
        <v>256</v>
      </c>
      <c r="K1496" s="1" t="s">
        <v>430</v>
      </c>
      <c r="L1496" s="1" t="s">
        <v>275</v>
      </c>
      <c r="M1496" s="1" t="s">
        <v>258</v>
      </c>
      <c r="N1496" s="1" t="s">
        <v>379</v>
      </c>
      <c r="O1496" s="1" t="s">
        <v>628</v>
      </c>
      <c r="P1496" s="22" t="str">
        <f aca="false">_xlfn.CONCAT(B1496,C1496,D1496,E1496,F1496)</f>
        <v>BC Varjao2.1215KTL-H0(MBUS-15)46051.607638888946051.607638888946051.6979166667</v>
      </c>
      <c r="Q1496" s="1" t="str">
        <f aca="false">_xlfn.CONCAT(H1496,I1496,J1496)</f>
        <v>DAURDE</v>
      </c>
    </row>
    <row r="1497" customFormat="false" ht="15" hidden="false" customHeight="false" outlineLevel="0" collapsed="false">
      <c r="B1497" s="1" t="s">
        <v>626</v>
      </c>
      <c r="C1497" s="1" t="s">
        <v>631</v>
      </c>
      <c r="D1497" s="14" t="n">
        <v>46051.6076388889</v>
      </c>
      <c r="E1497" s="14" t="n">
        <v>46051.6076388889</v>
      </c>
      <c r="F1497" s="14" t="n">
        <v>46051.6979166667</v>
      </c>
      <c r="G1497" s="15" t="n">
        <f aca="false">F1497-E1497</f>
        <v>0.0902777777777778</v>
      </c>
      <c r="H1497" s="1" t="s">
        <v>248</v>
      </c>
      <c r="J1497" s="1" t="s">
        <v>256</v>
      </c>
      <c r="K1497" s="1" t="s">
        <v>430</v>
      </c>
      <c r="L1497" s="1" t="s">
        <v>275</v>
      </c>
      <c r="M1497" s="1" t="s">
        <v>258</v>
      </c>
      <c r="N1497" s="20" t="s">
        <v>379</v>
      </c>
      <c r="O1497" s="1" t="s">
        <v>628</v>
      </c>
      <c r="P1497" s="22" t="str">
        <f aca="false">_xlfn.CONCAT(B1497,C1497,D1497,E1497,F1497)</f>
        <v>BC Varjao2.1215KTL-H0(MBUS-16)46051.607638888946051.607638888946051.6979166667</v>
      </c>
      <c r="Q1497" s="1" t="str">
        <f aca="false">_xlfn.CONCAT(H1497,I1497,J1497)</f>
        <v>DAURDE</v>
      </c>
    </row>
    <row r="1498" customFormat="false" ht="15" hidden="false" customHeight="false" outlineLevel="0" collapsed="false">
      <c r="B1498" s="1" t="s">
        <v>632</v>
      </c>
      <c r="C1498" s="1" t="s">
        <v>629</v>
      </c>
      <c r="D1498" s="14" t="n">
        <v>46051.6076388889</v>
      </c>
      <c r="E1498" s="14" t="n">
        <v>46051.6076388889</v>
      </c>
      <c r="F1498" s="14" t="n">
        <v>46051.6979166667</v>
      </c>
      <c r="G1498" s="15" t="n">
        <f aca="false">F1498-E1498</f>
        <v>0.0902777777777778</v>
      </c>
      <c r="H1498" s="1" t="s">
        <v>248</v>
      </c>
      <c r="J1498" s="1" t="s">
        <v>256</v>
      </c>
      <c r="K1498" s="1" t="s">
        <v>430</v>
      </c>
      <c r="L1498" s="1" t="s">
        <v>275</v>
      </c>
      <c r="M1498" s="1" t="s">
        <v>258</v>
      </c>
      <c r="N1498" s="1" t="s">
        <v>379</v>
      </c>
      <c r="O1498" s="1" t="s">
        <v>628</v>
      </c>
      <c r="P1498" s="22" t="str">
        <f aca="false">_xlfn.CONCAT(B1498,C1498,D1498,E1498,F1498)</f>
        <v>BC Varjao2.2215KTL-H0(MBUS-13)46051.607638888946051.607638888946051.6979166667</v>
      </c>
      <c r="Q1498" s="1" t="str">
        <f aca="false">_xlfn.CONCAT(H1498,I1498,J1498)</f>
        <v>DAURDE</v>
      </c>
    </row>
    <row r="1499" customFormat="false" ht="15" hidden="false" customHeight="false" outlineLevel="0" collapsed="false">
      <c r="B1499" s="1" t="s">
        <v>632</v>
      </c>
      <c r="C1499" s="1" t="s">
        <v>282</v>
      </c>
      <c r="D1499" s="14" t="n">
        <v>46051.6076388889</v>
      </c>
      <c r="E1499" s="14" t="n">
        <v>46051.6076388889</v>
      </c>
      <c r="F1499" s="14" t="n">
        <v>46051.6979166667</v>
      </c>
      <c r="G1499" s="15" t="n">
        <f aca="false">F1499-E1499</f>
        <v>0.0902777777777778</v>
      </c>
      <c r="H1499" s="1" t="s">
        <v>248</v>
      </c>
      <c r="J1499" s="1" t="s">
        <v>256</v>
      </c>
      <c r="K1499" s="1" t="s">
        <v>430</v>
      </c>
      <c r="L1499" s="1" t="s">
        <v>275</v>
      </c>
      <c r="M1499" s="1" t="s">
        <v>258</v>
      </c>
      <c r="N1499" s="1" t="s">
        <v>379</v>
      </c>
      <c r="O1499" s="1" t="s">
        <v>628</v>
      </c>
      <c r="P1499" s="22" t="str">
        <f aca="false">_xlfn.CONCAT(B1499,C1499,D1499,E1499,F1499)</f>
        <v>BC Varjao2.2215KTL-H0(MBUS-14)46051.607638888946051.607638888946051.6979166667</v>
      </c>
      <c r="Q1499" s="1" t="str">
        <f aca="false">_xlfn.CONCAT(H1499,I1499,J1499)</f>
        <v>DAURDE</v>
      </c>
    </row>
    <row r="1500" customFormat="false" ht="15" hidden="false" customHeight="false" outlineLevel="0" collapsed="false">
      <c r="B1500" s="1" t="s">
        <v>632</v>
      </c>
      <c r="C1500" s="1" t="s">
        <v>630</v>
      </c>
      <c r="D1500" s="14" t="n">
        <v>46051.6076388889</v>
      </c>
      <c r="E1500" s="14" t="n">
        <v>46051.6076388889</v>
      </c>
      <c r="F1500" s="14" t="n">
        <v>46051.6979166667</v>
      </c>
      <c r="G1500" s="15" t="n">
        <f aca="false">F1500-E1500</f>
        <v>0.0902777777777778</v>
      </c>
      <c r="H1500" s="1" t="s">
        <v>248</v>
      </c>
      <c r="J1500" s="1" t="s">
        <v>256</v>
      </c>
      <c r="K1500" s="1" t="s">
        <v>430</v>
      </c>
      <c r="L1500" s="1" t="s">
        <v>275</v>
      </c>
      <c r="M1500" s="1" t="s">
        <v>258</v>
      </c>
      <c r="N1500" s="1" t="s">
        <v>379</v>
      </c>
      <c r="O1500" s="1" t="s">
        <v>628</v>
      </c>
      <c r="P1500" s="22" t="str">
        <f aca="false">_xlfn.CONCAT(B1500,C1500,D1500,E1500,F1500)</f>
        <v>BC Varjao2.2215KTL-H0(MBUS-15)46051.607638888946051.607638888946051.6979166667</v>
      </c>
      <c r="Q1500" s="1" t="str">
        <f aca="false">_xlfn.CONCAT(H1500,I1500,J1500)</f>
        <v>DAURDE</v>
      </c>
    </row>
    <row r="1501" customFormat="false" ht="15" hidden="false" customHeight="false" outlineLevel="0" collapsed="false">
      <c r="B1501" s="1" t="s">
        <v>632</v>
      </c>
      <c r="C1501" s="1" t="s">
        <v>631</v>
      </c>
      <c r="D1501" s="14" t="n">
        <v>46051.6076388889</v>
      </c>
      <c r="E1501" s="14" t="n">
        <v>46051.6076388889</v>
      </c>
      <c r="F1501" s="14" t="n">
        <v>46051.6979166667</v>
      </c>
      <c r="G1501" s="15" t="n">
        <f aca="false">F1501-E1501</f>
        <v>0.0902777777777778</v>
      </c>
      <c r="H1501" s="1" t="s">
        <v>248</v>
      </c>
      <c r="J1501" s="1" t="s">
        <v>256</v>
      </c>
      <c r="K1501" s="1" t="s">
        <v>430</v>
      </c>
      <c r="L1501" s="1" t="s">
        <v>275</v>
      </c>
      <c r="M1501" s="1" t="s">
        <v>258</v>
      </c>
      <c r="N1501" s="1" t="s">
        <v>379</v>
      </c>
      <c r="O1501" s="1" t="s">
        <v>628</v>
      </c>
      <c r="P1501" s="22" t="str">
        <f aca="false">_xlfn.CONCAT(B1501,C1501,D1501,E1501,F1501)</f>
        <v>BC Varjao2.2215KTL-H0(MBUS-16)46051.607638888946051.607638888946051.6979166667</v>
      </c>
      <c r="Q1501" s="1" t="str">
        <f aca="false">_xlfn.CONCAT(H1501,I1501,J1501)</f>
        <v>DAURDE</v>
      </c>
    </row>
    <row r="1502" customFormat="false" ht="15" hidden="false" customHeight="false" outlineLevel="0" collapsed="false">
      <c r="B1502" s="1" t="s">
        <v>632</v>
      </c>
      <c r="C1502" s="1" t="s">
        <v>627</v>
      </c>
      <c r="D1502" s="14" t="n">
        <v>46051.6076388889</v>
      </c>
      <c r="E1502" s="14" t="n">
        <v>46051.6076388889</v>
      </c>
      <c r="F1502" s="14" t="n">
        <v>46051.6979166667</v>
      </c>
      <c r="G1502" s="15" t="n">
        <f aca="false">F1502-E1502</f>
        <v>0.0902777777777778</v>
      </c>
      <c r="H1502" s="1" t="s">
        <v>248</v>
      </c>
      <c r="J1502" s="1" t="s">
        <v>256</v>
      </c>
      <c r="K1502" s="1" t="s">
        <v>430</v>
      </c>
      <c r="L1502" s="1" t="s">
        <v>275</v>
      </c>
      <c r="M1502" s="1" t="s">
        <v>258</v>
      </c>
      <c r="N1502" s="1" t="s">
        <v>379</v>
      </c>
      <c r="O1502" s="1" t="s">
        <v>628</v>
      </c>
      <c r="P1502" s="22" t="str">
        <f aca="false">_xlfn.CONCAT(B1502,C1502,D1502,E1502,F1502)</f>
        <v>BC Varjao2.2215KTL-H0(MBUS-12)46051.607638888946051.607638888946051.6979166667</v>
      </c>
      <c r="Q1502" s="1" t="str">
        <f aca="false">_xlfn.CONCAT(H1502,I1502,J1502)</f>
        <v>DAURDE</v>
      </c>
    </row>
    <row r="1503" customFormat="false" ht="15" hidden="false" customHeight="false" outlineLevel="0" collapsed="false">
      <c r="B1503" s="1" t="s">
        <v>633</v>
      </c>
      <c r="C1503" s="1" t="s">
        <v>634</v>
      </c>
      <c r="D1503" s="14" t="n">
        <v>46051.6076388889</v>
      </c>
      <c r="E1503" s="14" t="n">
        <v>46051.6076388889</v>
      </c>
      <c r="F1503" s="14" t="n">
        <v>46051.6979166667</v>
      </c>
      <c r="G1503" s="15" t="n">
        <f aca="false">F1503-E1503</f>
        <v>0.0902777777777778</v>
      </c>
      <c r="H1503" s="1" t="s">
        <v>248</v>
      </c>
      <c r="J1503" s="1" t="s">
        <v>256</v>
      </c>
      <c r="K1503" s="1" t="s">
        <v>430</v>
      </c>
      <c r="L1503" s="1" t="s">
        <v>275</v>
      </c>
      <c r="M1503" s="1" t="s">
        <v>258</v>
      </c>
      <c r="N1503" s="1" t="s">
        <v>379</v>
      </c>
      <c r="O1503" s="1" t="s">
        <v>628</v>
      </c>
      <c r="P1503" s="22" t="str">
        <f aca="false">_xlfn.CONCAT(B1503,C1503,D1503,E1503,F1503)</f>
        <v>BC Varjao2.3100KTL-H1(MBUS-1)46051.607638888946051.607638888946051.6979166667</v>
      </c>
      <c r="Q1503" s="1" t="str">
        <f aca="false">_xlfn.CONCAT(H1503,I1503,J1503)</f>
        <v>DAURDE</v>
      </c>
    </row>
    <row r="1504" customFormat="false" ht="15" hidden="false" customHeight="false" outlineLevel="0" collapsed="false">
      <c r="B1504" s="1" t="s">
        <v>633</v>
      </c>
      <c r="C1504" s="1" t="s">
        <v>629</v>
      </c>
      <c r="D1504" s="14" t="n">
        <v>46051.6076388889</v>
      </c>
      <c r="E1504" s="14" t="n">
        <v>46051.6076388889</v>
      </c>
      <c r="F1504" s="14" t="n">
        <v>46051.6979166667</v>
      </c>
      <c r="G1504" s="15" t="n">
        <f aca="false">F1504-E1504</f>
        <v>0.0902777777777778</v>
      </c>
      <c r="H1504" s="1" t="s">
        <v>248</v>
      </c>
      <c r="J1504" s="1" t="s">
        <v>256</v>
      </c>
      <c r="K1504" s="1" t="s">
        <v>430</v>
      </c>
      <c r="L1504" s="1" t="s">
        <v>275</v>
      </c>
      <c r="M1504" s="1" t="s">
        <v>258</v>
      </c>
      <c r="N1504" s="1" t="s">
        <v>379</v>
      </c>
      <c r="O1504" s="1" t="s">
        <v>628</v>
      </c>
      <c r="P1504" s="22" t="str">
        <f aca="false">_xlfn.CONCAT(B1504,C1504,D1504,E1504,F1504)</f>
        <v>BC Varjao2.3215KTL-H0(MBUS-13)46051.607638888946051.607638888946051.6979166667</v>
      </c>
      <c r="Q1504" s="1" t="str">
        <f aca="false">_xlfn.CONCAT(H1504,I1504,J1504)</f>
        <v>DAURDE</v>
      </c>
    </row>
    <row r="1505" customFormat="false" ht="15" hidden="false" customHeight="false" outlineLevel="0" collapsed="false">
      <c r="B1505" s="1" t="s">
        <v>633</v>
      </c>
      <c r="C1505" s="1" t="s">
        <v>627</v>
      </c>
      <c r="D1505" s="14" t="n">
        <v>46051.6076388889</v>
      </c>
      <c r="E1505" s="14" t="n">
        <v>46051.6076388889</v>
      </c>
      <c r="F1505" s="14" t="n">
        <v>46051.6979166667</v>
      </c>
      <c r="G1505" s="15" t="n">
        <f aca="false">F1505-E1505</f>
        <v>0.0902777777777778</v>
      </c>
      <c r="H1505" s="1" t="s">
        <v>248</v>
      </c>
      <c r="J1505" s="1" t="s">
        <v>256</v>
      </c>
      <c r="K1505" s="1" t="s">
        <v>430</v>
      </c>
      <c r="L1505" s="1" t="s">
        <v>275</v>
      </c>
      <c r="M1505" s="1" t="s">
        <v>258</v>
      </c>
      <c r="N1505" s="1" t="s">
        <v>379</v>
      </c>
      <c r="O1505" s="1" t="s">
        <v>628</v>
      </c>
      <c r="P1505" s="22" t="str">
        <f aca="false">_xlfn.CONCAT(B1505,C1505,D1505,E1505,F1505)</f>
        <v>BC Varjao2.3215KTL-H0(MBUS-12)46051.607638888946051.607638888946051.6979166667</v>
      </c>
      <c r="Q1505" s="1" t="str">
        <f aca="false">_xlfn.CONCAT(H1505,I1505,J1505)</f>
        <v>DAURDE</v>
      </c>
    </row>
    <row r="1506" customFormat="false" ht="15" hidden="false" customHeight="false" outlineLevel="0" collapsed="false">
      <c r="B1506" s="1" t="s">
        <v>254</v>
      </c>
      <c r="C1506" s="1" t="s">
        <v>255</v>
      </c>
      <c r="D1506" s="14" t="n">
        <v>46051.8055555556</v>
      </c>
      <c r="E1506" s="14" t="n">
        <v>46051.8055555556</v>
      </c>
      <c r="F1506" s="14" t="n">
        <v>46052.3006944444</v>
      </c>
      <c r="G1506" s="15" t="n">
        <f aca="false">F1506-E1506</f>
        <v>0.495138888888889</v>
      </c>
      <c r="H1506" s="1" t="s">
        <v>248</v>
      </c>
      <c r="J1506" s="1" t="s">
        <v>256</v>
      </c>
      <c r="K1506" s="1" t="s">
        <v>430</v>
      </c>
      <c r="L1506" s="1" t="s">
        <v>257</v>
      </c>
      <c r="M1506" s="1" t="s">
        <v>258</v>
      </c>
      <c r="N1506" s="1" t="s">
        <v>379</v>
      </c>
      <c r="O1506" s="1" t="s">
        <v>399</v>
      </c>
      <c r="P1506" s="22" t="str">
        <f aca="false">_xlfn.CONCAT(B1506,C1506,D1506,E1506,F1506)</f>
        <v>BC Aracu5.1Inverter(MBUS-1)46051.805555555646051.805555555646052.3006944444</v>
      </c>
      <c r="Q1506" s="1" t="str">
        <f aca="false">_xlfn.CONCAT(H1506,I1506,J1506)</f>
        <v>DAURDE</v>
      </c>
    </row>
    <row r="1507" customFormat="false" ht="15" hidden="false" customHeight="false" outlineLevel="0" collapsed="false">
      <c r="B1507" s="1" t="s">
        <v>308</v>
      </c>
      <c r="C1507" s="1" t="s">
        <v>255</v>
      </c>
      <c r="D1507" s="14" t="n">
        <v>46051.8055555556</v>
      </c>
      <c r="E1507" s="14" t="n">
        <v>46051.8055555556</v>
      </c>
      <c r="F1507" s="14" t="n">
        <v>46052.3006944444</v>
      </c>
      <c r="G1507" s="15" t="n">
        <f aca="false">F1507-E1507</f>
        <v>0.495138888888889</v>
      </c>
      <c r="H1507" s="1" t="s">
        <v>248</v>
      </c>
      <c r="J1507" s="1" t="s">
        <v>256</v>
      </c>
      <c r="K1507" s="1" t="s">
        <v>430</v>
      </c>
      <c r="L1507" s="1" t="s">
        <v>257</v>
      </c>
      <c r="M1507" s="1" t="s">
        <v>258</v>
      </c>
      <c r="N1507" s="1" t="s">
        <v>379</v>
      </c>
      <c r="O1507" s="1" t="s">
        <v>399</v>
      </c>
      <c r="P1507" s="22" t="str">
        <f aca="false">_xlfn.CONCAT(B1507,C1507,D1507,E1507,F1507)</f>
        <v>BC Aracu5.3Inverter(MBUS-1)46051.805555555646051.805555555646052.3006944444</v>
      </c>
      <c r="Q1507" s="1" t="str">
        <f aca="false">_xlfn.CONCAT(H1507,I1507,J1507)</f>
        <v>DAURDE</v>
      </c>
    </row>
    <row r="1508" customFormat="false" ht="15" hidden="false" customHeight="false" outlineLevel="0" collapsed="false">
      <c r="B1508" s="1" t="s">
        <v>309</v>
      </c>
      <c r="C1508" s="1" t="s">
        <v>255</v>
      </c>
      <c r="D1508" s="14" t="n">
        <v>46051.8055555556</v>
      </c>
      <c r="E1508" s="14" t="n">
        <v>46051.8055555556</v>
      </c>
      <c r="F1508" s="14" t="n">
        <v>46052.3006944444</v>
      </c>
      <c r="G1508" s="15" t="n">
        <f aca="false">F1508-E1508</f>
        <v>0.495138888888889</v>
      </c>
      <c r="H1508" s="1" t="s">
        <v>248</v>
      </c>
      <c r="J1508" s="1" t="s">
        <v>256</v>
      </c>
      <c r="K1508" s="1" t="s">
        <v>430</v>
      </c>
      <c r="L1508" s="1" t="s">
        <v>257</v>
      </c>
      <c r="M1508" s="1" t="s">
        <v>258</v>
      </c>
      <c r="N1508" s="20" t="s">
        <v>379</v>
      </c>
      <c r="O1508" s="1" t="s">
        <v>399</v>
      </c>
      <c r="P1508" s="22" t="str">
        <f aca="false">_xlfn.CONCAT(B1508,C1508,D1508,E1508,F1508)</f>
        <v>BC Aracu5.4Inverter(MBUS-1)46051.805555555646051.805555555646052.3006944444</v>
      </c>
      <c r="Q1508" s="1" t="str">
        <f aca="false">_xlfn.CONCAT(H1508,I1508,J1508)</f>
        <v>DAURDE</v>
      </c>
    </row>
    <row r="1509" customFormat="false" ht="15" hidden="false" customHeight="false" outlineLevel="0" collapsed="false">
      <c r="B1509" s="1" t="s">
        <v>310</v>
      </c>
      <c r="C1509" s="1" t="s">
        <v>255</v>
      </c>
      <c r="D1509" s="14" t="n">
        <v>46051.8055555556</v>
      </c>
      <c r="E1509" s="14" t="n">
        <v>46051.8055555556</v>
      </c>
      <c r="F1509" s="14" t="n">
        <v>46052.3006944444</v>
      </c>
      <c r="G1509" s="15" t="n">
        <f aca="false">F1509-E1509</f>
        <v>0.495138888888889</v>
      </c>
      <c r="H1509" s="1" t="s">
        <v>248</v>
      </c>
      <c r="J1509" s="1" t="s">
        <v>256</v>
      </c>
      <c r="K1509" s="1" t="s">
        <v>430</v>
      </c>
      <c r="L1509" s="1" t="s">
        <v>257</v>
      </c>
      <c r="M1509" s="1" t="s">
        <v>258</v>
      </c>
      <c r="N1509" s="20" t="s">
        <v>379</v>
      </c>
      <c r="O1509" s="1" t="s">
        <v>399</v>
      </c>
      <c r="P1509" s="22" t="str">
        <f aca="false">_xlfn.CONCAT(B1509,C1509,D1509,E1509,F1509)</f>
        <v>BC Aracu5.5Inverter(MBUS-1)46051.805555555646051.805555555646052.3006944444</v>
      </c>
      <c r="Q1509" s="1" t="str">
        <f aca="false">_xlfn.CONCAT(H1509,I1509,J1509)</f>
        <v>DAURDE</v>
      </c>
    </row>
    <row r="1510" customFormat="false" ht="15" hidden="false" customHeight="false" outlineLevel="0" collapsed="false">
      <c r="B1510" s="1" t="s">
        <v>261</v>
      </c>
      <c r="C1510" s="1" t="s">
        <v>262</v>
      </c>
      <c r="D1510" s="14" t="n">
        <v>46052.4131944444</v>
      </c>
      <c r="E1510" s="14" t="n">
        <v>46052.4131944444</v>
      </c>
      <c r="F1510" s="14" t="n">
        <v>46052.4138888889</v>
      </c>
      <c r="G1510" s="15" t="n">
        <f aca="false">F1510-E1510</f>
        <v>0.000694444444444445</v>
      </c>
      <c r="H1510" s="1" t="s">
        <v>445</v>
      </c>
      <c r="I1510" s="1" t="s">
        <v>263</v>
      </c>
      <c r="J1510" s="1" t="s">
        <v>264</v>
      </c>
      <c r="K1510" s="1" t="s">
        <v>456</v>
      </c>
      <c r="L1510" s="1" t="s">
        <v>600</v>
      </c>
      <c r="M1510" s="1" t="s">
        <v>266</v>
      </c>
      <c r="N1510" s="1" t="s">
        <v>625</v>
      </c>
      <c r="O1510" s="1" t="s">
        <v>625</v>
      </c>
      <c r="P1510" s="22" t="str">
        <f aca="false">_xlfn.CONCAT(B1510,C1510,D1510,E1510,F1510)</f>
        <v>BC Corumba2.2U02.I0146052.413194444446052.413194444446052.4138888889</v>
      </c>
      <c r="Q1510" s="1" t="str">
        <f aca="false">_xlfn.CONCAT(H1510,I1510,J1510)</f>
        <v>LIGRFOCOM</v>
      </c>
    </row>
    <row r="1511" customFormat="false" ht="15" hidden="false" customHeight="false" outlineLevel="0" collapsed="false">
      <c r="B1511" s="1" t="s">
        <v>261</v>
      </c>
      <c r="C1511" s="1" t="s">
        <v>269</v>
      </c>
      <c r="D1511" s="14" t="n">
        <v>46052.4131944444</v>
      </c>
      <c r="E1511" s="14" t="n">
        <v>46052.4131944444</v>
      </c>
      <c r="F1511" s="14" t="n">
        <v>46052.4138888889</v>
      </c>
      <c r="G1511" s="15" t="n">
        <f aca="false">F1511-E1511</f>
        <v>0.000694444444444445</v>
      </c>
      <c r="H1511" s="1" t="s">
        <v>445</v>
      </c>
      <c r="I1511" s="1" t="s">
        <v>263</v>
      </c>
      <c r="J1511" s="1" t="s">
        <v>264</v>
      </c>
      <c r="K1511" s="1" t="s">
        <v>456</v>
      </c>
      <c r="L1511" s="1" t="s">
        <v>600</v>
      </c>
      <c r="M1511" s="1" t="s">
        <v>266</v>
      </c>
      <c r="N1511" s="1" t="s">
        <v>625</v>
      </c>
      <c r="O1511" s="1" t="s">
        <v>625</v>
      </c>
      <c r="P1511" s="22" t="str">
        <f aca="false">_xlfn.CONCAT(B1511,C1511,D1511,E1511,F1511)</f>
        <v>BC Corumba2.2U02.I0246052.413194444446052.413194444446052.4138888889</v>
      </c>
      <c r="Q1511" s="1" t="str">
        <f aca="false">_xlfn.CONCAT(H1511,I1511,J1511)</f>
        <v>LIGRFOCOM</v>
      </c>
    </row>
    <row r="1512" customFormat="false" ht="15" hidden="false" customHeight="false" outlineLevel="0" collapsed="false">
      <c r="B1512" s="1" t="s">
        <v>261</v>
      </c>
      <c r="C1512" s="1" t="s">
        <v>270</v>
      </c>
      <c r="D1512" s="14" t="n">
        <v>46052.4131944444</v>
      </c>
      <c r="E1512" s="14" t="n">
        <v>46052.4131944444</v>
      </c>
      <c r="F1512" s="14" t="n">
        <v>46052.4138888889</v>
      </c>
      <c r="G1512" s="15" t="n">
        <f aca="false">F1512-E1512</f>
        <v>0.000694444444444445</v>
      </c>
      <c r="H1512" s="1" t="s">
        <v>445</v>
      </c>
      <c r="I1512" s="1" t="s">
        <v>263</v>
      </c>
      <c r="J1512" s="1" t="s">
        <v>264</v>
      </c>
      <c r="K1512" s="1" t="s">
        <v>456</v>
      </c>
      <c r="L1512" s="1" t="s">
        <v>600</v>
      </c>
      <c r="M1512" s="1" t="s">
        <v>266</v>
      </c>
      <c r="N1512" s="1" t="s">
        <v>625</v>
      </c>
      <c r="O1512" s="1" t="s">
        <v>625</v>
      </c>
      <c r="P1512" s="22" t="str">
        <f aca="false">_xlfn.CONCAT(B1512,C1512,D1512,E1512,F1512)</f>
        <v>BC Corumba2.2U02.I0346052.413194444446052.413194444446052.4138888889</v>
      </c>
      <c r="Q1512" s="1" t="str">
        <f aca="false">_xlfn.CONCAT(H1512,I1512,J1512)</f>
        <v>LIGRFOCOM</v>
      </c>
    </row>
    <row r="1513" customFormat="false" ht="15" hidden="false" customHeight="false" outlineLevel="0" collapsed="false">
      <c r="B1513" s="1" t="s">
        <v>261</v>
      </c>
      <c r="C1513" s="1" t="s">
        <v>271</v>
      </c>
      <c r="D1513" s="14" t="n">
        <v>46052.4131944444</v>
      </c>
      <c r="E1513" s="14" t="n">
        <v>46052.4131944444</v>
      </c>
      <c r="F1513" s="14" t="n">
        <v>46052.4138888889</v>
      </c>
      <c r="G1513" s="15" t="n">
        <f aca="false">F1513-E1513</f>
        <v>0.000694444444444445</v>
      </c>
      <c r="H1513" s="1" t="s">
        <v>445</v>
      </c>
      <c r="I1513" s="1" t="s">
        <v>263</v>
      </c>
      <c r="J1513" s="1" t="s">
        <v>264</v>
      </c>
      <c r="K1513" s="1" t="s">
        <v>456</v>
      </c>
      <c r="L1513" s="1" t="s">
        <v>600</v>
      </c>
      <c r="M1513" s="1" t="s">
        <v>266</v>
      </c>
      <c r="N1513" s="1" t="s">
        <v>625</v>
      </c>
      <c r="O1513" s="1" t="s">
        <v>625</v>
      </c>
      <c r="P1513" s="22" t="str">
        <f aca="false">_xlfn.CONCAT(B1513,C1513,D1513,E1513,F1513)</f>
        <v>BC Corumba2.2U02.I0446052.413194444446052.413194444446052.4138888889</v>
      </c>
      <c r="Q1513" s="1" t="str">
        <f aca="false">_xlfn.CONCAT(H1513,I1513,J1513)</f>
        <v>LIGRFOCOM</v>
      </c>
    </row>
    <row r="1514" customFormat="false" ht="15" hidden="false" customHeight="false" outlineLevel="0" collapsed="false">
      <c r="B1514" s="1" t="s">
        <v>261</v>
      </c>
      <c r="C1514" s="1" t="s">
        <v>272</v>
      </c>
      <c r="D1514" s="14" t="n">
        <v>46052.4131944444</v>
      </c>
      <c r="E1514" s="14" t="n">
        <v>46052.4131944444</v>
      </c>
      <c r="F1514" s="14" t="n">
        <v>46052.4138888889</v>
      </c>
      <c r="G1514" s="15" t="n">
        <f aca="false">F1514-E1514</f>
        <v>0.000694444444444445</v>
      </c>
      <c r="H1514" s="1" t="s">
        <v>445</v>
      </c>
      <c r="I1514" s="1" t="s">
        <v>263</v>
      </c>
      <c r="J1514" s="1" t="s">
        <v>264</v>
      </c>
      <c r="K1514" s="1" t="s">
        <v>456</v>
      </c>
      <c r="L1514" s="1" t="s">
        <v>600</v>
      </c>
      <c r="M1514" s="1" t="s">
        <v>266</v>
      </c>
      <c r="N1514" s="20" t="s">
        <v>625</v>
      </c>
      <c r="O1514" s="1" t="s">
        <v>625</v>
      </c>
      <c r="P1514" s="22" t="str">
        <f aca="false">_xlfn.CONCAT(B1514,C1514,D1514,E1514,F1514)</f>
        <v>BC Corumba2.2U02.I0546052.413194444446052.413194444446052.4138888889</v>
      </c>
      <c r="Q1514" s="1" t="str">
        <f aca="false">_xlfn.CONCAT(H1514,I1514,J1514)</f>
        <v>LIGRFOCOM</v>
      </c>
    </row>
    <row r="1515" customFormat="false" ht="15" hidden="false" customHeight="false" outlineLevel="0" collapsed="false">
      <c r="B1515" s="1" t="s">
        <v>273</v>
      </c>
      <c r="C1515" s="1" t="s">
        <v>274</v>
      </c>
      <c r="D1515" s="14" t="n">
        <v>46052.5541666667</v>
      </c>
      <c r="E1515" s="14" t="n">
        <v>46052.5541666667</v>
      </c>
      <c r="F1515" s="14" t="n">
        <v>46052.5694444444</v>
      </c>
      <c r="G1515" s="15" t="n">
        <f aca="false">F1515-E1515</f>
        <v>0.0152777777777778</v>
      </c>
      <c r="H1515" s="1" t="s">
        <v>248</v>
      </c>
      <c r="J1515" s="1" t="s">
        <v>249</v>
      </c>
      <c r="K1515" s="1" t="s">
        <v>439</v>
      </c>
      <c r="L1515" s="1" t="s">
        <v>635</v>
      </c>
      <c r="M1515" s="1" t="s">
        <v>251</v>
      </c>
      <c r="N1515" s="1" t="s">
        <v>252</v>
      </c>
      <c r="O1515" s="1" t="s">
        <v>399</v>
      </c>
      <c r="P1515" s="22" t="str">
        <f aca="false">_xlfn.CONCAT(B1515,C1515,D1515,E1515,F1515)</f>
        <v>BC Vazante 1.1Inverter1246052.554166666746052.554166666746052.5694444444</v>
      </c>
      <c r="Q1515" s="1" t="str">
        <f aca="false">_xlfn.CONCAT(H1515,I1515,J1515)</f>
        <v>DAUINV</v>
      </c>
    </row>
    <row r="1516" customFormat="false" ht="15" hidden="false" customHeight="false" outlineLevel="0" collapsed="false">
      <c r="B1516" s="1" t="s">
        <v>330</v>
      </c>
      <c r="C1516" s="1" t="s">
        <v>277</v>
      </c>
      <c r="D1516" s="14" t="n">
        <v>46052.7673611111</v>
      </c>
      <c r="E1516" s="14" t="n">
        <v>46052.7673611111</v>
      </c>
      <c r="F1516" s="14" t="n">
        <v>46053.3055555556</v>
      </c>
      <c r="G1516" s="15" t="n">
        <f aca="false">F1516-E1516</f>
        <v>0.538194444444444</v>
      </c>
      <c r="H1516" s="1" t="s">
        <v>248</v>
      </c>
      <c r="J1516" s="1" t="s">
        <v>256</v>
      </c>
      <c r="K1516" s="1" t="s">
        <v>430</v>
      </c>
      <c r="L1516" s="1" t="s">
        <v>636</v>
      </c>
      <c r="M1516" s="1" t="s">
        <v>258</v>
      </c>
      <c r="N1516" s="1" t="s">
        <v>379</v>
      </c>
      <c r="O1516" s="1" t="s">
        <v>399</v>
      </c>
      <c r="P1516" s="22" t="str">
        <f aca="false">_xlfn.CONCAT(B1516,C1516,D1516,E1516,F1516)</f>
        <v>BC Formoso2.1Inverter(MBUS-12)46052.767361111146052.767361111146053.3055555556</v>
      </c>
      <c r="Q1516" s="1" t="str">
        <f aca="false">_xlfn.CONCAT(H1516,I1516,J1516)</f>
        <v>DAURDE</v>
      </c>
    </row>
    <row r="1517" customFormat="false" ht="15" hidden="false" customHeight="false" outlineLevel="0" collapsed="false">
      <c r="B1517" s="1" t="s">
        <v>330</v>
      </c>
      <c r="C1517" s="1" t="s">
        <v>280</v>
      </c>
      <c r="D1517" s="14" t="n">
        <v>46052.7673611111</v>
      </c>
      <c r="E1517" s="14" t="n">
        <v>46052.7673611111</v>
      </c>
      <c r="F1517" s="14" t="n">
        <v>46053.3055555556</v>
      </c>
      <c r="G1517" s="15" t="n">
        <f aca="false">F1517-E1517</f>
        <v>0.538194444444444</v>
      </c>
      <c r="H1517" s="1" t="s">
        <v>248</v>
      </c>
      <c r="J1517" s="1" t="s">
        <v>256</v>
      </c>
      <c r="K1517" s="1" t="s">
        <v>430</v>
      </c>
      <c r="L1517" s="1" t="s">
        <v>636</v>
      </c>
      <c r="M1517" s="1" t="s">
        <v>258</v>
      </c>
      <c r="N1517" s="1" t="s">
        <v>379</v>
      </c>
      <c r="O1517" s="1" t="s">
        <v>399</v>
      </c>
      <c r="P1517" s="22" t="str">
        <f aca="false">_xlfn.CONCAT(B1517,C1517,D1517,E1517,F1517)</f>
        <v>BC Formoso2.1Inverter(MBUS-14)46052.767361111146052.767361111146053.3055555556</v>
      </c>
      <c r="Q1517" s="1" t="str">
        <f aca="false">_xlfn.CONCAT(H1517,I1517,J1517)</f>
        <v>DAURDE</v>
      </c>
    </row>
    <row r="1518" customFormat="false" ht="15" hidden="false" customHeight="false" outlineLevel="0" collapsed="false">
      <c r="B1518" s="1" t="s">
        <v>330</v>
      </c>
      <c r="C1518" s="1" t="s">
        <v>247</v>
      </c>
      <c r="D1518" s="14" t="n">
        <v>46052.7673611111</v>
      </c>
      <c r="E1518" s="14" t="n">
        <v>46052.7673611111</v>
      </c>
      <c r="F1518" s="14" t="n">
        <v>46053.3055555556</v>
      </c>
      <c r="G1518" s="15" t="n">
        <f aca="false">F1518-E1518</f>
        <v>0.538194444444444</v>
      </c>
      <c r="H1518" s="1" t="s">
        <v>248</v>
      </c>
      <c r="J1518" s="1" t="s">
        <v>256</v>
      </c>
      <c r="K1518" s="1" t="s">
        <v>430</v>
      </c>
      <c r="L1518" s="1" t="s">
        <v>636</v>
      </c>
      <c r="M1518" s="1" t="s">
        <v>258</v>
      </c>
      <c r="N1518" s="1" t="s">
        <v>379</v>
      </c>
      <c r="O1518" s="1" t="s">
        <v>399</v>
      </c>
      <c r="P1518" s="22" t="str">
        <f aca="false">_xlfn.CONCAT(B1518,C1518,D1518,E1518,F1518)</f>
        <v>BC Formoso2.1Inverter(MBUS-13)46052.767361111146052.767361111146053.3055555556</v>
      </c>
      <c r="Q1518" s="1" t="str">
        <f aca="false">_xlfn.CONCAT(H1518,I1518,J1518)</f>
        <v>DAURDE</v>
      </c>
    </row>
    <row r="1519" customFormat="false" ht="15" hidden="false" customHeight="false" outlineLevel="0" collapsed="false">
      <c r="B1519" s="1" t="s">
        <v>330</v>
      </c>
      <c r="C1519" s="1" t="s">
        <v>255</v>
      </c>
      <c r="D1519" s="14" t="n">
        <v>46052.7673611111</v>
      </c>
      <c r="E1519" s="14" t="n">
        <v>46052.7673611111</v>
      </c>
      <c r="F1519" s="14" t="n">
        <v>46053.3055555556</v>
      </c>
      <c r="G1519" s="15" t="n">
        <f aca="false">F1519-E1519</f>
        <v>0.538194444444444</v>
      </c>
      <c r="H1519" s="1" t="s">
        <v>248</v>
      </c>
      <c r="J1519" s="1" t="s">
        <v>256</v>
      </c>
      <c r="K1519" s="1" t="s">
        <v>430</v>
      </c>
      <c r="L1519" s="1" t="s">
        <v>636</v>
      </c>
      <c r="M1519" s="1" t="s">
        <v>258</v>
      </c>
      <c r="N1519" s="1" t="s">
        <v>379</v>
      </c>
      <c r="O1519" s="1" t="s">
        <v>399</v>
      </c>
      <c r="P1519" s="22" t="str">
        <f aca="false">_xlfn.CONCAT(B1519,C1519,D1519,E1519,F1519)</f>
        <v>BC Formoso2.1Inverter(MBUS-1)46052.767361111146052.767361111146053.3055555556</v>
      </c>
      <c r="Q1519" s="1" t="str">
        <f aca="false">_xlfn.CONCAT(H1519,I1519,J1519)</f>
        <v>DAURDE</v>
      </c>
    </row>
    <row r="1520" customFormat="false" ht="15" hidden="false" customHeight="false" outlineLevel="0" collapsed="false">
      <c r="B1520" s="1" t="s">
        <v>332</v>
      </c>
      <c r="C1520" s="1" t="s">
        <v>247</v>
      </c>
      <c r="D1520" s="14" t="n">
        <v>46052.7673611111</v>
      </c>
      <c r="E1520" s="14" t="n">
        <v>46052.7673611111</v>
      </c>
      <c r="F1520" s="14" t="n">
        <v>46053.3055555556</v>
      </c>
      <c r="G1520" s="15" t="n">
        <f aca="false">F1520-E1520</f>
        <v>0.538194444444444</v>
      </c>
      <c r="H1520" s="1" t="s">
        <v>248</v>
      </c>
      <c r="J1520" s="1" t="s">
        <v>256</v>
      </c>
      <c r="K1520" s="1" t="s">
        <v>430</v>
      </c>
      <c r="L1520" s="1" t="s">
        <v>636</v>
      </c>
      <c r="M1520" s="1" t="s">
        <v>258</v>
      </c>
      <c r="N1520" s="1" t="s">
        <v>379</v>
      </c>
      <c r="O1520" s="1" t="s">
        <v>399</v>
      </c>
      <c r="P1520" s="22" t="str">
        <f aca="false">_xlfn.CONCAT(B1520,C1520,D1520,E1520,F1520)</f>
        <v>BC Formoso2.3Inverter(MBUS-13)46052.767361111146052.767361111146053.3055555556</v>
      </c>
      <c r="Q1520" s="1" t="str">
        <f aca="false">_xlfn.CONCAT(H1520,I1520,J1520)</f>
        <v>DAURDE</v>
      </c>
    </row>
    <row r="1521" customFormat="false" ht="15" hidden="false" customHeight="false" outlineLevel="0" collapsed="false">
      <c r="B1521" s="1" t="s">
        <v>332</v>
      </c>
      <c r="C1521" s="1" t="s">
        <v>277</v>
      </c>
      <c r="D1521" s="14" t="n">
        <v>46052.7673611111</v>
      </c>
      <c r="E1521" s="14" t="n">
        <v>46052.7673611111</v>
      </c>
      <c r="F1521" s="14" t="n">
        <v>46053.3055555556</v>
      </c>
      <c r="G1521" s="15" t="n">
        <f aca="false">F1521-E1521</f>
        <v>0.538194444444444</v>
      </c>
      <c r="H1521" s="1" t="s">
        <v>248</v>
      </c>
      <c r="J1521" s="1" t="s">
        <v>256</v>
      </c>
      <c r="K1521" s="1" t="s">
        <v>430</v>
      </c>
      <c r="L1521" s="1" t="s">
        <v>636</v>
      </c>
      <c r="M1521" s="1" t="s">
        <v>258</v>
      </c>
      <c r="N1521" s="1" t="s">
        <v>379</v>
      </c>
      <c r="O1521" s="1" t="s">
        <v>399</v>
      </c>
      <c r="P1521" s="22" t="str">
        <f aca="false">_xlfn.CONCAT(B1521,C1521,D1521,E1521,F1521)</f>
        <v>BC Formoso2.3Inverter(MBUS-12)46052.767361111146052.767361111146053.3055555556</v>
      </c>
      <c r="Q1521" s="1" t="str">
        <f aca="false">_xlfn.CONCAT(H1521,I1521,J1521)</f>
        <v>DAURDE</v>
      </c>
    </row>
    <row r="1522" customFormat="false" ht="15" hidden="false" customHeight="false" outlineLevel="0" collapsed="false">
      <c r="B1522" s="1" t="s">
        <v>380</v>
      </c>
      <c r="C1522" s="1" t="s">
        <v>277</v>
      </c>
      <c r="D1522" s="14" t="n">
        <v>46053.2826388889</v>
      </c>
      <c r="E1522" s="14" t="n">
        <v>46053.2826388889</v>
      </c>
      <c r="F1522" s="14" t="n">
        <v>46053.3506944444</v>
      </c>
      <c r="G1522" s="15" t="n">
        <f aca="false">F1522-E1522</f>
        <v>0.0680555555555556</v>
      </c>
      <c r="H1522" s="1" t="s">
        <v>248</v>
      </c>
      <c r="J1522" s="1" t="s">
        <v>256</v>
      </c>
      <c r="K1522" s="1" t="s">
        <v>430</v>
      </c>
      <c r="L1522" s="1" t="s">
        <v>637</v>
      </c>
      <c r="M1522" s="1" t="s">
        <v>258</v>
      </c>
      <c r="N1522" s="1" t="s">
        <v>379</v>
      </c>
      <c r="O1522" s="1" t="s">
        <v>399</v>
      </c>
      <c r="P1522" s="22" t="str">
        <f aca="false">_xlfn.CONCAT(B1522,C1522,D1522,E1522,F1522)</f>
        <v>ARAGUATINS 1.1Inverter(MBUS-12)46053.282638888946053.282638888946053.3506944444</v>
      </c>
      <c r="Q1522" s="1" t="str">
        <f aca="false">_xlfn.CONCAT(H1522,I1522,J1522)</f>
        <v>DAURDE</v>
      </c>
    </row>
    <row r="1523" customFormat="false" ht="15" hidden="false" customHeight="false" outlineLevel="0" collapsed="false">
      <c r="B1523" s="1" t="s">
        <v>380</v>
      </c>
      <c r="C1523" s="1" t="s">
        <v>247</v>
      </c>
      <c r="D1523" s="14" t="n">
        <v>46053.2826388889</v>
      </c>
      <c r="E1523" s="14" t="n">
        <v>46053.2826388889</v>
      </c>
      <c r="F1523" s="14" t="n">
        <v>46053.3506944444</v>
      </c>
      <c r="G1523" s="15" t="n">
        <f aca="false">F1523-E1523</f>
        <v>0.0680555555555556</v>
      </c>
      <c r="H1523" s="1" t="s">
        <v>248</v>
      </c>
      <c r="J1523" s="1" t="s">
        <v>256</v>
      </c>
      <c r="K1523" s="1" t="s">
        <v>430</v>
      </c>
      <c r="L1523" s="1" t="s">
        <v>637</v>
      </c>
      <c r="M1523" s="1" t="s">
        <v>258</v>
      </c>
      <c r="N1523" s="1" t="s">
        <v>379</v>
      </c>
      <c r="O1523" s="1" t="s">
        <v>399</v>
      </c>
      <c r="P1523" s="22" t="str">
        <f aca="false">_xlfn.CONCAT(B1523,C1523,D1523,E1523,F1523)</f>
        <v>ARAGUATINS 1.1Inverter(MBUS-13)46053.282638888946053.282638888946053.3506944444</v>
      </c>
      <c r="Q1523" s="1" t="str">
        <f aca="false">_xlfn.CONCAT(H1523,I1523,J1523)</f>
        <v>DAURDE</v>
      </c>
    </row>
    <row r="1524" customFormat="false" ht="15" hidden="false" customHeight="false" outlineLevel="0" collapsed="false">
      <c r="B1524" s="1" t="s">
        <v>380</v>
      </c>
      <c r="C1524" s="1" t="s">
        <v>280</v>
      </c>
      <c r="D1524" s="14" t="n">
        <v>46053.2826388889</v>
      </c>
      <c r="E1524" s="14" t="n">
        <v>46053.2826388889</v>
      </c>
      <c r="F1524" s="14" t="n">
        <v>46053.3506944444</v>
      </c>
      <c r="G1524" s="15" t="n">
        <f aca="false">F1524-E1524</f>
        <v>0.0680555555555556</v>
      </c>
      <c r="H1524" s="1" t="s">
        <v>248</v>
      </c>
      <c r="J1524" s="1" t="s">
        <v>256</v>
      </c>
      <c r="K1524" s="1" t="s">
        <v>430</v>
      </c>
      <c r="L1524" s="1" t="s">
        <v>637</v>
      </c>
      <c r="M1524" s="1" t="s">
        <v>258</v>
      </c>
      <c r="N1524" s="1" t="s">
        <v>379</v>
      </c>
      <c r="O1524" s="1" t="s">
        <v>399</v>
      </c>
      <c r="P1524" s="22" t="str">
        <f aca="false">_xlfn.CONCAT(B1524,C1524,D1524,E1524,F1524)</f>
        <v>ARAGUATINS 1.1Inverter(MBUS-14)46053.282638888946053.282638888946053.3506944444</v>
      </c>
      <c r="Q1524" s="1" t="str">
        <f aca="false">_xlfn.CONCAT(H1524,I1524,J1524)</f>
        <v>DAURDE</v>
      </c>
    </row>
    <row r="1525" customFormat="false" ht="15" hidden="false" customHeight="false" outlineLevel="0" collapsed="false">
      <c r="B1525" s="1" t="s">
        <v>380</v>
      </c>
      <c r="C1525" s="1" t="s">
        <v>279</v>
      </c>
      <c r="D1525" s="14" t="n">
        <v>46053.2826388889</v>
      </c>
      <c r="E1525" s="14" t="n">
        <v>46053.2826388889</v>
      </c>
      <c r="F1525" s="14" t="n">
        <v>46053.3506944444</v>
      </c>
      <c r="G1525" s="15" t="n">
        <f aca="false">F1525-E1525</f>
        <v>0.0680555555555556</v>
      </c>
      <c r="H1525" s="1" t="s">
        <v>248</v>
      </c>
      <c r="J1525" s="1" t="s">
        <v>256</v>
      </c>
      <c r="K1525" s="1" t="s">
        <v>430</v>
      </c>
      <c r="L1525" s="1" t="s">
        <v>637</v>
      </c>
      <c r="M1525" s="1" t="s">
        <v>258</v>
      </c>
      <c r="N1525" s="1" t="s">
        <v>379</v>
      </c>
      <c r="O1525" s="1" t="s">
        <v>399</v>
      </c>
      <c r="P1525" s="22" t="str">
        <f aca="false">_xlfn.CONCAT(B1525,C1525,D1525,E1525,F1525)</f>
        <v>ARAGUATINS 1.1Inverter(MBUS-15)46053.282638888946053.282638888946053.3506944444</v>
      </c>
      <c r="Q1525" s="1" t="str">
        <f aca="false">_xlfn.CONCAT(H1525,I1525,J1525)</f>
        <v>DAURDE</v>
      </c>
    </row>
    <row r="1526" customFormat="false" ht="15" hidden="false" customHeight="false" outlineLevel="0" collapsed="false">
      <c r="B1526" s="1" t="s">
        <v>273</v>
      </c>
      <c r="C1526" s="1" t="s">
        <v>274</v>
      </c>
      <c r="D1526" s="14" t="n">
        <v>46053.3923611111</v>
      </c>
      <c r="E1526" s="14" t="n">
        <v>46053.3923611111</v>
      </c>
      <c r="F1526" s="14" t="n">
        <v>46053.4236111111</v>
      </c>
      <c r="G1526" s="15" t="n">
        <f aca="false">F1526-E1526</f>
        <v>0.03125</v>
      </c>
      <c r="H1526" s="1" t="s">
        <v>248</v>
      </c>
      <c r="J1526" s="1" t="s">
        <v>249</v>
      </c>
      <c r="K1526" s="1" t="s">
        <v>439</v>
      </c>
      <c r="L1526" s="1" t="s">
        <v>635</v>
      </c>
      <c r="M1526" s="1" t="s">
        <v>251</v>
      </c>
      <c r="N1526" s="1" t="s">
        <v>252</v>
      </c>
      <c r="O1526" s="1" t="s">
        <v>399</v>
      </c>
      <c r="P1526" s="22" t="str">
        <f aca="false">_xlfn.CONCAT(B1526,C1526,D1526,E1526,F1526)</f>
        <v>BC Vazante 1.1Inverter1246053.392361111146053.392361111146053.4236111111</v>
      </c>
      <c r="Q1526" s="1" t="str">
        <f aca="false">_xlfn.CONCAT(H1526,I1526,J1526)</f>
        <v>DAUINV</v>
      </c>
    </row>
    <row r="1527" customFormat="false" ht="15" hidden="false" customHeight="false" outlineLevel="0" collapsed="false">
      <c r="B1527" s="1" t="s">
        <v>246</v>
      </c>
      <c r="C1527" s="1" t="s">
        <v>247</v>
      </c>
      <c r="D1527" s="14" t="n">
        <v>46053.3972222222</v>
      </c>
      <c r="E1527" s="14" t="n">
        <v>46053.3972222222</v>
      </c>
      <c r="F1527" s="14" t="n">
        <v>46053.4375</v>
      </c>
      <c r="G1527" s="15" t="n">
        <f aca="false">F1527-E1527</f>
        <v>0.0402777777777778</v>
      </c>
      <c r="H1527" s="1" t="s">
        <v>248</v>
      </c>
      <c r="J1527" s="1" t="s">
        <v>249</v>
      </c>
      <c r="K1527" s="1" t="s">
        <v>439</v>
      </c>
      <c r="L1527" s="1" t="s">
        <v>638</v>
      </c>
      <c r="M1527" s="1" t="s">
        <v>251</v>
      </c>
      <c r="N1527" s="1" t="s">
        <v>252</v>
      </c>
      <c r="O1527" s="1" t="s">
        <v>639</v>
      </c>
      <c r="P1527" s="22" t="str">
        <f aca="false">_xlfn.CONCAT(B1527,C1527,D1527,E1527,F1527)</f>
        <v>BC Turvania1.3Inverter(MBUS-13)46053.397222222246053.397222222246053.4375</v>
      </c>
      <c r="Q1527" s="1" t="str">
        <f aca="false">_xlfn.CONCAT(H1527,I1527,J1527)</f>
        <v>DAUINV</v>
      </c>
    </row>
    <row r="1528" customFormat="false" ht="15" hidden="false" customHeight="false" outlineLevel="0" collapsed="false">
      <c r="B1528" s="1" t="s">
        <v>276</v>
      </c>
      <c r="C1528" s="1" t="s">
        <v>277</v>
      </c>
      <c r="D1528" s="14" t="n">
        <v>46053.4243055556</v>
      </c>
      <c r="E1528" s="14" t="n">
        <v>46053.4243055556</v>
      </c>
      <c r="F1528" s="14" t="n">
        <v>46053.5208333333</v>
      </c>
      <c r="G1528" s="15" t="n">
        <f aca="false">F1528-E1528</f>
        <v>0.0965277777777778</v>
      </c>
      <c r="H1528" s="1" t="s">
        <v>248</v>
      </c>
      <c r="J1528" s="1" t="s">
        <v>256</v>
      </c>
      <c r="K1528" s="1" t="s">
        <v>430</v>
      </c>
      <c r="L1528" s="1" t="s">
        <v>640</v>
      </c>
      <c r="M1528" s="1" t="s">
        <v>258</v>
      </c>
      <c r="N1528" s="1" t="s">
        <v>379</v>
      </c>
      <c r="O1528" s="1" t="s">
        <v>399</v>
      </c>
      <c r="P1528" s="22" t="str">
        <f aca="false">_xlfn.CONCAT(B1528,C1528,D1528,E1528,F1528)</f>
        <v>ARAGUATINS 2.1Inverter(MBUS-12)46053.424305555646053.424305555646053.5208333333</v>
      </c>
      <c r="Q1528" s="1" t="str">
        <f aca="false">_xlfn.CONCAT(H1528,I1528,J1528)</f>
        <v>DAURDE</v>
      </c>
    </row>
    <row r="1529" customFormat="false" ht="15" hidden="false" customHeight="false" outlineLevel="0" collapsed="false">
      <c r="B1529" s="1" t="s">
        <v>276</v>
      </c>
      <c r="C1529" s="1" t="s">
        <v>279</v>
      </c>
      <c r="D1529" s="14" t="n">
        <v>46053.4243055556</v>
      </c>
      <c r="E1529" s="14" t="n">
        <v>46053.4243055556</v>
      </c>
      <c r="F1529" s="14" t="n">
        <v>46053.5208333333</v>
      </c>
      <c r="G1529" s="15" t="n">
        <f aca="false">F1529-E1529</f>
        <v>0.0965277777777778</v>
      </c>
      <c r="H1529" s="1" t="s">
        <v>248</v>
      </c>
      <c r="J1529" s="1" t="s">
        <v>256</v>
      </c>
      <c r="K1529" s="1" t="s">
        <v>430</v>
      </c>
      <c r="L1529" s="1" t="s">
        <v>640</v>
      </c>
      <c r="M1529" s="1" t="s">
        <v>258</v>
      </c>
      <c r="N1529" s="1" t="s">
        <v>379</v>
      </c>
      <c r="O1529" s="1" t="s">
        <v>399</v>
      </c>
      <c r="P1529" s="22" t="str">
        <f aca="false">_xlfn.CONCAT(B1529,C1529,D1529,E1529,F1529)</f>
        <v>ARAGUATINS 2.1Inverter(MBUS-15)46053.424305555646053.424305555646053.5208333333</v>
      </c>
      <c r="Q1529" s="1" t="str">
        <f aca="false">_xlfn.CONCAT(H1529,I1529,J1529)</f>
        <v>DAURDE</v>
      </c>
    </row>
    <row r="1530" customFormat="false" ht="15" hidden="false" customHeight="false" outlineLevel="0" collapsed="false">
      <c r="B1530" s="1" t="s">
        <v>276</v>
      </c>
      <c r="C1530" s="1" t="s">
        <v>280</v>
      </c>
      <c r="D1530" s="14" t="n">
        <v>46053.4243055556</v>
      </c>
      <c r="E1530" s="14" t="n">
        <v>46053.4243055556</v>
      </c>
      <c r="F1530" s="14" t="n">
        <v>46053.5208333333</v>
      </c>
      <c r="G1530" s="15" t="n">
        <f aca="false">F1530-E1530</f>
        <v>0.0965277777777778</v>
      </c>
      <c r="H1530" s="1" t="s">
        <v>248</v>
      </c>
      <c r="J1530" s="1" t="s">
        <v>256</v>
      </c>
      <c r="K1530" s="1" t="s">
        <v>430</v>
      </c>
      <c r="L1530" s="1" t="s">
        <v>640</v>
      </c>
      <c r="M1530" s="1" t="s">
        <v>258</v>
      </c>
      <c r="N1530" s="1" t="s">
        <v>379</v>
      </c>
      <c r="O1530" s="1" t="s">
        <v>399</v>
      </c>
      <c r="P1530" s="22" t="str">
        <f aca="false">_xlfn.CONCAT(B1530,C1530,D1530,E1530,F1530)</f>
        <v>ARAGUATINS 2.1Inverter(MBUS-14)46053.424305555646053.424305555646053.5208333333</v>
      </c>
      <c r="Q1530" s="1" t="str">
        <f aca="false">_xlfn.CONCAT(H1530,I1530,J1530)</f>
        <v>DAURDE</v>
      </c>
    </row>
    <row r="1531" customFormat="false" ht="15" hidden="false" customHeight="false" outlineLevel="0" collapsed="false">
      <c r="B1531" s="1" t="s">
        <v>276</v>
      </c>
      <c r="C1531" s="1" t="s">
        <v>255</v>
      </c>
      <c r="D1531" s="14" t="n">
        <v>46053.4243055556</v>
      </c>
      <c r="E1531" s="14" t="n">
        <v>46053.4243055556</v>
      </c>
      <c r="F1531" s="14" t="n">
        <v>46053.5208333333</v>
      </c>
      <c r="G1531" s="15" t="n">
        <f aca="false">F1531-E1531</f>
        <v>0.0965277777777778</v>
      </c>
      <c r="H1531" s="1" t="s">
        <v>248</v>
      </c>
      <c r="J1531" s="1" t="s">
        <v>256</v>
      </c>
      <c r="K1531" s="1" t="s">
        <v>430</v>
      </c>
      <c r="L1531" s="1" t="s">
        <v>640</v>
      </c>
      <c r="M1531" s="1" t="s">
        <v>258</v>
      </c>
      <c r="N1531" s="1" t="s">
        <v>379</v>
      </c>
      <c r="O1531" s="1" t="s">
        <v>399</v>
      </c>
      <c r="P1531" s="22" t="str">
        <f aca="false">_xlfn.CONCAT(B1531,C1531,D1531,E1531,F1531)</f>
        <v>ARAGUATINS 2.1Inverter(MBUS-1)46053.424305555646053.424305555646053.5208333333</v>
      </c>
      <c r="Q1531" s="1" t="str">
        <f aca="false">_xlfn.CONCAT(H1531,I1531,J1531)</f>
        <v>DAURDE</v>
      </c>
    </row>
    <row r="1532" customFormat="false" ht="15" hidden="false" customHeight="false" outlineLevel="0" collapsed="false">
      <c r="B1532" s="1" t="s">
        <v>273</v>
      </c>
      <c r="C1532" s="1" t="s">
        <v>274</v>
      </c>
      <c r="D1532" s="14" t="n">
        <v>46053.5756944444</v>
      </c>
      <c r="E1532" s="14" t="n">
        <v>46053.5756944444</v>
      </c>
      <c r="F1532" s="14" t="n">
        <v>46053.59375</v>
      </c>
      <c r="G1532" s="15" t="n">
        <f aca="false">F1532-E1532</f>
        <v>0.0180555555555556</v>
      </c>
      <c r="H1532" s="1" t="s">
        <v>248</v>
      </c>
      <c r="J1532" s="1" t="s">
        <v>249</v>
      </c>
      <c r="K1532" s="1" t="s">
        <v>439</v>
      </c>
      <c r="L1532" s="1" t="s">
        <v>635</v>
      </c>
      <c r="M1532" s="1" t="s">
        <v>251</v>
      </c>
      <c r="N1532" s="1" t="s">
        <v>252</v>
      </c>
      <c r="O1532" s="1" t="s">
        <v>399</v>
      </c>
      <c r="P1532" s="22" t="str">
        <f aca="false">_xlfn.CONCAT(B1532,C1532,D1532,E1532,F1532)</f>
        <v>BC Vazante 1.1Inverter1246053.575694444446053.575694444446053.59375</v>
      </c>
      <c r="Q1532" s="1" t="str">
        <f aca="false">_xlfn.CONCAT(H1532,I1532,J1532)</f>
        <v>DAUINV</v>
      </c>
    </row>
    <row r="1533" customFormat="false" ht="15" hidden="false" customHeight="false" outlineLevel="0" collapsed="false">
      <c r="B1533" s="1" t="s">
        <v>254</v>
      </c>
      <c r="C1533" s="1" t="s">
        <v>255</v>
      </c>
      <c r="D1533" s="14" t="n">
        <v>46053.5763888889</v>
      </c>
      <c r="E1533" s="14" t="n">
        <v>46053.5763888889</v>
      </c>
      <c r="F1533" s="14" t="n">
        <v>46053.8270833333</v>
      </c>
      <c r="G1533" s="15" t="n">
        <f aca="false">F1533-E1533</f>
        <v>0.250694444444444</v>
      </c>
      <c r="H1533" s="1" t="s">
        <v>248</v>
      </c>
      <c r="J1533" s="1" t="s">
        <v>256</v>
      </c>
      <c r="K1533" s="1" t="s">
        <v>430</v>
      </c>
      <c r="L1533" s="1" t="s">
        <v>641</v>
      </c>
      <c r="M1533" s="1" t="s">
        <v>258</v>
      </c>
      <c r="N1533" s="1" t="s">
        <v>379</v>
      </c>
      <c r="O1533" s="1" t="s">
        <v>399</v>
      </c>
      <c r="P1533" s="22" t="str">
        <f aca="false">_xlfn.CONCAT(B1533,C1533,D1533,E1533,F1533)</f>
        <v>BC Aracu5.1Inverter(MBUS-1)46053.576388888946053.576388888946053.8270833333</v>
      </c>
      <c r="Q1533" s="1" t="str">
        <f aca="false">_xlfn.CONCAT(H1533,I1533,J1533)</f>
        <v>DAURDE</v>
      </c>
    </row>
    <row r="1534" customFormat="false" ht="15" hidden="false" customHeight="false" outlineLevel="0" collapsed="false">
      <c r="B1534" s="1" t="s">
        <v>308</v>
      </c>
      <c r="C1534" s="1" t="s">
        <v>255</v>
      </c>
      <c r="D1534" s="14" t="n">
        <v>46053.5763888889</v>
      </c>
      <c r="E1534" s="14" t="n">
        <v>46053.5763888889</v>
      </c>
      <c r="F1534" s="14" t="n">
        <v>46053.8270833333</v>
      </c>
      <c r="G1534" s="15" t="n">
        <f aca="false">F1534-E1534</f>
        <v>0.250694444444444</v>
      </c>
      <c r="H1534" s="1" t="s">
        <v>248</v>
      </c>
      <c r="J1534" s="1" t="s">
        <v>256</v>
      </c>
      <c r="K1534" s="1" t="s">
        <v>430</v>
      </c>
      <c r="L1534" s="1" t="s">
        <v>641</v>
      </c>
      <c r="M1534" s="1" t="s">
        <v>258</v>
      </c>
      <c r="N1534" s="1" t="s">
        <v>379</v>
      </c>
      <c r="O1534" s="1" t="s">
        <v>399</v>
      </c>
      <c r="P1534" s="22" t="str">
        <f aca="false">_xlfn.CONCAT(B1534,C1534,D1534,E1534,F1534)</f>
        <v>BC Aracu5.3Inverter(MBUS-1)46053.576388888946053.576388888946053.8270833333</v>
      </c>
      <c r="Q1534" s="1" t="str">
        <f aca="false">_xlfn.CONCAT(H1534,I1534,J1534)</f>
        <v>DAURDE</v>
      </c>
    </row>
    <row r="1535" customFormat="false" ht="15" hidden="false" customHeight="false" outlineLevel="0" collapsed="false">
      <c r="B1535" s="1" t="s">
        <v>309</v>
      </c>
      <c r="C1535" s="1" t="s">
        <v>255</v>
      </c>
      <c r="D1535" s="14" t="n">
        <v>46053.5763888889</v>
      </c>
      <c r="E1535" s="14" t="n">
        <v>46053.5763888889</v>
      </c>
      <c r="F1535" s="14" t="n">
        <v>46053.8270833333</v>
      </c>
      <c r="G1535" s="15" t="n">
        <f aca="false">F1535-E1535</f>
        <v>0.250694444444444</v>
      </c>
      <c r="H1535" s="1" t="s">
        <v>248</v>
      </c>
      <c r="J1535" s="1" t="s">
        <v>256</v>
      </c>
      <c r="K1535" s="1" t="s">
        <v>430</v>
      </c>
      <c r="L1535" s="1" t="s">
        <v>641</v>
      </c>
      <c r="M1535" s="1" t="s">
        <v>258</v>
      </c>
      <c r="N1535" s="1" t="s">
        <v>379</v>
      </c>
      <c r="O1535" s="1" t="s">
        <v>399</v>
      </c>
      <c r="P1535" s="22" t="str">
        <f aca="false">_xlfn.CONCAT(B1535,C1535,D1535,E1535,F1535)</f>
        <v>BC Aracu5.4Inverter(MBUS-1)46053.576388888946053.576388888946053.8270833333</v>
      </c>
      <c r="Q1535" s="1" t="str">
        <f aca="false">_xlfn.CONCAT(H1535,I1535,J1535)</f>
        <v>DAURDE</v>
      </c>
    </row>
    <row r="1536" customFormat="false" ht="15" hidden="false" customHeight="false" outlineLevel="0" collapsed="false">
      <c r="B1536" s="1" t="s">
        <v>310</v>
      </c>
      <c r="C1536" s="1" t="s">
        <v>255</v>
      </c>
      <c r="D1536" s="14" t="n">
        <v>46053.5763888889</v>
      </c>
      <c r="E1536" s="14" t="n">
        <v>46053.5763888889</v>
      </c>
      <c r="F1536" s="14" t="n">
        <v>46053.8270833333</v>
      </c>
      <c r="G1536" s="15" t="n">
        <f aca="false">F1536-E1536</f>
        <v>0.250694444444444</v>
      </c>
      <c r="H1536" s="1" t="s">
        <v>248</v>
      </c>
      <c r="J1536" s="1" t="s">
        <v>256</v>
      </c>
      <c r="K1536" s="1" t="s">
        <v>430</v>
      </c>
      <c r="L1536" s="1" t="s">
        <v>641</v>
      </c>
      <c r="M1536" s="1" t="s">
        <v>258</v>
      </c>
      <c r="N1536" s="1" t="s">
        <v>379</v>
      </c>
      <c r="O1536" s="1" t="s">
        <v>399</v>
      </c>
      <c r="P1536" s="22" t="str">
        <f aca="false">_xlfn.CONCAT(B1536,C1536,D1536,E1536,F1536)</f>
        <v>BC Aracu5.5Inverter(MBUS-1)46053.576388888946053.576388888946053.8270833333</v>
      </c>
      <c r="Q1536" s="1" t="str">
        <f aca="false">_xlfn.CONCAT(H1536,I1536,J1536)</f>
        <v>DAURDE</v>
      </c>
    </row>
    <row r="1537" customFormat="false" ht="15" hidden="false" customHeight="false" outlineLevel="0" collapsed="false">
      <c r="B1537" s="1" t="s">
        <v>575</v>
      </c>
      <c r="C1537" s="1" t="s">
        <v>277</v>
      </c>
      <c r="D1537" s="14" t="n">
        <v>46053.5770833333</v>
      </c>
      <c r="E1537" s="14" t="n">
        <v>46053.5770833333</v>
      </c>
      <c r="F1537" s="14" t="n">
        <v>46053.6013888889</v>
      </c>
      <c r="G1537" s="15" t="n">
        <f aca="false">F1537-E1537</f>
        <v>0.0243055555555556</v>
      </c>
      <c r="H1537" s="1" t="s">
        <v>248</v>
      </c>
      <c r="J1537" s="1" t="s">
        <v>256</v>
      </c>
      <c r="K1537" s="1" t="s">
        <v>430</v>
      </c>
      <c r="L1537" s="1" t="s">
        <v>642</v>
      </c>
      <c r="M1537" s="1" t="s">
        <v>258</v>
      </c>
      <c r="N1537" s="1" t="s">
        <v>379</v>
      </c>
      <c r="O1537" s="1" t="s">
        <v>399</v>
      </c>
      <c r="P1537" s="22" t="str">
        <f aca="false">_xlfn.CONCAT(B1537,C1537,D1537,E1537,F1537)</f>
        <v>BC Ibiuna 1.1Inverter(MBUS-12)46053.577083333346053.577083333346053.6013888889</v>
      </c>
      <c r="Q1537" s="1" t="str">
        <f aca="false">_xlfn.CONCAT(H1537,I1537,J1537)</f>
        <v>DAURDE</v>
      </c>
    </row>
    <row r="1538" customFormat="false" ht="15" hidden="false" customHeight="false" outlineLevel="0" collapsed="false">
      <c r="B1538" s="1" t="s">
        <v>575</v>
      </c>
      <c r="C1538" s="1" t="s">
        <v>247</v>
      </c>
      <c r="D1538" s="14" t="n">
        <v>46053.5770833333</v>
      </c>
      <c r="E1538" s="14" t="n">
        <v>46053.5770833333</v>
      </c>
      <c r="F1538" s="14" t="n">
        <v>46053.6013888889</v>
      </c>
      <c r="G1538" s="15" t="n">
        <f aca="false">F1538-E1538</f>
        <v>0.0243055555555556</v>
      </c>
      <c r="H1538" s="1" t="s">
        <v>248</v>
      </c>
      <c r="J1538" s="1" t="s">
        <v>256</v>
      </c>
      <c r="K1538" s="1" t="s">
        <v>430</v>
      </c>
      <c r="L1538" s="1" t="s">
        <v>642</v>
      </c>
      <c r="M1538" s="1" t="s">
        <v>258</v>
      </c>
      <c r="N1538" s="1" t="s">
        <v>379</v>
      </c>
      <c r="O1538" s="1" t="s">
        <v>399</v>
      </c>
      <c r="P1538" s="22" t="str">
        <f aca="false">_xlfn.CONCAT(B1538,C1538,D1538,E1538,F1538)</f>
        <v>BC Ibiuna 1.1Inverter(MBUS-13)46053.577083333346053.577083333346053.6013888889</v>
      </c>
      <c r="Q1538" s="1" t="str">
        <f aca="false">_xlfn.CONCAT(H1538,I1538,J1538)</f>
        <v>DAURDE</v>
      </c>
    </row>
    <row r="1539" customFormat="false" ht="15" hidden="false" customHeight="false" outlineLevel="0" collapsed="false">
      <c r="B1539" s="1" t="s">
        <v>575</v>
      </c>
      <c r="C1539" s="1" t="s">
        <v>280</v>
      </c>
      <c r="D1539" s="14" t="n">
        <v>46053.5770833333</v>
      </c>
      <c r="E1539" s="14" t="n">
        <v>46053.5770833333</v>
      </c>
      <c r="F1539" s="14" t="n">
        <v>46053.6013888889</v>
      </c>
      <c r="G1539" s="15" t="n">
        <f aca="false">F1539-E1539</f>
        <v>0.0243055555555556</v>
      </c>
      <c r="H1539" s="1" t="s">
        <v>248</v>
      </c>
      <c r="J1539" s="1" t="s">
        <v>256</v>
      </c>
      <c r="K1539" s="1" t="s">
        <v>430</v>
      </c>
      <c r="L1539" s="1" t="s">
        <v>642</v>
      </c>
      <c r="M1539" s="1" t="s">
        <v>258</v>
      </c>
      <c r="N1539" s="1" t="s">
        <v>379</v>
      </c>
      <c r="O1539" s="1" t="s">
        <v>399</v>
      </c>
      <c r="P1539" s="22" t="str">
        <f aca="false">_xlfn.CONCAT(B1539,C1539,D1539,E1539,F1539)</f>
        <v>BC Ibiuna 1.1Inverter(MBUS-14)46053.577083333346053.577083333346053.6013888889</v>
      </c>
      <c r="Q1539" s="1" t="str">
        <f aca="false">_xlfn.CONCAT(H1539,I1539,J1539)</f>
        <v>DAURDE</v>
      </c>
    </row>
    <row r="1540" customFormat="false" ht="15" hidden="false" customHeight="false" outlineLevel="0" collapsed="false">
      <c r="B1540" s="1" t="s">
        <v>575</v>
      </c>
      <c r="C1540" s="1" t="s">
        <v>279</v>
      </c>
      <c r="D1540" s="14" t="n">
        <v>46053.5770833333</v>
      </c>
      <c r="E1540" s="14" t="n">
        <v>46053.5770833333</v>
      </c>
      <c r="F1540" s="14" t="n">
        <v>46053.6013888889</v>
      </c>
      <c r="G1540" s="15" t="n">
        <f aca="false">F1540-E1540</f>
        <v>0.0243055555555556</v>
      </c>
      <c r="H1540" s="1" t="s">
        <v>248</v>
      </c>
      <c r="J1540" s="1" t="s">
        <v>256</v>
      </c>
      <c r="K1540" s="1" t="s">
        <v>430</v>
      </c>
      <c r="L1540" s="1" t="s">
        <v>642</v>
      </c>
      <c r="M1540" s="1" t="s">
        <v>258</v>
      </c>
      <c r="N1540" s="1" t="s">
        <v>379</v>
      </c>
      <c r="O1540" s="1" t="s">
        <v>399</v>
      </c>
      <c r="P1540" s="22" t="str">
        <f aca="false">_xlfn.CONCAT(B1540,C1540,D1540,E1540,F1540)</f>
        <v>BC Ibiuna 1.1Inverter(MBUS-15)46053.577083333346053.577083333346053.6013888889</v>
      </c>
      <c r="Q1540" s="1" t="str">
        <f aca="false">_xlfn.CONCAT(H1540,I1540,J1540)</f>
        <v>DAURDE</v>
      </c>
    </row>
    <row r="1541" customFormat="false" ht="15" hidden="false" customHeight="false" outlineLevel="0" collapsed="false">
      <c r="B1541" s="1" t="s">
        <v>577</v>
      </c>
      <c r="C1541" s="1" t="s">
        <v>277</v>
      </c>
      <c r="D1541" s="14" t="n">
        <v>46053.5770833333</v>
      </c>
      <c r="E1541" s="14" t="n">
        <v>46053.5770833333</v>
      </c>
      <c r="F1541" s="14" t="n">
        <v>46053.6013888889</v>
      </c>
      <c r="G1541" s="15" t="n">
        <f aca="false">F1541-E1541</f>
        <v>0.0243055555555556</v>
      </c>
      <c r="H1541" s="1" t="s">
        <v>248</v>
      </c>
      <c r="J1541" s="1" t="s">
        <v>256</v>
      </c>
      <c r="K1541" s="1" t="s">
        <v>430</v>
      </c>
      <c r="L1541" s="1" t="s">
        <v>642</v>
      </c>
      <c r="M1541" s="1" t="s">
        <v>258</v>
      </c>
      <c r="N1541" s="1" t="s">
        <v>379</v>
      </c>
      <c r="O1541" s="1" t="s">
        <v>399</v>
      </c>
      <c r="P1541" s="22" t="str">
        <f aca="false">_xlfn.CONCAT(B1541,C1541,D1541,E1541,F1541)</f>
        <v>BC Ibiuna 1.2Inverter(MBUS-12)46053.577083333346053.577083333346053.6013888889</v>
      </c>
      <c r="Q1541" s="1" t="str">
        <f aca="false">_xlfn.CONCAT(H1541,I1541,J1541)</f>
        <v>DAURDE</v>
      </c>
    </row>
    <row r="1542" customFormat="false" ht="15" hidden="false" customHeight="false" outlineLevel="0" collapsed="false">
      <c r="B1542" s="1" t="s">
        <v>577</v>
      </c>
      <c r="C1542" s="1" t="s">
        <v>247</v>
      </c>
      <c r="D1542" s="14" t="n">
        <v>46053.5770833333</v>
      </c>
      <c r="E1542" s="14" t="n">
        <v>46053.5770833333</v>
      </c>
      <c r="F1542" s="14" t="n">
        <v>46053.6013888889</v>
      </c>
      <c r="G1542" s="15" t="n">
        <f aca="false">F1542-E1542</f>
        <v>0.0243055555555556</v>
      </c>
      <c r="H1542" s="1" t="s">
        <v>248</v>
      </c>
      <c r="J1542" s="1" t="s">
        <v>256</v>
      </c>
      <c r="K1542" s="1" t="s">
        <v>430</v>
      </c>
      <c r="L1542" s="1" t="s">
        <v>642</v>
      </c>
      <c r="M1542" s="1" t="s">
        <v>258</v>
      </c>
      <c r="N1542" s="1" t="s">
        <v>379</v>
      </c>
      <c r="O1542" s="1" t="s">
        <v>399</v>
      </c>
      <c r="P1542" s="22" t="str">
        <f aca="false">_xlfn.CONCAT(B1542,C1542,D1542,E1542,F1542)</f>
        <v>BC Ibiuna 1.2Inverter(MBUS-13)46053.577083333346053.577083333346053.6013888889</v>
      </c>
      <c r="Q1542" s="1" t="str">
        <f aca="false">_xlfn.CONCAT(H1542,I1542,J1542)</f>
        <v>DAURDE</v>
      </c>
    </row>
    <row r="1543" customFormat="false" ht="15" hidden="false" customHeight="false" outlineLevel="0" collapsed="false">
      <c r="B1543" s="1" t="s">
        <v>577</v>
      </c>
      <c r="C1543" s="1" t="s">
        <v>280</v>
      </c>
      <c r="D1543" s="14" t="n">
        <v>46053.5770833333</v>
      </c>
      <c r="E1543" s="14" t="n">
        <v>46053.5770833333</v>
      </c>
      <c r="F1543" s="14" t="n">
        <v>46053.6013888889</v>
      </c>
      <c r="G1543" s="15" t="n">
        <f aca="false">F1543-E1543</f>
        <v>0.0243055555555556</v>
      </c>
      <c r="H1543" s="1" t="s">
        <v>248</v>
      </c>
      <c r="J1543" s="1" t="s">
        <v>256</v>
      </c>
      <c r="K1543" s="1" t="s">
        <v>430</v>
      </c>
      <c r="L1543" s="1" t="s">
        <v>642</v>
      </c>
      <c r="M1543" s="1" t="s">
        <v>258</v>
      </c>
      <c r="N1543" s="1" t="s">
        <v>379</v>
      </c>
      <c r="O1543" s="1" t="s">
        <v>399</v>
      </c>
      <c r="P1543" s="22" t="str">
        <f aca="false">_xlfn.CONCAT(B1543,C1543,D1543,E1543,F1543)</f>
        <v>BC Ibiuna 1.2Inverter(MBUS-14)46053.577083333346053.577083333346053.6013888889</v>
      </c>
      <c r="Q1543" s="1" t="str">
        <f aca="false">_xlfn.CONCAT(H1543,I1543,J1543)</f>
        <v>DAURDE</v>
      </c>
    </row>
    <row r="1544" customFormat="false" ht="15" hidden="false" customHeight="false" outlineLevel="0" collapsed="false">
      <c r="B1544" s="1" t="s">
        <v>577</v>
      </c>
      <c r="C1544" s="1" t="s">
        <v>279</v>
      </c>
      <c r="D1544" s="14" t="n">
        <v>46053.5770833333</v>
      </c>
      <c r="E1544" s="14" t="n">
        <v>46053.5770833333</v>
      </c>
      <c r="F1544" s="14" t="n">
        <v>46053.6013888889</v>
      </c>
      <c r="G1544" s="15" t="n">
        <f aca="false">F1544-E1544</f>
        <v>0.0243055555555556</v>
      </c>
      <c r="H1544" s="1" t="s">
        <v>248</v>
      </c>
      <c r="J1544" s="1" t="s">
        <v>256</v>
      </c>
      <c r="K1544" s="1" t="s">
        <v>430</v>
      </c>
      <c r="L1544" s="1" t="s">
        <v>642</v>
      </c>
      <c r="M1544" s="1" t="s">
        <v>258</v>
      </c>
      <c r="N1544" s="1" t="s">
        <v>379</v>
      </c>
      <c r="O1544" s="1" t="s">
        <v>399</v>
      </c>
      <c r="P1544" s="22" t="str">
        <f aca="false">_xlfn.CONCAT(B1544,C1544,D1544,E1544,F1544)</f>
        <v>BC Ibiuna 1.2Inverter(MBUS-15)46053.577083333346053.577083333346053.6013888889</v>
      </c>
      <c r="Q1544" s="1" t="str">
        <f aca="false">_xlfn.CONCAT(H1544,I1544,J1544)</f>
        <v>DAURDE</v>
      </c>
    </row>
    <row r="1545" customFormat="false" ht="15" hidden="false" customHeight="false" outlineLevel="0" collapsed="false">
      <c r="B1545" s="1" t="s">
        <v>643</v>
      </c>
      <c r="C1545" s="1" t="s">
        <v>644</v>
      </c>
      <c r="D1545" s="14" t="n">
        <v>46053.5979166667</v>
      </c>
      <c r="E1545" s="14" t="n">
        <v>46053.5979166667</v>
      </c>
      <c r="F1545" s="14" t="n">
        <v>46053.6458333333</v>
      </c>
      <c r="G1545" s="15" t="n">
        <f aca="false">F1545-E1545</f>
        <v>0.0479166666666667</v>
      </c>
      <c r="H1545" s="1" t="s">
        <v>445</v>
      </c>
      <c r="I1545" s="1" t="s">
        <v>263</v>
      </c>
      <c r="J1545" s="1" t="s">
        <v>264</v>
      </c>
      <c r="K1545" s="1" t="s">
        <v>456</v>
      </c>
      <c r="L1545" s="1" t="s">
        <v>645</v>
      </c>
      <c r="M1545" s="1" t="s">
        <v>266</v>
      </c>
      <c r="N1545" s="1" t="s">
        <v>252</v>
      </c>
      <c r="O1545" s="1" t="s">
        <v>646</v>
      </c>
      <c r="P1545" s="22" t="str">
        <f aca="false">_xlfn.CONCAT(B1545,C1545,D1545,E1545,F1545)</f>
        <v>BC Rio Bonito2INV-00146053.597916666746053.597916666746053.6458333333</v>
      </c>
      <c r="Q1545" s="1" t="str">
        <f aca="false">_xlfn.CONCAT(H1545,I1545,J1545)</f>
        <v>LIGRFOCOM</v>
      </c>
    </row>
    <row r="1546" customFormat="false" ht="15" hidden="false" customHeight="false" outlineLevel="0" collapsed="false">
      <c r="B1546" s="1" t="s">
        <v>643</v>
      </c>
      <c r="C1546" s="1" t="s">
        <v>647</v>
      </c>
      <c r="D1546" s="14" t="n">
        <v>46053.5979166667</v>
      </c>
      <c r="E1546" s="14" t="n">
        <v>46053.5979166667</v>
      </c>
      <c r="F1546" s="14" t="n">
        <v>46053.6458333333</v>
      </c>
      <c r="G1546" s="15" t="n">
        <f aca="false">F1546-E1546</f>
        <v>0.0479166666666667</v>
      </c>
      <c r="H1546" s="1" t="s">
        <v>445</v>
      </c>
      <c r="I1546" s="1" t="s">
        <v>263</v>
      </c>
      <c r="J1546" s="1" t="s">
        <v>264</v>
      </c>
      <c r="K1546" s="1" t="s">
        <v>456</v>
      </c>
      <c r="L1546" s="1" t="s">
        <v>645</v>
      </c>
      <c r="M1546" s="1" t="s">
        <v>266</v>
      </c>
      <c r="N1546" s="1" t="s">
        <v>252</v>
      </c>
      <c r="O1546" s="1" t="s">
        <v>646</v>
      </c>
      <c r="P1546" s="22" t="str">
        <f aca="false">_xlfn.CONCAT(B1546,C1546,D1546,E1546,F1546)</f>
        <v>BC Rio Bonito2INV-00246053.597916666746053.597916666746053.6458333333</v>
      </c>
      <c r="Q1546" s="1" t="str">
        <f aca="false">_xlfn.CONCAT(H1546,I1546,J1546)</f>
        <v>LIGRFOCOM</v>
      </c>
    </row>
    <row r="1547" customFormat="false" ht="15" hidden="false" customHeight="false" outlineLevel="0" collapsed="false">
      <c r="B1547" s="1" t="s">
        <v>643</v>
      </c>
      <c r="C1547" s="1" t="s">
        <v>648</v>
      </c>
      <c r="D1547" s="14" t="n">
        <v>46053.5979166667</v>
      </c>
      <c r="E1547" s="14" t="n">
        <v>46053.5979166667</v>
      </c>
      <c r="F1547" s="14" t="n">
        <v>46053.6458333333</v>
      </c>
      <c r="G1547" s="15" t="n">
        <f aca="false">F1547-E1547</f>
        <v>0.0479166666666667</v>
      </c>
      <c r="H1547" s="1" t="s">
        <v>445</v>
      </c>
      <c r="I1547" s="1" t="s">
        <v>263</v>
      </c>
      <c r="J1547" s="1" t="s">
        <v>264</v>
      </c>
      <c r="K1547" s="1" t="s">
        <v>456</v>
      </c>
      <c r="L1547" s="1" t="s">
        <v>645</v>
      </c>
      <c r="M1547" s="1" t="s">
        <v>266</v>
      </c>
      <c r="N1547" s="1" t="s">
        <v>252</v>
      </c>
      <c r="O1547" s="1" t="s">
        <v>646</v>
      </c>
      <c r="P1547" s="22" t="str">
        <f aca="false">_xlfn.CONCAT(B1547,C1547,D1547,E1547,F1547)</f>
        <v>BC Rio Bonito2INV-00346053.597916666746053.597916666746053.6458333333</v>
      </c>
      <c r="Q1547" s="1" t="str">
        <f aca="false">_xlfn.CONCAT(H1547,I1547,J1547)</f>
        <v>LIGRFOCOM</v>
      </c>
    </row>
    <row r="1548" customFormat="false" ht="15" hidden="false" customHeight="false" outlineLevel="0" collapsed="false">
      <c r="B1548" s="1" t="s">
        <v>643</v>
      </c>
      <c r="C1548" s="1" t="s">
        <v>649</v>
      </c>
      <c r="D1548" s="14" t="n">
        <v>46053.5979166667</v>
      </c>
      <c r="E1548" s="14" t="n">
        <v>46053.5979166667</v>
      </c>
      <c r="F1548" s="14" t="n">
        <v>46053.6458333333</v>
      </c>
      <c r="G1548" s="15" t="n">
        <f aca="false">F1548-E1548</f>
        <v>0.0479166666666667</v>
      </c>
      <c r="H1548" s="1" t="s">
        <v>445</v>
      </c>
      <c r="I1548" s="1" t="s">
        <v>263</v>
      </c>
      <c r="J1548" s="1" t="s">
        <v>264</v>
      </c>
      <c r="K1548" s="1" t="s">
        <v>456</v>
      </c>
      <c r="L1548" s="1" t="s">
        <v>645</v>
      </c>
      <c r="M1548" s="1" t="s">
        <v>266</v>
      </c>
      <c r="N1548" s="1" t="s">
        <v>252</v>
      </c>
      <c r="O1548" s="1" t="s">
        <v>646</v>
      </c>
      <c r="P1548" s="22" t="str">
        <f aca="false">_xlfn.CONCAT(B1548,C1548,D1548,E1548,F1548)</f>
        <v>BC Rio Bonito2INV-00446053.597916666746053.597916666746053.6458333333</v>
      </c>
      <c r="Q1548" s="1" t="str">
        <f aca="false">_xlfn.CONCAT(H1548,I1548,J1548)</f>
        <v>LIGRFOCOM</v>
      </c>
    </row>
    <row r="1549" customFormat="false" ht="15" hidden="false" customHeight="false" outlineLevel="0" collapsed="false">
      <c r="B1549" s="1" t="s">
        <v>650</v>
      </c>
      <c r="C1549" s="1" t="s">
        <v>651</v>
      </c>
      <c r="D1549" s="14" t="n">
        <v>46053.5979166667</v>
      </c>
      <c r="E1549" s="14" t="n">
        <v>46053.5979166667</v>
      </c>
      <c r="F1549" s="14" t="n">
        <v>46053.6458333333</v>
      </c>
      <c r="G1549" s="15" t="n">
        <f aca="false">F1549-E1549</f>
        <v>0.0479166666666667</v>
      </c>
      <c r="H1549" s="1" t="s">
        <v>248</v>
      </c>
      <c r="J1549" s="1" t="s">
        <v>256</v>
      </c>
      <c r="K1549" s="1" t="s">
        <v>430</v>
      </c>
      <c r="L1549" s="1" t="s">
        <v>652</v>
      </c>
      <c r="M1549" s="1" t="s">
        <v>258</v>
      </c>
      <c r="N1549" s="1" t="s">
        <v>379</v>
      </c>
      <c r="O1549" s="1" t="s">
        <v>399</v>
      </c>
      <c r="P1549" s="22" t="str">
        <f aca="false">_xlfn.CONCAT(B1549,C1549,D1549,E1549,F1549)</f>
        <v>BC Rio Bonito1SG36KTL-M-17_001_01746053.597916666746053.597916666746053.6458333333</v>
      </c>
      <c r="Q1549" s="1" t="str">
        <f aca="false">_xlfn.CONCAT(H1549,I1549,J1549)</f>
        <v>DAURDE</v>
      </c>
    </row>
    <row r="1550" customFormat="false" ht="15" hidden="false" customHeight="false" outlineLevel="0" collapsed="false">
      <c r="B1550" s="1" t="s">
        <v>650</v>
      </c>
      <c r="C1550" s="1" t="s">
        <v>653</v>
      </c>
      <c r="D1550" s="14" t="n">
        <v>46053.5979166667</v>
      </c>
      <c r="E1550" s="14" t="n">
        <v>46053.5979166667</v>
      </c>
      <c r="F1550" s="14" t="n">
        <v>46053.6458333333</v>
      </c>
      <c r="G1550" s="15" t="n">
        <f aca="false">F1550-E1550</f>
        <v>0.0479166666666667</v>
      </c>
      <c r="H1550" s="1" t="s">
        <v>248</v>
      </c>
      <c r="J1550" s="1" t="s">
        <v>256</v>
      </c>
      <c r="K1550" s="1" t="s">
        <v>430</v>
      </c>
      <c r="L1550" s="1" t="s">
        <v>652</v>
      </c>
      <c r="M1550" s="1" t="s">
        <v>258</v>
      </c>
      <c r="N1550" s="1" t="s">
        <v>379</v>
      </c>
      <c r="O1550" s="1" t="s">
        <v>399</v>
      </c>
      <c r="P1550" s="22" t="str">
        <f aca="false">_xlfn.CONCAT(B1550,C1550,D1550,E1550,F1550)</f>
        <v>BC Rio Bonito1SG60KTL-10_001_01046053.597916666746053.597916666746053.6458333333</v>
      </c>
      <c r="Q1550" s="1" t="str">
        <f aca="false">_xlfn.CONCAT(H1550,I1550,J1550)</f>
        <v>DAURDE</v>
      </c>
    </row>
    <row r="1551" customFormat="false" ht="15" hidden="false" customHeight="false" outlineLevel="0" collapsed="false">
      <c r="B1551" s="1" t="s">
        <v>650</v>
      </c>
      <c r="C1551" s="1" t="s">
        <v>654</v>
      </c>
      <c r="D1551" s="14" t="n">
        <v>46053.5979166667</v>
      </c>
      <c r="E1551" s="14" t="n">
        <v>46053.5979166667</v>
      </c>
      <c r="F1551" s="14" t="n">
        <v>46053.6458333333</v>
      </c>
      <c r="G1551" s="15" t="n">
        <f aca="false">F1551-E1551</f>
        <v>0.0479166666666667</v>
      </c>
      <c r="H1551" s="1" t="s">
        <v>248</v>
      </c>
      <c r="J1551" s="1" t="s">
        <v>256</v>
      </c>
      <c r="K1551" s="1" t="s">
        <v>430</v>
      </c>
      <c r="L1551" s="1" t="s">
        <v>652</v>
      </c>
      <c r="M1551" s="1" t="s">
        <v>258</v>
      </c>
      <c r="N1551" s="1" t="s">
        <v>379</v>
      </c>
      <c r="O1551" s="1" t="s">
        <v>399</v>
      </c>
      <c r="P1551" s="22" t="str">
        <f aca="false">_xlfn.CONCAT(B1551,C1551,D1551,E1551,F1551)</f>
        <v>BC Rio Bonito1SG60KTL-11_001_01146053.597916666746053.597916666746053.6458333333</v>
      </c>
      <c r="Q1551" s="1" t="str">
        <f aca="false">_xlfn.CONCAT(H1551,I1551,J1551)</f>
        <v>DAURDE</v>
      </c>
    </row>
    <row r="1552" customFormat="false" ht="15" hidden="false" customHeight="false" outlineLevel="0" collapsed="false">
      <c r="B1552" s="1" t="s">
        <v>650</v>
      </c>
      <c r="C1552" s="1" t="s">
        <v>655</v>
      </c>
      <c r="D1552" s="14" t="n">
        <v>46053.5979166667</v>
      </c>
      <c r="E1552" s="14" t="n">
        <v>46053.5979166667</v>
      </c>
      <c r="F1552" s="14" t="n">
        <v>46053.6458333333</v>
      </c>
      <c r="G1552" s="15" t="n">
        <f aca="false">F1552-E1552</f>
        <v>0.0479166666666667</v>
      </c>
      <c r="H1552" s="1" t="s">
        <v>248</v>
      </c>
      <c r="J1552" s="1" t="s">
        <v>256</v>
      </c>
      <c r="K1552" s="1" t="s">
        <v>430</v>
      </c>
      <c r="L1552" s="1" t="s">
        <v>652</v>
      </c>
      <c r="M1552" s="1" t="s">
        <v>258</v>
      </c>
      <c r="N1552" s="1" t="s">
        <v>379</v>
      </c>
      <c r="O1552" s="1" t="s">
        <v>399</v>
      </c>
      <c r="P1552" s="22" t="str">
        <f aca="false">_xlfn.CONCAT(B1552,C1552,D1552,E1552,F1552)</f>
        <v>BC Rio Bonito1SG60KTL-12_001_01246053.597916666746053.597916666746053.6458333333</v>
      </c>
      <c r="Q1552" s="1" t="str">
        <f aca="false">_xlfn.CONCAT(H1552,I1552,J1552)</f>
        <v>DAURDE</v>
      </c>
    </row>
    <row r="1553" customFormat="false" ht="15" hidden="false" customHeight="false" outlineLevel="0" collapsed="false">
      <c r="B1553" s="1" t="s">
        <v>650</v>
      </c>
      <c r="C1553" s="1" t="s">
        <v>656</v>
      </c>
      <c r="D1553" s="14" t="n">
        <v>46053.5979166667</v>
      </c>
      <c r="E1553" s="14" t="n">
        <v>46053.5979166667</v>
      </c>
      <c r="F1553" s="14" t="n">
        <v>46053.6458333333</v>
      </c>
      <c r="G1553" s="15" t="n">
        <f aca="false">F1553-E1553</f>
        <v>0.0479166666666667</v>
      </c>
      <c r="H1553" s="1" t="s">
        <v>248</v>
      </c>
      <c r="J1553" s="1" t="s">
        <v>256</v>
      </c>
      <c r="K1553" s="1" t="s">
        <v>430</v>
      </c>
      <c r="L1553" s="1" t="s">
        <v>652</v>
      </c>
      <c r="M1553" s="1" t="s">
        <v>258</v>
      </c>
      <c r="N1553" s="1" t="s">
        <v>379</v>
      </c>
      <c r="O1553" s="1" t="s">
        <v>399</v>
      </c>
      <c r="P1553" s="22" t="str">
        <f aca="false">_xlfn.CONCAT(B1553,C1553,D1553,E1553,F1553)</f>
        <v>BC Rio Bonito1SG60KTL-13_001_01346053.597916666746053.597916666746053.6458333333</v>
      </c>
      <c r="Q1553" s="1" t="str">
        <f aca="false">_xlfn.CONCAT(H1553,I1553,J1553)</f>
        <v>DAURDE</v>
      </c>
    </row>
    <row r="1554" customFormat="false" ht="15" hidden="false" customHeight="false" outlineLevel="0" collapsed="false">
      <c r="B1554" s="1" t="s">
        <v>650</v>
      </c>
      <c r="C1554" s="1" t="s">
        <v>657</v>
      </c>
      <c r="D1554" s="14" t="n">
        <v>46053.5979166667</v>
      </c>
      <c r="E1554" s="14" t="n">
        <v>46053.5979166667</v>
      </c>
      <c r="F1554" s="14" t="n">
        <v>46053.6458333333</v>
      </c>
      <c r="G1554" s="15" t="n">
        <f aca="false">F1554-E1554</f>
        <v>0.0479166666666667</v>
      </c>
      <c r="H1554" s="1" t="s">
        <v>248</v>
      </c>
      <c r="J1554" s="1" t="s">
        <v>256</v>
      </c>
      <c r="K1554" s="1" t="s">
        <v>430</v>
      </c>
      <c r="L1554" s="1" t="s">
        <v>652</v>
      </c>
      <c r="M1554" s="1" t="s">
        <v>258</v>
      </c>
      <c r="N1554" s="1" t="s">
        <v>379</v>
      </c>
      <c r="O1554" s="1" t="s">
        <v>399</v>
      </c>
      <c r="P1554" s="22" t="str">
        <f aca="false">_xlfn.CONCAT(B1554,C1554,D1554,E1554,F1554)</f>
        <v>BC Rio Bonito1SG60KTL-14_001_01446053.597916666746053.597916666746053.6458333333</v>
      </c>
      <c r="Q1554" s="1" t="str">
        <f aca="false">_xlfn.CONCAT(H1554,I1554,J1554)</f>
        <v>DAURDE</v>
      </c>
    </row>
    <row r="1555" customFormat="false" ht="15" hidden="false" customHeight="false" outlineLevel="0" collapsed="false">
      <c r="B1555" s="1" t="s">
        <v>650</v>
      </c>
      <c r="C1555" s="1" t="s">
        <v>658</v>
      </c>
      <c r="D1555" s="14" t="n">
        <v>46053.5979166667</v>
      </c>
      <c r="E1555" s="14" t="n">
        <v>46053.5979166667</v>
      </c>
      <c r="F1555" s="14" t="n">
        <v>46053.6458333333</v>
      </c>
      <c r="G1555" s="15" t="n">
        <f aca="false">F1555-E1555</f>
        <v>0.0479166666666667</v>
      </c>
      <c r="H1555" s="1" t="s">
        <v>248</v>
      </c>
      <c r="J1555" s="1" t="s">
        <v>256</v>
      </c>
      <c r="K1555" s="1" t="s">
        <v>430</v>
      </c>
      <c r="L1555" s="1" t="s">
        <v>652</v>
      </c>
      <c r="M1555" s="1" t="s">
        <v>258</v>
      </c>
      <c r="N1555" s="1" t="s">
        <v>379</v>
      </c>
      <c r="O1555" s="1" t="s">
        <v>399</v>
      </c>
      <c r="P1555" s="22" t="str">
        <f aca="false">_xlfn.CONCAT(B1555,C1555,D1555,E1555,F1555)</f>
        <v>BC Rio Bonito1SG60KTL-15_001_01546053.597916666746053.597916666746053.6458333333</v>
      </c>
      <c r="Q1555" s="1" t="str">
        <f aca="false">_xlfn.CONCAT(H1555,I1555,J1555)</f>
        <v>DAURDE</v>
      </c>
    </row>
    <row r="1556" customFormat="false" ht="15" hidden="false" customHeight="false" outlineLevel="0" collapsed="false">
      <c r="B1556" s="1" t="s">
        <v>650</v>
      </c>
      <c r="C1556" s="1" t="s">
        <v>659</v>
      </c>
      <c r="D1556" s="14" t="n">
        <v>46053.5979166667</v>
      </c>
      <c r="E1556" s="14" t="n">
        <v>46053.5979166667</v>
      </c>
      <c r="F1556" s="14" t="n">
        <v>46053.6458333333</v>
      </c>
      <c r="G1556" s="15" t="n">
        <f aca="false">F1556-E1556</f>
        <v>0.0479166666666667</v>
      </c>
      <c r="H1556" s="1" t="s">
        <v>248</v>
      </c>
      <c r="J1556" s="1" t="s">
        <v>256</v>
      </c>
      <c r="K1556" s="1" t="s">
        <v>430</v>
      </c>
      <c r="L1556" s="1" t="s">
        <v>652</v>
      </c>
      <c r="M1556" s="1" t="s">
        <v>258</v>
      </c>
      <c r="N1556" s="1" t="s">
        <v>379</v>
      </c>
      <c r="O1556" s="1" t="s">
        <v>399</v>
      </c>
      <c r="P1556" s="22" t="str">
        <f aca="false">_xlfn.CONCAT(B1556,C1556,D1556,E1556,F1556)</f>
        <v>BC Rio Bonito1SG60KTL-16_001_01646053.597916666746053.597916666746053.6458333333</v>
      </c>
      <c r="Q1556" s="1" t="str">
        <f aca="false">_xlfn.CONCAT(H1556,I1556,J1556)</f>
        <v>DAURDE</v>
      </c>
    </row>
    <row r="1557" customFormat="false" ht="15" hidden="false" customHeight="false" outlineLevel="0" collapsed="false">
      <c r="B1557" s="1" t="s">
        <v>650</v>
      </c>
      <c r="C1557" s="1" t="s">
        <v>660</v>
      </c>
      <c r="D1557" s="14" t="n">
        <v>46053.5979166667</v>
      </c>
      <c r="E1557" s="14" t="n">
        <v>46053.5979166667</v>
      </c>
      <c r="F1557" s="14" t="n">
        <v>46053.6458333333</v>
      </c>
      <c r="G1557" s="15" t="n">
        <f aca="false">F1557-E1557</f>
        <v>0.0479166666666667</v>
      </c>
      <c r="H1557" s="1" t="s">
        <v>248</v>
      </c>
      <c r="J1557" s="1" t="s">
        <v>256</v>
      </c>
      <c r="K1557" s="1" t="s">
        <v>430</v>
      </c>
      <c r="L1557" s="1" t="s">
        <v>652</v>
      </c>
      <c r="M1557" s="1" t="s">
        <v>258</v>
      </c>
      <c r="N1557" s="1" t="s">
        <v>379</v>
      </c>
      <c r="O1557" s="1" t="s">
        <v>399</v>
      </c>
      <c r="P1557" s="22" t="str">
        <f aca="false">_xlfn.CONCAT(B1557,C1557,D1557,E1557,F1557)</f>
        <v>BC Rio Bonito1SG60KTL-1_001_00146053.597916666746053.597916666746053.6458333333</v>
      </c>
      <c r="Q1557" s="1" t="str">
        <f aca="false">_xlfn.CONCAT(H1557,I1557,J1557)</f>
        <v>DAURDE</v>
      </c>
    </row>
    <row r="1558" customFormat="false" ht="15" hidden="false" customHeight="false" outlineLevel="0" collapsed="false">
      <c r="B1558" s="1" t="s">
        <v>650</v>
      </c>
      <c r="C1558" s="1" t="s">
        <v>661</v>
      </c>
      <c r="D1558" s="14" t="n">
        <v>46053.5979166667</v>
      </c>
      <c r="E1558" s="14" t="n">
        <v>46053.5979166667</v>
      </c>
      <c r="F1558" s="14" t="n">
        <v>46053.6458333333</v>
      </c>
      <c r="G1558" s="15" t="n">
        <f aca="false">F1558-E1558</f>
        <v>0.0479166666666667</v>
      </c>
      <c r="H1558" s="1" t="s">
        <v>248</v>
      </c>
      <c r="J1558" s="1" t="s">
        <v>256</v>
      </c>
      <c r="K1558" s="1" t="s">
        <v>430</v>
      </c>
      <c r="L1558" s="1" t="s">
        <v>652</v>
      </c>
      <c r="M1558" s="1" t="s">
        <v>258</v>
      </c>
      <c r="N1558" s="1" t="s">
        <v>379</v>
      </c>
      <c r="O1558" s="1" t="s">
        <v>399</v>
      </c>
      <c r="P1558" s="1" t="str">
        <f aca="false">_xlfn.CONCAT(B1558,C1558,D1558,E1558,F1558)</f>
        <v>BC Rio Bonito1SG60KTL-2_001_00246053.597916666746053.597916666746053.6458333333</v>
      </c>
      <c r="Q1558" s="1" t="str">
        <f aca="false">_xlfn.CONCAT(H1558,I1558,J1558)</f>
        <v>DAURDE</v>
      </c>
    </row>
    <row r="1559" customFormat="false" ht="15" hidden="false" customHeight="false" outlineLevel="0" collapsed="false">
      <c r="B1559" s="1" t="s">
        <v>650</v>
      </c>
      <c r="C1559" s="1" t="s">
        <v>662</v>
      </c>
      <c r="D1559" s="14" t="n">
        <v>46053.5979166667</v>
      </c>
      <c r="E1559" s="14" t="n">
        <v>46053.5979166667</v>
      </c>
      <c r="F1559" s="14" t="n">
        <v>46053.6458333333</v>
      </c>
      <c r="G1559" s="15" t="n">
        <f aca="false">F1559-E1559</f>
        <v>0.0479166666666667</v>
      </c>
      <c r="H1559" s="1" t="s">
        <v>248</v>
      </c>
      <c r="J1559" s="1" t="s">
        <v>256</v>
      </c>
      <c r="K1559" s="1" t="s">
        <v>430</v>
      </c>
      <c r="L1559" s="1" t="s">
        <v>652</v>
      </c>
      <c r="M1559" s="1" t="s">
        <v>258</v>
      </c>
      <c r="N1559" s="1" t="s">
        <v>379</v>
      </c>
      <c r="O1559" s="1" t="s">
        <v>399</v>
      </c>
      <c r="P1559" s="1" t="str">
        <f aca="false">_xlfn.CONCAT(B1559,C1559,D1559,E1559,F1559)</f>
        <v>BC Rio Bonito1SG60KTL-3_001_00346053.597916666746053.597916666746053.6458333333</v>
      </c>
      <c r="Q1559" s="1" t="str">
        <f aca="false">_xlfn.CONCAT(H1559,I1559,J1559)</f>
        <v>DAURDE</v>
      </c>
    </row>
    <row r="1560" customFormat="false" ht="15" hidden="false" customHeight="false" outlineLevel="0" collapsed="false">
      <c r="B1560" s="1" t="s">
        <v>650</v>
      </c>
      <c r="C1560" s="1" t="s">
        <v>663</v>
      </c>
      <c r="D1560" s="14" t="n">
        <v>46053.5979166667</v>
      </c>
      <c r="E1560" s="14" t="n">
        <v>46053.5979166667</v>
      </c>
      <c r="F1560" s="14" t="n">
        <v>46053.6458333333</v>
      </c>
      <c r="G1560" s="15" t="n">
        <f aca="false">F1560-E1560</f>
        <v>0.0479166666666667</v>
      </c>
      <c r="H1560" s="1" t="s">
        <v>248</v>
      </c>
      <c r="J1560" s="1" t="s">
        <v>256</v>
      </c>
      <c r="K1560" s="1" t="s">
        <v>430</v>
      </c>
      <c r="L1560" s="1" t="s">
        <v>652</v>
      </c>
      <c r="M1560" s="1" t="s">
        <v>258</v>
      </c>
      <c r="N1560" s="1" t="s">
        <v>379</v>
      </c>
      <c r="O1560" s="1" t="s">
        <v>399</v>
      </c>
      <c r="P1560" s="1" t="str">
        <f aca="false">_xlfn.CONCAT(B1560,C1560,D1560,E1560,F1560)</f>
        <v>BC Rio Bonito1SG60KTL-4_001_00446053.597916666746053.597916666746053.6458333333</v>
      </c>
      <c r="Q1560" s="1" t="str">
        <f aca="false">_xlfn.CONCAT(H1560,I1560,J1560)</f>
        <v>DAURDE</v>
      </c>
    </row>
    <row r="1561" customFormat="false" ht="15" hidden="false" customHeight="false" outlineLevel="0" collapsed="false">
      <c r="B1561" s="1" t="s">
        <v>650</v>
      </c>
      <c r="C1561" s="1" t="s">
        <v>664</v>
      </c>
      <c r="D1561" s="14" t="n">
        <v>46053.5979166667</v>
      </c>
      <c r="E1561" s="14" t="n">
        <v>46053.5979166667</v>
      </c>
      <c r="F1561" s="14" t="n">
        <v>46053.6458333333</v>
      </c>
      <c r="G1561" s="15" t="n">
        <f aca="false">F1561-E1561</f>
        <v>0.0479166666666667</v>
      </c>
      <c r="H1561" s="1" t="s">
        <v>248</v>
      </c>
      <c r="J1561" s="1" t="s">
        <v>256</v>
      </c>
      <c r="K1561" s="1" t="s">
        <v>430</v>
      </c>
      <c r="L1561" s="1" t="s">
        <v>652</v>
      </c>
      <c r="M1561" s="1" t="s">
        <v>258</v>
      </c>
      <c r="N1561" s="1" t="s">
        <v>379</v>
      </c>
      <c r="O1561" s="1" t="s">
        <v>399</v>
      </c>
      <c r="P1561" s="1" t="str">
        <f aca="false">_xlfn.CONCAT(B1561,C1561,D1561,E1561,F1561)</f>
        <v>BC Rio Bonito1SG60KTL-5_001_00546053.597916666746053.597916666746053.6458333333</v>
      </c>
      <c r="Q1561" s="1" t="str">
        <f aca="false">_xlfn.CONCAT(H1561,I1561,J1561)</f>
        <v>DAURDE</v>
      </c>
    </row>
    <row r="1562" customFormat="false" ht="15" hidden="false" customHeight="false" outlineLevel="0" collapsed="false">
      <c r="B1562" s="1" t="s">
        <v>650</v>
      </c>
      <c r="C1562" s="1" t="s">
        <v>665</v>
      </c>
      <c r="D1562" s="14" t="n">
        <v>46053.5979166667</v>
      </c>
      <c r="E1562" s="14" t="n">
        <v>46053.5979166667</v>
      </c>
      <c r="F1562" s="14" t="n">
        <v>46053.6458333333</v>
      </c>
      <c r="G1562" s="15" t="n">
        <f aca="false">F1562-E1562</f>
        <v>0.0479166666666667</v>
      </c>
      <c r="H1562" s="1" t="s">
        <v>248</v>
      </c>
      <c r="J1562" s="1" t="s">
        <v>256</v>
      </c>
      <c r="K1562" s="1" t="s">
        <v>430</v>
      </c>
      <c r="L1562" s="1" t="s">
        <v>652</v>
      </c>
      <c r="M1562" s="1" t="s">
        <v>258</v>
      </c>
      <c r="N1562" s="1" t="s">
        <v>379</v>
      </c>
      <c r="O1562" s="1" t="s">
        <v>399</v>
      </c>
      <c r="P1562" s="1" t="str">
        <f aca="false">_xlfn.CONCAT(B1562,C1562,D1562,E1562,F1562)</f>
        <v>BC Rio Bonito1SG60KTL-6_001_00646053.597916666746053.597916666746053.6458333333</v>
      </c>
      <c r="Q1562" s="1" t="str">
        <f aca="false">_xlfn.CONCAT(H1562,I1562,J1562)</f>
        <v>DAURDE</v>
      </c>
    </row>
    <row r="1563" customFormat="false" ht="15" hidden="false" customHeight="false" outlineLevel="0" collapsed="false">
      <c r="B1563" s="1" t="s">
        <v>650</v>
      </c>
      <c r="C1563" s="1" t="s">
        <v>666</v>
      </c>
      <c r="D1563" s="14" t="n">
        <v>46053.5979166667</v>
      </c>
      <c r="E1563" s="14" t="n">
        <v>46053.5979166667</v>
      </c>
      <c r="F1563" s="14" t="n">
        <v>46053.6458333333</v>
      </c>
      <c r="G1563" s="15" t="n">
        <f aca="false">F1563-E1563</f>
        <v>0.0479166666666667</v>
      </c>
      <c r="H1563" s="1" t="s">
        <v>248</v>
      </c>
      <c r="J1563" s="1" t="s">
        <v>256</v>
      </c>
      <c r="K1563" s="1" t="s">
        <v>430</v>
      </c>
      <c r="L1563" s="1" t="s">
        <v>652</v>
      </c>
      <c r="M1563" s="1" t="s">
        <v>258</v>
      </c>
      <c r="N1563" s="1" t="s">
        <v>379</v>
      </c>
      <c r="O1563" s="1" t="s">
        <v>399</v>
      </c>
      <c r="P1563" s="1" t="str">
        <f aca="false">_xlfn.CONCAT(B1563,C1563,D1563,E1563,F1563)</f>
        <v>BC Rio Bonito1SG60KTL-7_001_00746053.597916666746053.597916666746053.6458333333</v>
      </c>
      <c r="Q1563" s="1" t="str">
        <f aca="false">_xlfn.CONCAT(H1563,I1563,J1563)</f>
        <v>DAURDE</v>
      </c>
    </row>
    <row r="1564" customFormat="false" ht="15" hidden="false" customHeight="false" outlineLevel="0" collapsed="false">
      <c r="B1564" s="1" t="s">
        <v>650</v>
      </c>
      <c r="C1564" s="1" t="s">
        <v>667</v>
      </c>
      <c r="D1564" s="14" t="n">
        <v>46053.5979166667</v>
      </c>
      <c r="E1564" s="14" t="n">
        <v>46053.5979166667</v>
      </c>
      <c r="F1564" s="14" t="n">
        <v>46053.6458333333</v>
      </c>
      <c r="G1564" s="15" t="n">
        <f aca="false">F1564-E1564</f>
        <v>0.0479166666666667</v>
      </c>
      <c r="H1564" s="1" t="s">
        <v>248</v>
      </c>
      <c r="J1564" s="1" t="s">
        <v>256</v>
      </c>
      <c r="K1564" s="1" t="s">
        <v>430</v>
      </c>
      <c r="L1564" s="1" t="s">
        <v>652</v>
      </c>
      <c r="M1564" s="1" t="s">
        <v>258</v>
      </c>
      <c r="N1564" s="1" t="s">
        <v>379</v>
      </c>
      <c r="O1564" s="1" t="s">
        <v>399</v>
      </c>
      <c r="P1564" s="1" t="str">
        <f aca="false">_xlfn.CONCAT(B1564,C1564,D1564,E1564,F1564)</f>
        <v>BC Rio Bonito1SG60KTL-8_001_00846053.597916666746053.597916666746053.6458333333</v>
      </c>
      <c r="Q1564" s="1" t="str">
        <f aca="false">_xlfn.CONCAT(H1564,I1564,J1564)</f>
        <v>DAURDE</v>
      </c>
    </row>
    <row r="1565" customFormat="false" ht="15" hidden="false" customHeight="false" outlineLevel="0" collapsed="false">
      <c r="B1565" s="1" t="s">
        <v>650</v>
      </c>
      <c r="C1565" s="1" t="s">
        <v>668</v>
      </c>
      <c r="D1565" s="14" t="n">
        <v>46053.5979166667</v>
      </c>
      <c r="E1565" s="14" t="n">
        <v>46053.5979166667</v>
      </c>
      <c r="F1565" s="14" t="n">
        <v>46053.6458333333</v>
      </c>
      <c r="G1565" s="15" t="n">
        <f aca="false">F1565-E1565</f>
        <v>0.0479166666666667</v>
      </c>
      <c r="H1565" s="1" t="s">
        <v>248</v>
      </c>
      <c r="J1565" s="1" t="s">
        <v>256</v>
      </c>
      <c r="K1565" s="1" t="s">
        <v>430</v>
      </c>
      <c r="L1565" s="1" t="s">
        <v>652</v>
      </c>
      <c r="M1565" s="1" t="s">
        <v>258</v>
      </c>
      <c r="N1565" s="1" t="s">
        <v>379</v>
      </c>
      <c r="O1565" s="1" t="s">
        <v>399</v>
      </c>
      <c r="P1565" s="1" t="str">
        <f aca="false">_xlfn.CONCAT(B1565,C1565,D1565,E1565,F1565)</f>
        <v>BC Rio Bonito1SG60KTL-9_001_00946053.597916666746053.597916666746053.6458333333</v>
      </c>
      <c r="Q1565" s="1" t="str">
        <f aca="false">_xlfn.CONCAT(H1565,I1565,J1565)</f>
        <v>DAURDE</v>
      </c>
    </row>
    <row r="1566" customFormat="false" ht="15" hidden="false" customHeight="false" outlineLevel="0" collapsed="false">
      <c r="B1566" s="1" t="s">
        <v>330</v>
      </c>
      <c r="C1566" s="1" t="s">
        <v>277</v>
      </c>
      <c r="D1566" s="14" t="n">
        <v>46053.8958333333</v>
      </c>
      <c r="E1566" s="14" t="n">
        <v>46053.8958333333</v>
      </c>
      <c r="F1566" s="14" t="n">
        <v>46054.4479166667</v>
      </c>
      <c r="G1566" s="15" t="n">
        <f aca="false">F1566-E1566</f>
        <v>0.552083333333333</v>
      </c>
      <c r="H1566" s="1" t="s">
        <v>248</v>
      </c>
      <c r="J1566" s="1" t="s">
        <v>256</v>
      </c>
      <c r="K1566" s="1" t="s">
        <v>430</v>
      </c>
      <c r="L1566" s="1" t="s">
        <v>669</v>
      </c>
      <c r="M1566" s="1" t="s">
        <v>258</v>
      </c>
      <c r="N1566" s="1" t="s">
        <v>379</v>
      </c>
      <c r="O1566" s="1" t="s">
        <v>399</v>
      </c>
      <c r="P1566" s="1" t="str">
        <f aca="false">_xlfn.CONCAT(B1566,C1566,D1566,E1566,F1566)</f>
        <v>BC Formoso2.1Inverter(MBUS-12)46053.895833333346053.895833333346054.4479166667</v>
      </c>
      <c r="Q1566" s="1" t="str">
        <f aca="false">_xlfn.CONCAT(H1566,I1566,J1566)</f>
        <v>DAURDE</v>
      </c>
    </row>
    <row r="1567" customFormat="false" ht="15" hidden="false" customHeight="false" outlineLevel="0" collapsed="false">
      <c r="B1567" s="1" t="s">
        <v>330</v>
      </c>
      <c r="C1567" s="1" t="s">
        <v>280</v>
      </c>
      <c r="D1567" s="14" t="n">
        <v>46053.8958333333</v>
      </c>
      <c r="E1567" s="14" t="n">
        <v>46053.8958333333</v>
      </c>
      <c r="F1567" s="14" t="n">
        <v>46054.4479166667</v>
      </c>
      <c r="G1567" s="15" t="n">
        <f aca="false">F1567-E1567</f>
        <v>0.552083333333333</v>
      </c>
      <c r="H1567" s="1" t="s">
        <v>248</v>
      </c>
      <c r="J1567" s="1" t="s">
        <v>256</v>
      </c>
      <c r="K1567" s="1" t="s">
        <v>430</v>
      </c>
      <c r="L1567" s="1" t="s">
        <v>669</v>
      </c>
      <c r="M1567" s="1" t="s">
        <v>258</v>
      </c>
      <c r="N1567" s="1" t="s">
        <v>379</v>
      </c>
      <c r="O1567" s="1" t="s">
        <v>399</v>
      </c>
      <c r="P1567" s="1" t="str">
        <f aca="false">_xlfn.CONCAT(B1567,C1567,D1567,E1567,F1567)</f>
        <v>BC Formoso2.1Inverter(MBUS-14)46053.895833333346053.895833333346054.4479166667</v>
      </c>
      <c r="Q1567" s="1" t="str">
        <f aca="false">_xlfn.CONCAT(H1567,I1567,J1567)</f>
        <v>DAURDE</v>
      </c>
    </row>
    <row r="1568" customFormat="false" ht="15" hidden="false" customHeight="false" outlineLevel="0" collapsed="false">
      <c r="B1568" s="1" t="s">
        <v>330</v>
      </c>
      <c r="C1568" s="1" t="s">
        <v>247</v>
      </c>
      <c r="D1568" s="14" t="n">
        <v>46053.8958333333</v>
      </c>
      <c r="E1568" s="14" t="n">
        <v>46053.8958333333</v>
      </c>
      <c r="F1568" s="14" t="n">
        <v>46054.4479166667</v>
      </c>
      <c r="G1568" s="15" t="n">
        <f aca="false">F1568-E1568</f>
        <v>0.552083333333333</v>
      </c>
      <c r="H1568" s="1" t="s">
        <v>248</v>
      </c>
      <c r="J1568" s="1" t="s">
        <v>256</v>
      </c>
      <c r="K1568" s="1" t="s">
        <v>430</v>
      </c>
      <c r="L1568" s="1" t="s">
        <v>669</v>
      </c>
      <c r="M1568" s="1" t="s">
        <v>258</v>
      </c>
      <c r="N1568" s="1" t="s">
        <v>379</v>
      </c>
      <c r="O1568" s="1" t="s">
        <v>399</v>
      </c>
      <c r="P1568" s="1" t="str">
        <f aca="false">_xlfn.CONCAT(B1568,C1568,D1568,E1568,F1568)</f>
        <v>BC Formoso2.1Inverter(MBUS-13)46053.895833333346053.895833333346054.4479166667</v>
      </c>
      <c r="Q1568" s="1" t="str">
        <f aca="false">_xlfn.CONCAT(H1568,I1568,J1568)</f>
        <v>DAURDE</v>
      </c>
    </row>
    <row r="1569" customFormat="false" ht="15" hidden="false" customHeight="false" outlineLevel="0" collapsed="false">
      <c r="B1569" s="1" t="s">
        <v>330</v>
      </c>
      <c r="C1569" s="1" t="s">
        <v>255</v>
      </c>
      <c r="D1569" s="14" t="n">
        <v>46053.8958333333</v>
      </c>
      <c r="E1569" s="14" t="n">
        <v>46053.8958333333</v>
      </c>
      <c r="F1569" s="14" t="n">
        <v>46054.4479166667</v>
      </c>
      <c r="G1569" s="15" t="n">
        <f aca="false">F1569-E1569</f>
        <v>0.552083333333333</v>
      </c>
      <c r="H1569" s="1" t="s">
        <v>248</v>
      </c>
      <c r="J1569" s="1" t="s">
        <v>256</v>
      </c>
      <c r="K1569" s="1" t="s">
        <v>430</v>
      </c>
      <c r="L1569" s="1" t="s">
        <v>669</v>
      </c>
      <c r="M1569" s="1" t="s">
        <v>258</v>
      </c>
      <c r="N1569" s="1" t="s">
        <v>379</v>
      </c>
      <c r="O1569" s="1" t="s">
        <v>399</v>
      </c>
      <c r="P1569" s="1" t="str">
        <f aca="false">_xlfn.CONCAT(B1569,C1569,D1569,E1569,F1569)</f>
        <v>BC Formoso2.1Inverter(MBUS-1)46053.895833333346053.895833333346054.4479166667</v>
      </c>
      <c r="Q1569" s="1" t="str">
        <f aca="false">_xlfn.CONCAT(H1569,I1569,J1569)</f>
        <v>DAURDE</v>
      </c>
    </row>
    <row r="1570" customFormat="false" ht="15" hidden="false" customHeight="false" outlineLevel="0" collapsed="false">
      <c r="B1570" s="1" t="s">
        <v>622</v>
      </c>
      <c r="C1570" s="1" t="s">
        <v>280</v>
      </c>
      <c r="D1570" s="14" t="n">
        <v>46053.8958333333</v>
      </c>
      <c r="E1570" s="14" t="n">
        <v>46053.8958333333</v>
      </c>
      <c r="F1570" s="14" t="n">
        <v>46054.4479166667</v>
      </c>
      <c r="G1570" s="15" t="n">
        <f aca="false">F1570-E1570</f>
        <v>0.552083333333333</v>
      </c>
      <c r="H1570" s="1" t="s">
        <v>248</v>
      </c>
      <c r="J1570" s="1" t="s">
        <v>256</v>
      </c>
      <c r="K1570" s="1" t="s">
        <v>430</v>
      </c>
      <c r="L1570" s="1" t="s">
        <v>669</v>
      </c>
      <c r="M1570" s="1" t="s">
        <v>258</v>
      </c>
      <c r="N1570" s="1" t="s">
        <v>379</v>
      </c>
      <c r="O1570" s="1" t="s">
        <v>399</v>
      </c>
      <c r="P1570" s="1" t="str">
        <f aca="false">_xlfn.CONCAT(B1570,C1570,D1570,E1570,F1570)</f>
        <v>BC Formoso2.2Inverter(MBUS-14)46053.895833333346053.895833333346054.4479166667</v>
      </c>
      <c r="Q1570" s="1" t="str">
        <f aca="false">_xlfn.CONCAT(H1570,I1570,J1570)</f>
        <v>DAURDE</v>
      </c>
    </row>
    <row r="1571" customFormat="false" ht="15" hidden="false" customHeight="false" outlineLevel="0" collapsed="false">
      <c r="B1571" s="1" t="s">
        <v>622</v>
      </c>
      <c r="C1571" s="1" t="s">
        <v>247</v>
      </c>
      <c r="D1571" s="14" t="n">
        <v>46053.8958333333</v>
      </c>
      <c r="E1571" s="14" t="n">
        <v>46053.8958333333</v>
      </c>
      <c r="F1571" s="14" t="n">
        <v>46054.4479166667</v>
      </c>
      <c r="G1571" s="15" t="n">
        <f aca="false">F1571-E1571</f>
        <v>0.552083333333333</v>
      </c>
      <c r="H1571" s="1" t="s">
        <v>248</v>
      </c>
      <c r="J1571" s="1" t="s">
        <v>256</v>
      </c>
      <c r="K1571" s="1" t="s">
        <v>430</v>
      </c>
      <c r="L1571" s="1" t="s">
        <v>669</v>
      </c>
      <c r="M1571" s="1" t="s">
        <v>258</v>
      </c>
      <c r="N1571" s="1" t="s">
        <v>379</v>
      </c>
      <c r="O1571" s="1" t="s">
        <v>399</v>
      </c>
      <c r="P1571" s="1" t="str">
        <f aca="false">_xlfn.CONCAT(B1571,C1571,D1571,E1571,F1571)</f>
        <v>BC Formoso2.2Inverter(MBUS-13)46053.895833333346053.895833333346054.4479166667</v>
      </c>
      <c r="Q1571" s="1" t="str">
        <f aca="false">_xlfn.CONCAT(H1571,I1571,J1571)</f>
        <v>DAURDE</v>
      </c>
    </row>
    <row r="1572" customFormat="false" ht="15" hidden="false" customHeight="false" outlineLevel="0" collapsed="false">
      <c r="B1572" s="1" t="s">
        <v>622</v>
      </c>
      <c r="C1572" s="1" t="s">
        <v>277</v>
      </c>
      <c r="D1572" s="14" t="n">
        <v>46053.8958333333</v>
      </c>
      <c r="E1572" s="14" t="n">
        <v>46053.8958333333</v>
      </c>
      <c r="F1572" s="14" t="n">
        <v>46054.4479166667</v>
      </c>
      <c r="G1572" s="15" t="n">
        <f aca="false">F1572-E1572</f>
        <v>0.552083333333333</v>
      </c>
      <c r="H1572" s="1" t="s">
        <v>248</v>
      </c>
      <c r="J1572" s="1" t="s">
        <v>256</v>
      </c>
      <c r="K1572" s="1" t="s">
        <v>430</v>
      </c>
      <c r="L1572" s="1" t="s">
        <v>669</v>
      </c>
      <c r="M1572" s="1" t="s">
        <v>258</v>
      </c>
      <c r="N1572" s="1" t="s">
        <v>379</v>
      </c>
      <c r="O1572" s="1" t="s">
        <v>399</v>
      </c>
      <c r="P1572" s="1" t="str">
        <f aca="false">_xlfn.CONCAT(B1572,C1572,D1572,E1572,F1572)</f>
        <v>BC Formoso2.2Inverter(MBUS-12)46053.895833333346053.895833333346054.4479166667</v>
      </c>
      <c r="Q1572" s="1" t="str">
        <f aca="false">_xlfn.CONCAT(H1572,I1572,J1572)</f>
        <v>DAURDE</v>
      </c>
    </row>
    <row r="1573" customFormat="false" ht="15" hidden="false" customHeight="false" outlineLevel="0" collapsed="false">
      <c r="B1573" s="1" t="s">
        <v>622</v>
      </c>
      <c r="C1573" s="1" t="s">
        <v>255</v>
      </c>
      <c r="D1573" s="14" t="n">
        <v>46053.8958333333</v>
      </c>
      <c r="E1573" s="14" t="n">
        <v>46053.8958333333</v>
      </c>
      <c r="F1573" s="14" t="n">
        <v>46054.4479166667</v>
      </c>
      <c r="G1573" s="15" t="n">
        <f aca="false">F1573-E1573</f>
        <v>0.552083333333333</v>
      </c>
      <c r="H1573" s="1" t="s">
        <v>248</v>
      </c>
      <c r="J1573" s="1" t="s">
        <v>256</v>
      </c>
      <c r="K1573" s="1" t="s">
        <v>430</v>
      </c>
      <c r="L1573" s="1" t="s">
        <v>669</v>
      </c>
      <c r="M1573" s="1" t="s">
        <v>258</v>
      </c>
      <c r="N1573" s="1" t="s">
        <v>379</v>
      </c>
      <c r="O1573" s="1" t="s">
        <v>399</v>
      </c>
      <c r="P1573" s="1" t="str">
        <f aca="false">_xlfn.CONCAT(B1573,C1573,D1573,E1573,F1573)</f>
        <v>BC Formoso2.2Inverter(MBUS-1)46053.895833333346053.895833333346054.4479166667</v>
      </c>
      <c r="Q1573" s="1" t="str">
        <f aca="false">_xlfn.CONCAT(H1573,I1573,J1573)</f>
        <v>DAURDE</v>
      </c>
    </row>
    <row r="1574" customFormat="false" ht="15" hidden="false" customHeight="false" outlineLevel="0" collapsed="false">
      <c r="B1574" s="1" t="s">
        <v>332</v>
      </c>
      <c r="C1574" s="1" t="s">
        <v>247</v>
      </c>
      <c r="D1574" s="14" t="n">
        <v>46053.8958333333</v>
      </c>
      <c r="E1574" s="14" t="n">
        <v>46053.8958333333</v>
      </c>
      <c r="F1574" s="14" t="n">
        <v>46054.4479166667</v>
      </c>
      <c r="G1574" s="15" t="n">
        <f aca="false">F1574-E1574</f>
        <v>0.552083333333333</v>
      </c>
      <c r="H1574" s="1" t="s">
        <v>248</v>
      </c>
      <c r="J1574" s="1" t="s">
        <v>256</v>
      </c>
      <c r="K1574" s="1" t="s">
        <v>430</v>
      </c>
      <c r="L1574" s="1" t="s">
        <v>669</v>
      </c>
      <c r="M1574" s="1" t="s">
        <v>258</v>
      </c>
      <c r="N1574" s="1" t="s">
        <v>379</v>
      </c>
      <c r="O1574" s="1" t="s">
        <v>399</v>
      </c>
      <c r="P1574" s="1" t="str">
        <f aca="false">_xlfn.CONCAT(B1574,C1574,D1574,E1574,F1574)</f>
        <v>BC Formoso2.3Inverter(MBUS-13)46053.895833333346053.895833333346054.4479166667</v>
      </c>
      <c r="Q1574" s="1" t="str">
        <f aca="false">_xlfn.CONCAT(H1574,I1574,J1574)</f>
        <v>DAURDE</v>
      </c>
    </row>
    <row r="1575" customFormat="false" ht="15" hidden="false" customHeight="false" outlineLevel="0" collapsed="false">
      <c r="B1575" s="1" t="s">
        <v>332</v>
      </c>
      <c r="C1575" s="1" t="s">
        <v>277</v>
      </c>
      <c r="D1575" s="14" t="n">
        <v>46053.8958333333</v>
      </c>
      <c r="E1575" s="14" t="n">
        <v>46053.8958333333</v>
      </c>
      <c r="F1575" s="14" t="n">
        <v>46054.4479166667</v>
      </c>
      <c r="G1575" s="15" t="n">
        <f aca="false">F1575-E1575</f>
        <v>0.552083333333333</v>
      </c>
      <c r="H1575" s="1" t="s">
        <v>248</v>
      </c>
      <c r="J1575" s="1" t="s">
        <v>256</v>
      </c>
      <c r="K1575" s="1" t="s">
        <v>430</v>
      </c>
      <c r="L1575" s="1" t="s">
        <v>669</v>
      </c>
      <c r="M1575" s="1" t="s">
        <v>258</v>
      </c>
      <c r="N1575" s="1" t="s">
        <v>379</v>
      </c>
      <c r="O1575" s="1" t="s">
        <v>399</v>
      </c>
      <c r="P1575" s="1" t="str">
        <f aca="false">_xlfn.CONCAT(B1575,C1575,D1575,E1575,F1575)</f>
        <v>BC Formoso2.3Inverter(MBUS-12)46053.895833333346053.895833333346054.4479166667</v>
      </c>
      <c r="Q1575" s="1" t="str">
        <f aca="false">_xlfn.CONCAT(H1575,I1575,J1575)</f>
        <v>DAURDE</v>
      </c>
    </row>
  </sheetData>
  <autoFilter ref="A1:Q1"/>
  <conditionalFormatting sqref="P1558:P1048576 P1">
    <cfRule type="duplicateValues" priority="2" aboveAverage="0" equalAverage="0" bottom="0" percent="0" rank="0" text="" dxfId="2"/>
  </conditionalFormatting>
  <conditionalFormatting sqref="P1">
    <cfRule type="duplicateValues" priority="3" aboveAverage="0" equalAverage="0" bottom="0" percent="0" rank="0" text="" dxfId="3"/>
    <cfRule type="duplicateValues" priority="4" aboveAverage="0" equalAverage="0" bottom="0" percent="0" rank="0" text="" dxfId="4"/>
  </conditionalFormatting>
  <conditionalFormatting sqref="P2:P1557">
    <cfRule type="duplicateValues" priority="5" aboveAverage="0" equalAverage="0" bottom="0" percent="0" rank="0" text="" dxfId="5"/>
  </conditionalFormatting>
  <dataValidations count="5">
    <dataValidation allowBlank="true" errorStyle="stop" operator="between" showDropDown="false" showErrorMessage="true" showInputMessage="true" sqref="J2:J1299 K1291:K1298 J1300:J1407" type="list">
      <formula1>REF!$D$2:$D$13</formula1>
      <formula2>0</formula2>
    </dataValidation>
    <dataValidation allowBlank="true" errorStyle="stop" operator="between" showDropDown="false" showErrorMessage="true" showInputMessage="true" sqref="H2:H1407" type="list">
      <formula1>REF!$B$2:$B$7</formula1>
      <formula2>0</formula2>
    </dataValidation>
    <dataValidation allowBlank="true" errorStyle="stop" operator="between" showDropDown="false" showErrorMessage="true" showInputMessage="true" sqref="I2:I630 I658:I661 I856:I870 I885:I1289 I1291:I1407" type="list">
      <formula1>REF!$C$2:$C$6</formula1>
      <formula2>0</formula2>
    </dataValidation>
    <dataValidation allowBlank="true" errorStyle="stop" operator="between" showDropDown="false" showErrorMessage="true" showInputMessage="true" sqref="M2:M1407" type="list">
      <formula1>REF!$F$2:$F$16</formula1>
      <formula2>0</formula2>
    </dataValidation>
    <dataValidation allowBlank="true" errorStyle="stop" operator="between" showDropDown="false" showErrorMessage="true" showInputMessage="true" sqref="N2:N856 O851:O855 N857:N1407 N1497 N1508:N1509 N1514" type="list">
      <formula1>REF!$A$2:$A$13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Q16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O1" activePane="topRight" state="frozen"/>
      <selection pane="topLeft" activeCell="A1" activeCellId="0" sqref="A1"/>
      <selection pane="topRight" activeCell="O909" activeCellId="0" sqref="O909"/>
    </sheetView>
  </sheetViews>
  <sheetFormatPr defaultColWidth="8.6796875" defaultRowHeight="15" zeroHeight="false" outlineLevelRow="0" outlineLevelCol="0"/>
  <cols>
    <col collapsed="false" customWidth="true" hidden="true" outlineLevel="0" max="1" min="1" style="13" width="17.42"/>
    <col collapsed="false" customWidth="true" hidden="false" outlineLevel="0" max="2" min="2" style="1" width="32.15"/>
    <col collapsed="false" customWidth="true" hidden="false" outlineLevel="0" max="3" min="3" style="1" width="30.71"/>
    <col collapsed="false" customWidth="true" hidden="false" outlineLevel="0" max="4" min="4" style="14" width="22.57"/>
    <col collapsed="false" customWidth="true" hidden="false" outlineLevel="0" max="6" min="5" style="14" width="19.57"/>
    <col collapsed="false" customWidth="true" hidden="false" outlineLevel="0" max="7" min="7" style="15" width="13.71"/>
    <col collapsed="false" customWidth="true" hidden="false" outlineLevel="0" max="8" min="8" style="1" width="12.15"/>
    <col collapsed="false" customWidth="true" hidden="false" outlineLevel="0" max="9" min="9" style="1" width="12"/>
    <col collapsed="false" customWidth="true" hidden="false" outlineLevel="0" max="10" min="10" style="1" width="11.71"/>
    <col collapsed="false" customWidth="true" hidden="false" outlineLevel="0" max="11" min="11" style="1" width="15.71"/>
    <col collapsed="false" customWidth="true" hidden="false" outlineLevel="0" max="12" min="12" style="1" width="142"/>
    <col collapsed="false" customWidth="true" hidden="false" outlineLevel="0" max="13" min="13" style="1" width="18.29"/>
    <col collapsed="false" customWidth="true" hidden="false" outlineLevel="0" max="14" min="14" style="1" width="36.57"/>
    <col collapsed="false" customWidth="true" hidden="false" outlineLevel="0" max="15" min="15" style="1" width="184"/>
    <col collapsed="false" customWidth="true" hidden="false" outlineLevel="0" max="16" min="16" style="1" width="90.71"/>
    <col collapsed="false" customWidth="true" hidden="false" outlineLevel="0" max="17" min="17" style="1" width="16"/>
  </cols>
  <sheetData>
    <row r="1" customFormat="false" ht="15" hidden="false" customHeight="false" outlineLevel="0" collapsed="false">
      <c r="A1" s="16" t="s">
        <v>1</v>
      </c>
      <c r="B1" s="17" t="s">
        <v>230</v>
      </c>
      <c r="C1" s="17" t="s">
        <v>231</v>
      </c>
      <c r="D1" s="18" t="s">
        <v>232</v>
      </c>
      <c r="E1" s="18" t="s">
        <v>233</v>
      </c>
      <c r="F1" s="18" t="s">
        <v>234</v>
      </c>
      <c r="G1" s="19" t="s">
        <v>235</v>
      </c>
      <c r="H1" s="17" t="s">
        <v>236</v>
      </c>
      <c r="I1" s="17" t="s">
        <v>237</v>
      </c>
      <c r="J1" s="17" t="s">
        <v>238</v>
      </c>
      <c r="K1" s="17" t="s">
        <v>239</v>
      </c>
      <c r="L1" s="17" t="s">
        <v>240</v>
      </c>
      <c r="M1" s="17" t="s">
        <v>241</v>
      </c>
      <c r="N1" s="17" t="s">
        <v>242</v>
      </c>
      <c r="O1" s="17" t="s">
        <v>243</v>
      </c>
      <c r="P1" s="17" t="s">
        <v>244</v>
      </c>
      <c r="Q1" s="17" t="s">
        <v>245</v>
      </c>
    </row>
    <row r="2" customFormat="false" ht="15" hidden="true" customHeight="false" outlineLevel="0" collapsed="false">
      <c r="B2" s="1" t="s">
        <v>626</v>
      </c>
      <c r="C2" s="1" t="s">
        <v>627</v>
      </c>
      <c r="D2" s="14" t="n">
        <v>45992.2847222222</v>
      </c>
      <c r="E2" s="14" t="n">
        <v>45992.2847222222</v>
      </c>
      <c r="F2" s="14" t="n">
        <v>46001.5763888889</v>
      </c>
      <c r="G2" s="15" t="n">
        <v>9.29166666666667</v>
      </c>
      <c r="H2" s="1" t="s">
        <v>248</v>
      </c>
      <c r="J2" s="1" t="s">
        <v>249</v>
      </c>
      <c r="K2" s="1" t="s">
        <v>439</v>
      </c>
      <c r="L2" s="1" t="s">
        <v>670</v>
      </c>
      <c r="M2" s="1" t="s">
        <v>251</v>
      </c>
      <c r="N2" s="1" t="s">
        <v>289</v>
      </c>
      <c r="O2" s="1" t="s">
        <v>671</v>
      </c>
      <c r="P2" s="1" t="str">
        <f aca="false">_xlfn.CONCAT(B2,C2,D2,E2,F2)</f>
        <v>BC Varjao2.1215KTL-H0(MBUS-12)45992.284722222245992.284722222246001.5763888889</v>
      </c>
      <c r="Q2" s="1" t="str">
        <f aca="false">_xlfn.CONCAT(H2,I2,J2)</f>
        <v>DAUINV</v>
      </c>
    </row>
    <row r="3" customFormat="false" ht="15" hidden="false" customHeight="false" outlineLevel="0" collapsed="false">
      <c r="B3" s="1" t="s">
        <v>672</v>
      </c>
      <c r="C3" s="1" t="s">
        <v>291</v>
      </c>
      <c r="D3" s="14" t="n">
        <v>45992.7291666667</v>
      </c>
      <c r="E3" s="14" t="n">
        <v>45992.7291666667</v>
      </c>
      <c r="F3" s="14" t="n">
        <v>45992.8333333333</v>
      </c>
      <c r="G3" s="32" t="n">
        <v>0.104166666666667</v>
      </c>
      <c r="H3" s="1" t="s">
        <v>445</v>
      </c>
      <c r="I3" s="1" t="s">
        <v>263</v>
      </c>
      <c r="J3" s="1" t="s">
        <v>264</v>
      </c>
      <c r="K3" s="1" t="s">
        <v>456</v>
      </c>
      <c r="L3" s="1" t="s">
        <v>673</v>
      </c>
      <c r="M3" s="1" t="s">
        <v>266</v>
      </c>
      <c r="N3" s="1" t="s">
        <v>252</v>
      </c>
      <c r="O3" s="1" t="s">
        <v>419</v>
      </c>
      <c r="P3" s="1" t="str">
        <f aca="false">_xlfn.CONCAT(B3,C3,D3,E3,F3)</f>
        <v>BC BomSucessoSG60KTL45992.729166666745992.729166666745992.8333333333</v>
      </c>
      <c r="Q3" s="1" t="str">
        <f aca="false">_xlfn.CONCAT(H3,I3,J3)</f>
        <v>LIGRFOCOM</v>
      </c>
    </row>
    <row r="4" customFormat="false" ht="15" hidden="false" customHeight="false" outlineLevel="0" collapsed="false">
      <c r="B4" s="1" t="s">
        <v>672</v>
      </c>
      <c r="C4" s="1" t="s">
        <v>674</v>
      </c>
      <c r="D4" s="14" t="n">
        <v>45992.7291666667</v>
      </c>
      <c r="E4" s="14" t="n">
        <v>45992.7291666667</v>
      </c>
      <c r="F4" s="14" t="n">
        <v>45992.8333333333</v>
      </c>
      <c r="G4" s="15" t="n">
        <v>0.104166666666667</v>
      </c>
      <c r="H4" s="1" t="s">
        <v>445</v>
      </c>
      <c r="I4" s="1" t="s">
        <v>263</v>
      </c>
      <c r="J4" s="1" t="s">
        <v>264</v>
      </c>
      <c r="K4" s="1" t="s">
        <v>456</v>
      </c>
      <c r="L4" s="1" t="s">
        <v>673</v>
      </c>
      <c r="M4" s="1" t="s">
        <v>266</v>
      </c>
      <c r="N4" s="1" t="s">
        <v>252</v>
      </c>
      <c r="O4" s="1" t="s">
        <v>419</v>
      </c>
      <c r="P4" s="1" t="str">
        <f aca="false">_xlfn.CONCAT(B4,C4,D4,E4,F4)</f>
        <v>BC BomSucessoABB_0145992.729166666745992.729166666745992.8333333333</v>
      </c>
      <c r="Q4" s="1" t="str">
        <f aca="false">_xlfn.CONCAT(H4,I4,J4)</f>
        <v>LIGRFOCOM</v>
      </c>
    </row>
    <row r="5" customFormat="false" ht="15" hidden="false" customHeight="false" outlineLevel="0" collapsed="false">
      <c r="B5" s="1" t="s">
        <v>672</v>
      </c>
      <c r="C5" s="1" t="s">
        <v>675</v>
      </c>
      <c r="D5" s="14" t="n">
        <v>45992.7291666667</v>
      </c>
      <c r="E5" s="14" t="n">
        <v>45992.7291666667</v>
      </c>
      <c r="F5" s="14" t="n">
        <v>45992.8333333333</v>
      </c>
      <c r="G5" s="15" t="n">
        <v>0.104166666666667</v>
      </c>
      <c r="H5" s="1" t="s">
        <v>445</v>
      </c>
      <c r="I5" s="1" t="s">
        <v>263</v>
      </c>
      <c r="J5" s="1" t="s">
        <v>264</v>
      </c>
      <c r="K5" s="1" t="s">
        <v>456</v>
      </c>
      <c r="L5" s="1" t="s">
        <v>673</v>
      </c>
      <c r="M5" s="1" t="s">
        <v>266</v>
      </c>
      <c r="N5" s="1" t="s">
        <v>252</v>
      </c>
      <c r="O5" s="1" t="s">
        <v>419</v>
      </c>
      <c r="P5" s="1" t="str">
        <f aca="false">_xlfn.CONCAT(B5,C5,D5,E5,F5)</f>
        <v>BC BomSucessoABB_0245992.729166666745992.729166666745992.8333333333</v>
      </c>
      <c r="Q5" s="1" t="str">
        <f aca="false">_xlfn.CONCAT(H5,I5,J5)</f>
        <v>LIGRFOCOM</v>
      </c>
    </row>
    <row r="6" customFormat="false" ht="15" hidden="false" customHeight="false" outlineLevel="0" collapsed="false">
      <c r="B6" s="1" t="s">
        <v>672</v>
      </c>
      <c r="C6" s="1" t="s">
        <v>676</v>
      </c>
      <c r="D6" s="14" t="n">
        <v>45992.7291666667</v>
      </c>
      <c r="E6" s="14" t="n">
        <v>45992.7291666667</v>
      </c>
      <c r="F6" s="14" t="n">
        <v>45992.8333333333</v>
      </c>
      <c r="G6" s="15" t="n">
        <v>0.104166666666667</v>
      </c>
      <c r="H6" s="1" t="s">
        <v>445</v>
      </c>
      <c r="I6" s="1" t="s">
        <v>263</v>
      </c>
      <c r="J6" s="1" t="s">
        <v>264</v>
      </c>
      <c r="K6" s="1" t="s">
        <v>456</v>
      </c>
      <c r="L6" s="1" t="s">
        <v>673</v>
      </c>
      <c r="M6" s="1" t="s">
        <v>266</v>
      </c>
      <c r="N6" s="1" t="s">
        <v>252</v>
      </c>
      <c r="O6" s="1" t="s">
        <v>419</v>
      </c>
      <c r="P6" s="1" t="str">
        <f aca="false">_xlfn.CONCAT(B6,C6,D6,E6,F6)</f>
        <v>BC BomSucessoABB_0345992.729166666745992.729166666745992.8333333333</v>
      </c>
      <c r="Q6" s="1" t="str">
        <f aca="false">_xlfn.CONCAT(H6,I6,J6)</f>
        <v>LIGRFOCOM</v>
      </c>
    </row>
    <row r="7" customFormat="false" ht="15" hidden="false" customHeight="false" outlineLevel="0" collapsed="false">
      <c r="B7" s="1" t="s">
        <v>672</v>
      </c>
      <c r="C7" s="1" t="s">
        <v>677</v>
      </c>
      <c r="D7" s="14" t="n">
        <v>45992.7291666667</v>
      </c>
      <c r="E7" s="14" t="n">
        <v>45992.7291666667</v>
      </c>
      <c r="F7" s="14" t="n">
        <v>45992.8333333333</v>
      </c>
      <c r="G7" s="15" t="n">
        <v>0.104166666666667</v>
      </c>
      <c r="H7" s="1" t="s">
        <v>445</v>
      </c>
      <c r="I7" s="1" t="s">
        <v>263</v>
      </c>
      <c r="J7" s="1" t="s">
        <v>264</v>
      </c>
      <c r="K7" s="1" t="s">
        <v>456</v>
      </c>
      <c r="L7" s="1" t="s">
        <v>673</v>
      </c>
      <c r="M7" s="1" t="s">
        <v>266</v>
      </c>
      <c r="N7" s="1" t="s">
        <v>252</v>
      </c>
      <c r="O7" s="1" t="s">
        <v>419</v>
      </c>
      <c r="P7" s="1" t="str">
        <f aca="false">_xlfn.CONCAT(B7,C7,D7,E7,F7)</f>
        <v>BC BomSucessoABB_0445992.729166666745992.729166666745992.8333333333</v>
      </c>
      <c r="Q7" s="1" t="str">
        <f aca="false">_xlfn.CONCAT(H7,I7,J7)</f>
        <v>LIGRFOCOM</v>
      </c>
    </row>
    <row r="8" customFormat="false" ht="15" hidden="false" customHeight="false" outlineLevel="0" collapsed="false">
      <c r="B8" s="1" t="s">
        <v>672</v>
      </c>
      <c r="C8" s="1" t="s">
        <v>678</v>
      </c>
      <c r="D8" s="14" t="n">
        <v>45992.7291666667</v>
      </c>
      <c r="E8" s="14" t="n">
        <v>45992.7291666667</v>
      </c>
      <c r="F8" s="14" t="n">
        <v>45992.8333333333</v>
      </c>
      <c r="G8" s="15" t="n">
        <v>0.104166666666667</v>
      </c>
      <c r="H8" s="1" t="s">
        <v>445</v>
      </c>
      <c r="I8" s="1" t="s">
        <v>263</v>
      </c>
      <c r="J8" s="1" t="s">
        <v>264</v>
      </c>
      <c r="K8" s="1" t="s">
        <v>456</v>
      </c>
      <c r="L8" s="1" t="s">
        <v>673</v>
      </c>
      <c r="M8" s="1" t="s">
        <v>266</v>
      </c>
      <c r="N8" s="1" t="s">
        <v>252</v>
      </c>
      <c r="O8" s="1" t="s">
        <v>419</v>
      </c>
      <c r="P8" s="1" t="str">
        <f aca="false">_xlfn.CONCAT(B8,C8,D8,E8,F8)</f>
        <v>BC BomSucessoABB_0545992.729166666745992.729166666745992.8333333333</v>
      </c>
      <c r="Q8" s="1" t="str">
        <f aca="false">_xlfn.CONCAT(H8,I8,J8)</f>
        <v>LIGRFOCOM</v>
      </c>
    </row>
    <row r="9" customFormat="false" ht="15" hidden="false" customHeight="false" outlineLevel="0" collapsed="false">
      <c r="B9" s="1" t="s">
        <v>672</v>
      </c>
      <c r="C9" s="1" t="s">
        <v>679</v>
      </c>
      <c r="D9" s="14" t="n">
        <v>45992.7291666667</v>
      </c>
      <c r="E9" s="14" t="n">
        <v>45992.7291666667</v>
      </c>
      <c r="F9" s="14" t="n">
        <v>45992.8333333333</v>
      </c>
      <c r="G9" s="15" t="n">
        <v>0.104166666666667</v>
      </c>
      <c r="H9" s="1" t="s">
        <v>445</v>
      </c>
      <c r="I9" s="1" t="s">
        <v>263</v>
      </c>
      <c r="J9" s="1" t="s">
        <v>264</v>
      </c>
      <c r="K9" s="1" t="s">
        <v>456</v>
      </c>
      <c r="L9" s="1" t="s">
        <v>673</v>
      </c>
      <c r="M9" s="1" t="s">
        <v>266</v>
      </c>
      <c r="N9" s="1" t="s">
        <v>252</v>
      </c>
      <c r="O9" s="1" t="s">
        <v>419</v>
      </c>
      <c r="P9" s="1" t="str">
        <f aca="false">_xlfn.CONCAT(B9,C9,D9,E9,F9)</f>
        <v>BC BomSucessoABB_0645992.729166666745992.729166666745992.8333333333</v>
      </c>
      <c r="Q9" s="1" t="str">
        <f aca="false">_xlfn.CONCAT(H9,I9,J9)</f>
        <v>LIGRFOCOM</v>
      </c>
    </row>
    <row r="10" customFormat="false" ht="15" hidden="false" customHeight="false" outlineLevel="0" collapsed="false">
      <c r="B10" s="1" t="s">
        <v>672</v>
      </c>
      <c r="C10" s="1" t="s">
        <v>680</v>
      </c>
      <c r="D10" s="14" t="n">
        <v>45992.7291666667</v>
      </c>
      <c r="E10" s="14" t="n">
        <v>45992.7291666667</v>
      </c>
      <c r="F10" s="14" t="n">
        <v>45992.8333333333</v>
      </c>
      <c r="G10" s="15" t="n">
        <v>0.104166666666667</v>
      </c>
      <c r="H10" s="1" t="s">
        <v>445</v>
      </c>
      <c r="I10" s="1" t="s">
        <v>263</v>
      </c>
      <c r="J10" s="1" t="s">
        <v>264</v>
      </c>
      <c r="K10" s="1" t="s">
        <v>456</v>
      </c>
      <c r="L10" s="1" t="s">
        <v>673</v>
      </c>
      <c r="M10" s="1" t="s">
        <v>266</v>
      </c>
      <c r="N10" s="1" t="s">
        <v>252</v>
      </c>
      <c r="O10" s="1" t="s">
        <v>419</v>
      </c>
      <c r="P10" s="1" t="str">
        <f aca="false">_xlfn.CONCAT(B10,C10,D10,E10,F10)</f>
        <v>BC BomSucessoABB_0745992.729166666745992.729166666745992.8333333333</v>
      </c>
      <c r="Q10" s="1" t="str">
        <f aca="false">_xlfn.CONCAT(H10,I10,J10)</f>
        <v>LIGRFOCOM</v>
      </c>
    </row>
    <row r="11" customFormat="false" ht="15" hidden="false" customHeight="false" outlineLevel="0" collapsed="false">
      <c r="B11" s="1" t="s">
        <v>672</v>
      </c>
      <c r="C11" s="1" t="s">
        <v>681</v>
      </c>
      <c r="D11" s="14" t="n">
        <v>45992.7291666667</v>
      </c>
      <c r="E11" s="14" t="n">
        <v>45992.7291666667</v>
      </c>
      <c r="F11" s="14" t="n">
        <v>45992.8333333333</v>
      </c>
      <c r="G11" s="15" t="n">
        <v>0.104166666666667</v>
      </c>
      <c r="H11" s="1" t="s">
        <v>445</v>
      </c>
      <c r="I11" s="1" t="s">
        <v>263</v>
      </c>
      <c r="J11" s="1" t="s">
        <v>264</v>
      </c>
      <c r="K11" s="1" t="s">
        <v>456</v>
      </c>
      <c r="L11" s="1" t="s">
        <v>673</v>
      </c>
      <c r="M11" s="1" t="s">
        <v>266</v>
      </c>
      <c r="N11" s="1" t="s">
        <v>252</v>
      </c>
      <c r="O11" s="1" t="s">
        <v>419</v>
      </c>
      <c r="P11" s="1" t="str">
        <f aca="false">_xlfn.CONCAT(B11,C11,D11,E11,F11)</f>
        <v>BC BomSucessoABB_0845992.729166666745992.729166666745992.8333333333</v>
      </c>
      <c r="Q11" s="1" t="str">
        <f aca="false">_xlfn.CONCAT(H11,I11,J11)</f>
        <v>LIGRFOCOM</v>
      </c>
    </row>
    <row r="12" customFormat="false" ht="15" hidden="false" customHeight="false" outlineLevel="0" collapsed="false">
      <c r="B12" s="1" t="s">
        <v>672</v>
      </c>
      <c r="C12" s="1" t="s">
        <v>682</v>
      </c>
      <c r="D12" s="14" t="n">
        <v>45992.7291666667</v>
      </c>
      <c r="E12" s="14" t="n">
        <v>45992.7291666667</v>
      </c>
      <c r="F12" s="14" t="n">
        <v>45992.8333333333</v>
      </c>
      <c r="G12" s="15" t="n">
        <v>0.104166666666667</v>
      </c>
      <c r="H12" s="1" t="s">
        <v>445</v>
      </c>
      <c r="I12" s="1" t="s">
        <v>263</v>
      </c>
      <c r="J12" s="1" t="s">
        <v>264</v>
      </c>
      <c r="K12" s="1" t="s">
        <v>456</v>
      </c>
      <c r="L12" s="1" t="s">
        <v>673</v>
      </c>
      <c r="M12" s="1" t="s">
        <v>266</v>
      </c>
      <c r="N12" s="1" t="s">
        <v>252</v>
      </c>
      <c r="O12" s="1" t="s">
        <v>419</v>
      </c>
      <c r="P12" s="1" t="str">
        <f aca="false">_xlfn.CONCAT(B12,C12,D12,E12,F12)</f>
        <v>BC BomSucessoABB_0945992.729166666745992.729166666745992.8333333333</v>
      </c>
      <c r="Q12" s="1" t="str">
        <f aca="false">_xlfn.CONCAT(H12,I12,J12)</f>
        <v>LIGRFOCOM</v>
      </c>
    </row>
    <row r="13" customFormat="false" ht="15" hidden="false" customHeight="false" outlineLevel="0" collapsed="false">
      <c r="B13" s="1" t="s">
        <v>672</v>
      </c>
      <c r="C13" s="1" t="s">
        <v>683</v>
      </c>
      <c r="D13" s="14" t="n">
        <v>45992.7291666667</v>
      </c>
      <c r="E13" s="14" t="n">
        <v>45992.7291666667</v>
      </c>
      <c r="F13" s="14" t="n">
        <v>45992.8333333333</v>
      </c>
      <c r="G13" s="15" t="n">
        <v>0.104166666666667</v>
      </c>
      <c r="H13" s="1" t="s">
        <v>445</v>
      </c>
      <c r="I13" s="1" t="s">
        <v>263</v>
      </c>
      <c r="J13" s="1" t="s">
        <v>264</v>
      </c>
      <c r="K13" s="1" t="s">
        <v>456</v>
      </c>
      <c r="L13" s="1" t="s">
        <v>673</v>
      </c>
      <c r="M13" s="1" t="s">
        <v>266</v>
      </c>
      <c r="N13" s="1" t="s">
        <v>252</v>
      </c>
      <c r="O13" s="1" t="s">
        <v>419</v>
      </c>
      <c r="P13" s="1" t="str">
        <f aca="false">_xlfn.CONCAT(B13,C13,D13,E13,F13)</f>
        <v>BC BomSucessoABB_1045992.729166666745992.729166666745992.8333333333</v>
      </c>
      <c r="Q13" s="1" t="str">
        <f aca="false">_xlfn.CONCAT(H13,I13,J13)</f>
        <v>LIGRFOCOM</v>
      </c>
    </row>
    <row r="14" customFormat="false" ht="15" hidden="false" customHeight="false" outlineLevel="0" collapsed="false">
      <c r="B14" s="1" t="s">
        <v>672</v>
      </c>
      <c r="C14" s="1" t="s">
        <v>684</v>
      </c>
      <c r="D14" s="14" t="n">
        <v>45992.7291666667</v>
      </c>
      <c r="E14" s="14" t="n">
        <v>45992.7291666667</v>
      </c>
      <c r="F14" s="14" t="n">
        <v>45992.8333333333</v>
      </c>
      <c r="G14" s="15" t="n">
        <v>0.104166666666667</v>
      </c>
      <c r="H14" s="1" t="s">
        <v>445</v>
      </c>
      <c r="I14" s="1" t="s">
        <v>263</v>
      </c>
      <c r="J14" s="1" t="s">
        <v>264</v>
      </c>
      <c r="K14" s="1" t="s">
        <v>456</v>
      </c>
      <c r="L14" s="1" t="s">
        <v>673</v>
      </c>
      <c r="M14" s="1" t="s">
        <v>266</v>
      </c>
      <c r="N14" s="1" t="s">
        <v>252</v>
      </c>
      <c r="O14" s="1" t="s">
        <v>419</v>
      </c>
      <c r="P14" s="1" t="str">
        <f aca="false">_xlfn.CONCAT(B14,C14,D14,E14,F14)</f>
        <v>BC BomSucessoABB_1145992.729166666745992.729166666745992.8333333333</v>
      </c>
      <c r="Q14" s="1" t="str">
        <f aca="false">_xlfn.CONCAT(H14,I14,J14)</f>
        <v>LIGRFOCOM</v>
      </c>
    </row>
    <row r="15" customFormat="false" ht="15" hidden="true" customHeight="false" outlineLevel="0" collapsed="false">
      <c r="B15" s="1" t="s">
        <v>685</v>
      </c>
      <c r="C15" s="1" t="s">
        <v>396</v>
      </c>
      <c r="D15" s="14" t="n">
        <v>45992.75</v>
      </c>
      <c r="E15" s="14" t="n">
        <v>45992.75</v>
      </c>
      <c r="F15" s="14" t="n">
        <v>45992.8125</v>
      </c>
      <c r="G15" s="15" t="n">
        <v>0.0625</v>
      </c>
      <c r="H15" s="1" t="s">
        <v>248</v>
      </c>
      <c r="J15" s="1" t="s">
        <v>256</v>
      </c>
      <c r="K15" s="1" t="s">
        <v>430</v>
      </c>
      <c r="L15" s="1" t="s">
        <v>686</v>
      </c>
      <c r="M15" s="1" t="s">
        <v>258</v>
      </c>
      <c r="N15" s="1" t="s">
        <v>379</v>
      </c>
      <c r="O15" s="1" t="s">
        <v>687</v>
      </c>
      <c r="P15" s="1" t="str">
        <f aca="false">_xlfn.CONCAT(B15,C15,D15,E15,F15)</f>
        <v>BC Camarao1.1215KTL-H3(MBUS-12)45992.7545992.7545992.8125</v>
      </c>
      <c r="Q15" s="1" t="str">
        <f aca="false">_xlfn.CONCAT(H15,I15,J15)</f>
        <v>DAURDE</v>
      </c>
    </row>
    <row r="16" customFormat="false" ht="15" hidden="true" customHeight="false" outlineLevel="0" collapsed="false">
      <c r="B16" s="1" t="s">
        <v>685</v>
      </c>
      <c r="C16" s="1" t="s">
        <v>397</v>
      </c>
      <c r="D16" s="14" t="n">
        <v>45992.75</v>
      </c>
      <c r="E16" s="14" t="n">
        <v>45992.75</v>
      </c>
      <c r="F16" s="14" t="n">
        <v>45992.8125</v>
      </c>
      <c r="G16" s="15" t="n">
        <v>0.0625</v>
      </c>
      <c r="H16" s="1" t="s">
        <v>248</v>
      </c>
      <c r="J16" s="1" t="s">
        <v>256</v>
      </c>
      <c r="K16" s="1" t="s">
        <v>430</v>
      </c>
      <c r="L16" s="1" t="s">
        <v>686</v>
      </c>
      <c r="M16" s="1" t="s">
        <v>258</v>
      </c>
      <c r="N16" s="1" t="s">
        <v>379</v>
      </c>
      <c r="O16" s="1" t="s">
        <v>687</v>
      </c>
      <c r="P16" s="1" t="str">
        <f aca="false">_xlfn.CONCAT(B16,C16,D16,E16,F16)</f>
        <v>BC Camarao1.1215KTL-H3(MBUS-13)45992.7545992.7545992.8125</v>
      </c>
      <c r="Q16" s="1" t="str">
        <f aca="false">_xlfn.CONCAT(H16,I16,J16)</f>
        <v>DAURDE</v>
      </c>
    </row>
    <row r="17" customFormat="false" ht="15" hidden="true" customHeight="false" outlineLevel="0" collapsed="false">
      <c r="B17" s="1" t="s">
        <v>685</v>
      </c>
      <c r="C17" s="1" t="s">
        <v>391</v>
      </c>
      <c r="D17" s="14" t="n">
        <v>45992.75</v>
      </c>
      <c r="E17" s="14" t="n">
        <v>45992.75</v>
      </c>
      <c r="F17" s="14" t="n">
        <v>45992.8125</v>
      </c>
      <c r="G17" s="15" t="n">
        <v>0.0625</v>
      </c>
      <c r="H17" s="1" t="s">
        <v>248</v>
      </c>
      <c r="J17" s="1" t="s">
        <v>256</v>
      </c>
      <c r="K17" s="1" t="s">
        <v>430</v>
      </c>
      <c r="L17" s="1" t="s">
        <v>686</v>
      </c>
      <c r="M17" s="1" t="s">
        <v>258</v>
      </c>
      <c r="N17" s="1" t="s">
        <v>379</v>
      </c>
      <c r="O17" s="1" t="s">
        <v>687</v>
      </c>
      <c r="P17" s="1" t="str">
        <f aca="false">_xlfn.CONCAT(B17,C17,D17,E17,F17)</f>
        <v>BC Camarao1.1215KTL-H3(MBUS-16)45992.7545992.7545992.8125</v>
      </c>
      <c r="Q17" s="1" t="str">
        <f aca="false">_xlfn.CONCAT(H17,I17,J17)</f>
        <v>DAURDE</v>
      </c>
    </row>
    <row r="18" customFormat="false" ht="15" hidden="true" customHeight="false" outlineLevel="0" collapsed="false">
      <c r="B18" s="1" t="s">
        <v>685</v>
      </c>
      <c r="C18" s="1" t="s">
        <v>395</v>
      </c>
      <c r="D18" s="14" t="n">
        <v>45992.75</v>
      </c>
      <c r="E18" s="14" t="n">
        <v>45992.75</v>
      </c>
      <c r="F18" s="14" t="n">
        <v>45992.8125</v>
      </c>
      <c r="G18" s="15" t="n">
        <v>0.0625</v>
      </c>
      <c r="H18" s="1" t="s">
        <v>248</v>
      </c>
      <c r="J18" s="1" t="s">
        <v>256</v>
      </c>
      <c r="K18" s="1" t="s">
        <v>430</v>
      </c>
      <c r="L18" s="1" t="s">
        <v>686</v>
      </c>
      <c r="M18" s="1" t="s">
        <v>258</v>
      </c>
      <c r="N18" s="1" t="s">
        <v>379</v>
      </c>
      <c r="O18" s="1" t="s">
        <v>687</v>
      </c>
      <c r="P18" s="1" t="str">
        <f aca="false">_xlfn.CONCAT(B18,C18,D18,E18,F18)</f>
        <v>BC Camarao1.1215KTL-H3(MBUS-15)45992.7545992.7545992.8125</v>
      </c>
      <c r="Q18" s="1" t="str">
        <f aca="false">_xlfn.CONCAT(H18,I18,J18)</f>
        <v>DAURDE</v>
      </c>
    </row>
    <row r="19" customFormat="false" ht="15" hidden="true" customHeight="false" outlineLevel="0" collapsed="false">
      <c r="B19" s="1" t="s">
        <v>688</v>
      </c>
      <c r="C19" s="1" t="s">
        <v>689</v>
      </c>
      <c r="D19" s="14" t="n">
        <v>45992.75</v>
      </c>
      <c r="E19" s="14" t="n">
        <v>45992.75</v>
      </c>
      <c r="F19" s="14" t="n">
        <v>45992.8125</v>
      </c>
      <c r="G19" s="15" t="n">
        <v>0.0625</v>
      </c>
      <c r="H19" s="1" t="s">
        <v>248</v>
      </c>
      <c r="J19" s="1" t="s">
        <v>256</v>
      </c>
      <c r="K19" s="1" t="s">
        <v>430</v>
      </c>
      <c r="L19" s="1" t="s">
        <v>686</v>
      </c>
      <c r="M19" s="1" t="s">
        <v>258</v>
      </c>
      <c r="N19" s="1" t="s">
        <v>379</v>
      </c>
      <c r="O19" s="1" t="s">
        <v>687</v>
      </c>
      <c r="P19" s="1" t="str">
        <f aca="false">_xlfn.CONCAT(B19,C19,D19,E19,F19)</f>
        <v>BC Camarao1.2Inv. 445992.7545992.7545992.8125</v>
      </c>
      <c r="Q19" s="1" t="str">
        <f aca="false">_xlfn.CONCAT(H19,I19,J19)</f>
        <v>DAURDE</v>
      </c>
    </row>
    <row r="20" customFormat="false" ht="15" hidden="true" customHeight="false" outlineLevel="0" collapsed="false">
      <c r="B20" s="1" t="s">
        <v>688</v>
      </c>
      <c r="C20" s="1" t="s">
        <v>690</v>
      </c>
      <c r="D20" s="14" t="n">
        <v>45992.75</v>
      </c>
      <c r="E20" s="14" t="n">
        <v>45992.75</v>
      </c>
      <c r="F20" s="14" t="n">
        <v>45992.8125</v>
      </c>
      <c r="G20" s="15" t="n">
        <v>0.0625</v>
      </c>
      <c r="H20" s="1" t="s">
        <v>248</v>
      </c>
      <c r="J20" s="1" t="s">
        <v>256</v>
      </c>
      <c r="K20" s="1" t="s">
        <v>430</v>
      </c>
      <c r="L20" s="1" t="s">
        <v>686</v>
      </c>
      <c r="M20" s="1" t="s">
        <v>258</v>
      </c>
      <c r="N20" s="1" t="s">
        <v>379</v>
      </c>
      <c r="O20" s="1" t="s">
        <v>687</v>
      </c>
      <c r="P20" s="1" t="str">
        <f aca="false">_xlfn.CONCAT(B20,C20,D20,E20,F20)</f>
        <v>BC Camarao1.2Inverter(MBUS-16)45992.7545992.7545992.8125</v>
      </c>
      <c r="Q20" s="1" t="str">
        <f aca="false">_xlfn.CONCAT(H20,I20,J20)</f>
        <v>DAURDE</v>
      </c>
    </row>
    <row r="21" customFormat="false" ht="15" hidden="true" customHeight="false" outlineLevel="0" collapsed="false">
      <c r="B21" s="1" t="s">
        <v>688</v>
      </c>
      <c r="C21" s="1" t="s">
        <v>277</v>
      </c>
      <c r="D21" s="14" t="n">
        <v>45992.75</v>
      </c>
      <c r="E21" s="14" t="n">
        <v>45992.75</v>
      </c>
      <c r="F21" s="14" t="n">
        <v>45992.8125</v>
      </c>
      <c r="G21" s="15" t="n">
        <v>0.0625</v>
      </c>
      <c r="H21" s="1" t="s">
        <v>248</v>
      </c>
      <c r="J21" s="1" t="s">
        <v>256</v>
      </c>
      <c r="K21" s="1" t="s">
        <v>430</v>
      </c>
      <c r="L21" s="1" t="s">
        <v>686</v>
      </c>
      <c r="M21" s="1" t="s">
        <v>258</v>
      </c>
      <c r="N21" s="1" t="s">
        <v>379</v>
      </c>
      <c r="O21" s="1" t="s">
        <v>687</v>
      </c>
      <c r="P21" s="1" t="str">
        <f aca="false">_xlfn.CONCAT(B21,C21,D21,E21,F21)</f>
        <v>BC Camarao1.2Inverter(MBUS-12)45992.7545992.7545992.8125</v>
      </c>
      <c r="Q21" s="1" t="str">
        <f aca="false">_xlfn.CONCAT(H21,I21,J21)</f>
        <v>DAURDE</v>
      </c>
    </row>
    <row r="22" customFormat="false" ht="15" hidden="true" customHeight="false" outlineLevel="0" collapsed="false">
      <c r="B22" s="1" t="s">
        <v>688</v>
      </c>
      <c r="C22" s="1" t="s">
        <v>691</v>
      </c>
      <c r="D22" s="14" t="n">
        <v>45992.75</v>
      </c>
      <c r="E22" s="14" t="n">
        <v>45992.75</v>
      </c>
      <c r="F22" s="14" t="n">
        <v>45992.8125</v>
      </c>
      <c r="G22" s="15" t="n">
        <v>0.0625</v>
      </c>
      <c r="H22" s="1" t="s">
        <v>248</v>
      </c>
      <c r="J22" s="1" t="s">
        <v>256</v>
      </c>
      <c r="K22" s="1" t="s">
        <v>430</v>
      </c>
      <c r="L22" s="1" t="s">
        <v>686</v>
      </c>
      <c r="M22" s="1" t="s">
        <v>258</v>
      </c>
      <c r="N22" s="1" t="s">
        <v>379</v>
      </c>
      <c r="O22" s="1" t="s">
        <v>687</v>
      </c>
      <c r="P22" s="1" t="str">
        <f aca="false">_xlfn.CONCAT(B22,C22,D22,E22,F22)</f>
        <v>BC Camarao1.2Inv. 345992.7545992.7545992.8125</v>
      </c>
      <c r="Q22" s="1" t="str">
        <f aca="false">_xlfn.CONCAT(H22,I22,J22)</f>
        <v>DAURDE</v>
      </c>
    </row>
    <row r="23" customFormat="false" ht="15" hidden="true" customHeight="false" outlineLevel="0" collapsed="false">
      <c r="B23" s="1" t="s">
        <v>688</v>
      </c>
      <c r="C23" s="1" t="s">
        <v>255</v>
      </c>
      <c r="D23" s="14" t="n">
        <v>45992.75</v>
      </c>
      <c r="E23" s="14" t="n">
        <v>45992.75</v>
      </c>
      <c r="F23" s="14" t="n">
        <v>45992.8125</v>
      </c>
      <c r="G23" s="15" t="n">
        <v>0.0625</v>
      </c>
      <c r="H23" s="1" t="s">
        <v>248</v>
      </c>
      <c r="J23" s="1" t="s">
        <v>256</v>
      </c>
      <c r="K23" s="1" t="s">
        <v>430</v>
      </c>
      <c r="L23" s="1" t="s">
        <v>686</v>
      </c>
      <c r="M23" s="1" t="s">
        <v>258</v>
      </c>
      <c r="N23" s="1" t="s">
        <v>379</v>
      </c>
      <c r="O23" s="1" t="s">
        <v>687</v>
      </c>
      <c r="P23" s="1" t="str">
        <f aca="false">_xlfn.CONCAT(B23,C23,D23,E23,F23)</f>
        <v>BC Camarao1.2Inverter(MBUS-1)45992.7545992.7545992.8125</v>
      </c>
      <c r="Q23" s="1" t="str">
        <f aca="false">_xlfn.CONCAT(H23,I23,J23)</f>
        <v>DAURDE</v>
      </c>
    </row>
    <row r="24" customFormat="false" ht="15" hidden="true" customHeight="false" outlineLevel="0" collapsed="false">
      <c r="B24" s="1" t="s">
        <v>390</v>
      </c>
      <c r="C24" s="1" t="s">
        <v>391</v>
      </c>
      <c r="D24" s="14" t="n">
        <v>45992.75</v>
      </c>
      <c r="E24" s="14" t="n">
        <v>45992.75</v>
      </c>
      <c r="F24" s="14" t="n">
        <v>45992.8125</v>
      </c>
      <c r="G24" s="15" t="n">
        <v>0.0625</v>
      </c>
      <c r="H24" s="1" t="s">
        <v>248</v>
      </c>
      <c r="J24" s="1" t="s">
        <v>256</v>
      </c>
      <c r="K24" s="1" t="s">
        <v>430</v>
      </c>
      <c r="L24" s="1" t="s">
        <v>686</v>
      </c>
      <c r="M24" s="1" t="s">
        <v>258</v>
      </c>
      <c r="N24" s="1" t="s">
        <v>379</v>
      </c>
      <c r="O24" s="1" t="s">
        <v>687</v>
      </c>
      <c r="P24" s="1" t="str">
        <f aca="false">_xlfn.CONCAT(B24,C24,D24,E24,F24)</f>
        <v>BC Camarao1.3215KTL-H3(MBUS-16)45992.7545992.7545992.8125</v>
      </c>
      <c r="Q24" s="1" t="str">
        <f aca="false">_xlfn.CONCAT(H24,I24,J24)</f>
        <v>DAURDE</v>
      </c>
    </row>
    <row r="25" customFormat="false" ht="15" hidden="true" customHeight="false" outlineLevel="0" collapsed="false">
      <c r="B25" s="1" t="s">
        <v>390</v>
      </c>
      <c r="C25" s="1" t="s">
        <v>394</v>
      </c>
      <c r="D25" s="14" t="n">
        <v>45992.75</v>
      </c>
      <c r="E25" s="14" t="n">
        <v>45992.75</v>
      </c>
      <c r="F25" s="14" t="n">
        <v>45992.8125</v>
      </c>
      <c r="G25" s="15" t="n">
        <v>0.0625</v>
      </c>
      <c r="H25" s="1" t="s">
        <v>248</v>
      </c>
      <c r="J25" s="1" t="s">
        <v>256</v>
      </c>
      <c r="K25" s="1" t="s">
        <v>430</v>
      </c>
      <c r="L25" s="1" t="s">
        <v>686</v>
      </c>
      <c r="M25" s="1" t="s">
        <v>258</v>
      </c>
      <c r="N25" s="1" t="s">
        <v>379</v>
      </c>
      <c r="O25" s="1" t="s">
        <v>687</v>
      </c>
      <c r="P25" s="1" t="str">
        <f aca="false">_xlfn.CONCAT(B25,C25,D25,E25,F25)</f>
        <v>BC Camarao1.3215KTL-H3(MBUS-14)45992.7545992.7545992.8125</v>
      </c>
      <c r="Q25" s="1" t="str">
        <f aca="false">_xlfn.CONCAT(H25,I25,J25)</f>
        <v>DAURDE</v>
      </c>
    </row>
    <row r="26" customFormat="false" ht="15" hidden="true" customHeight="false" outlineLevel="0" collapsed="false">
      <c r="B26" s="1" t="s">
        <v>390</v>
      </c>
      <c r="C26" s="1" t="s">
        <v>395</v>
      </c>
      <c r="D26" s="14" t="n">
        <v>45992.75</v>
      </c>
      <c r="E26" s="14" t="n">
        <v>45992.75</v>
      </c>
      <c r="F26" s="14" t="n">
        <v>45992.8125</v>
      </c>
      <c r="G26" s="15" t="n">
        <v>0.0625</v>
      </c>
      <c r="H26" s="1" t="s">
        <v>248</v>
      </c>
      <c r="J26" s="1" t="s">
        <v>256</v>
      </c>
      <c r="K26" s="1" t="s">
        <v>430</v>
      </c>
      <c r="L26" s="1" t="s">
        <v>686</v>
      </c>
      <c r="M26" s="1" t="s">
        <v>258</v>
      </c>
      <c r="N26" s="1" t="s">
        <v>379</v>
      </c>
      <c r="O26" s="1" t="s">
        <v>687</v>
      </c>
      <c r="P26" s="1" t="str">
        <f aca="false">_xlfn.CONCAT(B26,C26,D26,E26,F26)</f>
        <v>BC Camarao1.3215KTL-H3(MBUS-15)45992.7545992.7545992.8125</v>
      </c>
      <c r="Q26" s="1" t="str">
        <f aca="false">_xlfn.CONCAT(H26,I26,J26)</f>
        <v>DAURDE</v>
      </c>
    </row>
    <row r="27" customFormat="false" ht="15" hidden="true" customHeight="false" outlineLevel="0" collapsed="false">
      <c r="B27" s="1" t="s">
        <v>390</v>
      </c>
      <c r="C27" s="1" t="s">
        <v>396</v>
      </c>
      <c r="D27" s="14" t="n">
        <v>45992.75</v>
      </c>
      <c r="E27" s="14" t="n">
        <v>45992.75</v>
      </c>
      <c r="F27" s="14" t="n">
        <v>45992.8125</v>
      </c>
      <c r="G27" s="15" t="n">
        <v>0.0625</v>
      </c>
      <c r="H27" s="1" t="s">
        <v>248</v>
      </c>
      <c r="J27" s="1" t="s">
        <v>256</v>
      </c>
      <c r="K27" s="1" t="s">
        <v>430</v>
      </c>
      <c r="L27" s="1" t="s">
        <v>686</v>
      </c>
      <c r="M27" s="1" t="s">
        <v>258</v>
      </c>
      <c r="N27" s="1" t="s">
        <v>379</v>
      </c>
      <c r="O27" s="1" t="s">
        <v>687</v>
      </c>
      <c r="P27" s="1" t="str">
        <f aca="false">_xlfn.CONCAT(B27,C27,D27,E27,F27)</f>
        <v>BC Camarao1.3215KTL-H3(MBUS-12)45992.7545992.7545992.8125</v>
      </c>
      <c r="Q27" s="1" t="str">
        <f aca="false">_xlfn.CONCAT(H27,I27,J27)</f>
        <v>DAURDE</v>
      </c>
    </row>
    <row r="28" customFormat="false" ht="15" hidden="true" customHeight="false" outlineLevel="0" collapsed="false">
      <c r="B28" s="1" t="s">
        <v>390</v>
      </c>
      <c r="C28" s="1" t="s">
        <v>397</v>
      </c>
      <c r="D28" s="14" t="n">
        <v>45992.75</v>
      </c>
      <c r="E28" s="14" t="n">
        <v>45992.75</v>
      </c>
      <c r="F28" s="14" t="n">
        <v>45992.8125</v>
      </c>
      <c r="G28" s="15" t="n">
        <v>0.0625</v>
      </c>
      <c r="H28" s="1" t="s">
        <v>248</v>
      </c>
      <c r="J28" s="1" t="s">
        <v>256</v>
      </c>
      <c r="K28" s="1" t="s">
        <v>430</v>
      </c>
      <c r="L28" s="1" t="s">
        <v>686</v>
      </c>
      <c r="M28" s="1" t="s">
        <v>258</v>
      </c>
      <c r="N28" s="1" t="s">
        <v>379</v>
      </c>
      <c r="O28" s="1" t="s">
        <v>687</v>
      </c>
      <c r="P28" s="1" t="str">
        <f aca="false">_xlfn.CONCAT(B28,C28,D28,E28,F28)</f>
        <v>BC Camarao1.3215KTL-H3(MBUS-13)45992.7545992.7545992.8125</v>
      </c>
      <c r="Q28" s="1" t="str">
        <f aca="false">_xlfn.CONCAT(H28,I28,J28)</f>
        <v>DAURDE</v>
      </c>
    </row>
    <row r="29" customFormat="false" ht="15" hidden="true" customHeight="false" outlineLevel="0" collapsed="false">
      <c r="B29" s="1" t="s">
        <v>692</v>
      </c>
      <c r="C29" s="1" t="s">
        <v>693</v>
      </c>
      <c r="D29" s="14" t="n">
        <v>45992.75</v>
      </c>
      <c r="E29" s="14" t="n">
        <v>45992.75</v>
      </c>
      <c r="F29" s="14" t="n">
        <v>45992.8125</v>
      </c>
      <c r="G29" s="15" t="n">
        <v>0.0625</v>
      </c>
      <c r="H29" s="1" t="s">
        <v>248</v>
      </c>
      <c r="J29" s="1" t="s">
        <v>256</v>
      </c>
      <c r="K29" s="1" t="s">
        <v>430</v>
      </c>
      <c r="L29" s="1" t="s">
        <v>686</v>
      </c>
      <c r="M29" s="1" t="s">
        <v>258</v>
      </c>
      <c r="N29" s="1" t="s">
        <v>379</v>
      </c>
      <c r="O29" s="1" t="s">
        <v>687</v>
      </c>
      <c r="P29" s="1" t="str">
        <f aca="false">_xlfn.CONCAT(B29,C29,D29,E29,F29)</f>
        <v>BC Camarao1.4inv. 145992.7545992.7545992.8125</v>
      </c>
      <c r="Q29" s="1" t="str">
        <f aca="false">_xlfn.CONCAT(H29,I29,J29)</f>
        <v>DAURDE</v>
      </c>
    </row>
    <row r="30" customFormat="false" ht="15" hidden="true" customHeight="false" outlineLevel="0" collapsed="false">
      <c r="B30" s="1" t="s">
        <v>692</v>
      </c>
      <c r="C30" s="1" t="s">
        <v>394</v>
      </c>
      <c r="D30" s="14" t="n">
        <v>45992.75</v>
      </c>
      <c r="E30" s="14" t="n">
        <v>45992.75</v>
      </c>
      <c r="F30" s="14" t="n">
        <v>45992.8125</v>
      </c>
      <c r="G30" s="15" t="n">
        <v>0.0625</v>
      </c>
      <c r="H30" s="1" t="s">
        <v>248</v>
      </c>
      <c r="J30" s="1" t="s">
        <v>256</v>
      </c>
      <c r="K30" s="1" t="s">
        <v>430</v>
      </c>
      <c r="L30" s="1" t="s">
        <v>686</v>
      </c>
      <c r="M30" s="1" t="s">
        <v>258</v>
      </c>
      <c r="N30" s="1" t="s">
        <v>379</v>
      </c>
      <c r="O30" s="1" t="s">
        <v>687</v>
      </c>
      <c r="P30" s="1" t="str">
        <f aca="false">_xlfn.CONCAT(B30,C30,D30,E30,F30)</f>
        <v>BC Camarao1.4215KTL-H3(MBUS-14)45992.7545992.7545992.8125</v>
      </c>
      <c r="Q30" s="1" t="str">
        <f aca="false">_xlfn.CONCAT(H30,I30,J30)</f>
        <v>DAURDE</v>
      </c>
    </row>
    <row r="31" customFormat="false" ht="15" hidden="true" customHeight="false" outlineLevel="0" collapsed="false">
      <c r="B31" s="1" t="s">
        <v>692</v>
      </c>
      <c r="C31" s="1" t="s">
        <v>397</v>
      </c>
      <c r="D31" s="14" t="n">
        <v>45992.75</v>
      </c>
      <c r="E31" s="14" t="n">
        <v>45992.75</v>
      </c>
      <c r="F31" s="14" t="n">
        <v>45992.8125</v>
      </c>
      <c r="G31" s="15" t="n">
        <v>0.0625</v>
      </c>
      <c r="H31" s="1" t="s">
        <v>248</v>
      </c>
      <c r="J31" s="1" t="s">
        <v>256</v>
      </c>
      <c r="K31" s="1" t="s">
        <v>430</v>
      </c>
      <c r="L31" s="1" t="s">
        <v>686</v>
      </c>
      <c r="M31" s="1" t="s">
        <v>258</v>
      </c>
      <c r="N31" s="1" t="s">
        <v>379</v>
      </c>
      <c r="O31" s="1" t="s">
        <v>687</v>
      </c>
      <c r="P31" s="1" t="str">
        <f aca="false">_xlfn.CONCAT(B31,C31,D31,E31,F31)</f>
        <v>BC Camarao1.4215KTL-H3(MBUS-13)45992.7545992.7545992.8125</v>
      </c>
      <c r="Q31" s="1" t="str">
        <f aca="false">_xlfn.CONCAT(H31,I31,J31)</f>
        <v>DAURDE</v>
      </c>
    </row>
    <row r="32" customFormat="false" ht="15" hidden="true" customHeight="false" outlineLevel="0" collapsed="false">
      <c r="B32" s="1" t="s">
        <v>692</v>
      </c>
      <c r="C32" s="1" t="s">
        <v>391</v>
      </c>
      <c r="D32" s="14" t="n">
        <v>45992.75</v>
      </c>
      <c r="E32" s="14" t="n">
        <v>45992.75</v>
      </c>
      <c r="F32" s="14" t="n">
        <v>45992.8125</v>
      </c>
      <c r="G32" s="15" t="n">
        <v>0.0625</v>
      </c>
      <c r="H32" s="1" t="s">
        <v>248</v>
      </c>
      <c r="J32" s="1" t="s">
        <v>256</v>
      </c>
      <c r="K32" s="1" t="s">
        <v>430</v>
      </c>
      <c r="L32" s="1" t="s">
        <v>686</v>
      </c>
      <c r="M32" s="1" t="s">
        <v>258</v>
      </c>
      <c r="N32" s="1" t="s">
        <v>379</v>
      </c>
      <c r="O32" s="1" t="s">
        <v>687</v>
      </c>
      <c r="P32" s="1" t="str">
        <f aca="false">_xlfn.CONCAT(B32,C32,D32,E32,F32)</f>
        <v>BC Camarao1.4215KTL-H3(MBUS-16)45992.7545992.7545992.8125</v>
      </c>
      <c r="Q32" s="1" t="str">
        <f aca="false">_xlfn.CONCAT(H32,I32,J32)</f>
        <v>DAURDE</v>
      </c>
    </row>
    <row r="33" customFormat="false" ht="15" hidden="true" customHeight="false" outlineLevel="0" collapsed="false">
      <c r="B33" s="1" t="s">
        <v>692</v>
      </c>
      <c r="C33" s="1" t="s">
        <v>395</v>
      </c>
      <c r="D33" s="14" t="n">
        <v>45992.75</v>
      </c>
      <c r="E33" s="14" t="n">
        <v>45992.75</v>
      </c>
      <c r="F33" s="14" t="n">
        <v>45992.8125</v>
      </c>
      <c r="G33" s="15" t="n">
        <v>0.0625</v>
      </c>
      <c r="H33" s="1" t="s">
        <v>248</v>
      </c>
      <c r="J33" s="1" t="s">
        <v>256</v>
      </c>
      <c r="K33" s="1" t="s">
        <v>430</v>
      </c>
      <c r="L33" s="1" t="s">
        <v>686</v>
      </c>
      <c r="M33" s="1" t="s">
        <v>258</v>
      </c>
      <c r="N33" s="1" t="s">
        <v>379</v>
      </c>
      <c r="O33" s="1" t="s">
        <v>687</v>
      </c>
      <c r="P33" s="1" t="str">
        <f aca="false">_xlfn.CONCAT(B33,C33,D33,E33,F33)</f>
        <v>BC Camarao1.4215KTL-H3(MBUS-15)45992.7545992.7545992.8125</v>
      </c>
      <c r="Q33" s="1" t="str">
        <f aca="false">_xlfn.CONCAT(H33,I33,J33)</f>
        <v>DAURDE</v>
      </c>
    </row>
    <row r="34" customFormat="false" ht="15" hidden="true" customHeight="false" outlineLevel="0" collapsed="false">
      <c r="B34" s="1" t="s">
        <v>694</v>
      </c>
      <c r="C34" s="1" t="s">
        <v>395</v>
      </c>
      <c r="D34" s="14" t="n">
        <v>45992.75</v>
      </c>
      <c r="E34" s="14" t="n">
        <v>45992.75</v>
      </c>
      <c r="F34" s="14" t="n">
        <v>45992.8125</v>
      </c>
      <c r="G34" s="15" t="n">
        <v>0.0625</v>
      </c>
      <c r="H34" s="1" t="s">
        <v>248</v>
      </c>
      <c r="J34" s="1" t="s">
        <v>256</v>
      </c>
      <c r="K34" s="1" t="s">
        <v>430</v>
      </c>
      <c r="L34" s="1" t="s">
        <v>686</v>
      </c>
      <c r="M34" s="1" t="s">
        <v>258</v>
      </c>
      <c r="N34" s="1" t="s">
        <v>379</v>
      </c>
      <c r="O34" s="1" t="s">
        <v>687</v>
      </c>
      <c r="P34" s="1" t="str">
        <f aca="false">_xlfn.CONCAT(B34,C34,D34,E34,F34)</f>
        <v>BC Camarao1.5215KTL-H3(MBUS-15)45992.7545992.7545992.8125</v>
      </c>
      <c r="Q34" s="1" t="str">
        <f aca="false">_xlfn.CONCAT(H34,I34,J34)</f>
        <v>DAURDE</v>
      </c>
    </row>
    <row r="35" customFormat="false" ht="15" hidden="true" customHeight="false" outlineLevel="0" collapsed="false">
      <c r="B35" s="1" t="s">
        <v>694</v>
      </c>
      <c r="C35" s="1" t="s">
        <v>255</v>
      </c>
      <c r="D35" s="14" t="n">
        <v>45992.75</v>
      </c>
      <c r="E35" s="14" t="n">
        <v>45992.75</v>
      </c>
      <c r="F35" s="14" t="n">
        <v>45992.8125</v>
      </c>
      <c r="G35" s="15" t="n">
        <v>0.0625</v>
      </c>
      <c r="H35" s="1" t="s">
        <v>248</v>
      </c>
      <c r="J35" s="1" t="s">
        <v>256</v>
      </c>
      <c r="K35" s="1" t="s">
        <v>430</v>
      </c>
      <c r="L35" s="1" t="s">
        <v>686</v>
      </c>
      <c r="M35" s="1" t="s">
        <v>258</v>
      </c>
      <c r="N35" s="1" t="s">
        <v>379</v>
      </c>
      <c r="O35" s="1" t="s">
        <v>687</v>
      </c>
      <c r="P35" s="1" t="str">
        <f aca="false">_xlfn.CONCAT(B35,C35,D35,E35,F35)</f>
        <v>BC Camarao1.5Inverter(MBUS-1)45992.7545992.7545992.8125</v>
      </c>
      <c r="Q35" s="1" t="str">
        <f aca="false">_xlfn.CONCAT(H35,I35,J35)</f>
        <v>DAURDE</v>
      </c>
    </row>
    <row r="36" customFormat="false" ht="15" hidden="true" customHeight="false" outlineLevel="0" collapsed="false">
      <c r="B36" s="1" t="s">
        <v>694</v>
      </c>
      <c r="C36" s="1" t="s">
        <v>397</v>
      </c>
      <c r="D36" s="14" t="n">
        <v>45992.75</v>
      </c>
      <c r="E36" s="14" t="n">
        <v>45992.75</v>
      </c>
      <c r="F36" s="14" t="n">
        <v>45992.8125</v>
      </c>
      <c r="G36" s="15" t="n">
        <v>0.0625</v>
      </c>
      <c r="H36" s="1" t="s">
        <v>248</v>
      </c>
      <c r="J36" s="1" t="s">
        <v>256</v>
      </c>
      <c r="K36" s="1" t="s">
        <v>430</v>
      </c>
      <c r="L36" s="1" t="s">
        <v>686</v>
      </c>
      <c r="M36" s="1" t="s">
        <v>258</v>
      </c>
      <c r="N36" s="1" t="s">
        <v>379</v>
      </c>
      <c r="O36" s="1" t="s">
        <v>687</v>
      </c>
      <c r="P36" s="1" t="str">
        <f aca="false">_xlfn.CONCAT(B36,C36,D36,E36,F36)</f>
        <v>BC Camarao1.5215KTL-H3(MBUS-13)45992.7545992.7545992.8125</v>
      </c>
      <c r="Q36" s="1" t="str">
        <f aca="false">_xlfn.CONCAT(H36,I36,J36)</f>
        <v>DAURDE</v>
      </c>
    </row>
    <row r="37" customFormat="false" ht="15" hidden="true" customHeight="false" outlineLevel="0" collapsed="false">
      <c r="B37" s="1" t="s">
        <v>694</v>
      </c>
      <c r="C37" s="1" t="s">
        <v>396</v>
      </c>
      <c r="D37" s="14" t="n">
        <v>45992.75</v>
      </c>
      <c r="E37" s="14" t="n">
        <v>45992.75</v>
      </c>
      <c r="F37" s="14" t="n">
        <v>45992.8125</v>
      </c>
      <c r="G37" s="15" t="n">
        <v>0.0625</v>
      </c>
      <c r="H37" s="1" t="s">
        <v>248</v>
      </c>
      <c r="J37" s="1" t="s">
        <v>256</v>
      </c>
      <c r="K37" s="1" t="s">
        <v>430</v>
      </c>
      <c r="L37" s="1" t="s">
        <v>686</v>
      </c>
      <c r="M37" s="1" t="s">
        <v>258</v>
      </c>
      <c r="N37" s="1" t="s">
        <v>379</v>
      </c>
      <c r="O37" s="1" t="s">
        <v>687</v>
      </c>
      <c r="P37" s="1" t="str">
        <f aca="false">_xlfn.CONCAT(B37,C37,D37,E37,F37)</f>
        <v>BC Camarao1.5215KTL-H3(MBUS-12)45992.7545992.7545992.8125</v>
      </c>
      <c r="Q37" s="1" t="str">
        <f aca="false">_xlfn.CONCAT(H37,I37,J37)</f>
        <v>DAURDE</v>
      </c>
    </row>
    <row r="38" customFormat="false" ht="15" hidden="true" customHeight="false" outlineLevel="0" collapsed="false">
      <c r="B38" s="1" t="s">
        <v>694</v>
      </c>
      <c r="C38" s="1" t="s">
        <v>280</v>
      </c>
      <c r="D38" s="14" t="n">
        <v>45992.75</v>
      </c>
      <c r="E38" s="14" t="n">
        <v>45992.75</v>
      </c>
      <c r="F38" s="14" t="n">
        <v>45992.8125</v>
      </c>
      <c r="G38" s="15" t="n">
        <v>0.0625</v>
      </c>
      <c r="H38" s="1" t="s">
        <v>248</v>
      </c>
      <c r="J38" s="1" t="s">
        <v>256</v>
      </c>
      <c r="K38" s="1" t="s">
        <v>430</v>
      </c>
      <c r="L38" s="1" t="s">
        <v>686</v>
      </c>
      <c r="M38" s="1" t="s">
        <v>258</v>
      </c>
      <c r="N38" s="1" t="s">
        <v>379</v>
      </c>
      <c r="O38" s="1" t="s">
        <v>687</v>
      </c>
      <c r="P38" s="1" t="str">
        <f aca="false">_xlfn.CONCAT(B38,C38,D38,E38,F38)</f>
        <v>BC Camarao1.5Inverter(MBUS-14)45992.7545992.7545992.8125</v>
      </c>
      <c r="Q38" s="1" t="str">
        <f aca="false">_xlfn.CONCAT(H38,I38,J38)</f>
        <v>DAURDE</v>
      </c>
    </row>
    <row r="39" customFormat="false" ht="15" hidden="true" customHeight="false" outlineLevel="0" collapsed="false">
      <c r="B39" s="1" t="s">
        <v>330</v>
      </c>
      <c r="C39" s="1" t="s">
        <v>277</v>
      </c>
      <c r="D39" s="14" t="n">
        <v>45993.2472222222</v>
      </c>
      <c r="E39" s="14" t="n">
        <v>45993.2472222222</v>
      </c>
      <c r="F39" s="14" t="n">
        <v>45993.3083333333</v>
      </c>
      <c r="G39" s="15" t="n">
        <v>0.0611111111111111</v>
      </c>
      <c r="H39" s="1" t="s">
        <v>248</v>
      </c>
      <c r="J39" s="1" t="s">
        <v>256</v>
      </c>
      <c r="K39" s="1" t="s">
        <v>430</v>
      </c>
      <c r="L39" s="1" t="s">
        <v>695</v>
      </c>
      <c r="M39" s="1" t="s">
        <v>258</v>
      </c>
      <c r="N39" s="1" t="s">
        <v>252</v>
      </c>
      <c r="O39" s="1" t="s">
        <v>696</v>
      </c>
      <c r="P39" s="1" t="str">
        <f aca="false">_xlfn.CONCAT(B39,C39,D39,E39,F39)</f>
        <v>BC Formoso2.1Inverter(MBUS-12)45993.247222222245993.247222222245993.3083333333</v>
      </c>
      <c r="Q39" s="1" t="str">
        <f aca="false">_xlfn.CONCAT(H39,I39,J39)</f>
        <v>DAURDE</v>
      </c>
    </row>
    <row r="40" customFormat="false" ht="15" hidden="true" customHeight="false" outlineLevel="0" collapsed="false">
      <c r="B40" s="1" t="s">
        <v>330</v>
      </c>
      <c r="C40" s="1" t="s">
        <v>280</v>
      </c>
      <c r="D40" s="14" t="n">
        <v>45993.2472222222</v>
      </c>
      <c r="E40" s="14" t="n">
        <v>45993.2472222222</v>
      </c>
      <c r="F40" s="14" t="n">
        <v>45993.3083333333</v>
      </c>
      <c r="G40" s="15" t="n">
        <v>0.0611111111111111</v>
      </c>
      <c r="H40" s="1" t="s">
        <v>248</v>
      </c>
      <c r="J40" s="1" t="s">
        <v>256</v>
      </c>
      <c r="K40" s="1" t="s">
        <v>430</v>
      </c>
      <c r="L40" s="1" t="s">
        <v>695</v>
      </c>
      <c r="M40" s="1" t="s">
        <v>258</v>
      </c>
      <c r="N40" s="1" t="s">
        <v>252</v>
      </c>
      <c r="O40" s="1" t="s">
        <v>696</v>
      </c>
      <c r="P40" s="1" t="str">
        <f aca="false">_xlfn.CONCAT(B40,C40,D40,E40,F40)</f>
        <v>BC Formoso2.1Inverter(MBUS-14)45993.247222222245993.247222222245993.3083333333</v>
      </c>
      <c r="Q40" s="1" t="str">
        <f aca="false">_xlfn.CONCAT(H40,I40,J40)</f>
        <v>DAURDE</v>
      </c>
    </row>
    <row r="41" customFormat="false" ht="15" hidden="true" customHeight="false" outlineLevel="0" collapsed="false">
      <c r="B41" s="1" t="s">
        <v>330</v>
      </c>
      <c r="C41" s="1" t="s">
        <v>247</v>
      </c>
      <c r="D41" s="14" t="n">
        <v>45993.2472222222</v>
      </c>
      <c r="E41" s="14" t="n">
        <v>45993.2472222222</v>
      </c>
      <c r="F41" s="14" t="n">
        <v>45993.3083333333</v>
      </c>
      <c r="G41" s="15" t="n">
        <v>0.0611111111111111</v>
      </c>
      <c r="H41" s="1" t="s">
        <v>248</v>
      </c>
      <c r="J41" s="1" t="s">
        <v>256</v>
      </c>
      <c r="K41" s="1" t="s">
        <v>430</v>
      </c>
      <c r="L41" s="1" t="s">
        <v>695</v>
      </c>
      <c r="M41" s="1" t="s">
        <v>258</v>
      </c>
      <c r="N41" s="1" t="s">
        <v>252</v>
      </c>
      <c r="O41" s="1" t="s">
        <v>696</v>
      </c>
      <c r="P41" s="1" t="str">
        <f aca="false">_xlfn.CONCAT(B41,C41,D41,E41,F41)</f>
        <v>BC Formoso2.1Inverter(MBUS-13)45993.247222222245993.247222222245993.3083333333</v>
      </c>
      <c r="Q41" s="1" t="str">
        <f aca="false">_xlfn.CONCAT(H41,I41,J41)</f>
        <v>DAURDE</v>
      </c>
    </row>
    <row r="42" customFormat="false" ht="15" hidden="true" customHeight="false" outlineLevel="0" collapsed="false">
      <c r="B42" s="1" t="s">
        <v>330</v>
      </c>
      <c r="C42" s="1" t="s">
        <v>255</v>
      </c>
      <c r="D42" s="14" t="n">
        <v>45993.2472222222</v>
      </c>
      <c r="E42" s="14" t="n">
        <v>45993.2472222222</v>
      </c>
      <c r="F42" s="14" t="n">
        <v>45993.3083333333</v>
      </c>
      <c r="G42" s="15" t="n">
        <v>0.0611111111111111</v>
      </c>
      <c r="H42" s="1" t="s">
        <v>248</v>
      </c>
      <c r="J42" s="1" t="s">
        <v>256</v>
      </c>
      <c r="K42" s="1" t="s">
        <v>430</v>
      </c>
      <c r="L42" s="1" t="s">
        <v>695</v>
      </c>
      <c r="M42" s="1" t="s">
        <v>258</v>
      </c>
      <c r="N42" s="1" t="s">
        <v>252</v>
      </c>
      <c r="O42" s="1" t="s">
        <v>696</v>
      </c>
      <c r="P42" s="1" t="str">
        <f aca="false">_xlfn.CONCAT(B42,C42,D42,E42,F42)</f>
        <v>BC Formoso2.1Inverter(MBUS-1)45993.247222222245993.247222222245993.3083333333</v>
      </c>
      <c r="Q42" s="1" t="str">
        <f aca="false">_xlfn.CONCAT(H42,I42,J42)</f>
        <v>DAURDE</v>
      </c>
    </row>
    <row r="43" customFormat="false" ht="15" hidden="true" customHeight="false" outlineLevel="0" collapsed="false">
      <c r="B43" s="1" t="s">
        <v>622</v>
      </c>
      <c r="C43" s="1" t="s">
        <v>280</v>
      </c>
      <c r="D43" s="14" t="n">
        <v>45993.2472222222</v>
      </c>
      <c r="E43" s="14" t="n">
        <v>45993.2472222222</v>
      </c>
      <c r="F43" s="14" t="n">
        <v>45993.3083333333</v>
      </c>
      <c r="G43" s="15" t="n">
        <v>0.0611111111111111</v>
      </c>
      <c r="H43" s="1" t="s">
        <v>248</v>
      </c>
      <c r="J43" s="1" t="s">
        <v>256</v>
      </c>
      <c r="K43" s="1" t="s">
        <v>430</v>
      </c>
      <c r="L43" s="1" t="s">
        <v>695</v>
      </c>
      <c r="M43" s="1" t="s">
        <v>258</v>
      </c>
      <c r="N43" s="1" t="s">
        <v>252</v>
      </c>
      <c r="O43" s="1" t="s">
        <v>696</v>
      </c>
      <c r="P43" s="1" t="str">
        <f aca="false">_xlfn.CONCAT(B43,C43,D43,E43,F43)</f>
        <v>BC Formoso2.2Inverter(MBUS-14)45993.247222222245993.247222222245993.3083333333</v>
      </c>
      <c r="Q43" s="1" t="str">
        <f aca="false">_xlfn.CONCAT(H43,I43,J43)</f>
        <v>DAURDE</v>
      </c>
    </row>
    <row r="44" customFormat="false" ht="15" hidden="true" customHeight="false" outlineLevel="0" collapsed="false">
      <c r="B44" s="1" t="s">
        <v>622</v>
      </c>
      <c r="C44" s="1" t="s">
        <v>247</v>
      </c>
      <c r="D44" s="14" t="n">
        <v>45993.2472222222</v>
      </c>
      <c r="E44" s="14" t="n">
        <v>45993.2472222222</v>
      </c>
      <c r="F44" s="14" t="n">
        <v>45993.3083333333</v>
      </c>
      <c r="G44" s="15" t="n">
        <v>0.0611111111111111</v>
      </c>
      <c r="H44" s="1" t="s">
        <v>248</v>
      </c>
      <c r="J44" s="1" t="s">
        <v>256</v>
      </c>
      <c r="K44" s="1" t="s">
        <v>430</v>
      </c>
      <c r="L44" s="1" t="s">
        <v>695</v>
      </c>
      <c r="M44" s="1" t="s">
        <v>258</v>
      </c>
      <c r="N44" s="1" t="s">
        <v>252</v>
      </c>
      <c r="O44" s="1" t="s">
        <v>696</v>
      </c>
      <c r="P44" s="1" t="str">
        <f aca="false">_xlfn.CONCAT(B44,C44,D44,E44,F44)</f>
        <v>BC Formoso2.2Inverter(MBUS-13)45993.247222222245993.247222222245993.3083333333</v>
      </c>
      <c r="Q44" s="1" t="str">
        <f aca="false">_xlfn.CONCAT(H44,I44,J44)</f>
        <v>DAURDE</v>
      </c>
    </row>
    <row r="45" customFormat="false" ht="15" hidden="true" customHeight="false" outlineLevel="0" collapsed="false">
      <c r="B45" s="1" t="s">
        <v>622</v>
      </c>
      <c r="C45" s="1" t="s">
        <v>277</v>
      </c>
      <c r="D45" s="14" t="n">
        <v>45993.2472222222</v>
      </c>
      <c r="E45" s="14" t="n">
        <v>45993.2472222222</v>
      </c>
      <c r="F45" s="14" t="n">
        <v>45993.3083333333</v>
      </c>
      <c r="G45" s="15" t="n">
        <v>0.0611111111111111</v>
      </c>
      <c r="H45" s="1" t="s">
        <v>248</v>
      </c>
      <c r="J45" s="1" t="s">
        <v>256</v>
      </c>
      <c r="K45" s="1" t="s">
        <v>430</v>
      </c>
      <c r="L45" s="1" t="s">
        <v>695</v>
      </c>
      <c r="M45" s="1" t="s">
        <v>258</v>
      </c>
      <c r="N45" s="1" t="s">
        <v>252</v>
      </c>
      <c r="O45" s="1" t="s">
        <v>696</v>
      </c>
      <c r="P45" s="1" t="str">
        <f aca="false">_xlfn.CONCAT(B45,C45,D45,E45,F45)</f>
        <v>BC Formoso2.2Inverter(MBUS-12)45993.247222222245993.247222222245993.3083333333</v>
      </c>
      <c r="Q45" s="1" t="str">
        <f aca="false">_xlfn.CONCAT(H45,I45,J45)</f>
        <v>DAURDE</v>
      </c>
    </row>
    <row r="46" customFormat="false" ht="15" hidden="true" customHeight="false" outlineLevel="0" collapsed="false">
      <c r="B46" s="1" t="s">
        <v>622</v>
      </c>
      <c r="C46" s="1" t="s">
        <v>255</v>
      </c>
      <c r="D46" s="14" t="n">
        <v>45993.2472222222</v>
      </c>
      <c r="E46" s="14" t="n">
        <v>45993.2472222222</v>
      </c>
      <c r="F46" s="14" t="n">
        <v>45993.3083333333</v>
      </c>
      <c r="G46" s="15" t="n">
        <v>0.0611111111111111</v>
      </c>
      <c r="H46" s="1" t="s">
        <v>248</v>
      </c>
      <c r="J46" s="1" t="s">
        <v>256</v>
      </c>
      <c r="K46" s="1" t="s">
        <v>430</v>
      </c>
      <c r="L46" s="1" t="s">
        <v>695</v>
      </c>
      <c r="M46" s="1" t="s">
        <v>258</v>
      </c>
      <c r="N46" s="1" t="s">
        <v>252</v>
      </c>
      <c r="O46" s="1" t="s">
        <v>696</v>
      </c>
      <c r="P46" s="1" t="str">
        <f aca="false">_xlfn.CONCAT(B46,C46,D46,E46,F46)</f>
        <v>BC Formoso2.2Inverter(MBUS-1)45993.247222222245993.247222222245993.3083333333</v>
      </c>
      <c r="Q46" s="1" t="str">
        <f aca="false">_xlfn.CONCAT(H46,I46,J46)</f>
        <v>DAURDE</v>
      </c>
    </row>
    <row r="47" customFormat="false" ht="15" hidden="true" customHeight="false" outlineLevel="0" collapsed="false">
      <c r="B47" s="1" t="s">
        <v>332</v>
      </c>
      <c r="C47" s="1" t="s">
        <v>247</v>
      </c>
      <c r="D47" s="14" t="n">
        <v>45993.2472222222</v>
      </c>
      <c r="E47" s="14" t="n">
        <v>45993.2472222222</v>
      </c>
      <c r="F47" s="14" t="n">
        <v>45993.3083333333</v>
      </c>
      <c r="G47" s="15" t="n">
        <v>0.0611111111111111</v>
      </c>
      <c r="H47" s="1" t="s">
        <v>248</v>
      </c>
      <c r="J47" s="1" t="s">
        <v>256</v>
      </c>
      <c r="K47" s="1" t="s">
        <v>430</v>
      </c>
      <c r="L47" s="1" t="s">
        <v>695</v>
      </c>
      <c r="M47" s="1" t="s">
        <v>258</v>
      </c>
      <c r="N47" s="1" t="s">
        <v>252</v>
      </c>
      <c r="O47" s="1" t="s">
        <v>696</v>
      </c>
      <c r="P47" s="1" t="str">
        <f aca="false">_xlfn.CONCAT(B47,C47,D47,E47,F47)</f>
        <v>BC Formoso2.3Inverter(MBUS-13)45993.247222222245993.247222222245993.3083333333</v>
      </c>
      <c r="Q47" s="1" t="str">
        <f aca="false">_xlfn.CONCAT(H47,I47,J47)</f>
        <v>DAURDE</v>
      </c>
    </row>
    <row r="48" customFormat="false" ht="15" hidden="true" customHeight="false" outlineLevel="0" collapsed="false">
      <c r="B48" s="1" t="s">
        <v>332</v>
      </c>
      <c r="C48" s="1" t="s">
        <v>277</v>
      </c>
      <c r="D48" s="14" t="n">
        <v>45993.2472222222</v>
      </c>
      <c r="E48" s="14" t="n">
        <v>45993.2472222222</v>
      </c>
      <c r="F48" s="14" t="n">
        <v>45993.3083333333</v>
      </c>
      <c r="G48" s="15" t="n">
        <v>0.0611111111111111</v>
      </c>
      <c r="H48" s="1" t="s">
        <v>248</v>
      </c>
      <c r="J48" s="1" t="s">
        <v>256</v>
      </c>
      <c r="K48" s="1" t="s">
        <v>430</v>
      </c>
      <c r="L48" s="1" t="s">
        <v>695</v>
      </c>
      <c r="M48" s="1" t="s">
        <v>258</v>
      </c>
      <c r="N48" s="1" t="s">
        <v>252</v>
      </c>
      <c r="O48" s="1" t="s">
        <v>696</v>
      </c>
      <c r="P48" s="1" t="str">
        <f aca="false">_xlfn.CONCAT(B48,C48,D48,E48,F48)</f>
        <v>BC Formoso2.3Inverter(MBUS-12)45993.247222222245993.247222222245993.3083333333</v>
      </c>
      <c r="Q48" s="1" t="str">
        <f aca="false">_xlfn.CONCAT(H48,I48,J48)</f>
        <v>DAURDE</v>
      </c>
    </row>
    <row r="49" customFormat="false" ht="15" hidden="true" customHeight="false" outlineLevel="0" collapsed="false">
      <c r="B49" s="1" t="s">
        <v>697</v>
      </c>
      <c r="C49" s="1" t="s">
        <v>247</v>
      </c>
      <c r="D49" s="14" t="n">
        <v>45993.2472222222</v>
      </c>
      <c r="E49" s="14" t="n">
        <v>45993.2472222222</v>
      </c>
      <c r="F49" s="14" t="n">
        <v>45993.3083333333</v>
      </c>
      <c r="G49" s="15" t="n">
        <v>0.0611111111111111</v>
      </c>
      <c r="H49" s="1" t="s">
        <v>248</v>
      </c>
      <c r="J49" s="1" t="s">
        <v>256</v>
      </c>
      <c r="K49" s="1" t="s">
        <v>430</v>
      </c>
      <c r="L49" s="1" t="s">
        <v>695</v>
      </c>
      <c r="M49" s="1" t="s">
        <v>258</v>
      </c>
      <c r="N49" s="1" t="s">
        <v>252</v>
      </c>
      <c r="O49" s="1" t="s">
        <v>696</v>
      </c>
      <c r="P49" s="1" t="str">
        <f aca="false">_xlfn.CONCAT(B49,C49,D49,E49,F49)</f>
        <v>BC Formoso1.1Inverter(MBUS-13)45993.247222222245993.247222222245993.3083333333</v>
      </c>
      <c r="Q49" s="1" t="str">
        <f aca="false">_xlfn.CONCAT(H49,I49,J49)</f>
        <v>DAURDE</v>
      </c>
    </row>
    <row r="50" customFormat="false" ht="15" hidden="true" customHeight="false" outlineLevel="0" collapsed="false">
      <c r="B50" s="1" t="s">
        <v>697</v>
      </c>
      <c r="C50" s="1" t="s">
        <v>277</v>
      </c>
      <c r="D50" s="14" t="n">
        <v>45993.2472222222</v>
      </c>
      <c r="E50" s="14" t="n">
        <v>45993.2472222222</v>
      </c>
      <c r="F50" s="14" t="n">
        <v>45993.3083333333</v>
      </c>
      <c r="G50" s="15" t="n">
        <v>0.0611111111111111</v>
      </c>
      <c r="H50" s="1" t="s">
        <v>248</v>
      </c>
      <c r="J50" s="1" t="s">
        <v>256</v>
      </c>
      <c r="K50" s="1" t="s">
        <v>430</v>
      </c>
      <c r="L50" s="1" t="s">
        <v>695</v>
      </c>
      <c r="M50" s="1" t="s">
        <v>258</v>
      </c>
      <c r="N50" s="1" t="s">
        <v>252</v>
      </c>
      <c r="O50" s="1" t="s">
        <v>696</v>
      </c>
      <c r="P50" s="1" t="str">
        <f aca="false">_xlfn.CONCAT(B50,C50,D50,E50,F50)</f>
        <v>BC Formoso1.1Inverter(MBUS-12)45993.247222222245993.247222222245993.3083333333</v>
      </c>
      <c r="Q50" s="1" t="str">
        <f aca="false">_xlfn.CONCAT(H50,I50,J50)</f>
        <v>DAURDE</v>
      </c>
    </row>
    <row r="51" customFormat="false" ht="15" hidden="true" customHeight="false" outlineLevel="0" collapsed="false">
      <c r="B51" s="1" t="s">
        <v>697</v>
      </c>
      <c r="C51" s="1" t="s">
        <v>279</v>
      </c>
      <c r="D51" s="14" t="n">
        <v>45993.2472222222</v>
      </c>
      <c r="E51" s="14" t="n">
        <v>45993.2472222222</v>
      </c>
      <c r="F51" s="14" t="n">
        <v>45993.3083333333</v>
      </c>
      <c r="G51" s="15" t="n">
        <v>0.0611111111111111</v>
      </c>
      <c r="H51" s="1" t="s">
        <v>248</v>
      </c>
      <c r="J51" s="1" t="s">
        <v>256</v>
      </c>
      <c r="K51" s="1" t="s">
        <v>430</v>
      </c>
      <c r="L51" s="1" t="s">
        <v>695</v>
      </c>
      <c r="M51" s="1" t="s">
        <v>258</v>
      </c>
      <c r="N51" s="1" t="s">
        <v>252</v>
      </c>
      <c r="O51" s="1" t="s">
        <v>696</v>
      </c>
      <c r="P51" s="1" t="str">
        <f aca="false">_xlfn.CONCAT(B51,C51,D51,E51,F51)</f>
        <v>BC Formoso1.1Inverter(MBUS-15)45993.247222222245993.247222222245993.3083333333</v>
      </c>
      <c r="Q51" s="1" t="str">
        <f aca="false">_xlfn.CONCAT(H51,I51,J51)</f>
        <v>DAURDE</v>
      </c>
    </row>
    <row r="52" customFormat="false" ht="15" hidden="true" customHeight="false" outlineLevel="0" collapsed="false">
      <c r="B52" s="1" t="s">
        <v>697</v>
      </c>
      <c r="C52" s="1" t="s">
        <v>280</v>
      </c>
      <c r="D52" s="14" t="n">
        <v>45993.2472222222</v>
      </c>
      <c r="E52" s="14" t="n">
        <v>45993.2472222222</v>
      </c>
      <c r="F52" s="14" t="n">
        <v>45993.3083333333</v>
      </c>
      <c r="G52" s="15" t="n">
        <v>0.0611111111111111</v>
      </c>
      <c r="H52" s="1" t="s">
        <v>248</v>
      </c>
      <c r="J52" s="1" t="s">
        <v>256</v>
      </c>
      <c r="K52" s="1" t="s">
        <v>430</v>
      </c>
      <c r="L52" s="1" t="s">
        <v>695</v>
      </c>
      <c r="M52" s="1" t="s">
        <v>258</v>
      </c>
      <c r="N52" s="1" t="s">
        <v>252</v>
      </c>
      <c r="O52" s="1" t="s">
        <v>696</v>
      </c>
      <c r="P52" s="1" t="str">
        <f aca="false">_xlfn.CONCAT(B52,C52,D52,E52,F52)</f>
        <v>BC Formoso1.1Inverter(MBUS-14)45993.247222222245993.247222222245993.3083333333</v>
      </c>
      <c r="Q52" s="1" t="str">
        <f aca="false">_xlfn.CONCAT(H52,I52,J52)</f>
        <v>DAURDE</v>
      </c>
    </row>
    <row r="53" customFormat="false" ht="15" hidden="true" customHeight="false" outlineLevel="0" collapsed="false">
      <c r="B53" s="1" t="s">
        <v>698</v>
      </c>
      <c r="C53" s="1" t="s">
        <v>247</v>
      </c>
      <c r="D53" s="14" t="n">
        <v>45993.2472222222</v>
      </c>
      <c r="E53" s="14" t="n">
        <v>45993.2472222222</v>
      </c>
      <c r="F53" s="14" t="n">
        <v>45993.3083333333</v>
      </c>
      <c r="G53" s="15" t="n">
        <v>0.0611111111111111</v>
      </c>
      <c r="H53" s="1" t="s">
        <v>248</v>
      </c>
      <c r="J53" s="1" t="s">
        <v>256</v>
      </c>
      <c r="K53" s="1" t="s">
        <v>430</v>
      </c>
      <c r="L53" s="1" t="s">
        <v>695</v>
      </c>
      <c r="M53" s="1" t="s">
        <v>258</v>
      </c>
      <c r="N53" s="1" t="s">
        <v>252</v>
      </c>
      <c r="O53" s="1" t="s">
        <v>696</v>
      </c>
      <c r="P53" s="1" t="str">
        <f aca="false">_xlfn.CONCAT(B53,C53,D53,E53,F53)</f>
        <v>BC Formoso1.2Inverter(MBUS-13)45993.247222222245993.247222222245993.3083333333</v>
      </c>
      <c r="Q53" s="1" t="str">
        <f aca="false">_xlfn.CONCAT(H53,I53,J53)</f>
        <v>DAURDE</v>
      </c>
    </row>
    <row r="54" customFormat="false" ht="15" hidden="true" customHeight="false" outlineLevel="0" collapsed="false">
      <c r="B54" s="1" t="s">
        <v>698</v>
      </c>
      <c r="C54" s="1" t="s">
        <v>277</v>
      </c>
      <c r="D54" s="14" t="n">
        <v>45993.2472222222</v>
      </c>
      <c r="E54" s="14" t="n">
        <v>45993.2472222222</v>
      </c>
      <c r="F54" s="14" t="n">
        <v>45993.3083333333</v>
      </c>
      <c r="G54" s="15" t="n">
        <v>0.0611111111111111</v>
      </c>
      <c r="H54" s="1" t="s">
        <v>248</v>
      </c>
      <c r="J54" s="1" t="s">
        <v>256</v>
      </c>
      <c r="K54" s="1" t="s">
        <v>430</v>
      </c>
      <c r="L54" s="1" t="s">
        <v>695</v>
      </c>
      <c r="M54" s="1" t="s">
        <v>258</v>
      </c>
      <c r="N54" s="1" t="s">
        <v>252</v>
      </c>
      <c r="O54" s="1" t="s">
        <v>696</v>
      </c>
      <c r="P54" s="1" t="str">
        <f aca="false">_xlfn.CONCAT(B54,C54,D54,E54,F54)</f>
        <v>BC Formoso1.2Inverter(MBUS-12)45993.247222222245993.247222222245993.3083333333</v>
      </c>
      <c r="Q54" s="1" t="str">
        <f aca="false">_xlfn.CONCAT(H54,I54,J54)</f>
        <v>DAURDE</v>
      </c>
    </row>
    <row r="55" customFormat="false" ht="15" hidden="true" customHeight="false" outlineLevel="0" collapsed="false">
      <c r="B55" s="1" t="s">
        <v>698</v>
      </c>
      <c r="C55" s="1" t="s">
        <v>279</v>
      </c>
      <c r="D55" s="14" t="n">
        <v>45993.2472222222</v>
      </c>
      <c r="E55" s="14" t="n">
        <v>45993.2472222222</v>
      </c>
      <c r="F55" s="14" t="n">
        <v>45993.3083333333</v>
      </c>
      <c r="G55" s="15" t="n">
        <v>0.0611111111111111</v>
      </c>
      <c r="H55" s="1" t="s">
        <v>248</v>
      </c>
      <c r="J55" s="1" t="s">
        <v>256</v>
      </c>
      <c r="K55" s="1" t="s">
        <v>430</v>
      </c>
      <c r="L55" s="1" t="s">
        <v>695</v>
      </c>
      <c r="M55" s="1" t="s">
        <v>258</v>
      </c>
      <c r="N55" s="1" t="s">
        <v>252</v>
      </c>
      <c r="O55" s="1" t="s">
        <v>696</v>
      </c>
      <c r="P55" s="1" t="str">
        <f aca="false">_xlfn.CONCAT(B55,C55,D55,E55,F55)</f>
        <v>BC Formoso1.2Inverter(MBUS-15)45993.247222222245993.247222222245993.3083333333</v>
      </c>
      <c r="Q55" s="1" t="str">
        <f aca="false">_xlfn.CONCAT(H55,I55,J55)</f>
        <v>DAURDE</v>
      </c>
    </row>
    <row r="56" customFormat="false" ht="15" hidden="true" customHeight="false" outlineLevel="0" collapsed="false">
      <c r="B56" s="1" t="s">
        <v>698</v>
      </c>
      <c r="C56" s="1" t="s">
        <v>280</v>
      </c>
      <c r="D56" s="14" t="n">
        <v>45993.2472222222</v>
      </c>
      <c r="E56" s="14" t="n">
        <v>45993.2472222222</v>
      </c>
      <c r="F56" s="14" t="n">
        <v>45993.3083333333</v>
      </c>
      <c r="G56" s="15" t="n">
        <v>0.0611111111111111</v>
      </c>
      <c r="H56" s="1" t="s">
        <v>248</v>
      </c>
      <c r="J56" s="1" t="s">
        <v>256</v>
      </c>
      <c r="K56" s="1" t="s">
        <v>430</v>
      </c>
      <c r="L56" s="1" t="s">
        <v>695</v>
      </c>
      <c r="M56" s="1" t="s">
        <v>258</v>
      </c>
      <c r="N56" s="1" t="s">
        <v>252</v>
      </c>
      <c r="O56" s="1" t="s">
        <v>696</v>
      </c>
      <c r="P56" s="1" t="str">
        <f aca="false">_xlfn.CONCAT(B56,C56,D56,E56,F56)</f>
        <v>BC Formoso1.2Inverter(MBUS-14)45993.247222222245993.247222222245993.3083333333</v>
      </c>
      <c r="Q56" s="1" t="str">
        <f aca="false">_xlfn.CONCAT(H56,I56,J56)</f>
        <v>DAURDE</v>
      </c>
    </row>
    <row r="57" customFormat="false" ht="15" hidden="true" customHeight="false" outlineLevel="0" collapsed="false">
      <c r="B57" s="1" t="s">
        <v>699</v>
      </c>
      <c r="C57" s="1" t="s">
        <v>247</v>
      </c>
      <c r="D57" s="14" t="n">
        <v>45993.2472222222</v>
      </c>
      <c r="E57" s="14" t="n">
        <v>45993.2472222222</v>
      </c>
      <c r="F57" s="14" t="n">
        <v>45993.3083333333</v>
      </c>
      <c r="G57" s="15" t="n">
        <v>0.0611111111111111</v>
      </c>
      <c r="H57" s="1" t="s">
        <v>248</v>
      </c>
      <c r="J57" s="1" t="s">
        <v>256</v>
      </c>
      <c r="K57" s="1" t="s">
        <v>430</v>
      </c>
      <c r="L57" s="1" t="s">
        <v>695</v>
      </c>
      <c r="M57" s="1" t="s">
        <v>258</v>
      </c>
      <c r="N57" s="1" t="s">
        <v>252</v>
      </c>
      <c r="O57" s="1" t="s">
        <v>696</v>
      </c>
      <c r="P57" s="1" t="str">
        <f aca="false">_xlfn.CONCAT(B57,C57,D57,E57,F57)</f>
        <v>BC Formoso1.3Inverter(MBUS-13)45993.247222222245993.247222222245993.3083333333</v>
      </c>
      <c r="Q57" s="1" t="str">
        <f aca="false">_xlfn.CONCAT(H57,I57,J57)</f>
        <v>DAURDE</v>
      </c>
    </row>
    <row r="58" customFormat="false" ht="15" hidden="true" customHeight="false" outlineLevel="0" collapsed="false">
      <c r="B58" s="1" t="s">
        <v>699</v>
      </c>
      <c r="C58" s="1" t="s">
        <v>277</v>
      </c>
      <c r="D58" s="14" t="n">
        <v>45993.2472222222</v>
      </c>
      <c r="E58" s="14" t="n">
        <v>45993.2472222222</v>
      </c>
      <c r="F58" s="14" t="n">
        <v>45993.3083333333</v>
      </c>
      <c r="G58" s="15" t="n">
        <v>0.0611111111111111</v>
      </c>
      <c r="H58" s="1" t="s">
        <v>248</v>
      </c>
      <c r="J58" s="1" t="s">
        <v>256</v>
      </c>
      <c r="K58" s="1" t="s">
        <v>430</v>
      </c>
      <c r="L58" s="1" t="s">
        <v>695</v>
      </c>
      <c r="M58" s="1" t="s">
        <v>258</v>
      </c>
      <c r="N58" s="1" t="s">
        <v>252</v>
      </c>
      <c r="O58" s="1" t="s">
        <v>696</v>
      </c>
      <c r="P58" s="1" t="str">
        <f aca="false">_xlfn.CONCAT(B58,C58,D58,E58,F58)</f>
        <v>BC Formoso1.3Inverter(MBUS-12)45993.247222222245993.247222222245993.3083333333</v>
      </c>
      <c r="Q58" s="1" t="str">
        <f aca="false">_xlfn.CONCAT(H58,I58,J58)</f>
        <v>DAURDE</v>
      </c>
    </row>
    <row r="59" customFormat="false" ht="15" hidden="true" customHeight="false" outlineLevel="0" collapsed="false">
      <c r="B59" s="1" t="s">
        <v>578</v>
      </c>
      <c r="C59" s="1" t="s">
        <v>396</v>
      </c>
      <c r="D59" s="14" t="n">
        <v>45993.2840277778</v>
      </c>
      <c r="E59" s="14" t="n">
        <v>45993.2840277778</v>
      </c>
      <c r="F59" s="14" t="n">
        <v>45993.3354166667</v>
      </c>
      <c r="G59" s="15" t="n">
        <f aca="false">F59-E59</f>
        <v>0.0513888888888889</v>
      </c>
      <c r="H59" s="20" t="s">
        <v>248</v>
      </c>
      <c r="J59" s="20" t="s">
        <v>256</v>
      </c>
      <c r="K59" s="1" t="e">
        <f aca="false">_xlfn.xlookup(J59,REF!$D$2:$D$12,REF!$E$2:$E$12)</f>
        <v>#NAME?</v>
      </c>
      <c r="L59" s="1" t="s">
        <v>700</v>
      </c>
      <c r="M59" s="20" t="s">
        <v>258</v>
      </c>
      <c r="N59" s="20" t="s">
        <v>259</v>
      </c>
      <c r="O59" s="1" t="s">
        <v>399</v>
      </c>
      <c r="P59" s="1" t="str">
        <f aca="false">_xlfn.CONCAT(B59,C59,D59,E59,F59)</f>
        <v>BC Caiaponia2.1215KTL-H3(MBUS-12)45993.284027777845993.284027777845993.3354166667</v>
      </c>
      <c r="Q59" s="1" t="str">
        <f aca="false">_xlfn.CONCAT(H59,I59,J59)</f>
        <v>DAURDE</v>
      </c>
    </row>
    <row r="60" customFormat="false" ht="15" hidden="true" customHeight="false" outlineLevel="0" collapsed="false">
      <c r="B60" s="1" t="s">
        <v>578</v>
      </c>
      <c r="C60" s="1" t="s">
        <v>397</v>
      </c>
      <c r="D60" s="14" t="n">
        <v>45993.2840277778</v>
      </c>
      <c r="E60" s="14" t="n">
        <v>45993.2840277778</v>
      </c>
      <c r="F60" s="14" t="n">
        <v>45993.3354166667</v>
      </c>
      <c r="G60" s="15" t="n">
        <f aca="false">F60-E60</f>
        <v>0.0513888888888889</v>
      </c>
      <c r="H60" s="20" t="s">
        <v>248</v>
      </c>
      <c r="J60" s="20" t="s">
        <v>256</v>
      </c>
      <c r="K60" s="1" t="e">
        <f aca="false">_xlfn.xlookup(J60,REF!$D$2:$D$12,REF!$E$2:$E$12)</f>
        <v>#NAME?</v>
      </c>
      <c r="L60" s="1" t="s">
        <v>700</v>
      </c>
      <c r="M60" s="20" t="s">
        <v>258</v>
      </c>
      <c r="N60" s="20" t="s">
        <v>259</v>
      </c>
      <c r="O60" s="1" t="s">
        <v>399</v>
      </c>
      <c r="P60" s="1" t="str">
        <f aca="false">_xlfn.CONCAT(B60,C60,D60,E60,F60)</f>
        <v>BC Caiaponia2.1215KTL-H3(MBUS-13)45993.284027777845993.284027777845993.3354166667</v>
      </c>
      <c r="Q60" s="1" t="str">
        <f aca="false">_xlfn.CONCAT(H60,I60,J60)</f>
        <v>DAURDE</v>
      </c>
    </row>
    <row r="61" customFormat="false" ht="15" hidden="true" customHeight="false" outlineLevel="0" collapsed="false">
      <c r="B61" s="1" t="s">
        <v>578</v>
      </c>
      <c r="C61" s="1" t="s">
        <v>394</v>
      </c>
      <c r="D61" s="14" t="n">
        <v>45993.2840277778</v>
      </c>
      <c r="E61" s="14" t="n">
        <v>45993.2840277778</v>
      </c>
      <c r="F61" s="14" t="n">
        <v>45993.3354166667</v>
      </c>
      <c r="G61" s="15" t="n">
        <f aca="false">F61-E61</f>
        <v>0.0513888888888889</v>
      </c>
      <c r="H61" s="20" t="s">
        <v>248</v>
      </c>
      <c r="J61" s="20" t="s">
        <v>256</v>
      </c>
      <c r="K61" s="1" t="e">
        <f aca="false">_xlfn.xlookup(J61,REF!$D$2:$D$12,REF!$E$2:$E$12)</f>
        <v>#NAME?</v>
      </c>
      <c r="L61" s="1" t="s">
        <v>700</v>
      </c>
      <c r="M61" s="20" t="s">
        <v>258</v>
      </c>
      <c r="N61" s="20" t="s">
        <v>259</v>
      </c>
      <c r="O61" s="1" t="s">
        <v>399</v>
      </c>
      <c r="P61" s="1" t="str">
        <f aca="false">_xlfn.CONCAT(B61,C61,D61,E61,F61)</f>
        <v>BC Caiaponia2.1215KTL-H3(MBUS-14)45993.284027777845993.284027777845993.3354166667</v>
      </c>
      <c r="Q61" s="1" t="str">
        <f aca="false">_xlfn.CONCAT(H61,I61,J61)</f>
        <v>DAURDE</v>
      </c>
    </row>
    <row r="62" customFormat="false" ht="15" hidden="true" customHeight="false" outlineLevel="0" collapsed="false">
      <c r="B62" s="1" t="s">
        <v>578</v>
      </c>
      <c r="C62" s="1" t="s">
        <v>395</v>
      </c>
      <c r="D62" s="14" t="n">
        <v>45993.2840277778</v>
      </c>
      <c r="E62" s="14" t="n">
        <v>45993.2840277778</v>
      </c>
      <c r="F62" s="14" t="n">
        <v>45993.3354166667</v>
      </c>
      <c r="G62" s="15" t="n">
        <f aca="false">F62-E62</f>
        <v>0.0513888888888889</v>
      </c>
      <c r="H62" s="20" t="s">
        <v>248</v>
      </c>
      <c r="J62" s="20" t="s">
        <v>256</v>
      </c>
      <c r="K62" s="1" t="e">
        <f aca="false">_xlfn.xlookup(J62,REF!$D$2:$D$12,REF!$E$2:$E$12)</f>
        <v>#NAME?</v>
      </c>
      <c r="L62" s="1" t="s">
        <v>700</v>
      </c>
      <c r="M62" s="20" t="s">
        <v>258</v>
      </c>
      <c r="N62" s="20" t="s">
        <v>259</v>
      </c>
      <c r="O62" s="1" t="s">
        <v>399</v>
      </c>
      <c r="P62" s="1" t="str">
        <f aca="false">_xlfn.CONCAT(B62,C62,D62,E62,F62)</f>
        <v>BC Caiaponia2.1215KTL-H3(MBUS-15)45993.284027777845993.284027777845993.3354166667</v>
      </c>
      <c r="Q62" s="1" t="str">
        <f aca="false">_xlfn.CONCAT(H62,I62,J62)</f>
        <v>DAURDE</v>
      </c>
    </row>
    <row r="63" customFormat="false" ht="15" hidden="true" customHeight="false" outlineLevel="0" collapsed="false">
      <c r="B63" s="1" t="s">
        <v>578</v>
      </c>
      <c r="C63" s="1" t="s">
        <v>391</v>
      </c>
      <c r="D63" s="14" t="n">
        <v>45993.2840277778</v>
      </c>
      <c r="E63" s="14" t="n">
        <v>45993.2840277778</v>
      </c>
      <c r="F63" s="14" t="n">
        <v>45993.3354166667</v>
      </c>
      <c r="G63" s="15" t="n">
        <f aca="false">F63-E63</f>
        <v>0.0513888888888889</v>
      </c>
      <c r="H63" s="20" t="s">
        <v>248</v>
      </c>
      <c r="J63" s="20" t="s">
        <v>256</v>
      </c>
      <c r="K63" s="1" t="e">
        <f aca="false">_xlfn.xlookup(J63,REF!$D$2:$D$12,REF!$E$2:$E$12)</f>
        <v>#NAME?</v>
      </c>
      <c r="L63" s="1" t="s">
        <v>700</v>
      </c>
      <c r="M63" s="20" t="s">
        <v>258</v>
      </c>
      <c r="N63" s="20" t="s">
        <v>259</v>
      </c>
      <c r="O63" s="1" t="s">
        <v>399</v>
      </c>
      <c r="P63" s="1" t="str">
        <f aca="false">_xlfn.CONCAT(B63,C63,D63,E63,F63)</f>
        <v>BC Caiaponia2.1215KTL-H3(MBUS-16)45993.284027777845993.284027777845993.3354166667</v>
      </c>
      <c r="Q63" s="1" t="str">
        <f aca="false">_xlfn.CONCAT(H63,I63,J63)</f>
        <v>DAURDE</v>
      </c>
    </row>
    <row r="64" customFormat="false" ht="15" hidden="true" customHeight="false" outlineLevel="0" collapsed="false">
      <c r="B64" s="1" t="s">
        <v>579</v>
      </c>
      <c r="C64" s="1" t="s">
        <v>396</v>
      </c>
      <c r="D64" s="14" t="n">
        <v>45993.2840277778</v>
      </c>
      <c r="E64" s="14" t="n">
        <v>45993.2840277778</v>
      </c>
      <c r="F64" s="14" t="n">
        <v>45993.3354166667</v>
      </c>
      <c r="G64" s="15" t="n">
        <f aca="false">F64-E64</f>
        <v>0.0513888888888889</v>
      </c>
      <c r="H64" s="20" t="s">
        <v>248</v>
      </c>
      <c r="J64" s="20" t="s">
        <v>256</v>
      </c>
      <c r="K64" s="1" t="e">
        <f aca="false">_xlfn.xlookup(J64,REF!$D$2:$D$12,REF!$E$2:$E$12)</f>
        <v>#NAME?</v>
      </c>
      <c r="L64" s="1" t="s">
        <v>700</v>
      </c>
      <c r="M64" s="20" t="s">
        <v>258</v>
      </c>
      <c r="N64" s="20" t="s">
        <v>259</v>
      </c>
      <c r="O64" s="1" t="s">
        <v>399</v>
      </c>
      <c r="P64" s="1" t="str">
        <f aca="false">_xlfn.CONCAT(B64,C64,D64,E64,F64)</f>
        <v>BC Caiaponia2.2215KTL-H3(MBUS-12)45993.284027777845993.284027777845993.3354166667</v>
      </c>
      <c r="Q64" s="1" t="str">
        <f aca="false">_xlfn.CONCAT(H64,I64,J64)</f>
        <v>DAURDE</v>
      </c>
    </row>
    <row r="65" customFormat="false" ht="15" hidden="true" customHeight="false" outlineLevel="0" collapsed="false">
      <c r="B65" s="1" t="s">
        <v>579</v>
      </c>
      <c r="C65" s="1" t="s">
        <v>397</v>
      </c>
      <c r="D65" s="14" t="n">
        <v>45993.2840277778</v>
      </c>
      <c r="E65" s="14" t="n">
        <v>45993.2840277778</v>
      </c>
      <c r="F65" s="14" t="n">
        <v>45993.3354166667</v>
      </c>
      <c r="G65" s="15" t="n">
        <f aca="false">F65-E65</f>
        <v>0.0513888888888889</v>
      </c>
      <c r="H65" s="20" t="s">
        <v>248</v>
      </c>
      <c r="J65" s="20" t="s">
        <v>256</v>
      </c>
      <c r="K65" s="1" t="e">
        <f aca="false">_xlfn.xlookup(J65,REF!$D$2:$D$12,REF!$E$2:$E$12)</f>
        <v>#NAME?</v>
      </c>
      <c r="L65" s="1" t="s">
        <v>700</v>
      </c>
      <c r="M65" s="20" t="s">
        <v>258</v>
      </c>
      <c r="N65" s="20" t="s">
        <v>259</v>
      </c>
      <c r="O65" s="1" t="s">
        <v>399</v>
      </c>
      <c r="P65" s="1" t="str">
        <f aca="false">_xlfn.CONCAT(B65,C65,D65,E65,F65)</f>
        <v>BC Caiaponia2.2215KTL-H3(MBUS-13)45993.284027777845993.284027777845993.3354166667</v>
      </c>
      <c r="Q65" s="1" t="str">
        <f aca="false">_xlfn.CONCAT(H65,I65,J65)</f>
        <v>DAURDE</v>
      </c>
    </row>
    <row r="66" customFormat="false" ht="15" hidden="true" customHeight="false" outlineLevel="0" collapsed="false">
      <c r="B66" s="1" t="s">
        <v>579</v>
      </c>
      <c r="C66" s="1" t="s">
        <v>394</v>
      </c>
      <c r="D66" s="14" t="n">
        <v>45993.2840277778</v>
      </c>
      <c r="E66" s="14" t="n">
        <v>45993.2840277778</v>
      </c>
      <c r="F66" s="14" t="n">
        <v>45993.3354166667</v>
      </c>
      <c r="G66" s="15" t="n">
        <f aca="false">F66-E66</f>
        <v>0.0513888888888889</v>
      </c>
      <c r="H66" s="20" t="s">
        <v>248</v>
      </c>
      <c r="J66" s="20" t="s">
        <v>256</v>
      </c>
      <c r="K66" s="1" t="e">
        <f aca="false">_xlfn.xlookup(J66,REF!$D$2:$D$12,REF!$E$2:$E$12)</f>
        <v>#NAME?</v>
      </c>
      <c r="L66" s="1" t="s">
        <v>700</v>
      </c>
      <c r="M66" s="20" t="s">
        <v>258</v>
      </c>
      <c r="N66" s="20" t="s">
        <v>259</v>
      </c>
      <c r="O66" s="1" t="s">
        <v>399</v>
      </c>
      <c r="P66" s="1" t="str">
        <f aca="false">_xlfn.CONCAT(B66,C66,D66,E66,F66)</f>
        <v>BC Caiaponia2.2215KTL-H3(MBUS-14)45993.284027777845993.284027777845993.3354166667</v>
      </c>
      <c r="Q66" s="1" t="str">
        <f aca="false">_xlfn.CONCAT(H66,I66,J66)</f>
        <v>DAURDE</v>
      </c>
    </row>
    <row r="67" customFormat="false" ht="15" hidden="true" customHeight="false" outlineLevel="0" collapsed="false">
      <c r="B67" s="1" t="s">
        <v>579</v>
      </c>
      <c r="C67" s="1" t="s">
        <v>395</v>
      </c>
      <c r="D67" s="14" t="n">
        <v>45993.2840277778</v>
      </c>
      <c r="E67" s="14" t="n">
        <v>45993.2840277778</v>
      </c>
      <c r="F67" s="14" t="n">
        <v>45993.3354166667</v>
      </c>
      <c r="G67" s="15" t="n">
        <f aca="false">F67-E67</f>
        <v>0.0513888888888889</v>
      </c>
      <c r="H67" s="20" t="s">
        <v>248</v>
      </c>
      <c r="J67" s="20" t="s">
        <v>256</v>
      </c>
      <c r="K67" s="1" t="e">
        <f aca="false">_xlfn.xlookup(J67,REF!$D$2:$D$12,REF!$E$2:$E$12)</f>
        <v>#NAME?</v>
      </c>
      <c r="L67" s="1" t="s">
        <v>700</v>
      </c>
      <c r="M67" s="20" t="s">
        <v>258</v>
      </c>
      <c r="N67" s="20" t="s">
        <v>259</v>
      </c>
      <c r="O67" s="1" t="s">
        <v>399</v>
      </c>
      <c r="P67" s="1" t="str">
        <f aca="false">_xlfn.CONCAT(B67,C67,D67,E67,F67)</f>
        <v>BC Caiaponia2.2215KTL-H3(MBUS-15)45993.284027777845993.284027777845993.3354166667</v>
      </c>
      <c r="Q67" s="1" t="str">
        <f aca="false">_xlfn.CONCAT(H67,I67,J67)</f>
        <v>DAURDE</v>
      </c>
    </row>
    <row r="68" customFormat="false" ht="15" hidden="true" customHeight="false" outlineLevel="0" collapsed="false">
      <c r="B68" s="1" t="s">
        <v>579</v>
      </c>
      <c r="C68" s="1" t="s">
        <v>391</v>
      </c>
      <c r="D68" s="14" t="n">
        <v>45993.2840277778</v>
      </c>
      <c r="E68" s="14" t="n">
        <v>45993.2840277778</v>
      </c>
      <c r="F68" s="14" t="n">
        <v>45993.3354166667</v>
      </c>
      <c r="G68" s="15" t="n">
        <f aca="false">F68-E68</f>
        <v>0.0513888888888889</v>
      </c>
      <c r="H68" s="20" t="s">
        <v>248</v>
      </c>
      <c r="J68" s="20" t="s">
        <v>256</v>
      </c>
      <c r="K68" s="1" t="e">
        <f aca="false">_xlfn.xlookup(J68,REF!$D$2:$D$12,REF!$E$2:$E$12)</f>
        <v>#NAME?</v>
      </c>
      <c r="L68" s="1" t="s">
        <v>700</v>
      </c>
      <c r="M68" s="20" t="s">
        <v>258</v>
      </c>
      <c r="N68" s="20" t="s">
        <v>259</v>
      </c>
      <c r="O68" s="1" t="s">
        <v>399</v>
      </c>
      <c r="P68" s="1" t="str">
        <f aca="false">_xlfn.CONCAT(B68,C68,D68,E68,F68)</f>
        <v>BC Caiaponia2.2215KTL-H3(MBUS-16)45993.284027777845993.284027777845993.3354166667</v>
      </c>
      <c r="Q68" s="1" t="str">
        <f aca="false">_xlfn.CONCAT(H68,I68,J68)</f>
        <v>DAURDE</v>
      </c>
    </row>
    <row r="69" customFormat="false" ht="15" hidden="true" customHeight="false" outlineLevel="0" collapsed="false">
      <c r="B69" s="1" t="s">
        <v>580</v>
      </c>
      <c r="C69" s="1" t="s">
        <v>396</v>
      </c>
      <c r="D69" s="14" t="n">
        <v>45993.2840277778</v>
      </c>
      <c r="E69" s="14" t="n">
        <v>45993.2840277778</v>
      </c>
      <c r="F69" s="14" t="n">
        <v>45993.3354166667</v>
      </c>
      <c r="G69" s="15" t="n">
        <f aca="false">F69-E69</f>
        <v>0.0513888888888889</v>
      </c>
      <c r="H69" s="20" t="s">
        <v>248</v>
      </c>
      <c r="J69" s="20" t="s">
        <v>256</v>
      </c>
      <c r="K69" s="1" t="e">
        <f aca="false">_xlfn.xlookup(J69,REF!$D$2:$D$12,REF!$E$2:$E$12)</f>
        <v>#NAME?</v>
      </c>
      <c r="L69" s="1" t="s">
        <v>700</v>
      </c>
      <c r="M69" s="20" t="s">
        <v>258</v>
      </c>
      <c r="N69" s="20" t="s">
        <v>259</v>
      </c>
      <c r="O69" s="1" t="s">
        <v>399</v>
      </c>
      <c r="P69" s="1" t="str">
        <f aca="false">_xlfn.CONCAT(B69,C69,D69,E69,F69)</f>
        <v>BC Caiaponia2.3215KTL-H3(MBUS-12)45993.284027777845993.284027777845993.3354166667</v>
      </c>
      <c r="Q69" s="1" t="str">
        <f aca="false">_xlfn.CONCAT(H69,I69,J69)</f>
        <v>DAURDE</v>
      </c>
    </row>
    <row r="70" customFormat="false" ht="15" hidden="true" customHeight="false" outlineLevel="0" collapsed="false">
      <c r="B70" s="1" t="s">
        <v>580</v>
      </c>
      <c r="C70" s="1" t="s">
        <v>397</v>
      </c>
      <c r="D70" s="14" t="n">
        <v>45993.2840277778</v>
      </c>
      <c r="E70" s="14" t="n">
        <v>45993.2840277778</v>
      </c>
      <c r="F70" s="14" t="n">
        <v>45993.3354166667</v>
      </c>
      <c r="G70" s="15" t="n">
        <f aca="false">F70-E70</f>
        <v>0.0513888888888889</v>
      </c>
      <c r="H70" s="20" t="s">
        <v>248</v>
      </c>
      <c r="J70" s="20" t="s">
        <v>256</v>
      </c>
      <c r="K70" s="1" t="e">
        <f aca="false">_xlfn.xlookup(J70,REF!$D$2:$D$12,REF!$E$2:$E$12)</f>
        <v>#NAME?</v>
      </c>
      <c r="L70" s="1" t="s">
        <v>700</v>
      </c>
      <c r="M70" s="20" t="s">
        <v>258</v>
      </c>
      <c r="N70" s="20" t="s">
        <v>259</v>
      </c>
      <c r="O70" s="1" t="s">
        <v>399</v>
      </c>
      <c r="P70" s="1" t="str">
        <f aca="false">_xlfn.CONCAT(B70,C70,D70,E70,F70)</f>
        <v>BC Caiaponia2.3215KTL-H3(MBUS-13)45993.284027777845993.284027777845993.3354166667</v>
      </c>
      <c r="Q70" s="1" t="str">
        <f aca="false">_xlfn.CONCAT(H70,I70,J70)</f>
        <v>DAURDE</v>
      </c>
    </row>
    <row r="71" customFormat="false" ht="15" hidden="true" customHeight="false" outlineLevel="0" collapsed="false">
      <c r="B71" s="1" t="s">
        <v>580</v>
      </c>
      <c r="C71" s="1" t="s">
        <v>394</v>
      </c>
      <c r="D71" s="14" t="n">
        <v>45993.2840277778</v>
      </c>
      <c r="E71" s="14" t="n">
        <v>45993.2840277778</v>
      </c>
      <c r="F71" s="14" t="n">
        <v>45993.3354166667</v>
      </c>
      <c r="G71" s="15" t="n">
        <f aca="false">F71-E71</f>
        <v>0.0513888888888889</v>
      </c>
      <c r="H71" s="20" t="s">
        <v>248</v>
      </c>
      <c r="J71" s="20" t="s">
        <v>256</v>
      </c>
      <c r="K71" s="1" t="e">
        <f aca="false">_xlfn.xlookup(J71,REF!$D$2:$D$12,REF!$E$2:$E$12)</f>
        <v>#NAME?</v>
      </c>
      <c r="L71" s="1" t="s">
        <v>700</v>
      </c>
      <c r="M71" s="20" t="s">
        <v>258</v>
      </c>
      <c r="N71" s="20" t="s">
        <v>259</v>
      </c>
      <c r="O71" s="1" t="s">
        <v>399</v>
      </c>
      <c r="P71" s="1" t="str">
        <f aca="false">_xlfn.CONCAT(B71,C71,D71,E71,F71)</f>
        <v>BC Caiaponia2.3215KTL-H3(MBUS-14)45993.284027777845993.284027777845993.3354166667</v>
      </c>
      <c r="Q71" s="1" t="str">
        <f aca="false">_xlfn.CONCAT(H71,I71,J71)</f>
        <v>DAURDE</v>
      </c>
    </row>
    <row r="72" customFormat="false" ht="15" hidden="true" customHeight="false" outlineLevel="0" collapsed="false">
      <c r="B72" s="1" t="s">
        <v>580</v>
      </c>
      <c r="C72" s="1" t="s">
        <v>395</v>
      </c>
      <c r="D72" s="14" t="n">
        <v>45993.2840277778</v>
      </c>
      <c r="E72" s="14" t="n">
        <v>45993.2840277778</v>
      </c>
      <c r="F72" s="14" t="n">
        <v>45993.3354166667</v>
      </c>
      <c r="G72" s="15" t="n">
        <f aca="false">F72-E72</f>
        <v>0.0513888888888889</v>
      </c>
      <c r="H72" s="20" t="s">
        <v>248</v>
      </c>
      <c r="J72" s="20" t="s">
        <v>256</v>
      </c>
      <c r="K72" s="1" t="e">
        <f aca="false">_xlfn.xlookup(J72,REF!$D$2:$D$12,REF!$E$2:$E$12)</f>
        <v>#NAME?</v>
      </c>
      <c r="L72" s="1" t="s">
        <v>700</v>
      </c>
      <c r="M72" s="20" t="s">
        <v>258</v>
      </c>
      <c r="N72" s="20" t="s">
        <v>259</v>
      </c>
      <c r="O72" s="1" t="s">
        <v>399</v>
      </c>
      <c r="P72" s="1" t="str">
        <f aca="false">_xlfn.CONCAT(B72,C72,D72,E72,F72)</f>
        <v>BC Caiaponia2.3215KTL-H3(MBUS-15)45993.284027777845993.284027777845993.3354166667</v>
      </c>
      <c r="Q72" s="1" t="str">
        <f aca="false">_xlfn.CONCAT(H72,I72,J72)</f>
        <v>DAURDE</v>
      </c>
    </row>
    <row r="73" customFormat="false" ht="15" hidden="true" customHeight="false" outlineLevel="0" collapsed="false">
      <c r="B73" s="1" t="s">
        <v>580</v>
      </c>
      <c r="C73" s="1" t="s">
        <v>391</v>
      </c>
      <c r="D73" s="14" t="n">
        <v>45993.2840277778</v>
      </c>
      <c r="E73" s="14" t="n">
        <v>45993.2840277778</v>
      </c>
      <c r="F73" s="14" t="n">
        <v>45993.3354166667</v>
      </c>
      <c r="G73" s="15" t="n">
        <f aca="false">F73-E73</f>
        <v>0.0513888888888889</v>
      </c>
      <c r="H73" s="20" t="s">
        <v>248</v>
      </c>
      <c r="J73" s="20" t="s">
        <v>256</v>
      </c>
      <c r="K73" s="1" t="e">
        <f aca="false">_xlfn.xlookup(J73,REF!$D$2:$D$12,REF!$E$2:$E$12)</f>
        <v>#NAME?</v>
      </c>
      <c r="L73" s="1" t="s">
        <v>700</v>
      </c>
      <c r="M73" s="20" t="s">
        <v>258</v>
      </c>
      <c r="N73" s="20" t="s">
        <v>259</v>
      </c>
      <c r="O73" s="1" t="s">
        <v>399</v>
      </c>
      <c r="P73" s="1" t="str">
        <f aca="false">_xlfn.CONCAT(B73,C73,D73,E73,F73)</f>
        <v>BC Caiaponia2.3215KTL-H3(MBUS-16)45993.284027777845993.284027777845993.3354166667</v>
      </c>
      <c r="Q73" s="1" t="str">
        <f aca="false">_xlfn.CONCAT(H73,I73,J73)</f>
        <v>DAURDE</v>
      </c>
    </row>
    <row r="74" customFormat="false" ht="15" hidden="true" customHeight="false" outlineLevel="0" collapsed="false">
      <c r="B74" s="1" t="s">
        <v>701</v>
      </c>
      <c r="C74" s="1" t="s">
        <v>702</v>
      </c>
      <c r="D74" s="14" t="n">
        <v>45993.3125</v>
      </c>
      <c r="E74" s="14" t="n">
        <v>45993.3125</v>
      </c>
      <c r="F74" s="14" t="n">
        <v>45993.7569444444</v>
      </c>
      <c r="G74" s="15" t="n">
        <f aca="false">F74-E74</f>
        <v>0.444444444444444</v>
      </c>
      <c r="H74" s="20" t="s">
        <v>313</v>
      </c>
      <c r="J74" s="20" t="s">
        <v>703</v>
      </c>
      <c r="K74" s="1" t="e">
        <f aca="false">_xlfn.xlookup(J74,REF!$D$2:$D$12,REF!$E$2:$E$12)</f>
        <v>#NAME?</v>
      </c>
      <c r="L74" s="1" t="s">
        <v>704</v>
      </c>
      <c r="M74" s="20" t="s">
        <v>288</v>
      </c>
      <c r="N74" s="20" t="s">
        <v>315</v>
      </c>
      <c r="O74" s="1" t="s">
        <v>705</v>
      </c>
      <c r="P74" s="1" t="str">
        <f aca="false">_xlfn.CONCAT(B74,C74,D74,E74,F74)</f>
        <v>BC Vazante1.1Inverter0145993.312545993.312545993.7569444444</v>
      </c>
      <c r="Q74" s="1" t="str">
        <f aca="false">_xlfn.CONCAT(H74,I74,J74)</f>
        <v>DPRTRF</v>
      </c>
    </row>
    <row r="75" customFormat="false" ht="15" hidden="true" customHeight="false" outlineLevel="0" collapsed="false">
      <c r="B75" s="1" t="s">
        <v>701</v>
      </c>
      <c r="C75" s="1" t="s">
        <v>706</v>
      </c>
      <c r="D75" s="14" t="n">
        <v>45993.3125</v>
      </c>
      <c r="E75" s="14" t="n">
        <v>45993.3125</v>
      </c>
      <c r="F75" s="14" t="n">
        <v>45993.7569444444</v>
      </c>
      <c r="G75" s="15" t="n">
        <f aca="false">F75-E75</f>
        <v>0.444444444444444</v>
      </c>
      <c r="H75" s="20" t="s">
        <v>313</v>
      </c>
      <c r="J75" s="20" t="s">
        <v>703</v>
      </c>
      <c r="K75" s="1" t="e">
        <f aca="false">_xlfn.xlookup(J75,REF!$D$2:$D$12,REF!$E$2:$E$12)</f>
        <v>#NAME?</v>
      </c>
      <c r="L75" s="1" t="s">
        <v>704</v>
      </c>
      <c r="M75" s="20" t="s">
        <v>288</v>
      </c>
      <c r="N75" s="20" t="s">
        <v>315</v>
      </c>
      <c r="O75" s="1" t="s">
        <v>705</v>
      </c>
      <c r="P75" s="1" t="str">
        <f aca="false">_xlfn.CONCAT(B75,C75,D75,E75,F75)</f>
        <v>BC Vazante1.1Inverter0245993.312545993.312545993.7569444444</v>
      </c>
      <c r="Q75" s="1" t="str">
        <f aca="false">_xlfn.CONCAT(H75,I75,J75)</f>
        <v>DPRTRF</v>
      </c>
    </row>
    <row r="76" customFormat="false" ht="15" hidden="true" customHeight="false" outlineLevel="0" collapsed="false">
      <c r="B76" s="1" t="s">
        <v>701</v>
      </c>
      <c r="C76" s="1" t="s">
        <v>707</v>
      </c>
      <c r="D76" s="14" t="n">
        <v>45993.3125</v>
      </c>
      <c r="E76" s="14" t="n">
        <v>45993.3125</v>
      </c>
      <c r="F76" s="14" t="n">
        <v>45993.7569444444</v>
      </c>
      <c r="G76" s="15" t="n">
        <f aca="false">F76-E76</f>
        <v>0.444444444444444</v>
      </c>
      <c r="H76" s="20" t="s">
        <v>313</v>
      </c>
      <c r="J76" s="20" t="s">
        <v>703</v>
      </c>
      <c r="K76" s="1" t="e">
        <f aca="false">_xlfn.xlookup(J76,REF!$D$2:$D$12,REF!$E$2:$E$12)</f>
        <v>#NAME?</v>
      </c>
      <c r="L76" s="1" t="s">
        <v>704</v>
      </c>
      <c r="M76" s="20" t="s">
        <v>288</v>
      </c>
      <c r="N76" s="20" t="s">
        <v>315</v>
      </c>
      <c r="O76" s="1" t="s">
        <v>705</v>
      </c>
      <c r="P76" s="1" t="str">
        <f aca="false">_xlfn.CONCAT(B76,C76,D76,E76,F76)</f>
        <v>BC Vazante1.1Inverter0345993.312545993.312545993.7569444444</v>
      </c>
      <c r="Q76" s="1" t="str">
        <f aca="false">_xlfn.CONCAT(H76,I76,J76)</f>
        <v>DPRTRF</v>
      </c>
    </row>
    <row r="77" customFormat="false" ht="15" hidden="true" customHeight="false" outlineLevel="0" collapsed="false">
      <c r="B77" s="1" t="s">
        <v>701</v>
      </c>
      <c r="C77" s="1" t="s">
        <v>708</v>
      </c>
      <c r="D77" s="14" t="n">
        <v>45993.3125</v>
      </c>
      <c r="E77" s="14" t="n">
        <v>45993.3125</v>
      </c>
      <c r="F77" s="14" t="n">
        <v>45993.7569444444</v>
      </c>
      <c r="G77" s="15" t="n">
        <f aca="false">F77-E77</f>
        <v>0.444444444444444</v>
      </c>
      <c r="H77" s="20" t="s">
        <v>313</v>
      </c>
      <c r="J77" s="20" t="s">
        <v>703</v>
      </c>
      <c r="K77" s="1" t="e">
        <f aca="false">_xlfn.xlookup(J77,REF!$D$2:$D$12,REF!$E$2:$E$12)</f>
        <v>#NAME?</v>
      </c>
      <c r="L77" s="1" t="s">
        <v>704</v>
      </c>
      <c r="M77" s="20" t="s">
        <v>288</v>
      </c>
      <c r="N77" s="20" t="s">
        <v>315</v>
      </c>
      <c r="O77" s="1" t="s">
        <v>705</v>
      </c>
      <c r="P77" s="1" t="str">
        <f aca="false">_xlfn.CONCAT(B77,C77,D77,E77,F77)</f>
        <v>BC Vazante1.1Inverter0445993.312545993.312545993.7569444444</v>
      </c>
      <c r="Q77" s="1" t="str">
        <f aca="false">_xlfn.CONCAT(H77,I77,J77)</f>
        <v>DPRTRF</v>
      </c>
    </row>
    <row r="78" customFormat="false" ht="15" hidden="true" customHeight="false" outlineLevel="0" collapsed="false">
      <c r="B78" s="1" t="s">
        <v>701</v>
      </c>
      <c r="C78" s="1" t="s">
        <v>709</v>
      </c>
      <c r="D78" s="14" t="n">
        <v>45993.3125</v>
      </c>
      <c r="E78" s="14" t="n">
        <v>45993.3125</v>
      </c>
      <c r="F78" s="14" t="n">
        <v>45993.7569444444</v>
      </c>
      <c r="G78" s="15" t="n">
        <f aca="false">F78-E78</f>
        <v>0.444444444444444</v>
      </c>
      <c r="H78" s="20" t="s">
        <v>313</v>
      </c>
      <c r="J78" s="20" t="s">
        <v>703</v>
      </c>
      <c r="K78" s="1" t="e">
        <f aca="false">_xlfn.xlookup(J78,REF!$D$2:$D$12,REF!$E$2:$E$12)</f>
        <v>#NAME?</v>
      </c>
      <c r="L78" s="1" t="s">
        <v>704</v>
      </c>
      <c r="M78" s="20" t="s">
        <v>288</v>
      </c>
      <c r="N78" s="20" t="s">
        <v>315</v>
      </c>
      <c r="O78" s="1" t="s">
        <v>705</v>
      </c>
      <c r="P78" s="1" t="str">
        <f aca="false">_xlfn.CONCAT(B78,C78,D78,E78,F78)</f>
        <v>BC Vazante1.1Inverter0545993.312545993.312545993.7569444444</v>
      </c>
      <c r="Q78" s="1" t="str">
        <f aca="false">_xlfn.CONCAT(H78,I78,J78)</f>
        <v>DPRTRF</v>
      </c>
    </row>
    <row r="79" customFormat="false" ht="15" hidden="true" customHeight="false" outlineLevel="0" collapsed="false">
      <c r="B79" s="1" t="s">
        <v>701</v>
      </c>
      <c r="C79" s="1" t="s">
        <v>710</v>
      </c>
      <c r="D79" s="14" t="n">
        <v>45993.3125</v>
      </c>
      <c r="E79" s="14" t="n">
        <v>45993.3125</v>
      </c>
      <c r="F79" s="14" t="n">
        <v>45993.7569444444</v>
      </c>
      <c r="G79" s="15" t="n">
        <f aca="false">F79-E79</f>
        <v>0.444444444444444</v>
      </c>
      <c r="H79" s="20" t="s">
        <v>313</v>
      </c>
      <c r="J79" s="20" t="s">
        <v>703</v>
      </c>
      <c r="K79" s="1" t="e">
        <f aca="false">_xlfn.xlookup(J79,REF!$D$2:$D$12,REF!$E$2:$E$12)</f>
        <v>#NAME?</v>
      </c>
      <c r="L79" s="1" t="s">
        <v>704</v>
      </c>
      <c r="M79" s="20" t="s">
        <v>288</v>
      </c>
      <c r="N79" s="20" t="s">
        <v>315</v>
      </c>
      <c r="O79" s="1" t="s">
        <v>705</v>
      </c>
      <c r="P79" s="1" t="str">
        <f aca="false">_xlfn.CONCAT(B79,C79,D79,E79,F79)</f>
        <v>BC Vazante1.1Inverter0645993.312545993.312545993.7569444444</v>
      </c>
      <c r="Q79" s="1" t="str">
        <f aca="false">_xlfn.CONCAT(H79,I79,J79)</f>
        <v>DPRTRF</v>
      </c>
    </row>
    <row r="80" customFormat="false" ht="15" hidden="true" customHeight="false" outlineLevel="0" collapsed="false">
      <c r="B80" s="1" t="s">
        <v>701</v>
      </c>
      <c r="C80" s="1" t="s">
        <v>711</v>
      </c>
      <c r="D80" s="14" t="n">
        <v>45993.3125</v>
      </c>
      <c r="E80" s="14" t="n">
        <v>45993.3125</v>
      </c>
      <c r="F80" s="14" t="n">
        <v>45993.7569444444</v>
      </c>
      <c r="G80" s="15" t="n">
        <f aca="false">F80-E80</f>
        <v>0.444444444444444</v>
      </c>
      <c r="H80" s="20" t="s">
        <v>313</v>
      </c>
      <c r="J80" s="20" t="s">
        <v>703</v>
      </c>
      <c r="K80" s="1" t="e">
        <f aca="false">_xlfn.xlookup(J80,REF!$D$2:$D$12,REF!$E$2:$E$12)</f>
        <v>#NAME?</v>
      </c>
      <c r="L80" s="1" t="s">
        <v>704</v>
      </c>
      <c r="M80" s="20" t="s">
        <v>288</v>
      </c>
      <c r="N80" s="20" t="s">
        <v>315</v>
      </c>
      <c r="O80" s="1" t="s">
        <v>705</v>
      </c>
      <c r="P80" s="1" t="str">
        <f aca="false">_xlfn.CONCAT(B80,C80,D80,E80,F80)</f>
        <v>BC Vazante1.1Inverter0745993.312545993.312545993.7569444444</v>
      </c>
      <c r="Q80" s="1" t="str">
        <f aca="false">_xlfn.CONCAT(H80,I80,J80)</f>
        <v>DPRTRF</v>
      </c>
    </row>
    <row r="81" customFormat="false" ht="15" hidden="true" customHeight="false" outlineLevel="0" collapsed="false">
      <c r="B81" s="1" t="s">
        <v>701</v>
      </c>
      <c r="C81" s="1" t="s">
        <v>712</v>
      </c>
      <c r="D81" s="14" t="n">
        <v>45993.3125</v>
      </c>
      <c r="E81" s="14" t="n">
        <v>45993.3125</v>
      </c>
      <c r="F81" s="14" t="n">
        <v>45993.7569444444</v>
      </c>
      <c r="G81" s="15" t="n">
        <f aca="false">F81-E81</f>
        <v>0.444444444444444</v>
      </c>
      <c r="H81" s="20" t="s">
        <v>313</v>
      </c>
      <c r="J81" s="20" t="s">
        <v>703</v>
      </c>
      <c r="K81" s="1" t="e">
        <f aca="false">_xlfn.xlookup(J81,REF!$D$2:$D$12,REF!$E$2:$E$12)</f>
        <v>#NAME?</v>
      </c>
      <c r="L81" s="1" t="s">
        <v>704</v>
      </c>
      <c r="M81" s="20" t="s">
        <v>288</v>
      </c>
      <c r="N81" s="20" t="s">
        <v>315</v>
      </c>
      <c r="O81" s="1" t="s">
        <v>705</v>
      </c>
      <c r="P81" s="1" t="str">
        <f aca="false">_xlfn.CONCAT(B81,C81,D81,E81,F81)</f>
        <v>BC Vazante1.1Inverter0845993.312545993.312545993.7569444444</v>
      </c>
      <c r="Q81" s="1" t="str">
        <f aca="false">_xlfn.CONCAT(H81,I81,J81)</f>
        <v>DPRTRF</v>
      </c>
    </row>
    <row r="82" customFormat="false" ht="15" hidden="true" customHeight="false" outlineLevel="0" collapsed="false">
      <c r="B82" s="1" t="s">
        <v>701</v>
      </c>
      <c r="C82" s="1" t="s">
        <v>713</v>
      </c>
      <c r="D82" s="14" t="n">
        <v>45993.3125</v>
      </c>
      <c r="E82" s="14" t="n">
        <v>45993.3125</v>
      </c>
      <c r="F82" s="14" t="n">
        <v>45993.7569444444</v>
      </c>
      <c r="G82" s="15" t="n">
        <f aca="false">F82-E82</f>
        <v>0.444444444444444</v>
      </c>
      <c r="H82" s="20" t="s">
        <v>313</v>
      </c>
      <c r="J82" s="20" t="s">
        <v>703</v>
      </c>
      <c r="K82" s="1" t="e">
        <f aca="false">_xlfn.xlookup(J82,REF!$D$2:$D$12,REF!$E$2:$E$12)</f>
        <v>#NAME?</v>
      </c>
      <c r="L82" s="1" t="s">
        <v>704</v>
      </c>
      <c r="M82" s="20" t="s">
        <v>288</v>
      </c>
      <c r="N82" s="20" t="s">
        <v>315</v>
      </c>
      <c r="O82" s="1" t="s">
        <v>705</v>
      </c>
      <c r="P82" s="1" t="str">
        <f aca="false">_xlfn.CONCAT(B82,C82,D82,E82,F82)</f>
        <v>BC Vazante1.1Inverter0945993.312545993.312545993.7569444444</v>
      </c>
      <c r="Q82" s="1" t="str">
        <f aca="false">_xlfn.CONCAT(H82,I82,J82)</f>
        <v>DPRTRF</v>
      </c>
    </row>
    <row r="83" customFormat="false" ht="15" hidden="true" customHeight="false" outlineLevel="0" collapsed="false">
      <c r="B83" s="1" t="s">
        <v>701</v>
      </c>
      <c r="C83" s="1" t="s">
        <v>714</v>
      </c>
      <c r="D83" s="14" t="n">
        <v>45993.3125</v>
      </c>
      <c r="E83" s="14" t="n">
        <v>45993.3125</v>
      </c>
      <c r="F83" s="14" t="n">
        <v>45993.7569444444</v>
      </c>
      <c r="G83" s="15" t="n">
        <f aca="false">F83-E83</f>
        <v>0.444444444444444</v>
      </c>
      <c r="H83" s="20" t="s">
        <v>313</v>
      </c>
      <c r="J83" s="20" t="s">
        <v>703</v>
      </c>
      <c r="K83" s="1" t="e">
        <f aca="false">_xlfn.xlookup(J83,REF!$D$2:$D$12,REF!$E$2:$E$12)</f>
        <v>#NAME?</v>
      </c>
      <c r="L83" s="1" t="s">
        <v>704</v>
      </c>
      <c r="M83" s="20" t="s">
        <v>288</v>
      </c>
      <c r="N83" s="20" t="s">
        <v>315</v>
      </c>
      <c r="O83" s="1" t="s">
        <v>705</v>
      </c>
      <c r="P83" s="1" t="str">
        <f aca="false">_xlfn.CONCAT(B83,C83,D83,E83,F83)</f>
        <v>BC Vazante1.1Inverter1045993.312545993.312545993.7569444444</v>
      </c>
      <c r="Q83" s="1" t="str">
        <f aca="false">_xlfn.CONCAT(H83,I83,J83)</f>
        <v>DPRTRF</v>
      </c>
    </row>
    <row r="84" customFormat="false" ht="15" hidden="true" customHeight="false" outlineLevel="0" collapsed="false">
      <c r="B84" s="1" t="s">
        <v>701</v>
      </c>
      <c r="C84" s="1" t="s">
        <v>715</v>
      </c>
      <c r="D84" s="14" t="n">
        <v>45993.3125</v>
      </c>
      <c r="E84" s="14" t="n">
        <v>45993.3125</v>
      </c>
      <c r="F84" s="14" t="n">
        <v>45993.7569444444</v>
      </c>
      <c r="G84" s="15" t="n">
        <f aca="false">F84-E84</f>
        <v>0.444444444444444</v>
      </c>
      <c r="H84" s="20" t="s">
        <v>313</v>
      </c>
      <c r="J84" s="20" t="s">
        <v>703</v>
      </c>
      <c r="K84" s="1" t="e">
        <f aca="false">_xlfn.xlookup(J84,REF!$D$2:$D$12,REF!$E$2:$E$12)</f>
        <v>#NAME?</v>
      </c>
      <c r="L84" s="1" t="s">
        <v>704</v>
      </c>
      <c r="M84" s="20" t="s">
        <v>288</v>
      </c>
      <c r="N84" s="20" t="s">
        <v>315</v>
      </c>
      <c r="O84" s="1" t="s">
        <v>705</v>
      </c>
      <c r="P84" s="1" t="str">
        <f aca="false">_xlfn.CONCAT(B84,C84,D84,E84,F84)</f>
        <v>BC Vazante1.1Inverter1145993.312545993.312545993.7569444444</v>
      </c>
      <c r="Q84" s="1" t="str">
        <f aca="false">_xlfn.CONCAT(H84,I84,J84)</f>
        <v>DPRTRF</v>
      </c>
    </row>
    <row r="85" customFormat="false" ht="15" hidden="true" customHeight="false" outlineLevel="0" collapsed="false">
      <c r="B85" s="1" t="s">
        <v>701</v>
      </c>
      <c r="C85" s="1" t="s">
        <v>274</v>
      </c>
      <c r="D85" s="14" t="n">
        <v>45993.3125</v>
      </c>
      <c r="E85" s="14" t="n">
        <v>45993.3125</v>
      </c>
      <c r="F85" s="14" t="n">
        <v>45993.7569444444</v>
      </c>
      <c r="G85" s="15" t="n">
        <f aca="false">F85-E85</f>
        <v>0.444444444444444</v>
      </c>
      <c r="H85" s="20" t="s">
        <v>313</v>
      </c>
      <c r="J85" s="20" t="s">
        <v>703</v>
      </c>
      <c r="K85" s="1" t="e">
        <f aca="false">_xlfn.xlookup(J85,REF!$D$2:$D$12,REF!$E$2:$E$12)</f>
        <v>#NAME?</v>
      </c>
      <c r="L85" s="1" t="s">
        <v>704</v>
      </c>
      <c r="M85" s="20" t="s">
        <v>288</v>
      </c>
      <c r="N85" s="20" t="s">
        <v>315</v>
      </c>
      <c r="O85" s="1" t="s">
        <v>705</v>
      </c>
      <c r="P85" s="1" t="str">
        <f aca="false">_xlfn.CONCAT(B85,C85,D85,E85,F85)</f>
        <v>BC Vazante1.1Inverter1245993.312545993.312545993.7569444444</v>
      </c>
      <c r="Q85" s="1" t="str">
        <f aca="false">_xlfn.CONCAT(H85,I85,J85)</f>
        <v>DPRTRF</v>
      </c>
    </row>
    <row r="86" customFormat="false" ht="15" hidden="true" customHeight="false" outlineLevel="0" collapsed="false">
      <c r="B86" s="1" t="s">
        <v>701</v>
      </c>
      <c r="C86" s="1" t="s">
        <v>608</v>
      </c>
      <c r="D86" s="14" t="n">
        <v>45993.3125</v>
      </c>
      <c r="E86" s="14" t="n">
        <v>45993.3125</v>
      </c>
      <c r="F86" s="14" t="n">
        <v>45993.7569444444</v>
      </c>
      <c r="G86" s="15" t="n">
        <f aca="false">F86-E86</f>
        <v>0.444444444444444</v>
      </c>
      <c r="H86" s="20" t="s">
        <v>313</v>
      </c>
      <c r="J86" s="20" t="s">
        <v>703</v>
      </c>
      <c r="K86" s="1" t="e">
        <f aca="false">_xlfn.xlookup(J86,REF!$D$2:$D$12,REF!$E$2:$E$12)</f>
        <v>#NAME?</v>
      </c>
      <c r="L86" s="1" t="s">
        <v>704</v>
      </c>
      <c r="M86" s="20" t="s">
        <v>288</v>
      </c>
      <c r="N86" s="20" t="s">
        <v>315</v>
      </c>
      <c r="O86" s="1" t="s">
        <v>705</v>
      </c>
      <c r="P86" s="1" t="str">
        <f aca="false">_xlfn.CONCAT(B86,C86,D86,E86,F86)</f>
        <v>BC Vazante1.1Inverter1345993.312545993.312545993.7569444444</v>
      </c>
      <c r="Q86" s="1" t="str">
        <f aca="false">_xlfn.CONCAT(H86,I86,J86)</f>
        <v>DPRTRF</v>
      </c>
    </row>
    <row r="87" customFormat="false" ht="15" hidden="true" customHeight="false" outlineLevel="0" collapsed="false">
      <c r="B87" s="1" t="s">
        <v>701</v>
      </c>
      <c r="C87" s="1" t="s">
        <v>716</v>
      </c>
      <c r="D87" s="14" t="n">
        <v>45993.3125</v>
      </c>
      <c r="E87" s="14" t="n">
        <v>45993.3125</v>
      </c>
      <c r="F87" s="14" t="n">
        <v>45993.7569444444</v>
      </c>
      <c r="G87" s="15" t="n">
        <f aca="false">F87-E87</f>
        <v>0.444444444444444</v>
      </c>
      <c r="H87" s="20" t="s">
        <v>313</v>
      </c>
      <c r="J87" s="20" t="s">
        <v>703</v>
      </c>
      <c r="K87" s="1" t="e">
        <f aca="false">_xlfn.xlookup(J87,REF!$D$2:$D$12,REF!$E$2:$E$12)</f>
        <v>#NAME?</v>
      </c>
      <c r="L87" s="1" t="s">
        <v>704</v>
      </c>
      <c r="M87" s="20" t="s">
        <v>288</v>
      </c>
      <c r="N87" s="20" t="s">
        <v>315</v>
      </c>
      <c r="O87" s="1" t="s">
        <v>705</v>
      </c>
      <c r="P87" s="1" t="str">
        <f aca="false">_xlfn.CONCAT(B87,C87,D87,E87,F87)</f>
        <v>BC Vazante1.1Inverter1445993.312545993.312545993.7569444444</v>
      </c>
      <c r="Q87" s="1" t="str">
        <f aca="false">_xlfn.CONCAT(H87,I87,J87)</f>
        <v>DPRTRF</v>
      </c>
    </row>
    <row r="88" customFormat="false" ht="15" hidden="true" customHeight="false" outlineLevel="0" collapsed="false">
      <c r="B88" s="1" t="s">
        <v>701</v>
      </c>
      <c r="C88" s="1" t="s">
        <v>717</v>
      </c>
      <c r="D88" s="14" t="n">
        <v>45993.3125</v>
      </c>
      <c r="E88" s="14" t="n">
        <v>45993.3125</v>
      </c>
      <c r="F88" s="14" t="n">
        <v>45993.7569444444</v>
      </c>
      <c r="G88" s="15" t="n">
        <f aca="false">F88-E88</f>
        <v>0.444444444444444</v>
      </c>
      <c r="H88" s="20" t="s">
        <v>313</v>
      </c>
      <c r="J88" s="20" t="s">
        <v>703</v>
      </c>
      <c r="K88" s="1" t="e">
        <f aca="false">_xlfn.xlookup(J88,REF!$D$2:$D$12,REF!$E$2:$E$12)</f>
        <v>#NAME?</v>
      </c>
      <c r="L88" s="1" t="s">
        <v>704</v>
      </c>
      <c r="M88" s="20" t="s">
        <v>288</v>
      </c>
      <c r="N88" s="20" t="s">
        <v>315</v>
      </c>
      <c r="O88" s="1" t="s">
        <v>705</v>
      </c>
      <c r="P88" s="1" t="str">
        <f aca="false">_xlfn.CONCAT(B88,C88,D88,E88,F88)</f>
        <v>BC Vazante1.1Inverter1545993.312545993.312545993.7569444444</v>
      </c>
      <c r="Q88" s="1" t="str">
        <f aca="false">_xlfn.CONCAT(H88,I88,J88)</f>
        <v>DPRTRF</v>
      </c>
    </row>
    <row r="89" customFormat="false" ht="15" hidden="true" customHeight="false" outlineLevel="0" collapsed="false">
      <c r="B89" s="1" t="s">
        <v>701</v>
      </c>
      <c r="C89" s="1" t="s">
        <v>718</v>
      </c>
      <c r="D89" s="14" t="n">
        <v>45993.3125</v>
      </c>
      <c r="E89" s="14" t="n">
        <v>45993.3125</v>
      </c>
      <c r="F89" s="14" t="n">
        <v>45993.7569444444</v>
      </c>
      <c r="G89" s="15" t="n">
        <f aca="false">F89-E89</f>
        <v>0.444444444444444</v>
      </c>
      <c r="H89" s="20" t="s">
        <v>313</v>
      </c>
      <c r="J89" s="20" t="s">
        <v>703</v>
      </c>
      <c r="K89" s="1" t="e">
        <f aca="false">_xlfn.xlookup(J89,REF!$D$2:$D$12,REF!$E$2:$E$12)</f>
        <v>#NAME?</v>
      </c>
      <c r="L89" s="1" t="s">
        <v>704</v>
      </c>
      <c r="M89" s="20" t="s">
        <v>288</v>
      </c>
      <c r="N89" s="20" t="s">
        <v>315</v>
      </c>
      <c r="O89" s="1" t="s">
        <v>705</v>
      </c>
      <c r="P89" s="1" t="str">
        <f aca="false">_xlfn.CONCAT(B89,C89,D89,E89,F89)</f>
        <v>BC Vazante1.1Inverter1645993.312545993.312545993.7569444444</v>
      </c>
      <c r="Q89" s="1" t="str">
        <f aca="false">_xlfn.CONCAT(H89,I89,J89)</f>
        <v>DPRTRF</v>
      </c>
    </row>
    <row r="90" customFormat="false" ht="15" hidden="true" customHeight="false" outlineLevel="0" collapsed="false">
      <c r="B90" s="1" t="s">
        <v>701</v>
      </c>
      <c r="C90" s="1" t="s">
        <v>719</v>
      </c>
      <c r="D90" s="14" t="n">
        <v>45993.3125</v>
      </c>
      <c r="E90" s="14" t="n">
        <v>45993.3125</v>
      </c>
      <c r="F90" s="14" t="n">
        <v>45993.7569444444</v>
      </c>
      <c r="G90" s="15" t="n">
        <f aca="false">F90-E90</f>
        <v>0.444444444444444</v>
      </c>
      <c r="H90" s="20" t="s">
        <v>313</v>
      </c>
      <c r="J90" s="20" t="s">
        <v>703</v>
      </c>
      <c r="K90" s="1" t="e">
        <f aca="false">_xlfn.xlookup(J90,REF!$D$2:$D$12,REF!$E$2:$E$12)</f>
        <v>#NAME?</v>
      </c>
      <c r="L90" s="1" t="s">
        <v>704</v>
      </c>
      <c r="M90" s="20" t="s">
        <v>288</v>
      </c>
      <c r="N90" s="20" t="s">
        <v>315</v>
      </c>
      <c r="O90" s="1" t="s">
        <v>705</v>
      </c>
      <c r="P90" s="1" t="str">
        <f aca="false">_xlfn.CONCAT(B90,C90,D90,E90,F90)</f>
        <v>BC Vazante1.1Inverter1745993.312545993.312545993.7569444444</v>
      </c>
      <c r="Q90" s="1" t="str">
        <f aca="false">_xlfn.CONCAT(H90,I90,J90)</f>
        <v>DPRTRF</v>
      </c>
    </row>
    <row r="91" customFormat="false" ht="15" hidden="true" customHeight="false" outlineLevel="0" collapsed="false">
      <c r="B91" s="1" t="s">
        <v>720</v>
      </c>
      <c r="C91" s="1" t="s">
        <v>255</v>
      </c>
      <c r="D91" s="14" t="n">
        <v>45993.5902777778</v>
      </c>
      <c r="E91" s="14" t="n">
        <v>45993.5902777778</v>
      </c>
      <c r="F91" s="14" t="n">
        <v>45993.7090277778</v>
      </c>
      <c r="G91" s="15" t="n">
        <f aca="false">F91-E91</f>
        <v>0.11875</v>
      </c>
      <c r="H91" s="20" t="s">
        <v>313</v>
      </c>
      <c r="J91" s="20" t="s">
        <v>230</v>
      </c>
      <c r="K91" s="1" t="e">
        <f aca="false">_xlfn.xlookup(J91,REF!$D$2:$D$12,REF!$E$2:$E$12)</f>
        <v>#NAME?</v>
      </c>
      <c r="L91" s="1" t="s">
        <v>721</v>
      </c>
      <c r="M91" s="20" t="s">
        <v>288</v>
      </c>
      <c r="N91" s="20" t="s">
        <v>315</v>
      </c>
      <c r="O91" s="1" t="s">
        <v>722</v>
      </c>
      <c r="P91" s="1" t="str">
        <f aca="false">_xlfn.CONCAT(B91,C91,D91,E91,F91)</f>
        <v>BC Vazante2.1Inverter(MBUS-1)45993.590277777845993.590277777845993.7090277778</v>
      </c>
      <c r="Q91" s="1" t="str">
        <f aca="false">_xlfn.CONCAT(H91,I91,J91)</f>
        <v>DPRUFV</v>
      </c>
    </row>
    <row r="92" customFormat="false" ht="15" hidden="true" customHeight="false" outlineLevel="0" collapsed="false">
      <c r="B92" s="1" t="s">
        <v>720</v>
      </c>
      <c r="C92" s="1" t="s">
        <v>723</v>
      </c>
      <c r="D92" s="14" t="n">
        <v>45993.5902777778</v>
      </c>
      <c r="E92" s="14" t="n">
        <v>45993.5902777778</v>
      </c>
      <c r="F92" s="14" t="n">
        <v>45993.7090277778</v>
      </c>
      <c r="G92" s="15" t="n">
        <f aca="false">F92-E92</f>
        <v>0.11875</v>
      </c>
      <c r="H92" s="20" t="s">
        <v>313</v>
      </c>
      <c r="J92" s="20" t="s">
        <v>230</v>
      </c>
      <c r="K92" s="1" t="e">
        <f aca="false">_xlfn.xlookup(J92,REF!$D$2:$D$12,REF!$E$2:$E$12)</f>
        <v>#NAME?</v>
      </c>
      <c r="L92" s="1" t="s">
        <v>721</v>
      </c>
      <c r="M92" s="20" t="s">
        <v>288</v>
      </c>
      <c r="N92" s="20" t="s">
        <v>315</v>
      </c>
      <c r="O92" s="1" t="s">
        <v>722</v>
      </c>
      <c r="P92" s="1" t="str">
        <f aca="false">_xlfn.CONCAT(B92,C92,D92,E92,F92)</f>
        <v>BC Vazante2.1Inverter(MBUS-2)45993.590277777845993.590277777845993.7090277778</v>
      </c>
      <c r="Q92" s="1" t="str">
        <f aca="false">_xlfn.CONCAT(H92,I92,J92)</f>
        <v>DPRUFV</v>
      </c>
    </row>
    <row r="93" customFormat="false" ht="15" hidden="true" customHeight="false" outlineLevel="0" collapsed="false">
      <c r="B93" s="1" t="s">
        <v>720</v>
      </c>
      <c r="C93" s="1" t="s">
        <v>724</v>
      </c>
      <c r="D93" s="14" t="n">
        <v>45993.5902777778</v>
      </c>
      <c r="E93" s="14" t="n">
        <v>45993.5902777778</v>
      </c>
      <c r="F93" s="14" t="n">
        <v>45993.7090277778</v>
      </c>
      <c r="G93" s="15" t="n">
        <f aca="false">F93-E93</f>
        <v>0.11875</v>
      </c>
      <c r="H93" s="20" t="s">
        <v>313</v>
      </c>
      <c r="J93" s="20" t="s">
        <v>230</v>
      </c>
      <c r="K93" s="1" t="e">
        <f aca="false">_xlfn.xlookup(J93,REF!$D$2:$D$12,REF!$E$2:$E$12)</f>
        <v>#NAME?</v>
      </c>
      <c r="L93" s="1" t="s">
        <v>721</v>
      </c>
      <c r="M93" s="20" t="s">
        <v>288</v>
      </c>
      <c r="N93" s="20" t="s">
        <v>315</v>
      </c>
      <c r="O93" s="1" t="s">
        <v>722</v>
      </c>
      <c r="P93" s="1" t="str">
        <f aca="false">_xlfn.CONCAT(B93,C93,D93,E93,F93)</f>
        <v>BC Vazante2.1Inverter(MBUS-4)45993.590277777845993.590277777845993.7090277778</v>
      </c>
      <c r="Q93" s="1" t="str">
        <f aca="false">_xlfn.CONCAT(H93,I93,J93)</f>
        <v>DPRUFV</v>
      </c>
    </row>
    <row r="94" customFormat="false" ht="15" hidden="true" customHeight="false" outlineLevel="0" collapsed="false">
      <c r="B94" s="1" t="s">
        <v>720</v>
      </c>
      <c r="C94" s="1" t="s">
        <v>725</v>
      </c>
      <c r="D94" s="14" t="n">
        <v>45993.5902777778</v>
      </c>
      <c r="E94" s="14" t="n">
        <v>45993.5902777778</v>
      </c>
      <c r="F94" s="14" t="n">
        <v>45993.7090277778</v>
      </c>
      <c r="G94" s="15" t="n">
        <f aca="false">F94-E94</f>
        <v>0.11875</v>
      </c>
      <c r="H94" s="20" t="s">
        <v>313</v>
      </c>
      <c r="J94" s="20" t="s">
        <v>230</v>
      </c>
      <c r="K94" s="1" t="e">
        <f aca="false">_xlfn.xlookup(J94,REF!$D$2:$D$12,REF!$E$2:$E$12)</f>
        <v>#NAME?</v>
      </c>
      <c r="L94" s="1" t="s">
        <v>721</v>
      </c>
      <c r="M94" s="20" t="s">
        <v>288</v>
      </c>
      <c r="N94" s="20" t="s">
        <v>315</v>
      </c>
      <c r="O94" s="1" t="s">
        <v>722</v>
      </c>
      <c r="P94" s="1" t="str">
        <f aca="false">_xlfn.CONCAT(B94,C94,D94,E94,F94)</f>
        <v>BC Vazante2.1Inverter(MBUS-5)45993.590277777845993.590277777845993.7090277778</v>
      </c>
      <c r="Q94" s="1" t="str">
        <f aca="false">_xlfn.CONCAT(H94,I94,J94)</f>
        <v>DPRUFV</v>
      </c>
    </row>
    <row r="95" customFormat="false" ht="15" hidden="true" customHeight="false" outlineLevel="0" collapsed="false">
      <c r="B95" s="1" t="s">
        <v>720</v>
      </c>
      <c r="C95" s="1" t="s">
        <v>277</v>
      </c>
      <c r="D95" s="14" t="n">
        <v>45993.5902777778</v>
      </c>
      <c r="E95" s="14" t="n">
        <v>45993.5902777778</v>
      </c>
      <c r="F95" s="14" t="n">
        <v>45993.7090277778</v>
      </c>
      <c r="G95" s="15" t="n">
        <f aca="false">F95-E95</f>
        <v>0.11875</v>
      </c>
      <c r="H95" s="20" t="s">
        <v>313</v>
      </c>
      <c r="J95" s="20" t="s">
        <v>230</v>
      </c>
      <c r="K95" s="1" t="e">
        <f aca="false">_xlfn.xlookup(J95,REF!$D$2:$D$12,REF!$E$2:$E$12)</f>
        <v>#NAME?</v>
      </c>
      <c r="L95" s="1" t="s">
        <v>721</v>
      </c>
      <c r="M95" s="20" t="s">
        <v>288</v>
      </c>
      <c r="N95" s="20" t="s">
        <v>315</v>
      </c>
      <c r="O95" s="1" t="s">
        <v>722</v>
      </c>
      <c r="P95" s="1" t="str">
        <f aca="false">_xlfn.CONCAT(B95,C95,D95,E95,F95)</f>
        <v>BC Vazante2.1Inverter(MBUS-12)45993.590277777845993.590277777845993.7090277778</v>
      </c>
      <c r="Q95" s="1" t="str">
        <f aca="false">_xlfn.CONCAT(H95,I95,J95)</f>
        <v>DPRUFV</v>
      </c>
    </row>
    <row r="96" customFormat="false" ht="15" hidden="true" customHeight="false" outlineLevel="0" collapsed="false">
      <c r="B96" s="1" t="s">
        <v>726</v>
      </c>
      <c r="C96" s="1" t="s">
        <v>277</v>
      </c>
      <c r="D96" s="14" t="n">
        <v>45993.6041666667</v>
      </c>
      <c r="E96" s="14" t="n">
        <v>45993.6041666667</v>
      </c>
      <c r="F96" s="14" t="n">
        <v>45993.6944444444</v>
      </c>
      <c r="G96" s="15" t="n">
        <f aca="false">F96-E96</f>
        <v>0.0902777777777778</v>
      </c>
      <c r="H96" s="20" t="s">
        <v>313</v>
      </c>
      <c r="J96" s="20" t="s">
        <v>230</v>
      </c>
      <c r="K96" s="1" t="e">
        <f aca="false">_xlfn.xlookup(J96,REF!$D$2:$D$12,REF!$E$2:$E$12)</f>
        <v>#NAME?</v>
      </c>
      <c r="L96" s="1" t="s">
        <v>727</v>
      </c>
      <c r="M96" s="20" t="s">
        <v>288</v>
      </c>
      <c r="N96" s="20" t="s">
        <v>315</v>
      </c>
      <c r="O96" s="1" t="s">
        <v>728</v>
      </c>
      <c r="P96" s="1" t="str">
        <f aca="false">_xlfn.CONCAT(B96,C96,D96,E96,F96)</f>
        <v>BC Clareira1.1Inverter(MBUS-12)45993.604166666745993.604166666745993.6944444444</v>
      </c>
      <c r="Q96" s="1" t="str">
        <f aca="false">_xlfn.CONCAT(H96,I96,J96)</f>
        <v>DPRUFV</v>
      </c>
    </row>
    <row r="97" customFormat="false" ht="15" hidden="true" customHeight="false" outlineLevel="0" collapsed="false">
      <c r="B97" s="1" t="s">
        <v>726</v>
      </c>
      <c r="C97" s="1" t="s">
        <v>247</v>
      </c>
      <c r="D97" s="14" t="n">
        <v>45993.6041666667</v>
      </c>
      <c r="E97" s="14" t="n">
        <v>45993.6041666667</v>
      </c>
      <c r="F97" s="14" t="n">
        <v>45993.6944444444</v>
      </c>
      <c r="G97" s="15" t="n">
        <f aca="false">F97-E97</f>
        <v>0.0902777777777778</v>
      </c>
      <c r="H97" s="20" t="s">
        <v>313</v>
      </c>
      <c r="J97" s="20" t="s">
        <v>230</v>
      </c>
      <c r="K97" s="1" t="e">
        <f aca="false">_xlfn.xlookup(J97,REF!$D$2:$D$12,REF!$E$2:$E$12)</f>
        <v>#NAME?</v>
      </c>
      <c r="L97" s="1" t="s">
        <v>727</v>
      </c>
      <c r="M97" s="20" t="s">
        <v>288</v>
      </c>
      <c r="N97" s="20" t="s">
        <v>315</v>
      </c>
      <c r="O97" s="1" t="s">
        <v>728</v>
      </c>
      <c r="P97" s="1" t="str">
        <f aca="false">_xlfn.CONCAT(B97,C97,D97,E97,F97)</f>
        <v>BC Clareira1.1Inverter(MBUS-13)45993.604166666745993.604166666745993.6944444444</v>
      </c>
      <c r="Q97" s="1" t="str">
        <f aca="false">_xlfn.CONCAT(H97,I97,J97)</f>
        <v>DPRUFV</v>
      </c>
    </row>
    <row r="98" customFormat="false" ht="15" hidden="true" customHeight="false" outlineLevel="0" collapsed="false">
      <c r="B98" s="1" t="s">
        <v>726</v>
      </c>
      <c r="C98" s="1" t="s">
        <v>729</v>
      </c>
      <c r="D98" s="14" t="n">
        <v>45993.6041666667</v>
      </c>
      <c r="E98" s="14" t="n">
        <v>45993.6041666667</v>
      </c>
      <c r="F98" s="14" t="n">
        <v>45993.6944444444</v>
      </c>
      <c r="G98" s="15" t="n">
        <f aca="false">F98-E98</f>
        <v>0.0902777777777778</v>
      </c>
      <c r="H98" s="20" t="s">
        <v>313</v>
      </c>
      <c r="J98" s="20" t="s">
        <v>230</v>
      </c>
      <c r="K98" s="1" t="e">
        <f aca="false">_xlfn.xlookup(J98,REF!$D$2:$D$12,REF!$E$2:$E$12)</f>
        <v>#NAME?</v>
      </c>
      <c r="L98" s="1" t="s">
        <v>727</v>
      </c>
      <c r="M98" s="20" t="s">
        <v>288</v>
      </c>
      <c r="N98" s="20" t="s">
        <v>315</v>
      </c>
      <c r="O98" s="1" t="s">
        <v>728</v>
      </c>
      <c r="P98" s="1" t="str">
        <f aca="false">_xlfn.CONCAT(B98,C98,D98,E98,F98)</f>
        <v>BC Clareira1.1	Inverter(MBUS-14)45993.604166666745993.604166666745993.6944444444</v>
      </c>
      <c r="Q98" s="1" t="str">
        <f aca="false">_xlfn.CONCAT(H98,I98,J98)</f>
        <v>DPRUFV</v>
      </c>
    </row>
    <row r="99" customFormat="false" ht="15" hidden="true" customHeight="false" outlineLevel="0" collapsed="false">
      <c r="B99" s="1" t="s">
        <v>726</v>
      </c>
      <c r="C99" s="1" t="s">
        <v>730</v>
      </c>
      <c r="D99" s="14" t="n">
        <v>45993.6041666667</v>
      </c>
      <c r="E99" s="14" t="n">
        <v>45993.6041666667</v>
      </c>
      <c r="F99" s="14" t="n">
        <v>45993.6944444444</v>
      </c>
      <c r="G99" s="15" t="n">
        <f aca="false">F99-E99</f>
        <v>0.0902777777777778</v>
      </c>
      <c r="H99" s="20" t="s">
        <v>313</v>
      </c>
      <c r="J99" s="20" t="s">
        <v>230</v>
      </c>
      <c r="K99" s="1" t="e">
        <f aca="false">_xlfn.xlookup(J99,REF!$D$2:$D$12,REF!$E$2:$E$12)</f>
        <v>#NAME?</v>
      </c>
      <c r="L99" s="1" t="s">
        <v>727</v>
      </c>
      <c r="M99" s="20" t="s">
        <v>288</v>
      </c>
      <c r="N99" s="20" t="s">
        <v>315</v>
      </c>
      <c r="O99" s="1" t="s">
        <v>728</v>
      </c>
      <c r="P99" s="1" t="str">
        <f aca="false">_xlfn.CONCAT(B99,C99,D99,E99,F99)</f>
        <v>BC Clareira1.1	Inverter(MBUS-15)45993.604166666745993.604166666745993.6944444444</v>
      </c>
      <c r="Q99" s="1" t="str">
        <f aca="false">_xlfn.CONCAT(H99,I99,J99)</f>
        <v>DPRUFV</v>
      </c>
    </row>
    <row r="100" customFormat="false" ht="15" hidden="true" customHeight="false" outlineLevel="0" collapsed="false">
      <c r="B100" s="1" t="s">
        <v>726</v>
      </c>
      <c r="C100" s="1" t="s">
        <v>690</v>
      </c>
      <c r="D100" s="14" t="n">
        <v>45993.6041666667</v>
      </c>
      <c r="E100" s="14" t="n">
        <v>45993.6041666667</v>
      </c>
      <c r="F100" s="14" t="n">
        <v>45993.6944444444</v>
      </c>
      <c r="G100" s="15" t="n">
        <f aca="false">F100-E100</f>
        <v>0.0902777777777778</v>
      </c>
      <c r="H100" s="20" t="s">
        <v>313</v>
      </c>
      <c r="J100" s="20" t="s">
        <v>230</v>
      </c>
      <c r="K100" s="1" t="e">
        <f aca="false">_xlfn.xlookup(J100,REF!$D$2:$D$12,REF!$E$2:$E$12)</f>
        <v>#NAME?</v>
      </c>
      <c r="L100" s="1" t="s">
        <v>727</v>
      </c>
      <c r="M100" s="20" t="s">
        <v>288</v>
      </c>
      <c r="N100" s="20" t="s">
        <v>315</v>
      </c>
      <c r="O100" s="1" t="s">
        <v>728</v>
      </c>
      <c r="P100" s="1" t="str">
        <f aca="false">_xlfn.CONCAT(B100,C100,D100,E100,F100)</f>
        <v>BC Clareira1.1Inverter(MBUS-16)45993.604166666745993.604166666745993.6944444444</v>
      </c>
      <c r="Q100" s="1" t="str">
        <f aca="false">_xlfn.CONCAT(H100,I100,J100)</f>
        <v>DPRUFV</v>
      </c>
    </row>
    <row r="101" customFormat="false" ht="15" hidden="true" customHeight="false" outlineLevel="0" collapsed="false">
      <c r="B101" s="1" t="s">
        <v>731</v>
      </c>
      <c r="C101" s="1" t="s">
        <v>732</v>
      </c>
      <c r="D101" s="14" t="n">
        <v>45993.6041666667</v>
      </c>
      <c r="E101" s="14" t="n">
        <v>45993.6041666667</v>
      </c>
      <c r="F101" s="14" t="n">
        <v>45993.6944444444</v>
      </c>
      <c r="G101" s="15" t="n">
        <f aca="false">F101-E101</f>
        <v>0.0902777777777778</v>
      </c>
      <c r="H101" s="20" t="s">
        <v>313</v>
      </c>
      <c r="J101" s="20" t="s">
        <v>230</v>
      </c>
      <c r="K101" s="1" t="e">
        <f aca="false">_xlfn.xlookup(J101,REF!$D$2:$D$12,REF!$E$2:$E$12)</f>
        <v>#NAME?</v>
      </c>
      <c r="L101" s="1" t="s">
        <v>727</v>
      </c>
      <c r="M101" s="20" t="s">
        <v>288</v>
      </c>
      <c r="N101" s="20" t="s">
        <v>315</v>
      </c>
      <c r="O101" s="1" t="s">
        <v>728</v>
      </c>
      <c r="P101" s="1" t="str">
        <f aca="false">_xlfn.CONCAT(B101,C101,D101,E101,F101)</f>
        <v>BC Clareira1.2	215KTL-H3(MBUS-12)45993.604166666745993.604166666745993.6944444444</v>
      </c>
      <c r="Q101" s="1" t="str">
        <f aca="false">_xlfn.CONCAT(H101,I101,J101)</f>
        <v>DPRUFV</v>
      </c>
    </row>
    <row r="102" customFormat="false" ht="15" hidden="true" customHeight="false" outlineLevel="0" collapsed="false">
      <c r="B102" s="1" t="s">
        <v>731</v>
      </c>
      <c r="C102" s="1" t="s">
        <v>733</v>
      </c>
      <c r="D102" s="14" t="n">
        <v>45993.6041666667</v>
      </c>
      <c r="E102" s="14" t="n">
        <v>45993.6041666667</v>
      </c>
      <c r="F102" s="14" t="n">
        <v>45993.6944444444</v>
      </c>
      <c r="G102" s="15" t="n">
        <f aca="false">F102-E102</f>
        <v>0.0902777777777778</v>
      </c>
      <c r="H102" s="20" t="s">
        <v>313</v>
      </c>
      <c r="J102" s="20" t="s">
        <v>230</v>
      </c>
      <c r="K102" s="1" t="e">
        <f aca="false">_xlfn.xlookup(J102,REF!$D$2:$D$12,REF!$E$2:$E$12)</f>
        <v>#NAME?</v>
      </c>
      <c r="L102" s="1" t="s">
        <v>727</v>
      </c>
      <c r="M102" s="20" t="s">
        <v>288</v>
      </c>
      <c r="N102" s="20" t="s">
        <v>315</v>
      </c>
      <c r="O102" s="1" t="s">
        <v>728</v>
      </c>
      <c r="P102" s="1" t="str">
        <f aca="false">_xlfn.CONCAT(B102,C102,D102,E102,F102)</f>
        <v>BC Clareira1.2	215KTL-H3(MBUS-13)45993.604166666745993.604166666745993.6944444444</v>
      </c>
      <c r="Q102" s="1" t="str">
        <f aca="false">_xlfn.CONCAT(H102,I102,J102)</f>
        <v>DPRUFV</v>
      </c>
    </row>
    <row r="103" customFormat="false" ht="15" hidden="true" customHeight="false" outlineLevel="0" collapsed="false">
      <c r="B103" s="1" t="s">
        <v>731</v>
      </c>
      <c r="C103" s="1" t="s">
        <v>734</v>
      </c>
      <c r="D103" s="14" t="n">
        <v>45993.6041666667</v>
      </c>
      <c r="E103" s="14" t="n">
        <v>45993.6041666667</v>
      </c>
      <c r="F103" s="14" t="n">
        <v>45993.6944444444</v>
      </c>
      <c r="G103" s="15" t="n">
        <f aca="false">F103-E103</f>
        <v>0.0902777777777778</v>
      </c>
      <c r="H103" s="20" t="s">
        <v>313</v>
      </c>
      <c r="J103" s="20" t="s">
        <v>230</v>
      </c>
      <c r="K103" s="1" t="e">
        <f aca="false">_xlfn.xlookup(J103,REF!$D$2:$D$12,REF!$E$2:$E$12)</f>
        <v>#NAME?</v>
      </c>
      <c r="L103" s="1" t="s">
        <v>727</v>
      </c>
      <c r="M103" s="20" t="s">
        <v>288</v>
      </c>
      <c r="N103" s="20" t="s">
        <v>315</v>
      </c>
      <c r="O103" s="1" t="s">
        <v>728</v>
      </c>
      <c r="P103" s="1" t="str">
        <f aca="false">_xlfn.CONCAT(B103,C103,D103,E103,F103)</f>
        <v>BC Clareira1.2100KTL-H1(MBUS-14)45993.604166666745993.604166666745993.6944444444</v>
      </c>
      <c r="Q103" s="1" t="str">
        <f aca="false">_xlfn.CONCAT(H103,I103,J103)</f>
        <v>DPRUFV</v>
      </c>
    </row>
    <row r="104" customFormat="false" ht="15" hidden="true" customHeight="false" outlineLevel="0" collapsed="false">
      <c r="B104" s="1" t="s">
        <v>581</v>
      </c>
      <c r="C104" s="1" t="s">
        <v>586</v>
      </c>
      <c r="D104" s="14" t="n">
        <v>45994.2708333333</v>
      </c>
      <c r="E104" s="14" t="n">
        <v>45994.2708333333</v>
      </c>
      <c r="F104" s="14" t="n">
        <v>45994.2777777778</v>
      </c>
      <c r="G104" s="15" t="n">
        <f aca="false">F104-E104</f>
        <v>0.00694444444444444</v>
      </c>
      <c r="H104" s="20" t="s">
        <v>248</v>
      </c>
      <c r="J104" s="20" t="s">
        <v>256</v>
      </c>
      <c r="K104" s="1" t="e">
        <f aca="false">_xlfn.xlookup(J104,REF!$D$2:$D$12,REF!$E$2:$E$12)</f>
        <v>#NAME?</v>
      </c>
      <c r="L104" s="1" t="s">
        <v>735</v>
      </c>
      <c r="M104" s="20" t="s">
        <v>258</v>
      </c>
      <c r="N104" s="20" t="s">
        <v>259</v>
      </c>
      <c r="O104" s="1" t="s">
        <v>736</v>
      </c>
      <c r="P104" s="1" t="str">
        <f aca="false">_xlfn.CONCAT(B104,C104,D104,E104,F104)</f>
        <v>BC Rio Monte1Inverter4145994.270833333345994.270833333345994.2777777778</v>
      </c>
      <c r="Q104" s="1" t="str">
        <f aca="false">_xlfn.CONCAT(H104,I104,J104)</f>
        <v>DAURDE</v>
      </c>
    </row>
    <row r="105" customFormat="false" ht="15" hidden="true" customHeight="false" outlineLevel="0" collapsed="false">
      <c r="B105" s="1" t="s">
        <v>581</v>
      </c>
      <c r="C105" s="1" t="s">
        <v>737</v>
      </c>
      <c r="D105" s="14" t="n">
        <v>45994.2708333333</v>
      </c>
      <c r="E105" s="14" t="n">
        <v>45994.2708333333</v>
      </c>
      <c r="F105" s="14" t="n">
        <v>45994.2777777778</v>
      </c>
      <c r="G105" s="15" t="n">
        <f aca="false">F105-E105</f>
        <v>0.00694444444444444</v>
      </c>
      <c r="H105" s="20" t="s">
        <v>248</v>
      </c>
      <c r="J105" s="20" t="s">
        <v>256</v>
      </c>
      <c r="K105" s="1" t="e">
        <f aca="false">_xlfn.xlookup(J105,REF!$D$2:$D$12,REF!$E$2:$E$12)</f>
        <v>#NAME?</v>
      </c>
      <c r="L105" s="1" t="s">
        <v>735</v>
      </c>
      <c r="M105" s="20" t="s">
        <v>258</v>
      </c>
      <c r="N105" s="20" t="s">
        <v>259</v>
      </c>
      <c r="O105" s="1" t="s">
        <v>736</v>
      </c>
      <c r="P105" s="1" t="str">
        <f aca="false">_xlfn.CONCAT(B105,C105,D105,E105,F105)</f>
        <v>BC Rio Monte1Inverter4745994.270833333345994.270833333345994.2777777778</v>
      </c>
      <c r="Q105" s="1" t="str">
        <f aca="false">_xlfn.CONCAT(H105,I105,J105)</f>
        <v>DAURDE</v>
      </c>
    </row>
    <row r="106" customFormat="false" ht="15" hidden="true" customHeight="false" outlineLevel="0" collapsed="false">
      <c r="B106" s="1" t="s">
        <v>581</v>
      </c>
      <c r="C106" s="1" t="s">
        <v>582</v>
      </c>
      <c r="D106" s="14" t="n">
        <v>45994.2708333333</v>
      </c>
      <c r="E106" s="14" t="n">
        <v>45994.2708333333</v>
      </c>
      <c r="F106" s="14" t="n">
        <v>45994.2777777778</v>
      </c>
      <c r="G106" s="15" t="n">
        <f aca="false">F106-E106</f>
        <v>0.00694444444444444</v>
      </c>
      <c r="H106" s="20" t="s">
        <v>248</v>
      </c>
      <c r="J106" s="20" t="s">
        <v>256</v>
      </c>
      <c r="K106" s="1" t="e">
        <f aca="false">_xlfn.xlookup(J106,REF!$D$2:$D$12,REF!$E$2:$E$12)</f>
        <v>#NAME?</v>
      </c>
      <c r="L106" s="1" t="s">
        <v>735</v>
      </c>
      <c r="M106" s="20" t="s">
        <v>258</v>
      </c>
      <c r="N106" s="20" t="s">
        <v>259</v>
      </c>
      <c r="O106" s="1" t="s">
        <v>736</v>
      </c>
      <c r="P106" s="1" t="str">
        <f aca="false">_xlfn.CONCAT(B106,C106,D106,E106,F106)</f>
        <v>BC Rio Monte1Inverter3545994.270833333345994.270833333345994.2777777778</v>
      </c>
      <c r="Q106" s="1" t="str">
        <f aca="false">_xlfn.CONCAT(H106,I106,J106)</f>
        <v>DAURDE</v>
      </c>
    </row>
    <row r="107" customFormat="false" ht="15" hidden="true" customHeight="false" outlineLevel="0" collapsed="false">
      <c r="B107" s="1" t="s">
        <v>581</v>
      </c>
      <c r="C107" s="1" t="s">
        <v>594</v>
      </c>
      <c r="D107" s="14" t="n">
        <v>45994.2708333333</v>
      </c>
      <c r="E107" s="14" t="n">
        <v>45994.2708333333</v>
      </c>
      <c r="F107" s="14" t="n">
        <v>45994.2777777778</v>
      </c>
      <c r="G107" s="15" t="n">
        <f aca="false">F107-E107</f>
        <v>0.00694444444444444</v>
      </c>
      <c r="H107" s="20" t="s">
        <v>248</v>
      </c>
      <c r="J107" s="20" t="s">
        <v>256</v>
      </c>
      <c r="K107" s="1" t="e">
        <f aca="false">_xlfn.xlookup(J107,REF!$D$2:$D$12,REF!$E$2:$E$12)</f>
        <v>#NAME?</v>
      </c>
      <c r="L107" s="1" t="s">
        <v>735</v>
      </c>
      <c r="M107" s="20" t="s">
        <v>258</v>
      </c>
      <c r="N107" s="20" t="s">
        <v>259</v>
      </c>
      <c r="O107" s="1" t="s">
        <v>736</v>
      </c>
      <c r="P107" s="1" t="str">
        <f aca="false">_xlfn.CONCAT(B107,C107,D107,E107,F107)</f>
        <v>BC Rio Monte1Inverter3645994.270833333345994.270833333345994.2777777778</v>
      </c>
      <c r="Q107" s="1" t="str">
        <f aca="false">_xlfn.CONCAT(H107,I107,J107)</f>
        <v>DAURDE</v>
      </c>
    </row>
    <row r="108" customFormat="false" ht="15" hidden="true" customHeight="false" outlineLevel="0" collapsed="false">
      <c r="B108" s="1" t="s">
        <v>581</v>
      </c>
      <c r="C108" s="1" t="s">
        <v>596</v>
      </c>
      <c r="D108" s="14" t="n">
        <v>45994.2708333333</v>
      </c>
      <c r="E108" s="14" t="n">
        <v>45994.2708333333</v>
      </c>
      <c r="F108" s="14" t="n">
        <v>45994.2777777778</v>
      </c>
      <c r="G108" s="15" t="n">
        <f aca="false">F108-E108</f>
        <v>0.00694444444444444</v>
      </c>
      <c r="H108" s="20" t="s">
        <v>248</v>
      </c>
      <c r="J108" s="20" t="s">
        <v>256</v>
      </c>
      <c r="K108" s="1" t="e">
        <f aca="false">_xlfn.xlookup(J108,REF!$D$2:$D$12,REF!$E$2:$E$12)</f>
        <v>#NAME?</v>
      </c>
      <c r="L108" s="1" t="s">
        <v>735</v>
      </c>
      <c r="M108" s="20" t="s">
        <v>258</v>
      </c>
      <c r="N108" s="20" t="s">
        <v>259</v>
      </c>
      <c r="O108" s="1" t="s">
        <v>736</v>
      </c>
      <c r="P108" s="1" t="str">
        <f aca="false">_xlfn.CONCAT(B108,C108,D108,E108,F108)</f>
        <v>BC Rio Monte1Inverter3145994.270833333345994.270833333345994.2777777778</v>
      </c>
      <c r="Q108" s="1" t="str">
        <f aca="false">_xlfn.CONCAT(H108,I108,J108)</f>
        <v>DAURDE</v>
      </c>
    </row>
    <row r="109" customFormat="false" ht="15" hidden="true" customHeight="false" outlineLevel="0" collapsed="false">
      <c r="B109" s="1" t="s">
        <v>581</v>
      </c>
      <c r="C109" s="1" t="s">
        <v>592</v>
      </c>
      <c r="D109" s="14" t="n">
        <v>45994.2708333333</v>
      </c>
      <c r="E109" s="14" t="n">
        <v>45994.2708333333</v>
      </c>
      <c r="F109" s="14" t="n">
        <v>45994.2777777778</v>
      </c>
      <c r="G109" s="15" t="n">
        <f aca="false">F109-E109</f>
        <v>0.00694444444444444</v>
      </c>
      <c r="H109" s="20" t="s">
        <v>248</v>
      </c>
      <c r="J109" s="20" t="s">
        <v>256</v>
      </c>
      <c r="K109" s="1" t="e">
        <f aca="false">_xlfn.xlookup(J109,REF!$D$2:$D$12,REF!$E$2:$E$12)</f>
        <v>#NAME?</v>
      </c>
      <c r="L109" s="1" t="s">
        <v>735</v>
      </c>
      <c r="M109" s="20" t="s">
        <v>258</v>
      </c>
      <c r="N109" s="20" t="s">
        <v>259</v>
      </c>
      <c r="O109" s="1" t="s">
        <v>736</v>
      </c>
      <c r="P109" s="1" t="str">
        <f aca="false">_xlfn.CONCAT(B109,C109,D109,E109,F109)</f>
        <v>BC Rio Monte1Inverter3345994.270833333345994.270833333345994.2777777778</v>
      </c>
      <c r="Q109" s="1" t="str">
        <f aca="false">_xlfn.CONCAT(H109,I109,J109)</f>
        <v>DAURDE</v>
      </c>
    </row>
    <row r="110" customFormat="false" ht="15" hidden="true" customHeight="false" outlineLevel="0" collapsed="false">
      <c r="B110" s="1" t="s">
        <v>581</v>
      </c>
      <c r="C110" s="1" t="s">
        <v>595</v>
      </c>
      <c r="D110" s="14" t="n">
        <v>45994.2708333333</v>
      </c>
      <c r="E110" s="14" t="n">
        <v>45994.2708333333</v>
      </c>
      <c r="F110" s="14" t="n">
        <v>45994.2777777778</v>
      </c>
      <c r="G110" s="15" t="n">
        <f aca="false">F110-E110</f>
        <v>0.00694444444444444</v>
      </c>
      <c r="H110" s="20" t="s">
        <v>248</v>
      </c>
      <c r="J110" s="20" t="s">
        <v>256</v>
      </c>
      <c r="K110" s="1" t="e">
        <f aca="false">_xlfn.xlookup(J110,REF!$D$2:$D$12,REF!$E$2:$E$12)</f>
        <v>#NAME?</v>
      </c>
      <c r="L110" s="1" t="s">
        <v>735</v>
      </c>
      <c r="M110" s="20" t="s">
        <v>258</v>
      </c>
      <c r="N110" s="20" t="s">
        <v>259</v>
      </c>
      <c r="O110" s="1" t="s">
        <v>736</v>
      </c>
      <c r="P110" s="1" t="str">
        <f aca="false">_xlfn.CONCAT(B110,C110,D110,E110,F110)</f>
        <v>BC Rio Monte1Inverter3945994.270833333345994.270833333345994.2777777778</v>
      </c>
      <c r="Q110" s="1" t="str">
        <f aca="false">_xlfn.CONCAT(H110,I110,J110)</f>
        <v>DAURDE</v>
      </c>
    </row>
    <row r="111" customFormat="false" ht="15" hidden="true" customHeight="false" outlineLevel="0" collapsed="false">
      <c r="B111" s="1" t="s">
        <v>581</v>
      </c>
      <c r="C111" s="1" t="s">
        <v>599</v>
      </c>
      <c r="D111" s="14" t="n">
        <v>45994.2708333333</v>
      </c>
      <c r="E111" s="14" t="n">
        <v>45994.2708333333</v>
      </c>
      <c r="F111" s="14" t="n">
        <v>45994.2777777778</v>
      </c>
      <c r="G111" s="15" t="n">
        <f aca="false">F111-E111</f>
        <v>0.00694444444444444</v>
      </c>
      <c r="H111" s="20" t="s">
        <v>248</v>
      </c>
      <c r="J111" s="20" t="s">
        <v>256</v>
      </c>
      <c r="K111" s="1" t="e">
        <f aca="false">_xlfn.xlookup(J111,REF!$D$2:$D$12,REF!$E$2:$E$12)</f>
        <v>#NAME?</v>
      </c>
      <c r="L111" s="1" t="s">
        <v>735</v>
      </c>
      <c r="M111" s="20" t="s">
        <v>258</v>
      </c>
      <c r="N111" s="20" t="s">
        <v>259</v>
      </c>
      <c r="O111" s="1" t="s">
        <v>736</v>
      </c>
      <c r="P111" s="1" t="str">
        <f aca="false">_xlfn.CONCAT(B111,C111,D111,E111,F111)</f>
        <v>BC Rio Monte1Inverter3245994.270833333345994.270833333345994.2777777778</v>
      </c>
      <c r="Q111" s="1" t="str">
        <f aca="false">_xlfn.CONCAT(H111,I111,J111)</f>
        <v>DAURDE</v>
      </c>
    </row>
    <row r="112" customFormat="false" ht="15" hidden="true" customHeight="false" outlineLevel="0" collapsed="false">
      <c r="B112" s="1" t="s">
        <v>581</v>
      </c>
      <c r="C112" s="1" t="s">
        <v>584</v>
      </c>
      <c r="D112" s="14" t="n">
        <v>45994.2708333333</v>
      </c>
      <c r="E112" s="14" t="n">
        <v>45994.2708333333</v>
      </c>
      <c r="F112" s="14" t="n">
        <v>45994.2777777778</v>
      </c>
      <c r="G112" s="15" t="n">
        <f aca="false">F112-E112</f>
        <v>0.00694444444444444</v>
      </c>
      <c r="H112" s="20" t="s">
        <v>248</v>
      </c>
      <c r="J112" s="20" t="s">
        <v>256</v>
      </c>
      <c r="K112" s="1" t="e">
        <f aca="false">_xlfn.xlookup(J112,REF!$D$2:$D$12,REF!$E$2:$E$12)</f>
        <v>#NAME?</v>
      </c>
      <c r="L112" s="1" t="s">
        <v>735</v>
      </c>
      <c r="M112" s="20" t="s">
        <v>258</v>
      </c>
      <c r="N112" s="20" t="s">
        <v>259</v>
      </c>
      <c r="O112" s="1" t="s">
        <v>736</v>
      </c>
      <c r="P112" s="1" t="str">
        <f aca="false">_xlfn.CONCAT(B112,C112,D112,E112,F112)</f>
        <v>BC Rio Monte1Inverter4045994.270833333345994.270833333345994.2777777778</v>
      </c>
      <c r="Q112" s="1" t="str">
        <f aca="false">_xlfn.CONCAT(H112,I112,J112)</f>
        <v>DAURDE</v>
      </c>
    </row>
    <row r="113" customFormat="false" ht="15" hidden="true" customHeight="false" outlineLevel="0" collapsed="false">
      <c r="B113" s="1" t="s">
        <v>581</v>
      </c>
      <c r="C113" s="1" t="s">
        <v>590</v>
      </c>
      <c r="D113" s="14" t="n">
        <v>45994.2708333333</v>
      </c>
      <c r="E113" s="14" t="n">
        <v>45994.2708333333</v>
      </c>
      <c r="F113" s="14" t="n">
        <v>45994.2777777778</v>
      </c>
      <c r="G113" s="15" t="n">
        <f aca="false">F113-E113</f>
        <v>0.00694444444444444</v>
      </c>
      <c r="H113" s="20" t="s">
        <v>248</v>
      </c>
      <c r="J113" s="20" t="s">
        <v>256</v>
      </c>
      <c r="K113" s="1" t="e">
        <f aca="false">_xlfn.xlookup(J113,REF!$D$2:$D$12,REF!$E$2:$E$12)</f>
        <v>#NAME?</v>
      </c>
      <c r="L113" s="1" t="s">
        <v>735</v>
      </c>
      <c r="M113" s="20" t="s">
        <v>258</v>
      </c>
      <c r="N113" s="20" t="s">
        <v>259</v>
      </c>
      <c r="O113" s="1" t="s">
        <v>736</v>
      </c>
      <c r="P113" s="1" t="str">
        <f aca="false">_xlfn.CONCAT(B113,C113,D113,E113,F113)</f>
        <v>BC Rio Monte1Inverter3445994.270833333345994.270833333345994.2777777778</v>
      </c>
      <c r="Q113" s="1" t="str">
        <f aca="false">_xlfn.CONCAT(H113,I113,J113)</f>
        <v>DAURDE</v>
      </c>
    </row>
    <row r="114" customFormat="false" ht="15" hidden="true" customHeight="false" outlineLevel="0" collapsed="false">
      <c r="B114" s="1" t="s">
        <v>738</v>
      </c>
      <c r="C114" s="1" t="s">
        <v>277</v>
      </c>
      <c r="D114" s="14" t="n">
        <v>45994.2986111111</v>
      </c>
      <c r="E114" s="14" t="n">
        <v>45994.2986111111</v>
      </c>
      <c r="F114" s="14" t="n">
        <v>45994.3125</v>
      </c>
      <c r="G114" s="15" t="n">
        <f aca="false">F114-E114</f>
        <v>0.0138888888888889</v>
      </c>
      <c r="H114" s="20" t="s">
        <v>248</v>
      </c>
      <c r="J114" s="20" t="s">
        <v>256</v>
      </c>
      <c r="K114" s="1" t="e">
        <f aca="false">_xlfn.xlookup(J114,REF!$D$2:$D$12,REF!$E$2:$E$12)</f>
        <v>#NAME?</v>
      </c>
      <c r="L114" s="1" t="s">
        <v>739</v>
      </c>
      <c r="M114" s="20" t="s">
        <v>258</v>
      </c>
      <c r="N114" s="20" t="s">
        <v>252</v>
      </c>
      <c r="O114" s="1" t="s">
        <v>696</v>
      </c>
      <c r="P114" s="1" t="str">
        <f aca="false">_xlfn.CONCAT(B114,C114,D114,E114,F114)</f>
        <v>BC Lencois PaulistaInverter(MBUS-12)45994.298611111145994.298611111145994.3125</v>
      </c>
      <c r="Q114" s="1" t="str">
        <f aca="false">_xlfn.CONCAT(H114,I114,J114)</f>
        <v>DAURDE</v>
      </c>
    </row>
    <row r="115" customFormat="false" ht="15" hidden="true" customHeight="false" outlineLevel="0" collapsed="false">
      <c r="B115" s="1" t="s">
        <v>738</v>
      </c>
      <c r="C115" s="1" t="s">
        <v>247</v>
      </c>
      <c r="D115" s="14" t="n">
        <v>45994.2986111111</v>
      </c>
      <c r="E115" s="14" t="n">
        <v>45994.2986111111</v>
      </c>
      <c r="F115" s="14" t="n">
        <v>45994.3125</v>
      </c>
      <c r="G115" s="15" t="n">
        <f aca="false">F115-E115</f>
        <v>0.0138888888888889</v>
      </c>
      <c r="H115" s="20" t="s">
        <v>248</v>
      </c>
      <c r="J115" s="20" t="s">
        <v>256</v>
      </c>
      <c r="K115" s="1" t="e">
        <f aca="false">_xlfn.xlookup(J115,REF!$D$2:$D$12,REF!$E$2:$E$12)</f>
        <v>#NAME?</v>
      </c>
      <c r="L115" s="1" t="s">
        <v>739</v>
      </c>
      <c r="M115" s="20" t="s">
        <v>258</v>
      </c>
      <c r="N115" s="20" t="s">
        <v>252</v>
      </c>
      <c r="O115" s="1" t="s">
        <v>696</v>
      </c>
      <c r="P115" s="1" t="str">
        <f aca="false">_xlfn.CONCAT(B115,C115,D115,E115,F115)</f>
        <v>BC Lencois PaulistaInverter(MBUS-13)45994.298611111145994.298611111145994.3125</v>
      </c>
      <c r="Q115" s="1" t="str">
        <f aca="false">_xlfn.CONCAT(H115,I115,J115)</f>
        <v>DAURDE</v>
      </c>
    </row>
    <row r="116" customFormat="false" ht="15" hidden="true" customHeight="false" outlineLevel="0" collapsed="false">
      <c r="B116" s="1" t="s">
        <v>738</v>
      </c>
      <c r="C116" s="1" t="s">
        <v>280</v>
      </c>
      <c r="D116" s="14" t="n">
        <v>45994.2986111111</v>
      </c>
      <c r="E116" s="14" t="n">
        <v>45994.2986111111</v>
      </c>
      <c r="F116" s="14" t="n">
        <v>45994.3125</v>
      </c>
      <c r="G116" s="15" t="n">
        <f aca="false">F116-E116</f>
        <v>0.0138888888888889</v>
      </c>
      <c r="H116" s="20" t="s">
        <v>248</v>
      </c>
      <c r="J116" s="20" t="s">
        <v>256</v>
      </c>
      <c r="K116" s="1" t="e">
        <f aca="false">_xlfn.xlookup(J116,REF!$D$2:$D$12,REF!$E$2:$E$12)</f>
        <v>#NAME?</v>
      </c>
      <c r="L116" s="1" t="s">
        <v>739</v>
      </c>
      <c r="M116" s="20" t="s">
        <v>258</v>
      </c>
      <c r="N116" s="20" t="s">
        <v>252</v>
      </c>
      <c r="O116" s="1" t="s">
        <v>696</v>
      </c>
      <c r="P116" s="1" t="str">
        <f aca="false">_xlfn.CONCAT(B116,C116,D116,E116,F116)</f>
        <v>BC Lencois PaulistaInverter(MBUS-14)45994.298611111145994.298611111145994.3125</v>
      </c>
      <c r="Q116" s="1" t="str">
        <f aca="false">_xlfn.CONCAT(H116,I116,J116)</f>
        <v>DAURDE</v>
      </c>
    </row>
    <row r="117" customFormat="false" ht="15" hidden="true" customHeight="false" outlineLevel="0" collapsed="false">
      <c r="B117" s="1" t="s">
        <v>738</v>
      </c>
      <c r="C117" s="1" t="s">
        <v>279</v>
      </c>
      <c r="D117" s="14" t="n">
        <v>45994.2986111111</v>
      </c>
      <c r="E117" s="14" t="n">
        <v>45994.2986111111</v>
      </c>
      <c r="F117" s="14" t="n">
        <v>45994.3125</v>
      </c>
      <c r="G117" s="15" t="n">
        <f aca="false">F117-E117</f>
        <v>0.0138888888888889</v>
      </c>
      <c r="H117" s="20" t="s">
        <v>248</v>
      </c>
      <c r="J117" s="20" t="s">
        <v>256</v>
      </c>
      <c r="K117" s="1" t="e">
        <f aca="false">_xlfn.xlookup(J117,REF!$D$2:$D$12,REF!$E$2:$E$12)</f>
        <v>#NAME?</v>
      </c>
      <c r="L117" s="1" t="s">
        <v>739</v>
      </c>
      <c r="M117" s="20" t="s">
        <v>258</v>
      </c>
      <c r="N117" s="20" t="s">
        <v>252</v>
      </c>
      <c r="O117" s="1" t="s">
        <v>696</v>
      </c>
      <c r="P117" s="1" t="str">
        <f aca="false">_xlfn.CONCAT(B117,C117,D117,E117,F117)</f>
        <v>BC Lencois PaulistaInverter(MBUS-15)45994.298611111145994.298611111145994.3125</v>
      </c>
      <c r="Q117" s="1" t="str">
        <f aca="false">_xlfn.CONCAT(H117,I117,J117)</f>
        <v>DAURDE</v>
      </c>
    </row>
    <row r="118" customFormat="false" ht="15" hidden="true" customHeight="false" outlineLevel="0" collapsed="false">
      <c r="B118" s="1" t="s">
        <v>740</v>
      </c>
      <c r="C118" s="1" t="s">
        <v>741</v>
      </c>
      <c r="D118" s="14" t="n">
        <v>45994.3020833333</v>
      </c>
      <c r="E118" s="14" t="n">
        <v>45994.3020833333</v>
      </c>
      <c r="F118" s="14" t="n">
        <v>45994.48125</v>
      </c>
      <c r="G118" s="15" t="n">
        <f aca="false">F118-E118</f>
        <v>0.179166666666667</v>
      </c>
      <c r="H118" s="20" t="s">
        <v>313</v>
      </c>
      <c r="J118" s="20" t="s">
        <v>703</v>
      </c>
      <c r="K118" s="1" t="e">
        <f aca="false">_xlfn.xlookup(J118,REF!$D$2:$D$12,REF!$E$2:$E$12)</f>
        <v>#NAME?</v>
      </c>
      <c r="L118" s="1" t="s">
        <v>704</v>
      </c>
      <c r="M118" s="20" t="s">
        <v>288</v>
      </c>
      <c r="N118" s="20" t="s">
        <v>315</v>
      </c>
      <c r="O118" s="1" t="s">
        <v>705</v>
      </c>
      <c r="P118" s="1" t="str">
        <f aca="false">_xlfn.CONCAT(B118,C118,D118,E118,F118)</f>
        <v>BC Vazante1.3Inversor 145994.302083333345994.302083333345994.48125</v>
      </c>
      <c r="Q118" s="1" t="str">
        <f aca="false">_xlfn.CONCAT(H118,I118,J118)</f>
        <v>DPRTRF</v>
      </c>
    </row>
    <row r="119" customFormat="false" ht="15" hidden="true" customHeight="false" outlineLevel="0" collapsed="false">
      <c r="B119" s="1" t="s">
        <v>740</v>
      </c>
      <c r="C119" s="1" t="s">
        <v>742</v>
      </c>
      <c r="D119" s="14" t="n">
        <v>45994.3020833333</v>
      </c>
      <c r="E119" s="14" t="n">
        <v>45994.3020833333</v>
      </c>
      <c r="F119" s="14" t="n">
        <v>45994.48125</v>
      </c>
      <c r="G119" s="15" t="n">
        <f aca="false">F119-E119</f>
        <v>0.179166666666667</v>
      </c>
      <c r="H119" s="20" t="s">
        <v>313</v>
      </c>
      <c r="J119" s="20" t="s">
        <v>703</v>
      </c>
      <c r="K119" s="1" t="e">
        <f aca="false">_xlfn.xlookup(J119,REF!$D$2:$D$12,REF!$E$2:$E$12)</f>
        <v>#NAME?</v>
      </c>
      <c r="L119" s="1" t="s">
        <v>704</v>
      </c>
      <c r="M119" s="20" t="s">
        <v>288</v>
      </c>
      <c r="N119" s="20" t="s">
        <v>315</v>
      </c>
      <c r="O119" s="1" t="s">
        <v>705</v>
      </c>
      <c r="P119" s="1" t="str">
        <f aca="false">_xlfn.CONCAT(B119,C119,D119,E119,F119)</f>
        <v>BC Vazante1.3Inversor 245994.302083333345994.302083333345994.48125</v>
      </c>
      <c r="Q119" s="1" t="str">
        <f aca="false">_xlfn.CONCAT(H119,I119,J119)</f>
        <v>DPRTRF</v>
      </c>
    </row>
    <row r="120" customFormat="false" ht="15" hidden="true" customHeight="false" outlineLevel="0" collapsed="false">
      <c r="B120" s="1" t="s">
        <v>740</v>
      </c>
      <c r="C120" s="1" t="s">
        <v>743</v>
      </c>
      <c r="D120" s="14" t="n">
        <v>45994.3020833333</v>
      </c>
      <c r="E120" s="14" t="n">
        <v>45994.3020833333</v>
      </c>
      <c r="F120" s="14" t="n">
        <v>45994.48125</v>
      </c>
      <c r="G120" s="15" t="n">
        <f aca="false">F120-E120</f>
        <v>0.179166666666667</v>
      </c>
      <c r="H120" s="20" t="s">
        <v>313</v>
      </c>
      <c r="J120" s="20" t="s">
        <v>703</v>
      </c>
      <c r="K120" s="1" t="e">
        <f aca="false">_xlfn.xlookup(J120,REF!$D$2:$D$12,REF!$E$2:$E$12)</f>
        <v>#NAME?</v>
      </c>
      <c r="L120" s="1" t="s">
        <v>704</v>
      </c>
      <c r="M120" s="20" t="s">
        <v>288</v>
      </c>
      <c r="N120" s="20" t="s">
        <v>315</v>
      </c>
      <c r="O120" s="1" t="s">
        <v>705</v>
      </c>
      <c r="P120" s="1" t="str">
        <f aca="false">_xlfn.CONCAT(B120,C120,D120,E120,F120)</f>
        <v>BC Vazante1.3Inversor 345994.302083333345994.302083333345994.48125</v>
      </c>
      <c r="Q120" s="1" t="str">
        <f aca="false">_xlfn.CONCAT(H120,I120,J120)</f>
        <v>DPRTRF</v>
      </c>
    </row>
    <row r="121" customFormat="false" ht="15" hidden="true" customHeight="false" outlineLevel="0" collapsed="false">
      <c r="B121" s="1" t="s">
        <v>740</v>
      </c>
      <c r="C121" s="1" t="s">
        <v>744</v>
      </c>
      <c r="D121" s="14" t="n">
        <v>45994.3020833333</v>
      </c>
      <c r="E121" s="14" t="n">
        <v>45994.3020833333</v>
      </c>
      <c r="F121" s="14" t="n">
        <v>45994.48125</v>
      </c>
      <c r="G121" s="15" t="n">
        <f aca="false">F121-E121</f>
        <v>0.179166666666667</v>
      </c>
      <c r="H121" s="20" t="s">
        <v>313</v>
      </c>
      <c r="J121" s="20" t="s">
        <v>703</v>
      </c>
      <c r="K121" s="1" t="e">
        <f aca="false">_xlfn.xlookup(J121,REF!$D$2:$D$12,REF!$E$2:$E$12)</f>
        <v>#NAME?</v>
      </c>
      <c r="L121" s="1" t="s">
        <v>704</v>
      </c>
      <c r="M121" s="20" t="s">
        <v>288</v>
      </c>
      <c r="N121" s="20" t="s">
        <v>315</v>
      </c>
      <c r="O121" s="1" t="s">
        <v>705</v>
      </c>
      <c r="P121" s="1" t="str">
        <f aca="false">_xlfn.CONCAT(B121,C121,D121,E121,F121)</f>
        <v>BC Vazante1.3Inversor 445994.302083333345994.302083333345994.48125</v>
      </c>
      <c r="Q121" s="1" t="str">
        <f aca="false">_xlfn.CONCAT(H121,I121,J121)</f>
        <v>DPRTRF</v>
      </c>
    </row>
    <row r="122" customFormat="false" ht="15" hidden="true" customHeight="false" outlineLevel="0" collapsed="false">
      <c r="B122" s="1" t="s">
        <v>740</v>
      </c>
      <c r="C122" s="1" t="s">
        <v>745</v>
      </c>
      <c r="D122" s="14" t="n">
        <v>45994.3020833333</v>
      </c>
      <c r="E122" s="14" t="n">
        <v>45994.3020833333</v>
      </c>
      <c r="F122" s="14" t="n">
        <v>45994.48125</v>
      </c>
      <c r="G122" s="15" t="n">
        <f aca="false">F122-E122</f>
        <v>0.179166666666667</v>
      </c>
      <c r="H122" s="20" t="s">
        <v>313</v>
      </c>
      <c r="J122" s="20" t="s">
        <v>703</v>
      </c>
      <c r="K122" s="1" t="e">
        <f aca="false">_xlfn.xlookup(J122,REF!$D$2:$D$12,REF!$E$2:$E$12)</f>
        <v>#NAME?</v>
      </c>
      <c r="L122" s="1" t="s">
        <v>704</v>
      </c>
      <c r="M122" s="20" t="s">
        <v>288</v>
      </c>
      <c r="N122" s="20" t="s">
        <v>315</v>
      </c>
      <c r="O122" s="1" t="s">
        <v>705</v>
      </c>
      <c r="P122" s="1" t="str">
        <f aca="false">_xlfn.CONCAT(B122,C122,D122,E122,F122)</f>
        <v>BC Vazante1.3Inversor 545994.302083333345994.302083333345994.48125</v>
      </c>
      <c r="Q122" s="1" t="str">
        <f aca="false">_xlfn.CONCAT(H122,I122,J122)</f>
        <v>DPRTRF</v>
      </c>
    </row>
    <row r="123" customFormat="false" ht="15" hidden="true" customHeight="false" outlineLevel="0" collapsed="false">
      <c r="B123" s="1" t="s">
        <v>740</v>
      </c>
      <c r="C123" s="1" t="s">
        <v>746</v>
      </c>
      <c r="D123" s="14" t="n">
        <v>45994.3020833333</v>
      </c>
      <c r="E123" s="14" t="n">
        <v>45994.3020833333</v>
      </c>
      <c r="F123" s="14" t="n">
        <v>45994.48125</v>
      </c>
      <c r="G123" s="15" t="n">
        <f aca="false">F123-E123</f>
        <v>0.179166666666667</v>
      </c>
      <c r="H123" s="20" t="s">
        <v>313</v>
      </c>
      <c r="J123" s="20" t="s">
        <v>703</v>
      </c>
      <c r="K123" s="1" t="e">
        <f aca="false">_xlfn.xlookup(J123,REF!$D$2:$D$12,REF!$E$2:$E$12)</f>
        <v>#NAME?</v>
      </c>
      <c r="L123" s="1" t="s">
        <v>704</v>
      </c>
      <c r="M123" s="20" t="s">
        <v>288</v>
      </c>
      <c r="N123" s="20" t="s">
        <v>315</v>
      </c>
      <c r="O123" s="1" t="s">
        <v>705</v>
      </c>
      <c r="P123" s="1" t="str">
        <f aca="false">_xlfn.CONCAT(B123,C123,D123,E123,F123)</f>
        <v>BC Vazante1.3Inversor 645994.302083333345994.302083333345994.48125</v>
      </c>
      <c r="Q123" s="1" t="str">
        <f aca="false">_xlfn.CONCAT(H123,I123,J123)</f>
        <v>DPRTRF</v>
      </c>
    </row>
    <row r="124" customFormat="false" ht="15" hidden="true" customHeight="false" outlineLevel="0" collapsed="false">
      <c r="B124" s="1" t="s">
        <v>740</v>
      </c>
      <c r="C124" s="1" t="s">
        <v>747</v>
      </c>
      <c r="D124" s="14" t="n">
        <v>45994.3020833333</v>
      </c>
      <c r="E124" s="14" t="n">
        <v>45994.3020833333</v>
      </c>
      <c r="F124" s="14" t="n">
        <v>45994.48125</v>
      </c>
      <c r="G124" s="15" t="n">
        <f aca="false">F124-E124</f>
        <v>0.179166666666667</v>
      </c>
      <c r="H124" s="20" t="s">
        <v>313</v>
      </c>
      <c r="J124" s="20" t="s">
        <v>703</v>
      </c>
      <c r="K124" s="1" t="e">
        <f aca="false">_xlfn.xlookup(J124,REF!$D$2:$D$12,REF!$E$2:$E$12)</f>
        <v>#NAME?</v>
      </c>
      <c r="L124" s="1" t="s">
        <v>704</v>
      </c>
      <c r="M124" s="20" t="s">
        <v>288</v>
      </c>
      <c r="N124" s="20" t="s">
        <v>315</v>
      </c>
      <c r="O124" s="1" t="s">
        <v>705</v>
      </c>
      <c r="P124" s="1" t="str">
        <f aca="false">_xlfn.CONCAT(B124,C124,D124,E124,F124)</f>
        <v>BC Vazante1.3Inversor 745994.302083333345994.302083333345994.48125</v>
      </c>
      <c r="Q124" s="1" t="str">
        <f aca="false">_xlfn.CONCAT(H124,I124,J124)</f>
        <v>DPRTRF</v>
      </c>
    </row>
    <row r="125" customFormat="false" ht="15" hidden="true" customHeight="false" outlineLevel="0" collapsed="false">
      <c r="B125" s="1" t="s">
        <v>740</v>
      </c>
      <c r="C125" s="1" t="s">
        <v>748</v>
      </c>
      <c r="D125" s="14" t="n">
        <v>45994.3020833333</v>
      </c>
      <c r="E125" s="14" t="n">
        <v>45994.3020833333</v>
      </c>
      <c r="F125" s="14" t="n">
        <v>45994.48125</v>
      </c>
      <c r="G125" s="15" t="n">
        <f aca="false">F125-E125</f>
        <v>0.179166666666667</v>
      </c>
      <c r="H125" s="20" t="s">
        <v>313</v>
      </c>
      <c r="J125" s="20" t="s">
        <v>703</v>
      </c>
      <c r="K125" s="1" t="e">
        <f aca="false">_xlfn.xlookup(J125,REF!$D$2:$D$12,REF!$E$2:$E$12)</f>
        <v>#NAME?</v>
      </c>
      <c r="L125" s="1" t="s">
        <v>704</v>
      </c>
      <c r="M125" s="20" t="s">
        <v>288</v>
      </c>
      <c r="N125" s="20" t="s">
        <v>315</v>
      </c>
      <c r="O125" s="1" t="s">
        <v>705</v>
      </c>
      <c r="P125" s="1" t="str">
        <f aca="false">_xlfn.CONCAT(B125,C125,D125,E125,F125)</f>
        <v>BC Vazante1.3Inversor 845994.302083333345994.302083333345994.48125</v>
      </c>
      <c r="Q125" s="1" t="str">
        <f aca="false">_xlfn.CONCAT(H125,I125,J125)</f>
        <v>DPRTRF</v>
      </c>
    </row>
    <row r="126" customFormat="false" ht="15" hidden="true" customHeight="false" outlineLevel="0" collapsed="false">
      <c r="B126" s="1" t="s">
        <v>740</v>
      </c>
      <c r="C126" s="1" t="s">
        <v>749</v>
      </c>
      <c r="D126" s="14" t="n">
        <v>45994.3020833333</v>
      </c>
      <c r="E126" s="14" t="n">
        <v>45994.3020833333</v>
      </c>
      <c r="F126" s="14" t="n">
        <v>45994.48125</v>
      </c>
      <c r="G126" s="15" t="n">
        <f aca="false">F126-E126</f>
        <v>0.179166666666667</v>
      </c>
      <c r="H126" s="20" t="s">
        <v>313</v>
      </c>
      <c r="J126" s="20" t="s">
        <v>703</v>
      </c>
      <c r="K126" s="1" t="e">
        <f aca="false">_xlfn.xlookup(J126,REF!$D$2:$D$12,REF!$E$2:$E$12)</f>
        <v>#NAME?</v>
      </c>
      <c r="L126" s="1" t="s">
        <v>704</v>
      </c>
      <c r="M126" s="20" t="s">
        <v>288</v>
      </c>
      <c r="N126" s="20" t="s">
        <v>315</v>
      </c>
      <c r="O126" s="1" t="s">
        <v>705</v>
      </c>
      <c r="P126" s="1" t="str">
        <f aca="false">_xlfn.CONCAT(B126,C126,D126,E126,F126)</f>
        <v>BC Vazante1.3Inversor 945994.302083333345994.302083333345994.48125</v>
      </c>
      <c r="Q126" s="1" t="str">
        <f aca="false">_xlfn.CONCAT(H126,I126,J126)</f>
        <v>DPRTRF</v>
      </c>
    </row>
    <row r="127" customFormat="false" ht="15" hidden="true" customHeight="false" outlineLevel="0" collapsed="false">
      <c r="B127" s="33" t="s">
        <v>276</v>
      </c>
      <c r="C127" s="33" t="s">
        <v>247</v>
      </c>
      <c r="D127" s="34" t="n">
        <v>46012.5833333333</v>
      </c>
      <c r="E127" s="34" t="n">
        <v>46012.5833333333</v>
      </c>
      <c r="F127" s="34" t="n">
        <v>46012.6597222222</v>
      </c>
      <c r="G127" s="35" t="n">
        <f aca="false">F127-E127</f>
        <v>0.0763888888888889</v>
      </c>
      <c r="H127" s="33" t="s">
        <v>248</v>
      </c>
      <c r="I127" s="33"/>
      <c r="J127" s="33" t="s">
        <v>256</v>
      </c>
      <c r="K127" s="33" t="s">
        <v>430</v>
      </c>
      <c r="L127" s="33" t="s">
        <v>750</v>
      </c>
      <c r="M127" s="33" t="s">
        <v>258</v>
      </c>
      <c r="N127" s="33" t="s">
        <v>379</v>
      </c>
      <c r="O127" s="36" t="s">
        <v>696</v>
      </c>
      <c r="P127" s="37" t="str">
        <f aca="false">_xlfn.CONCAT(B127,C127,D127,E127,F127)</f>
        <v>ARAGUATINS 2.1Inverter(MBUS-13)46012.583333333346012.583333333346012.6597222222</v>
      </c>
      <c r="Q127" s="37" t="str">
        <f aca="false">_xlfn.CONCAT(H127,I127,J127)</f>
        <v>DAURDE</v>
      </c>
    </row>
    <row r="128" customFormat="false" ht="15" hidden="true" customHeight="false" outlineLevel="0" collapsed="false">
      <c r="B128" s="33" t="s">
        <v>276</v>
      </c>
      <c r="C128" s="33" t="s">
        <v>277</v>
      </c>
      <c r="D128" s="34" t="n">
        <v>46012.5833333333</v>
      </c>
      <c r="E128" s="34" t="n">
        <v>46012.5833333333</v>
      </c>
      <c r="F128" s="34" t="n">
        <v>46012.6597222222</v>
      </c>
      <c r="G128" s="35" t="n">
        <f aca="false">F128-E128</f>
        <v>0.0763888888888889</v>
      </c>
      <c r="H128" s="33" t="s">
        <v>248</v>
      </c>
      <c r="I128" s="33"/>
      <c r="J128" s="33" t="s">
        <v>256</v>
      </c>
      <c r="K128" s="33" t="s">
        <v>430</v>
      </c>
      <c r="L128" s="33" t="s">
        <v>750</v>
      </c>
      <c r="M128" s="33" t="s">
        <v>258</v>
      </c>
      <c r="N128" s="33" t="s">
        <v>379</v>
      </c>
      <c r="O128" s="36" t="s">
        <v>696</v>
      </c>
      <c r="P128" s="37" t="str">
        <f aca="false">_xlfn.CONCAT(B128,C128,D128,E128,F128)</f>
        <v>ARAGUATINS 2.1Inverter(MBUS-12)46012.583333333346012.583333333346012.6597222222</v>
      </c>
      <c r="Q128" s="37" t="str">
        <f aca="false">_xlfn.CONCAT(H128,I128,J128)</f>
        <v>DAURDE</v>
      </c>
    </row>
    <row r="129" customFormat="false" ht="15" hidden="true" customHeight="false" outlineLevel="0" collapsed="false">
      <c r="B129" s="33" t="s">
        <v>276</v>
      </c>
      <c r="C129" s="33" t="s">
        <v>279</v>
      </c>
      <c r="D129" s="34" t="n">
        <v>46012.5833333333</v>
      </c>
      <c r="E129" s="34" t="n">
        <v>46012.5833333333</v>
      </c>
      <c r="F129" s="34" t="n">
        <v>46012.6597222222</v>
      </c>
      <c r="G129" s="35" t="n">
        <f aca="false">F129-E129</f>
        <v>0.0763888888888889</v>
      </c>
      <c r="H129" s="33" t="s">
        <v>248</v>
      </c>
      <c r="I129" s="33"/>
      <c r="J129" s="33" t="s">
        <v>256</v>
      </c>
      <c r="K129" s="33" t="s">
        <v>430</v>
      </c>
      <c r="L129" s="33" t="s">
        <v>750</v>
      </c>
      <c r="M129" s="33" t="s">
        <v>258</v>
      </c>
      <c r="N129" s="33" t="s">
        <v>379</v>
      </c>
      <c r="O129" s="36" t="s">
        <v>696</v>
      </c>
      <c r="P129" s="37" t="str">
        <f aca="false">_xlfn.CONCAT(B129,C129,D129,E129,F129)</f>
        <v>ARAGUATINS 2.1Inverter(MBUS-15)46012.583333333346012.583333333346012.6597222222</v>
      </c>
      <c r="Q129" s="37" t="str">
        <f aca="false">_xlfn.CONCAT(H129,I129,J129)</f>
        <v>DAURDE</v>
      </c>
    </row>
    <row r="130" customFormat="false" ht="15" hidden="true" customHeight="false" outlineLevel="0" collapsed="false">
      <c r="B130" s="33" t="s">
        <v>276</v>
      </c>
      <c r="C130" s="33" t="s">
        <v>280</v>
      </c>
      <c r="D130" s="34" t="n">
        <v>46012.5833333333</v>
      </c>
      <c r="E130" s="34" t="n">
        <v>46012.5833333333</v>
      </c>
      <c r="F130" s="34" t="n">
        <v>46012.6597222222</v>
      </c>
      <c r="G130" s="35" t="n">
        <f aca="false">F130-E130</f>
        <v>0.0763888888888889</v>
      </c>
      <c r="H130" s="33" t="s">
        <v>248</v>
      </c>
      <c r="I130" s="33"/>
      <c r="J130" s="33" t="s">
        <v>256</v>
      </c>
      <c r="K130" s="33" t="s">
        <v>430</v>
      </c>
      <c r="L130" s="33" t="s">
        <v>750</v>
      </c>
      <c r="M130" s="33" t="s">
        <v>258</v>
      </c>
      <c r="N130" s="33" t="s">
        <v>379</v>
      </c>
      <c r="O130" s="36" t="s">
        <v>696</v>
      </c>
      <c r="P130" s="37" t="str">
        <f aca="false">_xlfn.CONCAT(B130,C130,D130,E130,F130)</f>
        <v>ARAGUATINS 2.1Inverter(MBUS-14)46012.583333333346012.583333333346012.6597222222</v>
      </c>
      <c r="Q130" s="37" t="str">
        <f aca="false">_xlfn.CONCAT(H130,I130,J130)</f>
        <v>DAURDE</v>
      </c>
    </row>
    <row r="131" customFormat="false" ht="15" hidden="true" customHeight="false" outlineLevel="0" collapsed="false">
      <c r="B131" s="33" t="s">
        <v>542</v>
      </c>
      <c r="C131" s="33" t="s">
        <v>543</v>
      </c>
      <c r="D131" s="34" t="n">
        <v>46012.5208333333</v>
      </c>
      <c r="E131" s="34" t="n">
        <v>46012.5208333333</v>
      </c>
      <c r="F131" s="34" t="n">
        <v>46012.5840277778</v>
      </c>
      <c r="G131" s="35" t="n">
        <f aca="false">F131-E131</f>
        <v>0.0631944444444444</v>
      </c>
      <c r="H131" s="33" t="s">
        <v>248</v>
      </c>
      <c r="I131" s="33"/>
      <c r="J131" s="33" t="s">
        <v>256</v>
      </c>
      <c r="K131" s="33" t="s">
        <v>430</v>
      </c>
      <c r="L131" s="33" t="s">
        <v>700</v>
      </c>
      <c r="M131" s="33" t="s">
        <v>258</v>
      </c>
      <c r="N131" s="33" t="s">
        <v>379</v>
      </c>
      <c r="O131" s="33" t="s">
        <v>399</v>
      </c>
      <c r="P131" s="37" t="str">
        <f aca="false">_xlfn.CONCAT(B131,C131,D131,E131,F131)</f>
        <v>BC Caiaponia1SG60KTL(COM1-001)_001_00746012.520833333346012.520833333346012.5840277778</v>
      </c>
      <c r="Q131" s="37" t="str">
        <f aca="false">_xlfn.CONCAT(H131,I131,J131)</f>
        <v>DAURDE</v>
      </c>
    </row>
    <row r="132" customFormat="false" ht="15" hidden="true" customHeight="false" outlineLevel="0" collapsed="false">
      <c r="B132" s="33" t="s">
        <v>542</v>
      </c>
      <c r="C132" s="33" t="s">
        <v>545</v>
      </c>
      <c r="D132" s="34" t="n">
        <v>46012.5208333333</v>
      </c>
      <c r="E132" s="34" t="n">
        <v>46012.5208333333</v>
      </c>
      <c r="F132" s="34" t="n">
        <v>46012.5840277778</v>
      </c>
      <c r="G132" s="35" t="n">
        <f aca="false">F132-E132</f>
        <v>0.0631944444444444</v>
      </c>
      <c r="H132" s="33" t="s">
        <v>248</v>
      </c>
      <c r="I132" s="33"/>
      <c r="J132" s="33" t="s">
        <v>256</v>
      </c>
      <c r="K132" s="33" t="s">
        <v>430</v>
      </c>
      <c r="L132" s="33" t="s">
        <v>700</v>
      </c>
      <c r="M132" s="33" t="s">
        <v>258</v>
      </c>
      <c r="N132" s="33" t="s">
        <v>379</v>
      </c>
      <c r="O132" s="33" t="s">
        <v>399</v>
      </c>
      <c r="P132" s="37" t="str">
        <f aca="false">_xlfn.CONCAT(B132,C132,D132,E132,F132)</f>
        <v>BC Caiaponia1SG60KTL(COM1-002)_001_01046012.520833333346012.520833333346012.5840277778</v>
      </c>
      <c r="Q132" s="37" t="str">
        <f aca="false">_xlfn.CONCAT(H132,I132,J132)</f>
        <v>DAURDE</v>
      </c>
    </row>
    <row r="133" customFormat="false" ht="15" hidden="true" customHeight="false" outlineLevel="0" collapsed="false">
      <c r="B133" s="33" t="s">
        <v>542</v>
      </c>
      <c r="C133" s="33" t="s">
        <v>546</v>
      </c>
      <c r="D133" s="34" t="n">
        <v>46012.5208333333</v>
      </c>
      <c r="E133" s="34" t="n">
        <v>46012.5208333333</v>
      </c>
      <c r="F133" s="34" t="n">
        <v>46012.5840277778</v>
      </c>
      <c r="G133" s="35" t="n">
        <f aca="false">F133-E133</f>
        <v>0.0631944444444444</v>
      </c>
      <c r="H133" s="33" t="s">
        <v>248</v>
      </c>
      <c r="I133" s="33"/>
      <c r="J133" s="33" t="s">
        <v>256</v>
      </c>
      <c r="K133" s="33" t="s">
        <v>430</v>
      </c>
      <c r="L133" s="33" t="s">
        <v>700</v>
      </c>
      <c r="M133" s="33" t="s">
        <v>258</v>
      </c>
      <c r="N133" s="33" t="s">
        <v>379</v>
      </c>
      <c r="O133" s="33" t="s">
        <v>399</v>
      </c>
      <c r="P133" s="37" t="str">
        <f aca="false">_xlfn.CONCAT(B133,C133,D133,E133,F133)</f>
        <v>BC Caiaponia1SG60KTL(COM1-003)_001_01146012.520833333346012.520833333346012.5840277778</v>
      </c>
      <c r="Q133" s="37" t="str">
        <f aca="false">_xlfn.CONCAT(H133,I133,J133)</f>
        <v>DAURDE</v>
      </c>
    </row>
    <row r="134" customFormat="false" ht="15" hidden="true" customHeight="false" outlineLevel="0" collapsed="false">
      <c r="B134" s="33" t="s">
        <v>542</v>
      </c>
      <c r="C134" s="33" t="s">
        <v>547</v>
      </c>
      <c r="D134" s="34" t="n">
        <v>46012.5208333333</v>
      </c>
      <c r="E134" s="34" t="n">
        <v>46012.5208333333</v>
      </c>
      <c r="F134" s="34" t="n">
        <v>46012.5840277778</v>
      </c>
      <c r="G134" s="35" t="n">
        <f aca="false">F134-E134</f>
        <v>0.0631944444444444</v>
      </c>
      <c r="H134" s="33" t="s">
        <v>248</v>
      </c>
      <c r="I134" s="33"/>
      <c r="J134" s="33" t="s">
        <v>256</v>
      </c>
      <c r="K134" s="33" t="s">
        <v>430</v>
      </c>
      <c r="L134" s="33" t="s">
        <v>700</v>
      </c>
      <c r="M134" s="33" t="s">
        <v>258</v>
      </c>
      <c r="N134" s="33" t="s">
        <v>379</v>
      </c>
      <c r="O134" s="33" t="s">
        <v>399</v>
      </c>
      <c r="P134" s="37" t="str">
        <f aca="false">_xlfn.CONCAT(B134,C134,D134,E134,F134)</f>
        <v>BC Caiaponia1SG60KTL(COM1-004)_001_01446012.520833333346012.520833333346012.5840277778</v>
      </c>
      <c r="Q134" s="37" t="str">
        <f aca="false">_xlfn.CONCAT(H134,I134,J134)</f>
        <v>DAURDE</v>
      </c>
    </row>
    <row r="135" customFormat="false" ht="15" hidden="true" customHeight="false" outlineLevel="0" collapsed="false">
      <c r="B135" s="33" t="s">
        <v>542</v>
      </c>
      <c r="C135" s="33" t="s">
        <v>548</v>
      </c>
      <c r="D135" s="34" t="n">
        <v>46012.5208333333</v>
      </c>
      <c r="E135" s="34" t="n">
        <v>46012.5208333333</v>
      </c>
      <c r="F135" s="34" t="n">
        <v>46012.5840277778</v>
      </c>
      <c r="G135" s="35" t="n">
        <f aca="false">F135-E135</f>
        <v>0.0631944444444444</v>
      </c>
      <c r="H135" s="33" t="s">
        <v>248</v>
      </c>
      <c r="I135" s="33"/>
      <c r="J135" s="33" t="s">
        <v>256</v>
      </c>
      <c r="K135" s="33" t="s">
        <v>430</v>
      </c>
      <c r="L135" s="33" t="s">
        <v>700</v>
      </c>
      <c r="M135" s="33" t="s">
        <v>258</v>
      </c>
      <c r="N135" s="33" t="s">
        <v>379</v>
      </c>
      <c r="O135" s="33" t="s">
        <v>399</v>
      </c>
      <c r="P135" s="37" t="str">
        <f aca="false">_xlfn.CONCAT(B135,C135,D135,E135,F135)</f>
        <v>BC Caiaponia1SG60KTL(COM1-005)_001_01746012.520833333346012.520833333346012.5840277778</v>
      </c>
      <c r="Q135" s="37" t="str">
        <f aca="false">_xlfn.CONCAT(H135,I135,J135)</f>
        <v>DAURDE</v>
      </c>
    </row>
    <row r="136" customFormat="false" ht="15" hidden="true" customHeight="false" outlineLevel="0" collapsed="false">
      <c r="B136" s="33" t="s">
        <v>542</v>
      </c>
      <c r="C136" s="33" t="s">
        <v>549</v>
      </c>
      <c r="D136" s="34" t="n">
        <v>46012.5208333333</v>
      </c>
      <c r="E136" s="34" t="n">
        <v>46012.5208333333</v>
      </c>
      <c r="F136" s="34" t="n">
        <v>46012.5840277778</v>
      </c>
      <c r="G136" s="35" t="n">
        <f aca="false">F136-E136</f>
        <v>0.0631944444444444</v>
      </c>
      <c r="H136" s="33" t="s">
        <v>248</v>
      </c>
      <c r="I136" s="33"/>
      <c r="J136" s="33" t="s">
        <v>256</v>
      </c>
      <c r="K136" s="33" t="s">
        <v>430</v>
      </c>
      <c r="L136" s="33" t="s">
        <v>700</v>
      </c>
      <c r="M136" s="33" t="s">
        <v>258</v>
      </c>
      <c r="N136" s="33" t="s">
        <v>379</v>
      </c>
      <c r="O136" s="33" t="s">
        <v>399</v>
      </c>
      <c r="P136" s="37" t="str">
        <f aca="false">_xlfn.CONCAT(B136,C136,D136,E136,F136)</f>
        <v>BC Caiaponia1SG60KTL(COM1-006)_001_01646012.520833333346012.520833333346012.5840277778</v>
      </c>
      <c r="Q136" s="37" t="str">
        <f aca="false">_xlfn.CONCAT(H136,I136,J136)</f>
        <v>DAURDE</v>
      </c>
    </row>
    <row r="137" customFormat="false" ht="15" hidden="true" customHeight="false" outlineLevel="0" collapsed="false">
      <c r="B137" s="33" t="s">
        <v>542</v>
      </c>
      <c r="C137" s="33" t="s">
        <v>550</v>
      </c>
      <c r="D137" s="34" t="n">
        <v>46012.5208333333</v>
      </c>
      <c r="E137" s="34" t="n">
        <v>46012.5208333333</v>
      </c>
      <c r="F137" s="34" t="n">
        <v>46012.5840277778</v>
      </c>
      <c r="G137" s="35" t="n">
        <f aca="false">F137-E137</f>
        <v>0.0631944444444444</v>
      </c>
      <c r="H137" s="33" t="s">
        <v>248</v>
      </c>
      <c r="I137" s="33"/>
      <c r="J137" s="33" t="s">
        <v>256</v>
      </c>
      <c r="K137" s="33" t="s">
        <v>430</v>
      </c>
      <c r="L137" s="33" t="s">
        <v>700</v>
      </c>
      <c r="M137" s="33" t="s">
        <v>258</v>
      </c>
      <c r="N137" s="33" t="s">
        <v>379</v>
      </c>
      <c r="O137" s="33" t="s">
        <v>399</v>
      </c>
      <c r="P137" s="37" t="str">
        <f aca="false">_xlfn.CONCAT(B137,C137,D137,E137,F137)</f>
        <v>BC Caiaponia1SG60KTL(COM1-007)_001_01346012.520833333346012.520833333346012.5840277778</v>
      </c>
      <c r="Q137" s="37" t="str">
        <f aca="false">_xlfn.CONCAT(H137,I137,J137)</f>
        <v>DAURDE</v>
      </c>
    </row>
    <row r="138" customFormat="false" ht="15" hidden="true" customHeight="false" outlineLevel="0" collapsed="false">
      <c r="B138" s="33" t="s">
        <v>542</v>
      </c>
      <c r="C138" s="33" t="s">
        <v>551</v>
      </c>
      <c r="D138" s="34" t="n">
        <v>46012.5208333333</v>
      </c>
      <c r="E138" s="34" t="n">
        <v>46012.5208333333</v>
      </c>
      <c r="F138" s="34" t="n">
        <v>46012.5840277778</v>
      </c>
      <c r="G138" s="35" t="n">
        <f aca="false">F138-E138</f>
        <v>0.0631944444444444</v>
      </c>
      <c r="H138" s="33" t="s">
        <v>248</v>
      </c>
      <c r="I138" s="33"/>
      <c r="J138" s="33" t="s">
        <v>256</v>
      </c>
      <c r="K138" s="33" t="s">
        <v>430</v>
      </c>
      <c r="L138" s="33" t="s">
        <v>700</v>
      </c>
      <c r="M138" s="33" t="s">
        <v>258</v>
      </c>
      <c r="N138" s="33" t="s">
        <v>379</v>
      </c>
      <c r="O138" s="33" t="s">
        <v>399</v>
      </c>
      <c r="P138" s="37" t="str">
        <f aca="false">_xlfn.CONCAT(B138,C138,D138,E138,F138)</f>
        <v>BC Caiaponia1SG60KTL(COM1-008)_001_00146012.520833333346012.520833333346012.5840277778</v>
      </c>
      <c r="Q138" s="37" t="str">
        <f aca="false">_xlfn.CONCAT(H138,I138,J138)</f>
        <v>DAURDE</v>
      </c>
    </row>
    <row r="139" customFormat="false" ht="15" hidden="true" customHeight="false" outlineLevel="0" collapsed="false">
      <c r="B139" s="33" t="s">
        <v>542</v>
      </c>
      <c r="C139" s="33" t="s">
        <v>552</v>
      </c>
      <c r="D139" s="34" t="n">
        <v>46012.5208333333</v>
      </c>
      <c r="E139" s="34" t="n">
        <v>46012.5208333333</v>
      </c>
      <c r="F139" s="34" t="n">
        <v>46012.5840277778</v>
      </c>
      <c r="G139" s="35" t="n">
        <f aca="false">F139-E139</f>
        <v>0.0631944444444444</v>
      </c>
      <c r="H139" s="33" t="s">
        <v>248</v>
      </c>
      <c r="I139" s="33"/>
      <c r="J139" s="33" t="s">
        <v>256</v>
      </c>
      <c r="K139" s="33" t="s">
        <v>430</v>
      </c>
      <c r="L139" s="33" t="s">
        <v>700</v>
      </c>
      <c r="M139" s="33" t="s">
        <v>258</v>
      </c>
      <c r="N139" s="33" t="s">
        <v>379</v>
      </c>
      <c r="O139" s="33" t="s">
        <v>399</v>
      </c>
      <c r="P139" s="37" t="str">
        <f aca="false">_xlfn.CONCAT(B139,C139,D139,E139,F139)</f>
        <v>BC Caiaponia1SG60KTL(COM1-009)46012.520833333346012.520833333346012.5840277778</v>
      </c>
      <c r="Q139" s="37" t="str">
        <f aca="false">_xlfn.CONCAT(H139,I139,J139)</f>
        <v>DAURDE</v>
      </c>
    </row>
    <row r="140" customFormat="false" ht="15" hidden="true" customHeight="false" outlineLevel="0" collapsed="false">
      <c r="B140" s="33" t="s">
        <v>542</v>
      </c>
      <c r="C140" s="33" t="s">
        <v>553</v>
      </c>
      <c r="D140" s="34" t="n">
        <v>46012.5208333333</v>
      </c>
      <c r="E140" s="34" t="n">
        <v>46012.5208333333</v>
      </c>
      <c r="F140" s="34" t="n">
        <v>46012.5840277778</v>
      </c>
      <c r="G140" s="35" t="n">
        <f aca="false">F140-E140</f>
        <v>0.0631944444444444</v>
      </c>
      <c r="H140" s="33" t="s">
        <v>248</v>
      </c>
      <c r="I140" s="33"/>
      <c r="J140" s="33" t="s">
        <v>256</v>
      </c>
      <c r="K140" s="33" t="s">
        <v>430</v>
      </c>
      <c r="L140" s="33" t="s">
        <v>700</v>
      </c>
      <c r="M140" s="33" t="s">
        <v>258</v>
      </c>
      <c r="N140" s="33" t="s">
        <v>379</v>
      </c>
      <c r="O140" s="33" t="s">
        <v>399</v>
      </c>
      <c r="P140" s="37" t="str">
        <f aca="false">_xlfn.CONCAT(B140,C140,D140,E140,F140)</f>
        <v>BC Caiaponia1SG60KTL(COM1-010)46012.520833333346012.520833333346012.5840277778</v>
      </c>
      <c r="Q140" s="37" t="str">
        <f aca="false">_xlfn.CONCAT(H140,I140,J140)</f>
        <v>DAURDE</v>
      </c>
    </row>
    <row r="141" customFormat="false" ht="15" hidden="true" customHeight="false" outlineLevel="0" collapsed="false">
      <c r="B141" s="33" t="s">
        <v>542</v>
      </c>
      <c r="C141" s="33" t="s">
        <v>554</v>
      </c>
      <c r="D141" s="34" t="n">
        <v>46012.5208333333</v>
      </c>
      <c r="E141" s="34" t="n">
        <v>46012.5208333333</v>
      </c>
      <c r="F141" s="34" t="n">
        <v>46012.5840277778</v>
      </c>
      <c r="G141" s="35" t="n">
        <f aca="false">F141-E141</f>
        <v>0.0631944444444444</v>
      </c>
      <c r="H141" s="33" t="s">
        <v>248</v>
      </c>
      <c r="I141" s="33"/>
      <c r="J141" s="33" t="s">
        <v>256</v>
      </c>
      <c r="K141" s="33" t="s">
        <v>430</v>
      </c>
      <c r="L141" s="33" t="s">
        <v>700</v>
      </c>
      <c r="M141" s="33" t="s">
        <v>258</v>
      </c>
      <c r="N141" s="33" t="s">
        <v>379</v>
      </c>
      <c r="O141" s="33" t="s">
        <v>399</v>
      </c>
      <c r="P141" s="37" t="str">
        <f aca="false">_xlfn.CONCAT(B141,C141,D141,E141,F141)</f>
        <v>BC Caiaponia1SG60KTL(COM1-011)46012.520833333346012.520833333346012.5840277778</v>
      </c>
      <c r="Q141" s="37" t="str">
        <f aca="false">_xlfn.CONCAT(H141,I141,J141)</f>
        <v>DAURDE</v>
      </c>
    </row>
    <row r="142" customFormat="false" ht="15" hidden="true" customHeight="false" outlineLevel="0" collapsed="false">
      <c r="B142" s="33" t="s">
        <v>542</v>
      </c>
      <c r="C142" s="33" t="s">
        <v>555</v>
      </c>
      <c r="D142" s="34" t="n">
        <v>46012.5208333333</v>
      </c>
      <c r="E142" s="34" t="n">
        <v>46012.5208333333</v>
      </c>
      <c r="F142" s="34" t="n">
        <v>46012.5840277778</v>
      </c>
      <c r="G142" s="35" t="n">
        <f aca="false">F142-E142</f>
        <v>0.0631944444444444</v>
      </c>
      <c r="H142" s="33" t="s">
        <v>248</v>
      </c>
      <c r="I142" s="33"/>
      <c r="J142" s="33" t="s">
        <v>256</v>
      </c>
      <c r="K142" s="33" t="s">
        <v>430</v>
      </c>
      <c r="L142" s="33" t="s">
        <v>700</v>
      </c>
      <c r="M142" s="33" t="s">
        <v>258</v>
      </c>
      <c r="N142" s="33" t="s">
        <v>379</v>
      </c>
      <c r="O142" s="33" t="s">
        <v>399</v>
      </c>
      <c r="P142" s="37" t="str">
        <f aca="false">_xlfn.CONCAT(B142,C142,D142,E142,F142)</f>
        <v>BC Caiaponia1SG60KTL(COM1-012)46012.520833333346012.520833333346012.5840277778</v>
      </c>
      <c r="Q142" s="37" t="str">
        <f aca="false">_xlfn.CONCAT(H142,I142,J142)</f>
        <v>DAURDE</v>
      </c>
    </row>
    <row r="143" customFormat="false" ht="15" hidden="true" customHeight="false" outlineLevel="0" collapsed="false">
      <c r="B143" s="33" t="s">
        <v>542</v>
      </c>
      <c r="C143" s="33" t="s">
        <v>556</v>
      </c>
      <c r="D143" s="34" t="n">
        <v>46012.5208333333</v>
      </c>
      <c r="E143" s="34" t="n">
        <v>46012.5208333333</v>
      </c>
      <c r="F143" s="34" t="n">
        <v>46012.5840277778</v>
      </c>
      <c r="G143" s="35" t="n">
        <f aca="false">F143-E143</f>
        <v>0.0631944444444444</v>
      </c>
      <c r="H143" s="33" t="s">
        <v>248</v>
      </c>
      <c r="I143" s="33"/>
      <c r="J143" s="33" t="s">
        <v>256</v>
      </c>
      <c r="K143" s="33" t="s">
        <v>430</v>
      </c>
      <c r="L143" s="33" t="s">
        <v>700</v>
      </c>
      <c r="M143" s="33" t="s">
        <v>258</v>
      </c>
      <c r="N143" s="33" t="s">
        <v>379</v>
      </c>
      <c r="O143" s="33" t="s">
        <v>399</v>
      </c>
      <c r="P143" s="37" t="str">
        <f aca="false">_xlfn.CONCAT(B143,C143,D143,E143,F143)</f>
        <v>BC Caiaponia1SG60KTL(COM1-013)46012.520833333346012.520833333346012.5840277778</v>
      </c>
      <c r="Q143" s="37" t="str">
        <f aca="false">_xlfn.CONCAT(H143,I143,J143)</f>
        <v>DAURDE</v>
      </c>
    </row>
    <row r="144" customFormat="false" ht="15" hidden="true" customHeight="false" outlineLevel="0" collapsed="false">
      <c r="B144" s="33" t="s">
        <v>542</v>
      </c>
      <c r="C144" s="33" t="s">
        <v>557</v>
      </c>
      <c r="D144" s="34" t="n">
        <v>46012.5208333333</v>
      </c>
      <c r="E144" s="34" t="n">
        <v>46012.5208333333</v>
      </c>
      <c r="F144" s="34" t="n">
        <v>46012.5840277778</v>
      </c>
      <c r="G144" s="35" t="n">
        <f aca="false">F144-E144</f>
        <v>0.0631944444444444</v>
      </c>
      <c r="H144" s="33" t="s">
        <v>248</v>
      </c>
      <c r="I144" s="33"/>
      <c r="J144" s="33" t="s">
        <v>256</v>
      </c>
      <c r="K144" s="33" t="s">
        <v>430</v>
      </c>
      <c r="L144" s="33" t="s">
        <v>700</v>
      </c>
      <c r="M144" s="33" t="s">
        <v>258</v>
      </c>
      <c r="N144" s="33" t="s">
        <v>379</v>
      </c>
      <c r="O144" s="33" t="s">
        <v>399</v>
      </c>
      <c r="P144" s="37" t="str">
        <f aca="false">_xlfn.CONCAT(B144,C144,D144,E144,F144)</f>
        <v>BC Caiaponia1SG60KTL(COM1-014)46012.520833333346012.520833333346012.5840277778</v>
      </c>
      <c r="Q144" s="37" t="str">
        <f aca="false">_xlfn.CONCAT(H144,I144,J144)</f>
        <v>DAURDE</v>
      </c>
    </row>
    <row r="145" customFormat="false" ht="15" hidden="true" customHeight="false" outlineLevel="0" collapsed="false">
      <c r="B145" s="33" t="s">
        <v>542</v>
      </c>
      <c r="C145" s="33" t="s">
        <v>558</v>
      </c>
      <c r="D145" s="34" t="n">
        <v>46012.5208333333</v>
      </c>
      <c r="E145" s="34" t="n">
        <v>46012.5208333333</v>
      </c>
      <c r="F145" s="34" t="n">
        <v>46012.5840277778</v>
      </c>
      <c r="G145" s="35" t="n">
        <f aca="false">F145-E145</f>
        <v>0.0631944444444444</v>
      </c>
      <c r="H145" s="33" t="s">
        <v>248</v>
      </c>
      <c r="I145" s="33"/>
      <c r="J145" s="33" t="s">
        <v>256</v>
      </c>
      <c r="K145" s="33" t="s">
        <v>430</v>
      </c>
      <c r="L145" s="33" t="s">
        <v>700</v>
      </c>
      <c r="M145" s="33" t="s">
        <v>258</v>
      </c>
      <c r="N145" s="33" t="s">
        <v>379</v>
      </c>
      <c r="O145" s="33" t="s">
        <v>399</v>
      </c>
      <c r="P145" s="37" t="str">
        <f aca="false">_xlfn.CONCAT(B145,C145,D145,E145,F145)</f>
        <v>BC Caiaponia1SG60KTL(COM1-015)46012.520833333346012.520833333346012.5840277778</v>
      </c>
      <c r="Q145" s="37" t="str">
        <f aca="false">_xlfn.CONCAT(H145,I145,J145)</f>
        <v>DAURDE</v>
      </c>
    </row>
    <row r="146" customFormat="false" ht="15" hidden="true" customHeight="false" outlineLevel="0" collapsed="false">
      <c r="B146" s="33" t="s">
        <v>542</v>
      </c>
      <c r="C146" s="33" t="s">
        <v>559</v>
      </c>
      <c r="D146" s="34" t="n">
        <v>46012.5208333333</v>
      </c>
      <c r="E146" s="34" t="n">
        <v>46012.5208333333</v>
      </c>
      <c r="F146" s="34" t="n">
        <v>46012.5840277778</v>
      </c>
      <c r="G146" s="35" t="n">
        <f aca="false">F146-E146</f>
        <v>0.0631944444444444</v>
      </c>
      <c r="H146" s="33" t="s">
        <v>248</v>
      </c>
      <c r="I146" s="33"/>
      <c r="J146" s="33" t="s">
        <v>256</v>
      </c>
      <c r="K146" s="33" t="s">
        <v>430</v>
      </c>
      <c r="L146" s="33" t="s">
        <v>700</v>
      </c>
      <c r="M146" s="33" t="s">
        <v>258</v>
      </c>
      <c r="N146" s="33" t="s">
        <v>379</v>
      </c>
      <c r="O146" s="33" t="s">
        <v>399</v>
      </c>
      <c r="P146" s="37" t="str">
        <f aca="false">_xlfn.CONCAT(B146,C146,D146,E146,F146)</f>
        <v>BC Caiaponia1SG60KTL(COM3-016)_001_00946012.520833333346012.520833333346012.5840277778</v>
      </c>
      <c r="Q146" s="37" t="str">
        <f aca="false">_xlfn.CONCAT(H146,I146,J146)</f>
        <v>DAURDE</v>
      </c>
    </row>
    <row r="147" customFormat="false" ht="15" hidden="true" customHeight="false" outlineLevel="0" collapsed="false">
      <c r="B147" s="33" t="s">
        <v>542</v>
      </c>
      <c r="C147" s="33" t="s">
        <v>560</v>
      </c>
      <c r="D147" s="34" t="n">
        <v>46012.5208333333</v>
      </c>
      <c r="E147" s="34" t="n">
        <v>46012.5208333333</v>
      </c>
      <c r="F147" s="34" t="n">
        <v>46012.5840277778</v>
      </c>
      <c r="G147" s="35" t="n">
        <f aca="false">F147-E147</f>
        <v>0.0631944444444444</v>
      </c>
      <c r="H147" s="33" t="s">
        <v>248</v>
      </c>
      <c r="I147" s="33"/>
      <c r="J147" s="33" t="s">
        <v>256</v>
      </c>
      <c r="K147" s="33" t="s">
        <v>430</v>
      </c>
      <c r="L147" s="33" t="s">
        <v>700</v>
      </c>
      <c r="M147" s="33" t="s">
        <v>258</v>
      </c>
      <c r="N147" s="33" t="s">
        <v>379</v>
      </c>
      <c r="O147" s="33" t="s">
        <v>399</v>
      </c>
      <c r="P147" s="37" t="str">
        <f aca="false">_xlfn.CONCAT(B147,C147,D147,E147,F147)</f>
        <v>BC Caiaponia1SG60KTL(COM3-017)_001_01246012.520833333346012.520833333346012.5840277778</v>
      </c>
      <c r="Q147" s="37" t="str">
        <f aca="false">_xlfn.CONCAT(H147,I147,J147)</f>
        <v>DAURDE</v>
      </c>
    </row>
    <row r="148" customFormat="false" ht="15" hidden="true" customHeight="false" outlineLevel="0" collapsed="false">
      <c r="B148" s="33" t="s">
        <v>542</v>
      </c>
      <c r="C148" s="33" t="s">
        <v>561</v>
      </c>
      <c r="D148" s="34" t="n">
        <v>46012.5208333333</v>
      </c>
      <c r="E148" s="34" t="n">
        <v>46012.5208333333</v>
      </c>
      <c r="F148" s="34" t="n">
        <v>46012.5840277778</v>
      </c>
      <c r="G148" s="35" t="n">
        <f aca="false">F148-E148</f>
        <v>0.0631944444444444</v>
      </c>
      <c r="H148" s="33" t="s">
        <v>248</v>
      </c>
      <c r="I148" s="33"/>
      <c r="J148" s="33" t="s">
        <v>256</v>
      </c>
      <c r="K148" s="33" t="s">
        <v>430</v>
      </c>
      <c r="L148" s="33" t="s">
        <v>700</v>
      </c>
      <c r="M148" s="33" t="s">
        <v>258</v>
      </c>
      <c r="N148" s="33" t="s">
        <v>379</v>
      </c>
      <c r="O148" s="33" t="s">
        <v>399</v>
      </c>
      <c r="P148" s="37" t="str">
        <f aca="false">_xlfn.CONCAT(B148,C148,D148,E148,F148)</f>
        <v>BC Caiaponia1SG60KTL(COM3-018)_001_00846012.520833333346012.520833333346012.5840277778</v>
      </c>
      <c r="Q148" s="37" t="str">
        <f aca="false">_xlfn.CONCAT(H148,I148,J148)</f>
        <v>DAURDE</v>
      </c>
    </row>
    <row r="149" customFormat="false" ht="15" hidden="true" customHeight="false" outlineLevel="0" collapsed="false">
      <c r="B149" s="33" t="s">
        <v>542</v>
      </c>
      <c r="C149" s="33" t="s">
        <v>562</v>
      </c>
      <c r="D149" s="34" t="n">
        <v>46012.5208333333</v>
      </c>
      <c r="E149" s="34" t="n">
        <v>46012.5208333333</v>
      </c>
      <c r="F149" s="34" t="n">
        <v>46012.5840277778</v>
      </c>
      <c r="G149" s="35" t="n">
        <f aca="false">F149-E149</f>
        <v>0.0631944444444444</v>
      </c>
      <c r="H149" s="33" t="s">
        <v>248</v>
      </c>
      <c r="I149" s="33"/>
      <c r="J149" s="33" t="s">
        <v>256</v>
      </c>
      <c r="K149" s="33" t="s">
        <v>430</v>
      </c>
      <c r="L149" s="33" t="s">
        <v>700</v>
      </c>
      <c r="M149" s="33" t="s">
        <v>258</v>
      </c>
      <c r="N149" s="33" t="s">
        <v>379</v>
      </c>
      <c r="O149" s="33" t="s">
        <v>399</v>
      </c>
      <c r="P149" s="37" t="str">
        <f aca="false">_xlfn.CONCAT(B149,C149,D149,E149,F149)</f>
        <v>BC Caiaponia1SG60KTL(COM3-019)_001_01946012.520833333346012.520833333346012.5840277778</v>
      </c>
      <c r="Q149" s="37" t="str">
        <f aca="false">_xlfn.CONCAT(H149,I149,J149)</f>
        <v>DAURDE</v>
      </c>
    </row>
    <row r="150" customFormat="false" ht="15" hidden="true" customHeight="false" outlineLevel="0" collapsed="false">
      <c r="B150" s="33" t="s">
        <v>542</v>
      </c>
      <c r="C150" s="33" t="s">
        <v>563</v>
      </c>
      <c r="D150" s="34" t="n">
        <v>46012.5208333333</v>
      </c>
      <c r="E150" s="34" t="n">
        <v>46012.5208333333</v>
      </c>
      <c r="F150" s="34" t="n">
        <v>46012.5840277778</v>
      </c>
      <c r="G150" s="35" t="n">
        <f aca="false">F150-E150</f>
        <v>0.0631944444444444</v>
      </c>
      <c r="H150" s="33" t="s">
        <v>248</v>
      </c>
      <c r="I150" s="33"/>
      <c r="J150" s="33" t="s">
        <v>256</v>
      </c>
      <c r="K150" s="33" t="s">
        <v>430</v>
      </c>
      <c r="L150" s="33" t="s">
        <v>700</v>
      </c>
      <c r="M150" s="33" t="s">
        <v>258</v>
      </c>
      <c r="N150" s="33" t="s">
        <v>379</v>
      </c>
      <c r="O150" s="33" t="s">
        <v>399</v>
      </c>
      <c r="P150" s="37" t="str">
        <f aca="false">_xlfn.CONCAT(B150,C150,D150,E150,F150)</f>
        <v>BC Caiaponia1SG60KTL(COM3-020)_001_02046012.520833333346012.520833333346012.5840277778</v>
      </c>
      <c r="Q150" s="37" t="str">
        <f aca="false">_xlfn.CONCAT(H150,I150,J150)</f>
        <v>DAURDE</v>
      </c>
    </row>
    <row r="151" customFormat="false" ht="15" hidden="true" customHeight="false" outlineLevel="0" collapsed="false">
      <c r="B151" s="33" t="s">
        <v>542</v>
      </c>
      <c r="C151" s="33" t="s">
        <v>564</v>
      </c>
      <c r="D151" s="34" t="n">
        <v>46012.5208333333</v>
      </c>
      <c r="E151" s="34" t="n">
        <v>46012.5208333333</v>
      </c>
      <c r="F151" s="34" t="n">
        <v>46012.5840277778</v>
      </c>
      <c r="G151" s="35" t="n">
        <f aca="false">F151-E151</f>
        <v>0.0631944444444444</v>
      </c>
      <c r="H151" s="33" t="s">
        <v>248</v>
      </c>
      <c r="I151" s="33"/>
      <c r="J151" s="33" t="s">
        <v>256</v>
      </c>
      <c r="K151" s="33" t="s">
        <v>430</v>
      </c>
      <c r="L151" s="33" t="s">
        <v>700</v>
      </c>
      <c r="M151" s="33" t="s">
        <v>258</v>
      </c>
      <c r="N151" s="33" t="s">
        <v>379</v>
      </c>
      <c r="O151" s="33" t="s">
        <v>399</v>
      </c>
      <c r="P151" s="37" t="str">
        <f aca="false">_xlfn.CONCAT(B151,C151,D151,E151,F151)</f>
        <v>BC Caiaponia1SG60KTL(COM2-026)46012.520833333346012.520833333346012.5840277778</v>
      </c>
      <c r="Q151" s="37" t="str">
        <f aca="false">_xlfn.CONCAT(H151,I151,J151)</f>
        <v>DAURDE</v>
      </c>
    </row>
    <row r="152" customFormat="false" ht="15" hidden="true" customHeight="false" outlineLevel="0" collapsed="false">
      <c r="B152" s="33" t="s">
        <v>542</v>
      </c>
      <c r="C152" s="33" t="s">
        <v>565</v>
      </c>
      <c r="D152" s="34" t="n">
        <v>46012.5208333333</v>
      </c>
      <c r="E152" s="34" t="n">
        <v>46012.5208333333</v>
      </c>
      <c r="F152" s="34" t="n">
        <v>46012.5840277778</v>
      </c>
      <c r="G152" s="35" t="n">
        <f aca="false">F152-E152</f>
        <v>0.0631944444444444</v>
      </c>
      <c r="H152" s="33" t="s">
        <v>248</v>
      </c>
      <c r="I152" s="33"/>
      <c r="J152" s="33" t="s">
        <v>256</v>
      </c>
      <c r="K152" s="33" t="s">
        <v>430</v>
      </c>
      <c r="L152" s="33" t="s">
        <v>700</v>
      </c>
      <c r="M152" s="33" t="s">
        <v>258</v>
      </c>
      <c r="N152" s="33" t="s">
        <v>379</v>
      </c>
      <c r="O152" s="33" t="s">
        <v>399</v>
      </c>
      <c r="P152" s="37" t="str">
        <f aca="false">_xlfn.CONCAT(B152,C152,D152,E152,F152)</f>
        <v>BC Caiaponia1SG60KTL(COM2-027)46012.520833333346012.520833333346012.5840277778</v>
      </c>
      <c r="Q152" s="37" t="str">
        <f aca="false">_xlfn.CONCAT(H152,I152,J152)</f>
        <v>DAURDE</v>
      </c>
    </row>
    <row r="153" customFormat="false" ht="15" hidden="true" customHeight="false" outlineLevel="0" collapsed="false">
      <c r="B153" s="33" t="s">
        <v>542</v>
      </c>
      <c r="C153" s="33" t="s">
        <v>566</v>
      </c>
      <c r="D153" s="34" t="n">
        <v>46012.5208333333</v>
      </c>
      <c r="E153" s="34" t="n">
        <v>46012.5208333333</v>
      </c>
      <c r="F153" s="34" t="n">
        <v>46012.5840277778</v>
      </c>
      <c r="G153" s="35" t="n">
        <f aca="false">F153-E153</f>
        <v>0.0631944444444444</v>
      </c>
      <c r="H153" s="33" t="s">
        <v>248</v>
      </c>
      <c r="I153" s="33"/>
      <c r="J153" s="33" t="s">
        <v>256</v>
      </c>
      <c r="K153" s="33" t="s">
        <v>430</v>
      </c>
      <c r="L153" s="33" t="s">
        <v>700</v>
      </c>
      <c r="M153" s="33" t="s">
        <v>258</v>
      </c>
      <c r="N153" s="33" t="s">
        <v>379</v>
      </c>
      <c r="O153" s="33" t="s">
        <v>399</v>
      </c>
      <c r="P153" s="37" t="str">
        <f aca="false">_xlfn.CONCAT(B153,C153,D153,E153,F153)</f>
        <v>BC Caiaponia1SG60KTL(COM2-028)46012.520833333346012.520833333346012.5840277778</v>
      </c>
      <c r="Q153" s="37" t="str">
        <f aca="false">_xlfn.CONCAT(H153,I153,J153)</f>
        <v>DAURDE</v>
      </c>
    </row>
    <row r="154" customFormat="false" ht="15" hidden="true" customHeight="false" outlineLevel="0" collapsed="false">
      <c r="B154" s="33" t="s">
        <v>542</v>
      </c>
      <c r="C154" s="33" t="s">
        <v>567</v>
      </c>
      <c r="D154" s="34" t="n">
        <v>46012.5208333333</v>
      </c>
      <c r="E154" s="34" t="n">
        <v>46012.5208333333</v>
      </c>
      <c r="F154" s="34" t="n">
        <v>46012.5840277778</v>
      </c>
      <c r="G154" s="35" t="n">
        <f aca="false">F154-E154</f>
        <v>0.0631944444444444</v>
      </c>
      <c r="H154" s="33" t="s">
        <v>248</v>
      </c>
      <c r="I154" s="33"/>
      <c r="J154" s="33" t="s">
        <v>256</v>
      </c>
      <c r="K154" s="33" t="s">
        <v>430</v>
      </c>
      <c r="L154" s="33" t="s">
        <v>700</v>
      </c>
      <c r="M154" s="33" t="s">
        <v>258</v>
      </c>
      <c r="N154" s="33" t="s">
        <v>379</v>
      </c>
      <c r="O154" s="33" t="s">
        <v>399</v>
      </c>
      <c r="P154" s="37" t="str">
        <f aca="false">_xlfn.CONCAT(B154,C154,D154,E154,F154)</f>
        <v>BC Caiaponia1SG60KTL(COM2-029)46012.520833333346012.520833333346012.5840277778</v>
      </c>
      <c r="Q154" s="37" t="str">
        <f aca="false">_xlfn.CONCAT(H154,I154,J154)</f>
        <v>DAURDE</v>
      </c>
    </row>
    <row r="155" customFormat="false" ht="15" hidden="true" customHeight="false" outlineLevel="0" collapsed="false">
      <c r="B155" s="33" t="s">
        <v>542</v>
      </c>
      <c r="C155" s="33" t="s">
        <v>568</v>
      </c>
      <c r="D155" s="34" t="n">
        <v>46012.5208333333</v>
      </c>
      <c r="E155" s="34" t="n">
        <v>46012.5208333333</v>
      </c>
      <c r="F155" s="34" t="n">
        <v>46012.5840277778</v>
      </c>
      <c r="G155" s="35" t="n">
        <f aca="false">F155-E155</f>
        <v>0.0631944444444444</v>
      </c>
      <c r="H155" s="33" t="s">
        <v>248</v>
      </c>
      <c r="I155" s="33"/>
      <c r="J155" s="33" t="s">
        <v>256</v>
      </c>
      <c r="K155" s="33" t="s">
        <v>430</v>
      </c>
      <c r="L155" s="33" t="s">
        <v>700</v>
      </c>
      <c r="M155" s="33" t="s">
        <v>258</v>
      </c>
      <c r="N155" s="33" t="s">
        <v>379</v>
      </c>
      <c r="O155" s="33" t="s">
        <v>399</v>
      </c>
      <c r="P155" s="37" t="str">
        <f aca="false">_xlfn.CONCAT(B155,C155,D155,E155,F155)</f>
        <v>BC Caiaponia1SG50CX(COM1-021)46012.520833333346012.520833333346012.5840277778</v>
      </c>
      <c r="Q155" s="37" t="str">
        <f aca="false">_xlfn.CONCAT(H155,I155,J155)</f>
        <v>DAURDE</v>
      </c>
    </row>
    <row r="156" customFormat="false" ht="15" hidden="true" customHeight="false" outlineLevel="0" collapsed="false">
      <c r="B156" s="33" t="s">
        <v>542</v>
      </c>
      <c r="C156" s="33" t="s">
        <v>569</v>
      </c>
      <c r="D156" s="34" t="n">
        <v>46012.5208333333</v>
      </c>
      <c r="E156" s="34" t="n">
        <v>46012.5208333333</v>
      </c>
      <c r="F156" s="34" t="n">
        <v>46012.5840277778</v>
      </c>
      <c r="G156" s="35" t="n">
        <f aca="false">F156-E156</f>
        <v>0.0631944444444444</v>
      </c>
      <c r="H156" s="33" t="s">
        <v>248</v>
      </c>
      <c r="I156" s="33"/>
      <c r="J156" s="33" t="s">
        <v>256</v>
      </c>
      <c r="K156" s="33" t="s">
        <v>430</v>
      </c>
      <c r="L156" s="33" t="s">
        <v>700</v>
      </c>
      <c r="M156" s="33" t="s">
        <v>258</v>
      </c>
      <c r="N156" s="33" t="s">
        <v>379</v>
      </c>
      <c r="O156" s="33" t="s">
        <v>399</v>
      </c>
      <c r="P156" s="37" t="str">
        <f aca="false">_xlfn.CONCAT(B156,C156,D156,E156,F156)</f>
        <v>BC Caiaponia1SG50CX(COM1-022)46012.520833333346012.520833333346012.5840277778</v>
      </c>
      <c r="Q156" s="37" t="str">
        <f aca="false">_xlfn.CONCAT(H156,I156,J156)</f>
        <v>DAURDE</v>
      </c>
    </row>
    <row r="157" customFormat="false" ht="15" hidden="true" customHeight="false" outlineLevel="0" collapsed="false">
      <c r="B157" s="33" t="s">
        <v>542</v>
      </c>
      <c r="C157" s="33" t="s">
        <v>570</v>
      </c>
      <c r="D157" s="34" t="n">
        <v>46012.5208333333</v>
      </c>
      <c r="E157" s="34" t="n">
        <v>46012.5208333333</v>
      </c>
      <c r="F157" s="34" t="n">
        <v>46012.5840277778</v>
      </c>
      <c r="G157" s="35" t="n">
        <f aca="false">F157-E157</f>
        <v>0.0631944444444444</v>
      </c>
      <c r="H157" s="33" t="s">
        <v>248</v>
      </c>
      <c r="I157" s="33"/>
      <c r="J157" s="33" t="s">
        <v>256</v>
      </c>
      <c r="K157" s="33" t="s">
        <v>430</v>
      </c>
      <c r="L157" s="33" t="s">
        <v>700</v>
      </c>
      <c r="M157" s="33" t="s">
        <v>258</v>
      </c>
      <c r="N157" s="33" t="s">
        <v>379</v>
      </c>
      <c r="O157" s="33" t="s">
        <v>399</v>
      </c>
      <c r="P157" s="37" t="str">
        <f aca="false">_xlfn.CONCAT(B157,C157,D157,E157,F157)</f>
        <v>BC Caiaponia1SG50CX(COM1-023)46012.520833333346012.520833333346012.5840277778</v>
      </c>
      <c r="Q157" s="37" t="str">
        <f aca="false">_xlfn.CONCAT(H157,I157,J157)</f>
        <v>DAURDE</v>
      </c>
    </row>
    <row r="158" customFormat="false" ht="15" hidden="true" customHeight="false" outlineLevel="0" collapsed="false">
      <c r="B158" s="33" t="s">
        <v>542</v>
      </c>
      <c r="C158" s="33" t="s">
        <v>571</v>
      </c>
      <c r="D158" s="34" t="n">
        <v>46012.5208333333</v>
      </c>
      <c r="E158" s="34" t="n">
        <v>46012.5208333333</v>
      </c>
      <c r="F158" s="34" t="n">
        <v>46012.5840277778</v>
      </c>
      <c r="G158" s="35" t="n">
        <f aca="false">F158-E158</f>
        <v>0.0631944444444444</v>
      </c>
      <c r="H158" s="33" t="s">
        <v>248</v>
      </c>
      <c r="I158" s="33"/>
      <c r="J158" s="33" t="s">
        <v>256</v>
      </c>
      <c r="K158" s="33" t="s">
        <v>430</v>
      </c>
      <c r="L158" s="33" t="s">
        <v>700</v>
      </c>
      <c r="M158" s="33" t="s">
        <v>258</v>
      </c>
      <c r="N158" s="33" t="s">
        <v>379</v>
      </c>
      <c r="O158" s="33" t="s">
        <v>399</v>
      </c>
      <c r="P158" s="37" t="str">
        <f aca="false">_xlfn.CONCAT(B158,C158,D158,E158,F158)</f>
        <v>BC Caiaponia1SG50CX(COM1-024)46012.520833333346012.520833333346012.5840277778</v>
      </c>
      <c r="Q158" s="37" t="str">
        <f aca="false">_xlfn.CONCAT(H158,I158,J158)</f>
        <v>DAURDE</v>
      </c>
    </row>
    <row r="159" customFormat="false" ht="15" hidden="true" customHeight="false" outlineLevel="0" collapsed="false">
      <c r="B159" s="33" t="s">
        <v>542</v>
      </c>
      <c r="C159" s="33" t="s">
        <v>572</v>
      </c>
      <c r="D159" s="34" t="n">
        <v>46012.5208333333</v>
      </c>
      <c r="E159" s="34" t="n">
        <v>46012.5208333333</v>
      </c>
      <c r="F159" s="34" t="n">
        <v>46012.5840277778</v>
      </c>
      <c r="G159" s="35" t="n">
        <f aca="false">F159-E159</f>
        <v>0.0631944444444444</v>
      </c>
      <c r="H159" s="33" t="s">
        <v>248</v>
      </c>
      <c r="I159" s="33"/>
      <c r="J159" s="33" t="s">
        <v>256</v>
      </c>
      <c r="K159" s="33" t="s">
        <v>430</v>
      </c>
      <c r="L159" s="33" t="s">
        <v>700</v>
      </c>
      <c r="M159" s="33" t="s">
        <v>258</v>
      </c>
      <c r="N159" s="33" t="s">
        <v>379</v>
      </c>
      <c r="O159" s="33" t="s">
        <v>399</v>
      </c>
      <c r="P159" s="37" t="str">
        <f aca="false">_xlfn.CONCAT(B159,C159,D159,E159,F159)</f>
        <v>BC Caiaponia1SG50CX(COM1-025)46012.520833333346012.520833333346012.5840277778</v>
      </c>
      <c r="Q159" s="37" t="str">
        <f aca="false">_xlfn.CONCAT(H159,I159,J159)</f>
        <v>DAURDE</v>
      </c>
    </row>
    <row r="160" customFormat="false" ht="15" hidden="true" customHeight="false" outlineLevel="0" collapsed="false">
      <c r="B160" s="33" t="s">
        <v>685</v>
      </c>
      <c r="C160" s="33" t="s">
        <v>255</v>
      </c>
      <c r="D160" s="34" t="n">
        <v>46011.1666666667</v>
      </c>
      <c r="E160" s="34" t="n">
        <v>46011.1666666667</v>
      </c>
      <c r="F160" s="34" t="n">
        <v>46011.3506944444</v>
      </c>
      <c r="G160" s="35" t="n">
        <f aca="false">F160-E160</f>
        <v>0.184027777777778</v>
      </c>
      <c r="H160" s="33" t="s">
        <v>248</v>
      </c>
      <c r="I160" s="33"/>
      <c r="J160" s="33" t="s">
        <v>256</v>
      </c>
      <c r="K160" s="33" t="s">
        <v>430</v>
      </c>
      <c r="L160" s="33" t="s">
        <v>751</v>
      </c>
      <c r="M160" s="33" t="s">
        <v>258</v>
      </c>
      <c r="N160" s="33" t="s">
        <v>379</v>
      </c>
      <c r="O160" s="33" t="s">
        <v>399</v>
      </c>
      <c r="P160" s="37" t="str">
        <f aca="false">_xlfn.CONCAT(B160,C160,D160,E160,F160)</f>
        <v>BC Camarao1.1Inverter(MBUS-1)46011.166666666746011.166666666746011.3506944444</v>
      </c>
      <c r="Q160" s="37" t="str">
        <f aca="false">_xlfn.CONCAT(H160,I160,J160)</f>
        <v>DAURDE</v>
      </c>
    </row>
    <row r="161" customFormat="false" ht="15" hidden="true" customHeight="false" outlineLevel="0" collapsed="false">
      <c r="B161" s="33" t="s">
        <v>685</v>
      </c>
      <c r="C161" s="33" t="s">
        <v>396</v>
      </c>
      <c r="D161" s="34" t="n">
        <v>46011.1666666667</v>
      </c>
      <c r="E161" s="34" t="n">
        <v>46011.1666666667</v>
      </c>
      <c r="F161" s="34" t="n">
        <v>46011.3506944444</v>
      </c>
      <c r="G161" s="35" t="n">
        <f aca="false">F161-E161</f>
        <v>0.184027777777778</v>
      </c>
      <c r="H161" s="33" t="s">
        <v>248</v>
      </c>
      <c r="I161" s="33"/>
      <c r="J161" s="33" t="s">
        <v>256</v>
      </c>
      <c r="K161" s="33" t="s">
        <v>430</v>
      </c>
      <c r="L161" s="33" t="s">
        <v>751</v>
      </c>
      <c r="M161" s="33" t="s">
        <v>258</v>
      </c>
      <c r="N161" s="33" t="s">
        <v>379</v>
      </c>
      <c r="O161" s="33" t="s">
        <v>399</v>
      </c>
      <c r="P161" s="37" t="str">
        <f aca="false">_xlfn.CONCAT(B161,C161,D161,E161,F161)</f>
        <v>BC Camarao1.1215KTL-H3(MBUS-12)46011.166666666746011.166666666746011.3506944444</v>
      </c>
      <c r="Q161" s="37" t="str">
        <f aca="false">_xlfn.CONCAT(H161,I161,J161)</f>
        <v>DAURDE</v>
      </c>
    </row>
    <row r="162" customFormat="false" ht="15" hidden="true" customHeight="false" outlineLevel="0" collapsed="false">
      <c r="B162" s="33" t="s">
        <v>685</v>
      </c>
      <c r="C162" s="33" t="s">
        <v>397</v>
      </c>
      <c r="D162" s="34" t="n">
        <v>46011.1666666667</v>
      </c>
      <c r="E162" s="34" t="n">
        <v>46011.1666666667</v>
      </c>
      <c r="F162" s="34" t="n">
        <v>46011.3506944444</v>
      </c>
      <c r="G162" s="35" t="n">
        <f aca="false">F162-E162</f>
        <v>0.184027777777778</v>
      </c>
      <c r="H162" s="33" t="s">
        <v>248</v>
      </c>
      <c r="I162" s="33"/>
      <c r="J162" s="33" t="s">
        <v>256</v>
      </c>
      <c r="K162" s="33" t="s">
        <v>430</v>
      </c>
      <c r="L162" s="33" t="s">
        <v>751</v>
      </c>
      <c r="M162" s="33" t="s">
        <v>258</v>
      </c>
      <c r="N162" s="33" t="s">
        <v>379</v>
      </c>
      <c r="O162" s="33" t="s">
        <v>399</v>
      </c>
      <c r="P162" s="37" t="str">
        <f aca="false">_xlfn.CONCAT(B162,C162,D162,E162,F162)</f>
        <v>BC Camarao1.1215KTL-H3(MBUS-13)46011.166666666746011.166666666746011.3506944444</v>
      </c>
      <c r="Q162" s="37" t="str">
        <f aca="false">_xlfn.CONCAT(H162,I162,J162)</f>
        <v>DAURDE</v>
      </c>
    </row>
    <row r="163" customFormat="false" ht="15" hidden="true" customHeight="false" outlineLevel="0" collapsed="false">
      <c r="B163" s="33" t="s">
        <v>685</v>
      </c>
      <c r="C163" s="33" t="s">
        <v>391</v>
      </c>
      <c r="D163" s="34" t="n">
        <v>46011.1666666667</v>
      </c>
      <c r="E163" s="34" t="n">
        <v>46011.1666666667</v>
      </c>
      <c r="F163" s="34" t="n">
        <v>46011.3506944444</v>
      </c>
      <c r="G163" s="35" t="n">
        <f aca="false">F163-E163</f>
        <v>0.184027777777778</v>
      </c>
      <c r="H163" s="33" t="s">
        <v>248</v>
      </c>
      <c r="I163" s="33"/>
      <c r="J163" s="33" t="s">
        <v>256</v>
      </c>
      <c r="K163" s="33" t="s">
        <v>430</v>
      </c>
      <c r="L163" s="33" t="s">
        <v>751</v>
      </c>
      <c r="M163" s="33" t="s">
        <v>258</v>
      </c>
      <c r="N163" s="33" t="s">
        <v>379</v>
      </c>
      <c r="O163" s="33" t="s">
        <v>399</v>
      </c>
      <c r="P163" s="37" t="str">
        <f aca="false">_xlfn.CONCAT(B163,C163,D163,E163,F163)</f>
        <v>BC Camarao1.1215KTL-H3(MBUS-16)46011.166666666746011.166666666746011.3506944444</v>
      </c>
      <c r="Q163" s="37" t="str">
        <f aca="false">_xlfn.CONCAT(H163,I163,J163)</f>
        <v>DAURDE</v>
      </c>
    </row>
    <row r="164" customFormat="false" ht="15" hidden="true" customHeight="false" outlineLevel="0" collapsed="false">
      <c r="B164" s="33" t="s">
        <v>685</v>
      </c>
      <c r="C164" s="33" t="s">
        <v>395</v>
      </c>
      <c r="D164" s="34" t="n">
        <v>46011.1666666667</v>
      </c>
      <c r="E164" s="34" t="n">
        <v>46011.1666666667</v>
      </c>
      <c r="F164" s="34" t="n">
        <v>46011.3506944444</v>
      </c>
      <c r="G164" s="35" t="n">
        <f aca="false">F164-E164</f>
        <v>0.184027777777778</v>
      </c>
      <c r="H164" s="33" t="s">
        <v>248</v>
      </c>
      <c r="I164" s="33"/>
      <c r="J164" s="33" t="s">
        <v>256</v>
      </c>
      <c r="K164" s="33" t="s">
        <v>430</v>
      </c>
      <c r="L164" s="33" t="s">
        <v>751</v>
      </c>
      <c r="M164" s="33" t="s">
        <v>258</v>
      </c>
      <c r="N164" s="33" t="s">
        <v>379</v>
      </c>
      <c r="O164" s="33" t="s">
        <v>399</v>
      </c>
      <c r="P164" s="37" t="str">
        <f aca="false">_xlfn.CONCAT(B164,C164,D164,E164,F164)</f>
        <v>BC Camarao1.1215KTL-H3(MBUS-15)46011.166666666746011.166666666746011.3506944444</v>
      </c>
      <c r="Q164" s="37" t="str">
        <f aca="false">_xlfn.CONCAT(H164,I164,J164)</f>
        <v>DAURDE</v>
      </c>
    </row>
    <row r="165" customFormat="false" ht="15" hidden="true" customHeight="false" outlineLevel="0" collapsed="false">
      <c r="B165" s="1" t="s">
        <v>614</v>
      </c>
      <c r="C165" s="1" t="s">
        <v>255</v>
      </c>
      <c r="D165" s="14" t="n">
        <v>45994.3333333333</v>
      </c>
      <c r="E165" s="14" t="n">
        <v>45994.3333333333</v>
      </c>
      <c r="F165" s="14" t="n">
        <v>45994.4027777778</v>
      </c>
      <c r="G165" s="15" t="n">
        <f aca="false">F165-E165</f>
        <v>0.0694444444444445</v>
      </c>
      <c r="H165" s="20" t="s">
        <v>313</v>
      </c>
      <c r="J165" s="20" t="s">
        <v>230</v>
      </c>
      <c r="K165" s="1" t="s">
        <v>230</v>
      </c>
      <c r="L165" s="1" t="s">
        <v>721</v>
      </c>
      <c r="M165" s="20" t="s">
        <v>288</v>
      </c>
      <c r="N165" s="20" t="s">
        <v>315</v>
      </c>
      <c r="O165" s="1" t="s">
        <v>722</v>
      </c>
      <c r="P165" s="1" t="str">
        <f aca="false">_xlfn.CONCAT(B165,C165,D165,E165,F165)</f>
        <v>BC Vazante2.2Inverter(MBUS-1)45994.333333333345994.333333333345994.4027777778</v>
      </c>
      <c r="Q165" s="1" t="str">
        <f aca="false">_xlfn.CONCAT(H165,I165,J165)</f>
        <v>DPRUFV</v>
      </c>
    </row>
    <row r="166" customFormat="false" ht="15" hidden="true" customHeight="false" outlineLevel="0" collapsed="false">
      <c r="B166" s="1" t="s">
        <v>614</v>
      </c>
      <c r="C166" s="1" t="s">
        <v>752</v>
      </c>
      <c r="D166" s="14" t="n">
        <v>45994.3333333333</v>
      </c>
      <c r="E166" s="14" t="n">
        <v>45994.3333333333</v>
      </c>
      <c r="F166" s="14" t="n">
        <v>45994.4027777778</v>
      </c>
      <c r="G166" s="15" t="n">
        <f aca="false">F166-E166</f>
        <v>0.0694444444444445</v>
      </c>
      <c r="H166" s="20" t="s">
        <v>313</v>
      </c>
      <c r="J166" s="20" t="s">
        <v>230</v>
      </c>
      <c r="K166" s="1" t="s">
        <v>230</v>
      </c>
      <c r="L166" s="1" t="s">
        <v>721</v>
      </c>
      <c r="M166" s="20" t="s">
        <v>288</v>
      </c>
      <c r="N166" s="20" t="s">
        <v>315</v>
      </c>
      <c r="O166" s="1" t="s">
        <v>722</v>
      </c>
      <c r="P166" s="1" t="str">
        <f aca="false">_xlfn.CONCAT(B166,C166,D166,E166,F166)</f>
        <v>BC Vazante2.2Inverter(MBUS-6)45994.333333333345994.333333333345994.4027777778</v>
      </c>
      <c r="Q166" s="1" t="str">
        <f aca="false">_xlfn.CONCAT(H166,I166,J166)</f>
        <v>DPRUFV</v>
      </c>
    </row>
    <row r="167" customFormat="false" ht="15" hidden="true" customHeight="false" outlineLevel="0" collapsed="false">
      <c r="B167" s="1" t="s">
        <v>614</v>
      </c>
      <c r="C167" s="1" t="s">
        <v>753</v>
      </c>
      <c r="D167" s="14" t="n">
        <v>45994.3333333333</v>
      </c>
      <c r="E167" s="14" t="n">
        <v>45994.3333333333</v>
      </c>
      <c r="F167" s="14" t="n">
        <v>45994.4027777778</v>
      </c>
      <c r="G167" s="15" t="n">
        <f aca="false">F167-E167</f>
        <v>0.0694444444444445</v>
      </c>
      <c r="H167" s="20" t="s">
        <v>313</v>
      </c>
      <c r="J167" s="20" t="s">
        <v>230</v>
      </c>
      <c r="K167" s="1" t="s">
        <v>230</v>
      </c>
      <c r="L167" s="1" t="s">
        <v>721</v>
      </c>
      <c r="M167" s="20" t="s">
        <v>288</v>
      </c>
      <c r="N167" s="20" t="s">
        <v>315</v>
      </c>
      <c r="O167" s="1" t="s">
        <v>722</v>
      </c>
      <c r="P167" s="1" t="str">
        <f aca="false">_xlfn.CONCAT(B167,C167,D167,E167,F167)</f>
        <v>BC Vazante2.2Inverter(MBUS-7)45994.333333333345994.333333333345994.4027777778</v>
      </c>
      <c r="Q167" s="1" t="str">
        <f aca="false">_xlfn.CONCAT(H167,I167,J167)</f>
        <v>DPRUFV</v>
      </c>
    </row>
    <row r="168" customFormat="false" ht="15" hidden="true" customHeight="false" outlineLevel="0" collapsed="false">
      <c r="B168" s="1" t="s">
        <v>614</v>
      </c>
      <c r="C168" s="1" t="s">
        <v>754</v>
      </c>
      <c r="D168" s="14" t="n">
        <v>45994.3333333333</v>
      </c>
      <c r="E168" s="14" t="n">
        <v>45994.3333333333</v>
      </c>
      <c r="F168" s="14" t="n">
        <v>45994.4027777778</v>
      </c>
      <c r="G168" s="15" t="n">
        <f aca="false">F168-E168</f>
        <v>0.0694444444444445</v>
      </c>
      <c r="H168" s="20" t="s">
        <v>313</v>
      </c>
      <c r="J168" s="20" t="s">
        <v>230</v>
      </c>
      <c r="K168" s="1" t="s">
        <v>230</v>
      </c>
      <c r="L168" s="1" t="s">
        <v>721</v>
      </c>
      <c r="M168" s="20" t="s">
        <v>288</v>
      </c>
      <c r="N168" s="20" t="s">
        <v>315</v>
      </c>
      <c r="O168" s="1" t="s">
        <v>722</v>
      </c>
      <c r="P168" s="1" t="str">
        <f aca="false">_xlfn.CONCAT(B168,C168,D168,E168,F168)</f>
        <v>BC Vazante2.2Inverter(MBUS-8)45994.333333333345994.333333333345994.4027777778</v>
      </c>
      <c r="Q168" s="1" t="str">
        <f aca="false">_xlfn.CONCAT(H168,I168,J168)</f>
        <v>DPRUFV</v>
      </c>
    </row>
    <row r="169" customFormat="false" ht="15" hidden="true" customHeight="false" outlineLevel="0" collapsed="false">
      <c r="B169" s="1" t="s">
        <v>614</v>
      </c>
      <c r="C169" s="1" t="s">
        <v>755</v>
      </c>
      <c r="D169" s="14" t="n">
        <v>45994.3333333333</v>
      </c>
      <c r="E169" s="14" t="n">
        <v>45994.3333333333</v>
      </c>
      <c r="F169" s="14" t="n">
        <v>45994.4027777778</v>
      </c>
      <c r="G169" s="15" t="n">
        <f aca="false">F169-E169</f>
        <v>0.0694444444444445</v>
      </c>
      <c r="H169" s="20" t="s">
        <v>313</v>
      </c>
      <c r="J169" s="20" t="s">
        <v>230</v>
      </c>
      <c r="K169" s="1" t="s">
        <v>230</v>
      </c>
      <c r="L169" s="1" t="s">
        <v>721</v>
      </c>
      <c r="M169" s="20" t="s">
        <v>288</v>
      </c>
      <c r="N169" s="20" t="s">
        <v>315</v>
      </c>
      <c r="O169" s="1" t="s">
        <v>722</v>
      </c>
      <c r="P169" s="1" t="str">
        <f aca="false">_xlfn.CONCAT(B169,C169,D169,E169,F169)</f>
        <v>BC Vazante2.2Inverter(MBUS-10)45994.333333333345994.333333333345994.4027777778</v>
      </c>
      <c r="Q169" s="1" t="str">
        <f aca="false">_xlfn.CONCAT(H169,I169,J169)</f>
        <v>DPRUFV</v>
      </c>
    </row>
    <row r="170" customFormat="false" ht="15" hidden="true" customHeight="false" outlineLevel="0" collapsed="false">
      <c r="B170" s="1" t="s">
        <v>720</v>
      </c>
      <c r="C170" s="1" t="s">
        <v>255</v>
      </c>
      <c r="D170" s="14" t="n">
        <v>45994.5486111111</v>
      </c>
      <c r="E170" s="14" t="n">
        <v>45994.5486111111</v>
      </c>
      <c r="F170" s="14" t="n">
        <v>45994.6805555556</v>
      </c>
      <c r="G170" s="15" t="n">
        <f aca="false">F170-E170</f>
        <v>0.131944444444444</v>
      </c>
      <c r="H170" s="20" t="s">
        <v>313</v>
      </c>
      <c r="J170" s="20" t="s">
        <v>703</v>
      </c>
      <c r="K170" s="1" t="e">
        <f aca="false">_xlfn.xlookup(J170,REF!$D$2:$D$12,REF!$E$2:$E$12)</f>
        <v>#NAME?</v>
      </c>
      <c r="L170" s="1" t="s">
        <v>704</v>
      </c>
      <c r="M170" s="20" t="s">
        <v>288</v>
      </c>
      <c r="N170" s="20" t="s">
        <v>315</v>
      </c>
      <c r="O170" s="1" t="s">
        <v>705</v>
      </c>
      <c r="P170" s="1" t="str">
        <f aca="false">_xlfn.CONCAT(B170,C170,D170,E170,F170)</f>
        <v>BC Vazante2.1Inverter(MBUS-1)45994.548611111145994.548611111145994.6805555556</v>
      </c>
      <c r="Q170" s="1" t="str">
        <f aca="false">_xlfn.CONCAT(H170,I170,J170)</f>
        <v>DPRTRF</v>
      </c>
    </row>
    <row r="171" customFormat="false" ht="15" hidden="true" customHeight="false" outlineLevel="0" collapsed="false">
      <c r="B171" s="1" t="s">
        <v>720</v>
      </c>
      <c r="C171" s="1" t="s">
        <v>723</v>
      </c>
      <c r="D171" s="14" t="n">
        <v>45994.5486111111</v>
      </c>
      <c r="E171" s="14" t="n">
        <v>45994.5486111111</v>
      </c>
      <c r="F171" s="14" t="n">
        <v>45994.6805555556</v>
      </c>
      <c r="G171" s="15" t="n">
        <f aca="false">F171-E171</f>
        <v>0.131944444444444</v>
      </c>
      <c r="H171" s="20" t="s">
        <v>313</v>
      </c>
      <c r="J171" s="20" t="s">
        <v>703</v>
      </c>
      <c r="K171" s="1" t="e">
        <f aca="false">_xlfn.xlookup(J171,REF!$D$2:$D$12,REF!$E$2:$E$12)</f>
        <v>#NAME?</v>
      </c>
      <c r="L171" s="1" t="s">
        <v>704</v>
      </c>
      <c r="M171" s="20" t="s">
        <v>288</v>
      </c>
      <c r="N171" s="20" t="s">
        <v>315</v>
      </c>
      <c r="O171" s="1" t="s">
        <v>705</v>
      </c>
      <c r="P171" s="1" t="str">
        <f aca="false">_xlfn.CONCAT(B171,C171,D171,E171,F171)</f>
        <v>BC Vazante2.1Inverter(MBUS-2)45994.548611111145994.548611111145994.6805555556</v>
      </c>
      <c r="Q171" s="1" t="str">
        <f aca="false">_xlfn.CONCAT(H171,I171,J171)</f>
        <v>DPRTRF</v>
      </c>
    </row>
    <row r="172" customFormat="false" ht="15" hidden="true" customHeight="false" outlineLevel="0" collapsed="false">
      <c r="B172" s="1" t="s">
        <v>720</v>
      </c>
      <c r="C172" s="1" t="s">
        <v>724</v>
      </c>
      <c r="D172" s="14" t="n">
        <v>45994.5486111111</v>
      </c>
      <c r="E172" s="14" t="n">
        <v>45994.5486111111</v>
      </c>
      <c r="F172" s="14" t="n">
        <v>45994.6805555556</v>
      </c>
      <c r="G172" s="15" t="n">
        <f aca="false">F172-E172</f>
        <v>0.131944444444444</v>
      </c>
      <c r="H172" s="20" t="s">
        <v>313</v>
      </c>
      <c r="J172" s="20" t="s">
        <v>703</v>
      </c>
      <c r="K172" s="1" t="e">
        <f aca="false">_xlfn.xlookup(J172,REF!$D$2:$D$12,REF!$E$2:$E$12)</f>
        <v>#NAME?</v>
      </c>
      <c r="L172" s="1" t="s">
        <v>704</v>
      </c>
      <c r="M172" s="20" t="s">
        <v>288</v>
      </c>
      <c r="N172" s="20" t="s">
        <v>315</v>
      </c>
      <c r="O172" s="1" t="s">
        <v>705</v>
      </c>
      <c r="P172" s="1" t="str">
        <f aca="false">_xlfn.CONCAT(B172,C172,D172,E172,F172)</f>
        <v>BC Vazante2.1Inverter(MBUS-4)45994.548611111145994.548611111145994.6805555556</v>
      </c>
      <c r="Q172" s="1" t="str">
        <f aca="false">_xlfn.CONCAT(H172,I172,J172)</f>
        <v>DPRTRF</v>
      </c>
    </row>
    <row r="173" customFormat="false" ht="15" hidden="true" customHeight="false" outlineLevel="0" collapsed="false">
      <c r="B173" s="1" t="s">
        <v>720</v>
      </c>
      <c r="C173" s="1" t="s">
        <v>725</v>
      </c>
      <c r="D173" s="14" t="n">
        <v>45994.5486111111</v>
      </c>
      <c r="E173" s="14" t="n">
        <v>45994.5486111111</v>
      </c>
      <c r="F173" s="14" t="n">
        <v>45994.6805555556</v>
      </c>
      <c r="G173" s="15" t="n">
        <f aca="false">F173-E173</f>
        <v>0.131944444444444</v>
      </c>
      <c r="H173" s="20" t="s">
        <v>313</v>
      </c>
      <c r="J173" s="20" t="s">
        <v>703</v>
      </c>
      <c r="K173" s="1" t="e">
        <f aca="false">_xlfn.xlookup(J173,REF!$D$2:$D$12,REF!$E$2:$E$12)</f>
        <v>#NAME?</v>
      </c>
      <c r="L173" s="1" t="s">
        <v>704</v>
      </c>
      <c r="M173" s="20" t="s">
        <v>288</v>
      </c>
      <c r="N173" s="20" t="s">
        <v>315</v>
      </c>
      <c r="O173" s="1" t="s">
        <v>705</v>
      </c>
      <c r="P173" s="1" t="str">
        <f aca="false">_xlfn.CONCAT(B173,C173,D173,E173,F173)</f>
        <v>BC Vazante2.1Inverter(MBUS-5)45994.548611111145994.548611111145994.6805555556</v>
      </c>
      <c r="Q173" s="1" t="str">
        <f aca="false">_xlfn.CONCAT(H173,I173,J173)</f>
        <v>DPRTRF</v>
      </c>
    </row>
    <row r="174" customFormat="false" ht="15" hidden="true" customHeight="false" outlineLevel="0" collapsed="false">
      <c r="B174" s="1" t="s">
        <v>720</v>
      </c>
      <c r="C174" s="1" t="s">
        <v>277</v>
      </c>
      <c r="D174" s="14" t="n">
        <v>45994.5486111111</v>
      </c>
      <c r="E174" s="14" t="n">
        <v>45994.5486111111</v>
      </c>
      <c r="F174" s="14" t="n">
        <v>45994.6805555556</v>
      </c>
      <c r="G174" s="15" t="n">
        <f aca="false">F174-E174</f>
        <v>0.131944444444444</v>
      </c>
      <c r="H174" s="20" t="s">
        <v>313</v>
      </c>
      <c r="J174" s="20" t="s">
        <v>703</v>
      </c>
      <c r="K174" s="1" t="e">
        <f aca="false">_xlfn.xlookup(J174,REF!$D$2:$D$12,REF!$E$2:$E$12)</f>
        <v>#NAME?</v>
      </c>
      <c r="L174" s="1" t="s">
        <v>704</v>
      </c>
      <c r="M174" s="20" t="s">
        <v>288</v>
      </c>
      <c r="N174" s="20" t="s">
        <v>315</v>
      </c>
      <c r="O174" s="1" t="s">
        <v>705</v>
      </c>
      <c r="P174" s="1" t="str">
        <f aca="false">_xlfn.CONCAT(B174,C174,D174,E174,F174)</f>
        <v>BC Vazante2.1Inverter(MBUS-12)45994.548611111145994.548611111145994.6805555556</v>
      </c>
      <c r="Q174" s="1" t="str">
        <f aca="false">_xlfn.CONCAT(H174,I174,J174)</f>
        <v>DPRTRF</v>
      </c>
    </row>
    <row r="175" customFormat="false" ht="15" hidden="true" customHeight="false" outlineLevel="0" collapsed="false">
      <c r="B175" s="1" t="s">
        <v>580</v>
      </c>
      <c r="C175" s="1" t="s">
        <v>396</v>
      </c>
      <c r="D175" s="14" t="n">
        <v>45994.6875</v>
      </c>
      <c r="E175" s="14" t="n">
        <v>45994.6875</v>
      </c>
      <c r="F175" s="14" t="n">
        <v>45995.3333333333</v>
      </c>
      <c r="G175" s="15" t="n">
        <f aca="false">F175-E175</f>
        <v>0.645833333333333</v>
      </c>
      <c r="H175" s="20" t="s">
        <v>313</v>
      </c>
      <c r="J175" s="20" t="s">
        <v>249</v>
      </c>
      <c r="K175" s="1" t="e">
        <f aca="false">_xlfn.xlookup(J175,REF!$D$2:$D$12,REF!$E$2:$E$12)</f>
        <v>#NAME?</v>
      </c>
      <c r="L175" s="1" t="s">
        <v>756</v>
      </c>
      <c r="M175" s="20" t="s">
        <v>251</v>
      </c>
      <c r="N175" s="20" t="s">
        <v>252</v>
      </c>
      <c r="O175" s="1" t="s">
        <v>757</v>
      </c>
      <c r="P175" s="1" t="str">
        <f aca="false">_xlfn.CONCAT(B175,C175,D175,E175,F175)</f>
        <v>BC Caiaponia2.3215KTL-H3(MBUS-12)45994.687545994.687545995.3333333333</v>
      </c>
      <c r="Q175" s="1" t="str">
        <f aca="false">_xlfn.CONCAT(H175,I175,J175)</f>
        <v>DPRINV</v>
      </c>
    </row>
    <row r="176" customFormat="false" ht="15" hidden="true" customHeight="false" outlineLevel="0" collapsed="false">
      <c r="B176" s="1" t="s">
        <v>580</v>
      </c>
      <c r="C176" s="1" t="s">
        <v>397</v>
      </c>
      <c r="D176" s="14" t="n">
        <v>45994.6875</v>
      </c>
      <c r="E176" s="14" t="n">
        <v>45994.6875</v>
      </c>
      <c r="F176" s="14" t="n">
        <v>45995.3333333333</v>
      </c>
      <c r="G176" s="15" t="n">
        <f aca="false">F176-E176</f>
        <v>0.645833333333333</v>
      </c>
      <c r="H176" s="20" t="s">
        <v>313</v>
      </c>
      <c r="J176" s="20" t="s">
        <v>249</v>
      </c>
      <c r="K176" s="1" t="e">
        <f aca="false">_xlfn.xlookup(J176,REF!$D$2:$D$12,REF!$E$2:$E$12)</f>
        <v>#NAME?</v>
      </c>
      <c r="L176" s="1" t="s">
        <v>756</v>
      </c>
      <c r="M176" s="20" t="s">
        <v>251</v>
      </c>
      <c r="N176" s="20" t="s">
        <v>252</v>
      </c>
      <c r="O176" s="1" t="s">
        <v>757</v>
      </c>
      <c r="P176" s="1" t="str">
        <f aca="false">_xlfn.CONCAT(B176,C176,D176,E176,F176)</f>
        <v>BC Caiaponia2.3215KTL-H3(MBUS-13)45994.687545994.687545995.3333333333</v>
      </c>
      <c r="Q176" s="1" t="str">
        <f aca="false">_xlfn.CONCAT(H176,I176,J176)</f>
        <v>DPRINV</v>
      </c>
    </row>
    <row r="177" customFormat="false" ht="15" hidden="true" customHeight="false" outlineLevel="0" collapsed="false">
      <c r="B177" s="1" t="s">
        <v>580</v>
      </c>
      <c r="C177" s="1" t="s">
        <v>394</v>
      </c>
      <c r="D177" s="14" t="n">
        <v>45994.6875</v>
      </c>
      <c r="E177" s="14" t="n">
        <v>45994.6875</v>
      </c>
      <c r="F177" s="14" t="n">
        <v>45995.3333333333</v>
      </c>
      <c r="G177" s="15" t="n">
        <f aca="false">F177-E177</f>
        <v>0.645833333333333</v>
      </c>
      <c r="H177" s="20" t="s">
        <v>313</v>
      </c>
      <c r="J177" s="20" t="s">
        <v>249</v>
      </c>
      <c r="K177" s="1" t="e">
        <f aca="false">_xlfn.xlookup(J177,REF!$D$2:$D$12,REF!$E$2:$E$12)</f>
        <v>#NAME?</v>
      </c>
      <c r="L177" s="1" t="s">
        <v>756</v>
      </c>
      <c r="M177" s="20" t="s">
        <v>251</v>
      </c>
      <c r="N177" s="20" t="s">
        <v>252</v>
      </c>
      <c r="O177" s="1" t="s">
        <v>757</v>
      </c>
      <c r="P177" s="1" t="str">
        <f aca="false">_xlfn.CONCAT(B177,C177,D177,E177,F177)</f>
        <v>BC Caiaponia2.3215KTL-H3(MBUS-14)45994.687545994.687545995.3333333333</v>
      </c>
      <c r="Q177" s="1" t="str">
        <f aca="false">_xlfn.CONCAT(H177,I177,J177)</f>
        <v>DPRINV</v>
      </c>
    </row>
    <row r="178" customFormat="false" ht="15" hidden="true" customHeight="false" outlineLevel="0" collapsed="false">
      <c r="B178" s="1" t="s">
        <v>580</v>
      </c>
      <c r="C178" s="1" t="s">
        <v>395</v>
      </c>
      <c r="D178" s="14" t="n">
        <v>45994.6875</v>
      </c>
      <c r="E178" s="14" t="n">
        <v>45994.6875</v>
      </c>
      <c r="F178" s="14" t="n">
        <v>45995.3333333333</v>
      </c>
      <c r="G178" s="15" t="n">
        <f aca="false">F178-E178</f>
        <v>0.645833333333333</v>
      </c>
      <c r="H178" s="20" t="s">
        <v>313</v>
      </c>
      <c r="J178" s="20" t="s">
        <v>249</v>
      </c>
      <c r="K178" s="1" t="e">
        <f aca="false">_xlfn.xlookup(J178,REF!$D$2:$D$12,REF!$E$2:$E$12)</f>
        <v>#NAME?</v>
      </c>
      <c r="L178" s="1" t="s">
        <v>756</v>
      </c>
      <c r="M178" s="20" t="s">
        <v>251</v>
      </c>
      <c r="N178" s="20" t="s">
        <v>252</v>
      </c>
      <c r="O178" s="1" t="s">
        <v>757</v>
      </c>
      <c r="P178" s="1" t="str">
        <f aca="false">_xlfn.CONCAT(B178,C178,D178,E178,F178)</f>
        <v>BC Caiaponia2.3215KTL-H3(MBUS-15)45994.687545994.687545995.3333333333</v>
      </c>
      <c r="Q178" s="1" t="str">
        <f aca="false">_xlfn.CONCAT(H178,I178,J178)</f>
        <v>DPRINV</v>
      </c>
    </row>
    <row r="179" customFormat="false" ht="15" hidden="true" customHeight="false" outlineLevel="0" collapsed="false">
      <c r="B179" s="1" t="s">
        <v>580</v>
      </c>
      <c r="C179" s="1" t="s">
        <v>391</v>
      </c>
      <c r="D179" s="14" t="n">
        <v>45994.6875</v>
      </c>
      <c r="E179" s="14" t="n">
        <v>45994.6875</v>
      </c>
      <c r="F179" s="14" t="n">
        <v>45995.3333333333</v>
      </c>
      <c r="G179" s="15" t="n">
        <f aca="false">F179-E179</f>
        <v>0.645833333333333</v>
      </c>
      <c r="H179" s="20" t="s">
        <v>313</v>
      </c>
      <c r="J179" s="20" t="s">
        <v>249</v>
      </c>
      <c r="K179" s="1" t="e">
        <f aca="false">_xlfn.xlookup(J179,REF!$D$2:$D$12,REF!$E$2:$E$12)</f>
        <v>#NAME?</v>
      </c>
      <c r="L179" s="1" t="s">
        <v>756</v>
      </c>
      <c r="M179" s="20" t="s">
        <v>251</v>
      </c>
      <c r="N179" s="20" t="s">
        <v>252</v>
      </c>
      <c r="O179" s="1" t="s">
        <v>757</v>
      </c>
      <c r="P179" s="1" t="str">
        <f aca="false">_xlfn.CONCAT(B179,C179,D179,E179,F179)</f>
        <v>BC Caiaponia2.3215KTL-H3(MBUS-16)45994.687545994.687545995.3333333333</v>
      </c>
      <c r="Q179" s="1" t="str">
        <f aca="false">_xlfn.CONCAT(H179,I179,J179)</f>
        <v>DPRINV</v>
      </c>
    </row>
    <row r="180" customFormat="false" ht="15" hidden="true" customHeight="false" outlineLevel="0" collapsed="false">
      <c r="B180" s="1" t="s">
        <v>758</v>
      </c>
      <c r="C180" s="1" t="s">
        <v>759</v>
      </c>
      <c r="D180" s="14" t="n">
        <v>45995.2916666667</v>
      </c>
      <c r="E180" s="14" t="n">
        <v>45995.2916666667</v>
      </c>
      <c r="F180" s="14" t="n">
        <v>45995.3020833333</v>
      </c>
      <c r="G180" s="15" t="n">
        <f aca="false">F180-E180</f>
        <v>0.0104166666666667</v>
      </c>
      <c r="H180" s="20" t="s">
        <v>248</v>
      </c>
      <c r="J180" s="20" t="s">
        <v>256</v>
      </c>
      <c r="K180" s="1" t="s">
        <v>430</v>
      </c>
      <c r="L180" s="1" t="s">
        <v>686</v>
      </c>
      <c r="M180" s="20" t="s">
        <v>258</v>
      </c>
      <c r="N180" s="20" t="s">
        <v>259</v>
      </c>
      <c r="O180" s="1" t="s">
        <v>760</v>
      </c>
      <c r="P180" s="1" t="str">
        <f aca="false">_xlfn.CONCAT(B180,C180,D180,E180,F180)</f>
        <v>BC Corumba1.1U01.I0245995.291666666745995.291666666745995.3020833333</v>
      </c>
      <c r="Q180" s="1" t="str">
        <f aca="false">_xlfn.CONCAT(H180,I180,J180)</f>
        <v>DAURDE</v>
      </c>
    </row>
    <row r="181" customFormat="false" ht="15" hidden="true" customHeight="false" outlineLevel="0" collapsed="false">
      <c r="B181" s="1" t="s">
        <v>758</v>
      </c>
      <c r="C181" s="1" t="s">
        <v>761</v>
      </c>
      <c r="D181" s="14" t="n">
        <v>45995.2916666667</v>
      </c>
      <c r="E181" s="14" t="n">
        <v>45995.2916666667</v>
      </c>
      <c r="F181" s="14" t="n">
        <v>45995.3020833333</v>
      </c>
      <c r="G181" s="15" t="n">
        <f aca="false">F181-E181</f>
        <v>0.0104166666666667</v>
      </c>
      <c r="H181" s="20" t="s">
        <v>248</v>
      </c>
      <c r="J181" s="20" t="s">
        <v>256</v>
      </c>
      <c r="K181" s="1" t="s">
        <v>430</v>
      </c>
      <c r="L181" s="1" t="s">
        <v>686</v>
      </c>
      <c r="M181" s="20" t="s">
        <v>258</v>
      </c>
      <c r="N181" s="20" t="s">
        <v>259</v>
      </c>
      <c r="O181" s="1" t="s">
        <v>760</v>
      </c>
      <c r="P181" s="1" t="str">
        <f aca="false">_xlfn.CONCAT(B181,C181,D181,E181,F181)</f>
        <v>BC Corumba1.1U01.I0345995.291666666745995.291666666745995.3020833333</v>
      </c>
      <c r="Q181" s="1" t="str">
        <f aca="false">_xlfn.CONCAT(H181,I181,J181)</f>
        <v>DAURDE</v>
      </c>
    </row>
    <row r="182" customFormat="false" ht="15" hidden="true" customHeight="false" outlineLevel="0" collapsed="false">
      <c r="B182" s="1" t="s">
        <v>758</v>
      </c>
      <c r="C182" s="1" t="s">
        <v>762</v>
      </c>
      <c r="D182" s="14" t="n">
        <v>45995.2916666667</v>
      </c>
      <c r="E182" s="14" t="n">
        <v>45995.2916666667</v>
      </c>
      <c r="F182" s="14" t="n">
        <v>45995.3020833333</v>
      </c>
      <c r="G182" s="15" t="n">
        <f aca="false">F182-E182</f>
        <v>0.0104166666666667</v>
      </c>
      <c r="H182" s="20" t="s">
        <v>248</v>
      </c>
      <c r="J182" s="20" t="s">
        <v>256</v>
      </c>
      <c r="K182" s="1" t="s">
        <v>430</v>
      </c>
      <c r="L182" s="1" t="s">
        <v>686</v>
      </c>
      <c r="M182" s="20" t="s">
        <v>258</v>
      </c>
      <c r="N182" s="20" t="s">
        <v>259</v>
      </c>
      <c r="O182" s="1" t="s">
        <v>760</v>
      </c>
      <c r="P182" s="1" t="str">
        <f aca="false">_xlfn.CONCAT(B182,C182,D182,E182,F182)</f>
        <v>BC Corumba1.1U01.I0445995.291666666745995.291666666745995.3020833333</v>
      </c>
      <c r="Q182" s="1" t="str">
        <f aca="false">_xlfn.CONCAT(H182,I182,J182)</f>
        <v>DAURDE</v>
      </c>
    </row>
    <row r="183" customFormat="false" ht="15" hidden="true" customHeight="false" outlineLevel="0" collapsed="false">
      <c r="B183" s="1" t="s">
        <v>758</v>
      </c>
      <c r="C183" s="1" t="s">
        <v>763</v>
      </c>
      <c r="D183" s="14" t="n">
        <v>45995.2916666667</v>
      </c>
      <c r="E183" s="14" t="n">
        <v>45995.2916666667</v>
      </c>
      <c r="F183" s="14" t="n">
        <v>45995.3020833333</v>
      </c>
      <c r="G183" s="15" t="n">
        <f aca="false">F183-E183</f>
        <v>0.0104166666666667</v>
      </c>
      <c r="H183" s="20" t="s">
        <v>248</v>
      </c>
      <c r="J183" s="20" t="s">
        <v>256</v>
      </c>
      <c r="K183" s="1" t="s">
        <v>430</v>
      </c>
      <c r="L183" s="1" t="s">
        <v>686</v>
      </c>
      <c r="M183" s="20" t="s">
        <v>258</v>
      </c>
      <c r="N183" s="20" t="s">
        <v>259</v>
      </c>
      <c r="O183" s="1" t="s">
        <v>760</v>
      </c>
      <c r="P183" s="1" t="str">
        <f aca="false">_xlfn.CONCAT(B183,C183,D183,E183,F183)</f>
        <v>BC Corumba1.1U01.I0545995.291666666745995.291666666745995.3020833333</v>
      </c>
      <c r="Q183" s="1" t="str">
        <f aca="false">_xlfn.CONCAT(H183,I183,J183)</f>
        <v>DAURDE</v>
      </c>
    </row>
    <row r="184" customFormat="false" ht="15" hidden="true" customHeight="false" outlineLevel="0" collapsed="false">
      <c r="B184" s="1" t="s">
        <v>764</v>
      </c>
      <c r="C184" s="1" t="s">
        <v>269</v>
      </c>
      <c r="D184" s="14" t="n">
        <v>45995.2916666667</v>
      </c>
      <c r="E184" s="14" t="n">
        <v>45995.2916666667</v>
      </c>
      <c r="F184" s="14" t="n">
        <v>45995.3020833333</v>
      </c>
      <c r="G184" s="15" t="n">
        <f aca="false">F184-E184</f>
        <v>0.0104166666666667</v>
      </c>
      <c r="H184" s="20" t="s">
        <v>248</v>
      </c>
      <c r="J184" s="20" t="s">
        <v>256</v>
      </c>
      <c r="K184" s="1" t="s">
        <v>430</v>
      </c>
      <c r="L184" s="1" t="s">
        <v>686</v>
      </c>
      <c r="M184" s="20" t="s">
        <v>258</v>
      </c>
      <c r="N184" s="20" t="s">
        <v>259</v>
      </c>
      <c r="O184" s="1" t="s">
        <v>760</v>
      </c>
      <c r="P184" s="1" t="str">
        <f aca="false">_xlfn.CONCAT(B184,C184,D184,E184,F184)</f>
        <v>BC Corumba1.2U02.I0245995.291666666745995.291666666745995.3020833333</v>
      </c>
      <c r="Q184" s="1" t="str">
        <f aca="false">_xlfn.CONCAT(H184,I184,J184)</f>
        <v>DAURDE</v>
      </c>
    </row>
    <row r="185" customFormat="false" ht="15" hidden="true" customHeight="false" outlineLevel="0" collapsed="false">
      <c r="B185" s="1" t="s">
        <v>764</v>
      </c>
      <c r="C185" s="1" t="s">
        <v>262</v>
      </c>
      <c r="D185" s="14" t="n">
        <v>45995.2916666667</v>
      </c>
      <c r="E185" s="14" t="n">
        <v>45995.2916666667</v>
      </c>
      <c r="F185" s="14" t="n">
        <v>45995.3020833333</v>
      </c>
      <c r="G185" s="15" t="n">
        <f aca="false">F185-E185</f>
        <v>0.0104166666666667</v>
      </c>
      <c r="H185" s="20" t="s">
        <v>248</v>
      </c>
      <c r="J185" s="20" t="s">
        <v>256</v>
      </c>
      <c r="K185" s="1" t="s">
        <v>430</v>
      </c>
      <c r="L185" s="1" t="s">
        <v>686</v>
      </c>
      <c r="M185" s="20" t="s">
        <v>258</v>
      </c>
      <c r="N185" s="20" t="s">
        <v>259</v>
      </c>
      <c r="O185" s="1" t="s">
        <v>760</v>
      </c>
      <c r="P185" s="1" t="str">
        <f aca="false">_xlfn.CONCAT(B185,C185,D185,E185,F185)</f>
        <v>BC Corumba1.2U02.I0145995.291666666745995.291666666745995.3020833333</v>
      </c>
      <c r="Q185" s="1" t="str">
        <f aca="false">_xlfn.CONCAT(H185,I185,J185)</f>
        <v>DAURDE</v>
      </c>
    </row>
    <row r="186" customFormat="false" ht="15" hidden="true" customHeight="false" outlineLevel="0" collapsed="false">
      <c r="B186" s="1" t="s">
        <v>764</v>
      </c>
      <c r="C186" s="1" t="s">
        <v>270</v>
      </c>
      <c r="D186" s="14" t="n">
        <v>45995.2916666667</v>
      </c>
      <c r="E186" s="14" t="n">
        <v>45995.2916666667</v>
      </c>
      <c r="F186" s="14" t="n">
        <v>45995.3020833333</v>
      </c>
      <c r="G186" s="15" t="n">
        <f aca="false">F186-E186</f>
        <v>0.0104166666666667</v>
      </c>
      <c r="H186" s="20" t="s">
        <v>248</v>
      </c>
      <c r="J186" s="20" t="s">
        <v>256</v>
      </c>
      <c r="K186" s="1" t="s">
        <v>430</v>
      </c>
      <c r="L186" s="1" t="s">
        <v>686</v>
      </c>
      <c r="M186" s="20" t="s">
        <v>258</v>
      </c>
      <c r="N186" s="20" t="s">
        <v>259</v>
      </c>
      <c r="O186" s="1" t="s">
        <v>760</v>
      </c>
      <c r="P186" s="1" t="str">
        <f aca="false">_xlfn.CONCAT(B186,C186,D186,E186,F186)</f>
        <v>BC Corumba1.2U02.I0345995.291666666745995.291666666745995.3020833333</v>
      </c>
      <c r="Q186" s="1" t="str">
        <f aca="false">_xlfn.CONCAT(H186,I186,J186)</f>
        <v>DAURDE</v>
      </c>
    </row>
    <row r="187" customFormat="false" ht="15" hidden="true" customHeight="false" outlineLevel="0" collapsed="false">
      <c r="B187" s="1" t="s">
        <v>764</v>
      </c>
      <c r="C187" s="1" t="s">
        <v>272</v>
      </c>
      <c r="D187" s="14" t="n">
        <v>45995.2916666667</v>
      </c>
      <c r="E187" s="14" t="n">
        <v>45995.2916666667</v>
      </c>
      <c r="F187" s="14" t="n">
        <v>45995.3020833333</v>
      </c>
      <c r="G187" s="15" t="n">
        <f aca="false">F187-E187</f>
        <v>0.0104166666666667</v>
      </c>
      <c r="H187" s="20" t="s">
        <v>248</v>
      </c>
      <c r="J187" s="20" t="s">
        <v>256</v>
      </c>
      <c r="K187" s="1" t="s">
        <v>430</v>
      </c>
      <c r="L187" s="1" t="s">
        <v>686</v>
      </c>
      <c r="M187" s="20" t="s">
        <v>258</v>
      </c>
      <c r="N187" s="20" t="s">
        <v>259</v>
      </c>
      <c r="O187" s="1" t="s">
        <v>760</v>
      </c>
      <c r="P187" s="1" t="str">
        <f aca="false">_xlfn.CONCAT(B187,C187,D187,E187,F187)</f>
        <v>BC Corumba1.2U02.I0545995.291666666745995.291666666745995.3020833333</v>
      </c>
      <c r="Q187" s="1" t="str">
        <f aca="false">_xlfn.CONCAT(H187,I187,J187)</f>
        <v>DAURDE</v>
      </c>
    </row>
    <row r="188" customFormat="false" ht="15" hidden="true" customHeight="false" outlineLevel="0" collapsed="false">
      <c r="B188" s="1" t="s">
        <v>764</v>
      </c>
      <c r="C188" s="1" t="s">
        <v>271</v>
      </c>
      <c r="D188" s="14" t="n">
        <v>45995.2916666667</v>
      </c>
      <c r="E188" s="14" t="n">
        <v>45995.2916666667</v>
      </c>
      <c r="F188" s="14" t="n">
        <v>45995.3020833333</v>
      </c>
      <c r="G188" s="15" t="n">
        <f aca="false">F188-E188</f>
        <v>0.0104166666666667</v>
      </c>
      <c r="H188" s="20" t="s">
        <v>248</v>
      </c>
      <c r="J188" s="20" t="s">
        <v>256</v>
      </c>
      <c r="K188" s="1" t="s">
        <v>430</v>
      </c>
      <c r="L188" s="1" t="s">
        <v>686</v>
      </c>
      <c r="M188" s="20" t="s">
        <v>258</v>
      </c>
      <c r="N188" s="20" t="s">
        <v>259</v>
      </c>
      <c r="O188" s="1" t="s">
        <v>760</v>
      </c>
      <c r="P188" s="1" t="str">
        <f aca="false">_xlfn.CONCAT(B188,C188,D188,E188,F188)</f>
        <v>BC Corumba1.2U02.I0445995.291666666745995.291666666745995.3020833333</v>
      </c>
      <c r="Q188" s="1" t="str">
        <f aca="false">_xlfn.CONCAT(H188,I188,J188)</f>
        <v>DAURDE</v>
      </c>
    </row>
    <row r="189" customFormat="false" ht="15" hidden="true" customHeight="false" outlineLevel="0" collapsed="false">
      <c r="B189" s="1" t="s">
        <v>765</v>
      </c>
      <c r="C189" s="1" t="s">
        <v>604</v>
      </c>
      <c r="D189" s="14" t="n">
        <v>45995.2916666667</v>
      </c>
      <c r="E189" s="14" t="n">
        <v>45995.2916666667</v>
      </c>
      <c r="F189" s="14" t="n">
        <v>45995.3020833333</v>
      </c>
      <c r="G189" s="15" t="n">
        <f aca="false">F189-E189</f>
        <v>0.0104166666666667</v>
      </c>
      <c r="H189" s="20" t="s">
        <v>248</v>
      </c>
      <c r="J189" s="20" t="s">
        <v>256</v>
      </c>
      <c r="K189" s="1" t="s">
        <v>430</v>
      </c>
      <c r="L189" s="1" t="s">
        <v>686</v>
      </c>
      <c r="M189" s="20" t="s">
        <v>258</v>
      </c>
      <c r="N189" s="20" t="s">
        <v>259</v>
      </c>
      <c r="O189" s="1" t="s">
        <v>760</v>
      </c>
      <c r="P189" s="1" t="str">
        <f aca="false">_xlfn.CONCAT(B189,C189,D189,E189,F189)</f>
        <v>BC Corumba1.3U03.I0145995.291666666745995.291666666745995.3020833333</v>
      </c>
      <c r="Q189" s="1" t="str">
        <f aca="false">_xlfn.CONCAT(H189,I189,J189)</f>
        <v>DAURDE</v>
      </c>
    </row>
    <row r="190" customFormat="false" ht="15" hidden="true" customHeight="false" outlineLevel="0" collapsed="false">
      <c r="B190" s="1" t="s">
        <v>765</v>
      </c>
      <c r="C190" s="1" t="s">
        <v>499</v>
      </c>
      <c r="D190" s="14" t="n">
        <v>45995.2916666667</v>
      </c>
      <c r="E190" s="14" t="n">
        <v>45995.2916666667</v>
      </c>
      <c r="F190" s="14" t="n">
        <v>45995.3020833333</v>
      </c>
      <c r="G190" s="15" t="n">
        <f aca="false">F190-E190</f>
        <v>0.0104166666666667</v>
      </c>
      <c r="H190" s="20" t="s">
        <v>248</v>
      </c>
      <c r="J190" s="20" t="s">
        <v>256</v>
      </c>
      <c r="K190" s="1" t="s">
        <v>430</v>
      </c>
      <c r="L190" s="1" t="s">
        <v>686</v>
      </c>
      <c r="M190" s="20" t="s">
        <v>258</v>
      </c>
      <c r="N190" s="20" t="s">
        <v>259</v>
      </c>
      <c r="O190" s="1" t="s">
        <v>760</v>
      </c>
      <c r="P190" s="1" t="str">
        <f aca="false">_xlfn.CONCAT(B190,C190,D190,E190,F190)</f>
        <v>BC Corumba1.3U03.I0345995.291666666745995.291666666745995.3020833333</v>
      </c>
      <c r="Q190" s="1" t="str">
        <f aca="false">_xlfn.CONCAT(H190,I190,J190)</f>
        <v>DAURDE</v>
      </c>
    </row>
    <row r="191" customFormat="false" ht="15" hidden="true" customHeight="false" outlineLevel="0" collapsed="false">
      <c r="B191" s="1" t="s">
        <v>765</v>
      </c>
      <c r="C191" s="1" t="s">
        <v>607</v>
      </c>
      <c r="D191" s="14" t="n">
        <v>45995.2916666667</v>
      </c>
      <c r="E191" s="14" t="n">
        <v>45995.2916666667</v>
      </c>
      <c r="F191" s="14" t="n">
        <v>45995.3020833333</v>
      </c>
      <c r="G191" s="15" t="n">
        <f aca="false">F191-E191</f>
        <v>0.0104166666666667</v>
      </c>
      <c r="H191" s="20" t="s">
        <v>248</v>
      </c>
      <c r="J191" s="20" t="s">
        <v>256</v>
      </c>
      <c r="K191" s="1" t="s">
        <v>430</v>
      </c>
      <c r="L191" s="1" t="s">
        <v>686</v>
      </c>
      <c r="M191" s="20" t="s">
        <v>258</v>
      </c>
      <c r="N191" s="20" t="s">
        <v>259</v>
      </c>
      <c r="O191" s="1" t="s">
        <v>760</v>
      </c>
      <c r="P191" s="1" t="str">
        <f aca="false">_xlfn.CONCAT(B191,C191,D191,E191,F191)</f>
        <v>BC Corumba1.3U03.I0245995.291666666745995.291666666745995.3020833333</v>
      </c>
      <c r="Q191" s="1" t="str">
        <f aca="false">_xlfn.CONCAT(H191,I191,J191)</f>
        <v>DAURDE</v>
      </c>
    </row>
    <row r="192" customFormat="false" ht="15" hidden="true" customHeight="false" outlineLevel="0" collapsed="false">
      <c r="B192" s="1" t="s">
        <v>766</v>
      </c>
      <c r="C192" s="1" t="s">
        <v>280</v>
      </c>
      <c r="D192" s="14" t="n">
        <v>45995.2916666667</v>
      </c>
      <c r="E192" s="14" t="n">
        <v>45995.2916666667</v>
      </c>
      <c r="F192" s="14" t="n">
        <v>45995.3020833333</v>
      </c>
      <c r="G192" s="15" t="n">
        <f aca="false">F192-E192</f>
        <v>0.0104166666666667</v>
      </c>
      <c r="H192" s="20" t="s">
        <v>248</v>
      </c>
      <c r="J192" s="20" t="s">
        <v>256</v>
      </c>
      <c r="K192" s="1" t="s">
        <v>430</v>
      </c>
      <c r="L192" s="1" t="s">
        <v>686</v>
      </c>
      <c r="M192" s="20" t="s">
        <v>258</v>
      </c>
      <c r="N192" s="20" t="s">
        <v>259</v>
      </c>
      <c r="O192" s="1" t="s">
        <v>760</v>
      </c>
      <c r="P192" s="1" t="str">
        <f aca="false">_xlfn.CONCAT(B192,C192,D192,E192,F192)</f>
        <v>BC Corumba2.1Inverter(MBUS-14)45995.291666666745995.291666666745995.3020833333</v>
      </c>
      <c r="Q192" s="1" t="str">
        <f aca="false">_xlfn.CONCAT(H192,I192,J192)</f>
        <v>DAURDE</v>
      </c>
    </row>
    <row r="193" customFormat="false" ht="15" hidden="true" customHeight="false" outlineLevel="0" collapsed="false">
      <c r="B193" s="1" t="s">
        <v>766</v>
      </c>
      <c r="C193" s="1" t="s">
        <v>279</v>
      </c>
      <c r="D193" s="14" t="n">
        <v>45995.2916666667</v>
      </c>
      <c r="E193" s="14" t="n">
        <v>45995.2916666667</v>
      </c>
      <c r="F193" s="14" t="n">
        <v>45995.3020833333</v>
      </c>
      <c r="G193" s="15" t="n">
        <f aca="false">F193-E193</f>
        <v>0.0104166666666667</v>
      </c>
      <c r="H193" s="20" t="s">
        <v>248</v>
      </c>
      <c r="J193" s="20" t="s">
        <v>256</v>
      </c>
      <c r="K193" s="1" t="s">
        <v>430</v>
      </c>
      <c r="L193" s="1" t="s">
        <v>686</v>
      </c>
      <c r="M193" s="20" t="s">
        <v>258</v>
      </c>
      <c r="N193" s="20" t="s">
        <v>259</v>
      </c>
      <c r="O193" s="1" t="s">
        <v>760</v>
      </c>
      <c r="P193" s="1" t="str">
        <f aca="false">_xlfn.CONCAT(B193,C193,D193,E193,F193)</f>
        <v>BC Corumba2.1Inverter(MBUS-15)45995.291666666745995.291666666745995.3020833333</v>
      </c>
      <c r="Q193" s="1" t="str">
        <f aca="false">_xlfn.CONCAT(H193,I193,J193)</f>
        <v>DAURDE</v>
      </c>
    </row>
    <row r="194" customFormat="false" ht="15" hidden="true" customHeight="false" outlineLevel="0" collapsed="false">
      <c r="B194" s="1" t="s">
        <v>766</v>
      </c>
      <c r="C194" s="1" t="s">
        <v>690</v>
      </c>
      <c r="D194" s="14" t="n">
        <v>45995.2916666667</v>
      </c>
      <c r="E194" s="14" t="n">
        <v>45995.2916666667</v>
      </c>
      <c r="F194" s="14" t="n">
        <v>45995.3020833333</v>
      </c>
      <c r="G194" s="15" t="n">
        <f aca="false">F194-E194</f>
        <v>0.0104166666666667</v>
      </c>
      <c r="H194" s="20" t="s">
        <v>248</v>
      </c>
      <c r="J194" s="20" t="s">
        <v>256</v>
      </c>
      <c r="K194" s="1" t="s">
        <v>430</v>
      </c>
      <c r="L194" s="1" t="s">
        <v>686</v>
      </c>
      <c r="M194" s="20" t="s">
        <v>258</v>
      </c>
      <c r="N194" s="20" t="s">
        <v>259</v>
      </c>
      <c r="O194" s="1" t="s">
        <v>760</v>
      </c>
      <c r="P194" s="1" t="str">
        <f aca="false">_xlfn.CONCAT(B194,C194,D194,E194,F194)</f>
        <v>BC Corumba2.1Inverter(MBUS-16)45995.291666666745995.291666666745995.3020833333</v>
      </c>
      <c r="Q194" s="1" t="str">
        <f aca="false">_xlfn.CONCAT(H194,I194,J194)</f>
        <v>DAURDE</v>
      </c>
    </row>
    <row r="195" customFormat="false" ht="15" hidden="true" customHeight="false" outlineLevel="0" collapsed="false">
      <c r="B195" s="1" t="s">
        <v>766</v>
      </c>
      <c r="C195" s="1" t="s">
        <v>767</v>
      </c>
      <c r="D195" s="14" t="n">
        <v>45995.2916666667</v>
      </c>
      <c r="E195" s="14" t="n">
        <v>45995.2916666667</v>
      </c>
      <c r="F195" s="14" t="n">
        <v>45995.3020833333</v>
      </c>
      <c r="G195" s="15" t="n">
        <f aca="false">F195-E195</f>
        <v>0.0104166666666667</v>
      </c>
      <c r="H195" s="20" t="s">
        <v>248</v>
      </c>
      <c r="J195" s="20" t="s">
        <v>256</v>
      </c>
      <c r="K195" s="1" t="s">
        <v>430</v>
      </c>
      <c r="L195" s="1" t="s">
        <v>686</v>
      </c>
      <c r="M195" s="20" t="s">
        <v>258</v>
      </c>
      <c r="N195" s="20" t="s">
        <v>259</v>
      </c>
      <c r="O195" s="1" t="s">
        <v>760</v>
      </c>
      <c r="P195" s="1" t="str">
        <f aca="false">_xlfn.CONCAT(B195,C195,D195,E195,F195)</f>
        <v>BC Corumba2.1U01. I0145995.291666666745995.291666666745995.3020833333</v>
      </c>
      <c r="Q195" s="1" t="str">
        <f aca="false">_xlfn.CONCAT(H195,I195,J195)</f>
        <v>DAURDE</v>
      </c>
    </row>
    <row r="196" customFormat="false" ht="15" hidden="true" customHeight="false" outlineLevel="0" collapsed="false">
      <c r="B196" s="1" t="s">
        <v>766</v>
      </c>
      <c r="C196" s="1" t="s">
        <v>768</v>
      </c>
      <c r="D196" s="14" t="n">
        <v>45995.2916666667</v>
      </c>
      <c r="E196" s="14" t="n">
        <v>45995.2916666667</v>
      </c>
      <c r="F196" s="14" t="n">
        <v>45995.3020833333</v>
      </c>
      <c r="G196" s="15" t="n">
        <f aca="false">F196-E196</f>
        <v>0.0104166666666667</v>
      </c>
      <c r="H196" s="20" t="s">
        <v>248</v>
      </c>
      <c r="J196" s="20" t="s">
        <v>256</v>
      </c>
      <c r="K196" s="1" t="s">
        <v>430</v>
      </c>
      <c r="L196" s="1" t="s">
        <v>686</v>
      </c>
      <c r="M196" s="20" t="s">
        <v>258</v>
      </c>
      <c r="N196" s="20" t="s">
        <v>259</v>
      </c>
      <c r="O196" s="1" t="s">
        <v>760</v>
      </c>
      <c r="P196" s="1" t="str">
        <f aca="false">_xlfn.CONCAT(B196,C196,D196,E196,F196)</f>
        <v>BC Corumba2.1U01. I0245995.291666666745995.291666666745995.3020833333</v>
      </c>
      <c r="Q196" s="1" t="str">
        <f aca="false">_xlfn.CONCAT(H196,I196,J196)</f>
        <v>DAURDE</v>
      </c>
    </row>
    <row r="197" customFormat="false" ht="15" hidden="true" customHeight="false" outlineLevel="0" collapsed="false">
      <c r="B197" s="1" t="s">
        <v>261</v>
      </c>
      <c r="C197" s="1" t="s">
        <v>262</v>
      </c>
      <c r="D197" s="14" t="n">
        <v>45995.2916666667</v>
      </c>
      <c r="E197" s="14" t="n">
        <v>45995.2916666667</v>
      </c>
      <c r="F197" s="14" t="n">
        <v>45995.3020833333</v>
      </c>
      <c r="G197" s="15" t="n">
        <f aca="false">F197-E197</f>
        <v>0.0104166666666667</v>
      </c>
      <c r="H197" s="20" t="s">
        <v>248</v>
      </c>
      <c r="J197" s="20" t="s">
        <v>256</v>
      </c>
      <c r="K197" s="1" t="s">
        <v>430</v>
      </c>
      <c r="L197" s="1" t="s">
        <v>686</v>
      </c>
      <c r="M197" s="20" t="s">
        <v>258</v>
      </c>
      <c r="N197" s="20" t="s">
        <v>259</v>
      </c>
      <c r="O197" s="1" t="s">
        <v>760</v>
      </c>
      <c r="P197" s="1" t="str">
        <f aca="false">_xlfn.CONCAT(B197,C197,D197,E197,F197)</f>
        <v>BC Corumba2.2U02.I0145995.291666666745995.291666666745995.3020833333</v>
      </c>
      <c r="Q197" s="1" t="str">
        <f aca="false">_xlfn.CONCAT(H197,I197,J197)</f>
        <v>DAURDE</v>
      </c>
    </row>
    <row r="198" customFormat="false" ht="15" hidden="true" customHeight="false" outlineLevel="0" collapsed="false">
      <c r="B198" s="1" t="s">
        <v>261</v>
      </c>
      <c r="C198" s="1" t="s">
        <v>269</v>
      </c>
      <c r="D198" s="14" t="n">
        <v>45995.2916666667</v>
      </c>
      <c r="E198" s="14" t="n">
        <v>45995.2916666667</v>
      </c>
      <c r="F198" s="14" t="n">
        <v>45995.3020833333</v>
      </c>
      <c r="G198" s="15" t="n">
        <f aca="false">F198-E198</f>
        <v>0.0104166666666667</v>
      </c>
      <c r="H198" s="20" t="s">
        <v>248</v>
      </c>
      <c r="J198" s="20" t="s">
        <v>256</v>
      </c>
      <c r="K198" s="1" t="s">
        <v>430</v>
      </c>
      <c r="L198" s="1" t="s">
        <v>686</v>
      </c>
      <c r="M198" s="20" t="s">
        <v>258</v>
      </c>
      <c r="N198" s="20" t="s">
        <v>259</v>
      </c>
      <c r="O198" s="1" t="s">
        <v>760</v>
      </c>
      <c r="P198" s="1" t="str">
        <f aca="false">_xlfn.CONCAT(B198,C198,D198,E198,F198)</f>
        <v>BC Corumba2.2U02.I0245995.291666666745995.291666666745995.3020833333</v>
      </c>
      <c r="Q198" s="1" t="str">
        <f aca="false">_xlfn.CONCAT(H198,I198,J198)</f>
        <v>DAURDE</v>
      </c>
    </row>
    <row r="199" customFormat="false" ht="15" hidden="true" customHeight="false" outlineLevel="0" collapsed="false">
      <c r="B199" s="1" t="s">
        <v>261</v>
      </c>
      <c r="C199" s="1" t="s">
        <v>270</v>
      </c>
      <c r="D199" s="14" t="n">
        <v>45995.2916666667</v>
      </c>
      <c r="E199" s="14" t="n">
        <v>45995.2916666667</v>
      </c>
      <c r="F199" s="14" t="n">
        <v>45995.3020833333</v>
      </c>
      <c r="G199" s="15" t="n">
        <f aca="false">F199-E199</f>
        <v>0.0104166666666667</v>
      </c>
      <c r="H199" s="20" t="s">
        <v>248</v>
      </c>
      <c r="J199" s="20" t="s">
        <v>256</v>
      </c>
      <c r="K199" s="1" t="s">
        <v>430</v>
      </c>
      <c r="L199" s="1" t="s">
        <v>686</v>
      </c>
      <c r="M199" s="20" t="s">
        <v>258</v>
      </c>
      <c r="N199" s="20" t="s">
        <v>259</v>
      </c>
      <c r="O199" s="1" t="s">
        <v>760</v>
      </c>
      <c r="P199" s="1" t="str">
        <f aca="false">_xlfn.CONCAT(B199,C199,D199,E199,F199)</f>
        <v>BC Corumba2.2U02.I0345995.291666666745995.291666666745995.3020833333</v>
      </c>
      <c r="Q199" s="1" t="str">
        <f aca="false">_xlfn.CONCAT(H199,I199,J199)</f>
        <v>DAURDE</v>
      </c>
    </row>
    <row r="200" customFormat="false" ht="15" hidden="true" customHeight="false" outlineLevel="0" collapsed="false">
      <c r="B200" s="1" t="s">
        <v>261</v>
      </c>
      <c r="C200" s="1" t="s">
        <v>271</v>
      </c>
      <c r="D200" s="14" t="n">
        <v>45995.2916666667</v>
      </c>
      <c r="E200" s="14" t="n">
        <v>45995.2916666667</v>
      </c>
      <c r="F200" s="14" t="n">
        <v>45995.3020833333</v>
      </c>
      <c r="G200" s="15" t="n">
        <f aca="false">F200-E200</f>
        <v>0.0104166666666667</v>
      </c>
      <c r="H200" s="20" t="s">
        <v>248</v>
      </c>
      <c r="J200" s="20" t="s">
        <v>256</v>
      </c>
      <c r="K200" s="1" t="s">
        <v>430</v>
      </c>
      <c r="L200" s="1" t="s">
        <v>686</v>
      </c>
      <c r="M200" s="20" t="s">
        <v>258</v>
      </c>
      <c r="N200" s="20" t="s">
        <v>259</v>
      </c>
      <c r="O200" s="1" t="s">
        <v>760</v>
      </c>
      <c r="P200" s="1" t="str">
        <f aca="false">_xlfn.CONCAT(B200,C200,D200,E200,F200)</f>
        <v>BC Corumba2.2U02.I0445995.291666666745995.291666666745995.3020833333</v>
      </c>
      <c r="Q200" s="1" t="str">
        <f aca="false">_xlfn.CONCAT(H200,I200,J200)</f>
        <v>DAURDE</v>
      </c>
    </row>
    <row r="201" customFormat="false" ht="15" hidden="true" customHeight="false" outlineLevel="0" collapsed="false">
      <c r="B201" s="1" t="s">
        <v>261</v>
      </c>
      <c r="C201" s="1" t="s">
        <v>272</v>
      </c>
      <c r="D201" s="14" t="n">
        <v>45995.2916666667</v>
      </c>
      <c r="E201" s="14" t="n">
        <v>45995.2916666667</v>
      </c>
      <c r="F201" s="14" t="n">
        <v>45995.3020833333</v>
      </c>
      <c r="G201" s="15" t="n">
        <f aca="false">F201-E201</f>
        <v>0.0104166666666667</v>
      </c>
      <c r="H201" s="20" t="s">
        <v>248</v>
      </c>
      <c r="J201" s="20" t="s">
        <v>256</v>
      </c>
      <c r="K201" s="1" t="s">
        <v>430</v>
      </c>
      <c r="L201" s="1" t="s">
        <v>686</v>
      </c>
      <c r="M201" s="20" t="s">
        <v>258</v>
      </c>
      <c r="N201" s="20" t="s">
        <v>259</v>
      </c>
      <c r="O201" s="1" t="s">
        <v>760</v>
      </c>
      <c r="P201" s="1" t="str">
        <f aca="false">_xlfn.CONCAT(B201,C201,D201,E201,F201)</f>
        <v>BC Corumba2.2U02.I0545995.291666666745995.291666666745995.3020833333</v>
      </c>
      <c r="Q201" s="1" t="str">
        <f aca="false">_xlfn.CONCAT(H201,I201,J201)</f>
        <v>DAURDE</v>
      </c>
    </row>
    <row r="202" customFormat="false" ht="15" hidden="true" customHeight="false" outlineLevel="0" collapsed="false">
      <c r="B202" s="1" t="s">
        <v>498</v>
      </c>
      <c r="C202" s="1" t="s">
        <v>604</v>
      </c>
      <c r="D202" s="14" t="n">
        <v>45995.2916666667</v>
      </c>
      <c r="E202" s="14" t="n">
        <v>45995.2916666667</v>
      </c>
      <c r="F202" s="14" t="n">
        <v>45995.3020833333</v>
      </c>
      <c r="G202" s="15" t="n">
        <f aca="false">F202-E202</f>
        <v>0.0104166666666667</v>
      </c>
      <c r="H202" s="20" t="s">
        <v>248</v>
      </c>
      <c r="J202" s="20" t="s">
        <v>256</v>
      </c>
      <c r="K202" s="1" t="s">
        <v>430</v>
      </c>
      <c r="L202" s="1" t="s">
        <v>686</v>
      </c>
      <c r="M202" s="20" t="s">
        <v>258</v>
      </c>
      <c r="N202" s="20" t="s">
        <v>259</v>
      </c>
      <c r="O202" s="1" t="s">
        <v>760</v>
      </c>
      <c r="P202" s="1" t="str">
        <f aca="false">_xlfn.CONCAT(B202,C202,D202,E202,F202)</f>
        <v>BC Corumba2.3U03.I0145995.291666666745995.291666666745995.3020833333</v>
      </c>
      <c r="Q202" s="1" t="str">
        <f aca="false">_xlfn.CONCAT(H202,I202,J202)</f>
        <v>DAURDE</v>
      </c>
    </row>
    <row r="203" customFormat="false" ht="15" hidden="true" customHeight="false" outlineLevel="0" collapsed="false">
      <c r="B203" s="1" t="s">
        <v>498</v>
      </c>
      <c r="C203" s="1" t="s">
        <v>607</v>
      </c>
      <c r="D203" s="14" t="n">
        <v>45995.2916666667</v>
      </c>
      <c r="E203" s="14" t="n">
        <v>45995.2916666667</v>
      </c>
      <c r="F203" s="14" t="n">
        <v>45995.3020833333</v>
      </c>
      <c r="G203" s="15" t="n">
        <f aca="false">F203-E203</f>
        <v>0.0104166666666667</v>
      </c>
      <c r="H203" s="20" t="s">
        <v>248</v>
      </c>
      <c r="J203" s="20" t="s">
        <v>256</v>
      </c>
      <c r="K203" s="1" t="s">
        <v>430</v>
      </c>
      <c r="L203" s="1" t="s">
        <v>686</v>
      </c>
      <c r="M203" s="20" t="s">
        <v>258</v>
      </c>
      <c r="N203" s="20" t="s">
        <v>259</v>
      </c>
      <c r="O203" s="1" t="s">
        <v>760</v>
      </c>
      <c r="P203" s="1" t="str">
        <f aca="false">_xlfn.CONCAT(B203,C203,D203,E203,F203)</f>
        <v>BC Corumba2.3U03.I0245995.291666666745995.291666666745995.3020833333</v>
      </c>
      <c r="Q203" s="1" t="str">
        <f aca="false">_xlfn.CONCAT(H203,I203,J203)</f>
        <v>DAURDE</v>
      </c>
    </row>
    <row r="204" customFormat="false" ht="15" hidden="true" customHeight="false" outlineLevel="0" collapsed="false">
      <c r="B204" s="1" t="s">
        <v>498</v>
      </c>
      <c r="C204" s="1" t="s">
        <v>499</v>
      </c>
      <c r="D204" s="14" t="n">
        <v>45995.2916666667</v>
      </c>
      <c r="E204" s="14" t="n">
        <v>45995.2916666667</v>
      </c>
      <c r="F204" s="14" t="n">
        <v>45995.3020833333</v>
      </c>
      <c r="G204" s="15" t="n">
        <f aca="false">F204-E204</f>
        <v>0.0104166666666667</v>
      </c>
      <c r="H204" s="20" t="s">
        <v>248</v>
      </c>
      <c r="J204" s="20" t="s">
        <v>256</v>
      </c>
      <c r="K204" s="1" t="s">
        <v>430</v>
      </c>
      <c r="L204" s="1" t="s">
        <v>686</v>
      </c>
      <c r="M204" s="20" t="s">
        <v>258</v>
      </c>
      <c r="N204" s="20" t="s">
        <v>259</v>
      </c>
      <c r="O204" s="1" t="s">
        <v>760</v>
      </c>
      <c r="P204" s="1" t="str">
        <f aca="false">_xlfn.CONCAT(B204,C204,D204,E204,F204)</f>
        <v>BC Corumba2.3U03.I0345995.291666666745995.291666666745995.3020833333</v>
      </c>
      <c r="Q204" s="1" t="str">
        <f aca="false">_xlfn.CONCAT(H204,I204,J204)</f>
        <v>DAURDE</v>
      </c>
    </row>
    <row r="205" customFormat="false" ht="15" hidden="true" customHeight="false" outlineLevel="0" collapsed="false">
      <c r="B205" s="1" t="s">
        <v>698</v>
      </c>
      <c r="C205" s="1" t="s">
        <v>247</v>
      </c>
      <c r="D205" s="14" t="n">
        <v>45995.39375</v>
      </c>
      <c r="E205" s="14" t="n">
        <v>45995.39375</v>
      </c>
      <c r="F205" s="14" t="n">
        <v>45995.4131944444</v>
      </c>
      <c r="G205" s="15" t="n">
        <f aca="false">F205-E205</f>
        <v>0.0194444444444444</v>
      </c>
      <c r="H205" s="20" t="s">
        <v>248</v>
      </c>
      <c r="J205" s="20" t="s">
        <v>256</v>
      </c>
      <c r="K205" s="1" t="s">
        <v>430</v>
      </c>
      <c r="L205" s="1" t="s">
        <v>686</v>
      </c>
      <c r="M205" s="20" t="s">
        <v>258</v>
      </c>
      <c r="N205" s="20" t="s">
        <v>259</v>
      </c>
      <c r="O205" s="1" t="s">
        <v>760</v>
      </c>
      <c r="P205" s="1" t="str">
        <f aca="false">_xlfn.CONCAT(B205,C205,D205,E205,F205)</f>
        <v>BC Formoso1.2Inverter(MBUS-13)45995.3937545995.3937545995.4131944444</v>
      </c>
      <c r="Q205" s="1" t="str">
        <f aca="false">_xlfn.CONCAT(H205,I205,J205)</f>
        <v>DAURDE</v>
      </c>
    </row>
    <row r="206" customFormat="false" ht="15" hidden="true" customHeight="false" outlineLevel="0" collapsed="false">
      <c r="B206" s="1" t="s">
        <v>698</v>
      </c>
      <c r="C206" s="1" t="s">
        <v>277</v>
      </c>
      <c r="D206" s="14" t="n">
        <v>45995.39375</v>
      </c>
      <c r="E206" s="14" t="n">
        <v>45995.39375</v>
      </c>
      <c r="F206" s="14" t="n">
        <v>45995.4131944444</v>
      </c>
      <c r="G206" s="15" t="n">
        <f aca="false">F206-E206</f>
        <v>0.0194444444444444</v>
      </c>
      <c r="H206" s="20" t="s">
        <v>248</v>
      </c>
      <c r="J206" s="20" t="s">
        <v>256</v>
      </c>
      <c r="K206" s="1" t="s">
        <v>430</v>
      </c>
      <c r="L206" s="1" t="s">
        <v>686</v>
      </c>
      <c r="M206" s="20" t="s">
        <v>258</v>
      </c>
      <c r="N206" s="20" t="s">
        <v>259</v>
      </c>
      <c r="O206" s="1" t="s">
        <v>760</v>
      </c>
      <c r="P206" s="1" t="str">
        <f aca="false">_xlfn.CONCAT(B206,C206,D206,E206,F206)</f>
        <v>BC Formoso1.2Inverter(MBUS-12)45995.3937545995.3937545995.4131944444</v>
      </c>
      <c r="Q206" s="1" t="str">
        <f aca="false">_xlfn.CONCAT(H206,I206,J206)</f>
        <v>DAURDE</v>
      </c>
    </row>
    <row r="207" customFormat="false" ht="15" hidden="true" customHeight="false" outlineLevel="0" collapsed="false">
      <c r="B207" s="1" t="s">
        <v>698</v>
      </c>
      <c r="C207" s="1" t="s">
        <v>279</v>
      </c>
      <c r="D207" s="14" t="n">
        <v>45995.39375</v>
      </c>
      <c r="E207" s="14" t="n">
        <v>45995.39375</v>
      </c>
      <c r="F207" s="14" t="n">
        <v>45995.4131944444</v>
      </c>
      <c r="G207" s="15" t="n">
        <f aca="false">F207-E207</f>
        <v>0.0194444444444444</v>
      </c>
      <c r="H207" s="20" t="s">
        <v>248</v>
      </c>
      <c r="J207" s="20" t="s">
        <v>256</v>
      </c>
      <c r="K207" s="1" t="s">
        <v>430</v>
      </c>
      <c r="L207" s="1" t="s">
        <v>686</v>
      </c>
      <c r="M207" s="20" t="s">
        <v>258</v>
      </c>
      <c r="N207" s="20" t="s">
        <v>259</v>
      </c>
      <c r="O207" s="1" t="s">
        <v>760</v>
      </c>
      <c r="P207" s="1" t="str">
        <f aca="false">_xlfn.CONCAT(B207,C207,D207,E207,F207)</f>
        <v>BC Formoso1.2Inverter(MBUS-15)45995.3937545995.3937545995.4131944444</v>
      </c>
      <c r="Q207" s="1" t="str">
        <f aca="false">_xlfn.CONCAT(H207,I207,J207)</f>
        <v>DAURDE</v>
      </c>
    </row>
    <row r="208" customFormat="false" ht="15" hidden="true" customHeight="false" outlineLevel="0" collapsed="false">
      <c r="B208" s="1" t="s">
        <v>698</v>
      </c>
      <c r="C208" s="1" t="s">
        <v>280</v>
      </c>
      <c r="D208" s="14" t="n">
        <v>45995.39375</v>
      </c>
      <c r="E208" s="14" t="n">
        <v>45995.39375</v>
      </c>
      <c r="F208" s="14" t="n">
        <v>45995.4131944444</v>
      </c>
      <c r="G208" s="15" t="n">
        <f aca="false">F208-E208</f>
        <v>0.0194444444444444</v>
      </c>
      <c r="H208" s="20" t="s">
        <v>248</v>
      </c>
      <c r="J208" s="20" t="s">
        <v>256</v>
      </c>
      <c r="K208" s="1" t="s">
        <v>430</v>
      </c>
      <c r="L208" s="1" t="s">
        <v>686</v>
      </c>
      <c r="M208" s="20" t="s">
        <v>258</v>
      </c>
      <c r="N208" s="20" t="s">
        <v>259</v>
      </c>
      <c r="O208" s="1" t="s">
        <v>760</v>
      </c>
      <c r="P208" s="1" t="str">
        <f aca="false">_xlfn.CONCAT(B208,C208,D208,E208,F208)</f>
        <v>BC Formoso1.2Inverter(MBUS-14)45995.3937545995.3937545995.4131944444</v>
      </c>
      <c r="Q208" s="1" t="str">
        <f aca="false">_xlfn.CONCAT(H208,I208,J208)</f>
        <v>DAURDE</v>
      </c>
    </row>
    <row r="209" customFormat="false" ht="15" hidden="true" customHeight="false" outlineLevel="0" collapsed="false">
      <c r="B209" s="1" t="s">
        <v>699</v>
      </c>
      <c r="C209" s="1" t="s">
        <v>247</v>
      </c>
      <c r="D209" s="14" t="n">
        <v>45995.39375</v>
      </c>
      <c r="E209" s="14" t="n">
        <v>45995.39375</v>
      </c>
      <c r="F209" s="14" t="n">
        <v>45995.4131944444</v>
      </c>
      <c r="G209" s="15" t="n">
        <f aca="false">F209-E209</f>
        <v>0.0194444444444444</v>
      </c>
      <c r="H209" s="20" t="s">
        <v>248</v>
      </c>
      <c r="J209" s="20" t="s">
        <v>256</v>
      </c>
      <c r="K209" s="1" t="s">
        <v>430</v>
      </c>
      <c r="L209" s="1" t="s">
        <v>686</v>
      </c>
      <c r="M209" s="20" t="s">
        <v>258</v>
      </c>
      <c r="N209" s="20" t="s">
        <v>259</v>
      </c>
      <c r="O209" s="1" t="s">
        <v>760</v>
      </c>
      <c r="P209" s="1" t="str">
        <f aca="false">_xlfn.CONCAT(B209,C209,D209,E209,F209)</f>
        <v>BC Formoso1.3Inverter(MBUS-13)45995.3937545995.3937545995.4131944444</v>
      </c>
      <c r="Q209" s="1" t="str">
        <f aca="false">_xlfn.CONCAT(H209,I209,J209)</f>
        <v>DAURDE</v>
      </c>
    </row>
    <row r="210" customFormat="false" ht="15" hidden="true" customHeight="false" outlineLevel="0" collapsed="false">
      <c r="B210" s="1" t="s">
        <v>699</v>
      </c>
      <c r="C210" s="1" t="s">
        <v>277</v>
      </c>
      <c r="D210" s="14" t="n">
        <v>45995.39375</v>
      </c>
      <c r="E210" s="14" t="n">
        <v>45995.39375</v>
      </c>
      <c r="F210" s="14" t="n">
        <v>45995.4131944444</v>
      </c>
      <c r="G210" s="15" t="n">
        <f aca="false">F210-E210</f>
        <v>0.0194444444444444</v>
      </c>
      <c r="H210" s="20" t="s">
        <v>248</v>
      </c>
      <c r="J210" s="20" t="s">
        <v>256</v>
      </c>
      <c r="K210" s="1" t="s">
        <v>430</v>
      </c>
      <c r="L210" s="1" t="s">
        <v>686</v>
      </c>
      <c r="M210" s="20" t="s">
        <v>258</v>
      </c>
      <c r="N210" s="20" t="s">
        <v>259</v>
      </c>
      <c r="O210" s="1" t="s">
        <v>760</v>
      </c>
      <c r="P210" s="1" t="str">
        <f aca="false">_xlfn.CONCAT(B210,C210,D210,E210,F210)</f>
        <v>BC Formoso1.3Inverter(MBUS-12)45995.3937545995.3937545995.4131944444</v>
      </c>
      <c r="Q210" s="1" t="str">
        <f aca="false">_xlfn.CONCAT(H210,I210,J210)</f>
        <v>DAURDE</v>
      </c>
    </row>
    <row r="211" customFormat="false" ht="15" hidden="true" customHeight="false" outlineLevel="0" collapsed="false">
      <c r="B211" s="1" t="s">
        <v>769</v>
      </c>
      <c r="C211" s="1" t="s">
        <v>770</v>
      </c>
      <c r="D211" s="14" t="n">
        <v>45995.40625</v>
      </c>
      <c r="E211" s="14" t="n">
        <v>45995.40625</v>
      </c>
      <c r="F211" s="14" t="n">
        <v>45995.4861111111</v>
      </c>
      <c r="G211" s="15" t="n">
        <f aca="false">F211-E211</f>
        <v>0.0798611111111111</v>
      </c>
      <c r="H211" s="20" t="s">
        <v>313</v>
      </c>
      <c r="J211" s="20" t="s">
        <v>230</v>
      </c>
      <c r="K211" s="1" t="s">
        <v>230</v>
      </c>
      <c r="L211" s="1" t="s">
        <v>721</v>
      </c>
      <c r="M211" s="20" t="s">
        <v>288</v>
      </c>
      <c r="N211" s="20" t="s">
        <v>315</v>
      </c>
      <c r="O211" s="1" t="s">
        <v>771</v>
      </c>
      <c r="P211" s="1" t="str">
        <f aca="false">_xlfn.CONCAT(B211,C211,D211,E211,F211)</f>
        <v>BC Varjao1.1UFV 1 - INV 145995.4062545995.4062545995.4861111111</v>
      </c>
      <c r="Q211" s="1" t="str">
        <f aca="false">_xlfn.CONCAT(H211,I211,J211)</f>
        <v>DPRUFV</v>
      </c>
    </row>
    <row r="212" customFormat="false" ht="15" hidden="true" customHeight="false" outlineLevel="0" collapsed="false">
      <c r="B212" s="1" t="s">
        <v>769</v>
      </c>
      <c r="C212" s="1" t="s">
        <v>772</v>
      </c>
      <c r="D212" s="14" t="n">
        <v>45995.40625</v>
      </c>
      <c r="E212" s="14" t="n">
        <v>45995.40625</v>
      </c>
      <c r="F212" s="14" t="n">
        <v>45995.4861111111</v>
      </c>
      <c r="G212" s="15" t="n">
        <f aca="false">F212-E212</f>
        <v>0.0798611111111111</v>
      </c>
      <c r="H212" s="20" t="s">
        <v>313</v>
      </c>
      <c r="J212" s="20" t="s">
        <v>230</v>
      </c>
      <c r="K212" s="1" t="s">
        <v>230</v>
      </c>
      <c r="L212" s="1" t="s">
        <v>721</v>
      </c>
      <c r="M212" s="20" t="s">
        <v>288</v>
      </c>
      <c r="N212" s="20" t="s">
        <v>315</v>
      </c>
      <c r="O212" s="1" t="s">
        <v>771</v>
      </c>
      <c r="P212" s="1" t="str">
        <f aca="false">_xlfn.CONCAT(B212,C212,D212,E212,F212)</f>
        <v>BC Varjao1.1UFV 1 - INV 545995.4062545995.4062545995.4861111111</v>
      </c>
      <c r="Q212" s="1" t="str">
        <f aca="false">_xlfn.CONCAT(H212,I212,J212)</f>
        <v>DPRUFV</v>
      </c>
    </row>
    <row r="213" customFormat="false" ht="15" hidden="true" customHeight="false" outlineLevel="0" collapsed="false">
      <c r="B213" s="1" t="s">
        <v>769</v>
      </c>
      <c r="C213" s="1" t="s">
        <v>773</v>
      </c>
      <c r="D213" s="14" t="n">
        <v>45995.40625</v>
      </c>
      <c r="E213" s="14" t="n">
        <v>45995.40625</v>
      </c>
      <c r="F213" s="14" t="n">
        <v>45995.4861111111</v>
      </c>
      <c r="G213" s="15" t="n">
        <f aca="false">F213-E213</f>
        <v>0.0798611111111111</v>
      </c>
      <c r="H213" s="20" t="s">
        <v>313</v>
      </c>
      <c r="J213" s="20" t="s">
        <v>230</v>
      </c>
      <c r="K213" s="1" t="s">
        <v>230</v>
      </c>
      <c r="L213" s="1" t="s">
        <v>721</v>
      </c>
      <c r="M213" s="20" t="s">
        <v>288</v>
      </c>
      <c r="N213" s="20" t="s">
        <v>315</v>
      </c>
      <c r="O213" s="1" t="s">
        <v>771</v>
      </c>
      <c r="P213" s="1" t="str">
        <f aca="false">_xlfn.CONCAT(B213,C213,D213,E213,F213)</f>
        <v>BC Varjao1.1UFV 1 - INV 445995.4062545995.4062545995.4861111111</v>
      </c>
      <c r="Q213" s="1" t="str">
        <f aca="false">_xlfn.CONCAT(H213,I213,J213)</f>
        <v>DPRUFV</v>
      </c>
    </row>
    <row r="214" customFormat="false" ht="15" hidden="true" customHeight="false" outlineLevel="0" collapsed="false">
      <c r="B214" s="1" t="s">
        <v>769</v>
      </c>
      <c r="C214" s="1" t="s">
        <v>774</v>
      </c>
      <c r="D214" s="14" t="n">
        <v>45995.40625</v>
      </c>
      <c r="E214" s="14" t="n">
        <v>45995.40625</v>
      </c>
      <c r="F214" s="14" t="n">
        <v>45995.4861111111</v>
      </c>
      <c r="G214" s="15" t="n">
        <f aca="false">F214-E214</f>
        <v>0.0798611111111111</v>
      </c>
      <c r="H214" s="20" t="s">
        <v>313</v>
      </c>
      <c r="J214" s="20" t="s">
        <v>230</v>
      </c>
      <c r="K214" s="1" t="s">
        <v>230</v>
      </c>
      <c r="L214" s="1" t="s">
        <v>721</v>
      </c>
      <c r="M214" s="20" t="s">
        <v>288</v>
      </c>
      <c r="N214" s="20" t="s">
        <v>315</v>
      </c>
      <c r="O214" s="1" t="s">
        <v>771</v>
      </c>
      <c r="P214" s="1" t="str">
        <f aca="false">_xlfn.CONCAT(B214,C214,D214,E214,F214)</f>
        <v>BC Varjao1.1UFV 1 - INV 345995.4062545995.4062545995.4861111111</v>
      </c>
      <c r="Q214" s="1" t="str">
        <f aca="false">_xlfn.CONCAT(H214,I214,J214)</f>
        <v>DPRUFV</v>
      </c>
    </row>
    <row r="215" customFormat="false" ht="15" hidden="true" customHeight="false" outlineLevel="0" collapsed="false">
      <c r="B215" s="1" t="s">
        <v>769</v>
      </c>
      <c r="C215" s="1" t="s">
        <v>775</v>
      </c>
      <c r="D215" s="14" t="n">
        <v>45995.40625</v>
      </c>
      <c r="E215" s="14" t="n">
        <v>45995.40625</v>
      </c>
      <c r="F215" s="14" t="n">
        <v>45995.4861111111</v>
      </c>
      <c r="G215" s="15" t="n">
        <f aca="false">F215-E215</f>
        <v>0.0798611111111111</v>
      </c>
      <c r="H215" s="20" t="s">
        <v>313</v>
      </c>
      <c r="J215" s="20" t="s">
        <v>230</v>
      </c>
      <c r="K215" s="1" t="s">
        <v>230</v>
      </c>
      <c r="L215" s="1" t="s">
        <v>721</v>
      </c>
      <c r="M215" s="20" t="s">
        <v>288</v>
      </c>
      <c r="N215" s="20" t="s">
        <v>315</v>
      </c>
      <c r="O215" s="1" t="s">
        <v>771</v>
      </c>
      <c r="P215" s="1" t="str">
        <f aca="false">_xlfn.CONCAT(B215,C215,D215,E215,F215)</f>
        <v>BC Varjao1.1UFV 1 - INV 245995.4062545995.4062545995.4861111111</v>
      </c>
      <c r="Q215" s="1" t="str">
        <f aca="false">_xlfn.CONCAT(H215,I215,J215)</f>
        <v>DPRUFV</v>
      </c>
    </row>
    <row r="216" customFormat="false" ht="15" hidden="true" customHeight="false" outlineLevel="0" collapsed="false">
      <c r="B216" s="1" t="s">
        <v>685</v>
      </c>
      <c r="C216" s="1" t="s">
        <v>255</v>
      </c>
      <c r="D216" s="14" t="n">
        <v>45995.4097222222</v>
      </c>
      <c r="E216" s="14" t="n">
        <v>45995.4097222222</v>
      </c>
      <c r="F216" s="14" t="n">
        <v>45996.625</v>
      </c>
      <c r="G216" s="15" t="n">
        <f aca="false">F216-E216</f>
        <v>1.21527777777778</v>
      </c>
      <c r="H216" s="20" t="s">
        <v>313</v>
      </c>
      <c r="J216" s="20" t="s">
        <v>230</v>
      </c>
      <c r="K216" s="1" t="e">
        <f aca="false">_xlfn.xlookup(J216,REF!$D$2:$D$12,REF!$E$2:$E$12)</f>
        <v>#NAME?</v>
      </c>
      <c r="L216" s="1" t="s">
        <v>776</v>
      </c>
      <c r="M216" s="20" t="s">
        <v>288</v>
      </c>
      <c r="N216" s="20" t="s">
        <v>315</v>
      </c>
      <c r="O216" s="1" t="s">
        <v>777</v>
      </c>
      <c r="P216" s="1" t="str">
        <f aca="false">_xlfn.CONCAT(B216,C216,D216,E216,F216)</f>
        <v>BC Camarao1.1Inverter(MBUS-1)45995.409722222245995.409722222245996.625</v>
      </c>
      <c r="Q216" s="1" t="str">
        <f aca="false">_xlfn.CONCAT(H216,I216,J216)</f>
        <v>DPRUFV</v>
      </c>
    </row>
    <row r="217" customFormat="false" ht="15" hidden="true" customHeight="false" outlineLevel="0" collapsed="false">
      <c r="B217" s="1" t="s">
        <v>685</v>
      </c>
      <c r="C217" s="1" t="s">
        <v>396</v>
      </c>
      <c r="D217" s="14" t="n">
        <v>45995.4097222222</v>
      </c>
      <c r="E217" s="14" t="n">
        <v>45995.4097222222</v>
      </c>
      <c r="F217" s="14" t="n">
        <v>45996.625</v>
      </c>
      <c r="G217" s="15" t="n">
        <f aca="false">F217-E217</f>
        <v>1.21527777777778</v>
      </c>
      <c r="H217" s="20" t="s">
        <v>313</v>
      </c>
      <c r="J217" s="20" t="s">
        <v>230</v>
      </c>
      <c r="K217" s="1" t="e">
        <f aca="false">_xlfn.xlookup(J217,REF!$D$2:$D$12,REF!$E$2:$E$12)</f>
        <v>#NAME?</v>
      </c>
      <c r="L217" s="1" t="s">
        <v>776</v>
      </c>
      <c r="M217" s="20" t="s">
        <v>288</v>
      </c>
      <c r="N217" s="20" t="s">
        <v>315</v>
      </c>
      <c r="O217" s="1" t="s">
        <v>777</v>
      </c>
      <c r="P217" s="1" t="str">
        <f aca="false">_xlfn.CONCAT(B217,C217,D217,E217,F217)</f>
        <v>BC Camarao1.1215KTL-H3(MBUS-12)45995.409722222245995.409722222245996.625</v>
      </c>
      <c r="Q217" s="1" t="str">
        <f aca="false">_xlfn.CONCAT(H217,I217,J217)</f>
        <v>DPRUFV</v>
      </c>
    </row>
    <row r="218" customFormat="false" ht="15" hidden="true" customHeight="false" outlineLevel="0" collapsed="false">
      <c r="B218" s="1" t="s">
        <v>685</v>
      </c>
      <c r="C218" s="1" t="s">
        <v>397</v>
      </c>
      <c r="D218" s="14" t="n">
        <v>45995.4097222222</v>
      </c>
      <c r="E218" s="14" t="n">
        <v>45995.4097222222</v>
      </c>
      <c r="F218" s="14" t="n">
        <v>45996.625</v>
      </c>
      <c r="G218" s="15" t="n">
        <f aca="false">F218-E218</f>
        <v>1.21527777777778</v>
      </c>
      <c r="H218" s="20" t="s">
        <v>313</v>
      </c>
      <c r="J218" s="20" t="s">
        <v>230</v>
      </c>
      <c r="K218" s="1" t="e">
        <f aca="false">_xlfn.xlookup(J218,REF!$D$2:$D$12,REF!$E$2:$E$12)</f>
        <v>#NAME?</v>
      </c>
      <c r="L218" s="1" t="s">
        <v>776</v>
      </c>
      <c r="M218" s="20" t="s">
        <v>288</v>
      </c>
      <c r="N218" s="20" t="s">
        <v>315</v>
      </c>
      <c r="O218" s="1" t="s">
        <v>777</v>
      </c>
      <c r="P218" s="1" t="str">
        <f aca="false">_xlfn.CONCAT(B218,C218,D218,E218,F218)</f>
        <v>BC Camarao1.1215KTL-H3(MBUS-13)45995.409722222245995.409722222245996.625</v>
      </c>
      <c r="Q218" s="1" t="str">
        <f aca="false">_xlfn.CONCAT(H218,I218,J218)</f>
        <v>DPRUFV</v>
      </c>
    </row>
    <row r="219" customFormat="false" ht="15" hidden="true" customHeight="false" outlineLevel="0" collapsed="false">
      <c r="B219" s="1" t="s">
        <v>685</v>
      </c>
      <c r="C219" s="1" t="s">
        <v>391</v>
      </c>
      <c r="D219" s="14" t="n">
        <v>45995.4097222222</v>
      </c>
      <c r="E219" s="14" t="n">
        <v>45995.4097222222</v>
      </c>
      <c r="F219" s="14" t="n">
        <v>45996.625</v>
      </c>
      <c r="G219" s="15" t="n">
        <f aca="false">F219-E219</f>
        <v>1.21527777777778</v>
      </c>
      <c r="H219" s="20" t="s">
        <v>313</v>
      </c>
      <c r="J219" s="20" t="s">
        <v>230</v>
      </c>
      <c r="K219" s="1" t="e">
        <f aca="false">_xlfn.xlookup(J219,REF!$D$2:$D$12,REF!$E$2:$E$12)</f>
        <v>#NAME?</v>
      </c>
      <c r="L219" s="1" t="s">
        <v>776</v>
      </c>
      <c r="M219" s="20" t="s">
        <v>288</v>
      </c>
      <c r="N219" s="20" t="s">
        <v>315</v>
      </c>
      <c r="O219" s="1" t="s">
        <v>777</v>
      </c>
      <c r="P219" s="1" t="str">
        <f aca="false">_xlfn.CONCAT(B219,C219,D219,E219,F219)</f>
        <v>BC Camarao1.1215KTL-H3(MBUS-16)45995.409722222245995.409722222245996.625</v>
      </c>
      <c r="Q219" s="1" t="str">
        <f aca="false">_xlfn.CONCAT(H219,I219,J219)</f>
        <v>DPRUFV</v>
      </c>
    </row>
    <row r="220" customFormat="false" ht="15" hidden="true" customHeight="false" outlineLevel="0" collapsed="false">
      <c r="B220" s="1" t="s">
        <v>685</v>
      </c>
      <c r="C220" s="1" t="s">
        <v>395</v>
      </c>
      <c r="D220" s="14" t="n">
        <v>45995.4097222222</v>
      </c>
      <c r="E220" s="14" t="n">
        <v>45995.4097222222</v>
      </c>
      <c r="F220" s="14" t="n">
        <v>45996.625</v>
      </c>
      <c r="G220" s="15" t="n">
        <f aca="false">F220-E220</f>
        <v>1.21527777777778</v>
      </c>
      <c r="H220" s="20" t="s">
        <v>313</v>
      </c>
      <c r="J220" s="20" t="s">
        <v>230</v>
      </c>
      <c r="K220" s="1" t="e">
        <f aca="false">_xlfn.xlookup(J220,REF!$D$2:$D$12,REF!$E$2:$E$12)</f>
        <v>#NAME?</v>
      </c>
      <c r="L220" s="1" t="s">
        <v>776</v>
      </c>
      <c r="M220" s="20" t="s">
        <v>288</v>
      </c>
      <c r="N220" s="20" t="s">
        <v>315</v>
      </c>
      <c r="O220" s="1" t="s">
        <v>777</v>
      </c>
      <c r="P220" s="1" t="str">
        <f aca="false">_xlfn.CONCAT(B220,C220,D220,E220,F220)</f>
        <v>BC Camarao1.1215KTL-H3(MBUS-15)45995.409722222245995.409722222245996.625</v>
      </c>
      <c r="Q220" s="1" t="str">
        <f aca="false">_xlfn.CONCAT(H220,I220,J220)</f>
        <v>DPRUFV</v>
      </c>
    </row>
    <row r="221" customFormat="false" ht="15" hidden="true" customHeight="false" outlineLevel="0" collapsed="false">
      <c r="B221" s="1" t="s">
        <v>688</v>
      </c>
      <c r="C221" s="1" t="s">
        <v>689</v>
      </c>
      <c r="D221" s="14" t="n">
        <v>45995.4097222222</v>
      </c>
      <c r="E221" s="14" t="n">
        <v>45995.4097222222</v>
      </c>
      <c r="F221" s="14" t="n">
        <v>45996.625</v>
      </c>
      <c r="G221" s="15" t="n">
        <f aca="false">F221-E221</f>
        <v>1.21527777777778</v>
      </c>
      <c r="H221" s="20" t="s">
        <v>313</v>
      </c>
      <c r="J221" s="20" t="s">
        <v>230</v>
      </c>
      <c r="K221" s="1" t="e">
        <f aca="false">_xlfn.xlookup(J221,REF!$D$2:$D$12,REF!$E$2:$E$12)</f>
        <v>#NAME?</v>
      </c>
      <c r="L221" s="1" t="s">
        <v>776</v>
      </c>
      <c r="M221" s="20" t="s">
        <v>288</v>
      </c>
      <c r="N221" s="20" t="s">
        <v>315</v>
      </c>
      <c r="O221" s="1" t="s">
        <v>777</v>
      </c>
      <c r="P221" s="1" t="str">
        <f aca="false">_xlfn.CONCAT(B221,C221,D221,E221,F221)</f>
        <v>BC Camarao1.2Inv. 445995.409722222245995.409722222245996.625</v>
      </c>
      <c r="Q221" s="1" t="str">
        <f aca="false">_xlfn.CONCAT(H221,I221,J221)</f>
        <v>DPRUFV</v>
      </c>
    </row>
    <row r="222" customFormat="false" ht="15" hidden="true" customHeight="false" outlineLevel="0" collapsed="false">
      <c r="B222" s="1" t="s">
        <v>688</v>
      </c>
      <c r="C222" s="1" t="s">
        <v>690</v>
      </c>
      <c r="D222" s="14" t="n">
        <v>45995.4097222222</v>
      </c>
      <c r="E222" s="14" t="n">
        <v>45995.4097222222</v>
      </c>
      <c r="F222" s="14" t="n">
        <v>45996.625</v>
      </c>
      <c r="G222" s="15" t="n">
        <f aca="false">F222-E222</f>
        <v>1.21527777777778</v>
      </c>
      <c r="H222" s="20" t="s">
        <v>313</v>
      </c>
      <c r="J222" s="20" t="s">
        <v>230</v>
      </c>
      <c r="K222" s="1" t="e">
        <f aca="false">_xlfn.xlookup(J222,REF!$D$2:$D$12,REF!$E$2:$E$12)</f>
        <v>#NAME?</v>
      </c>
      <c r="L222" s="1" t="s">
        <v>776</v>
      </c>
      <c r="M222" s="20" t="s">
        <v>288</v>
      </c>
      <c r="N222" s="20" t="s">
        <v>315</v>
      </c>
      <c r="O222" s="1" t="s">
        <v>777</v>
      </c>
      <c r="P222" s="1" t="str">
        <f aca="false">_xlfn.CONCAT(B222,C222,D222,E222,F222)</f>
        <v>BC Camarao1.2Inverter(MBUS-16)45995.409722222245995.409722222245996.625</v>
      </c>
      <c r="Q222" s="1" t="str">
        <f aca="false">_xlfn.CONCAT(H222,I222,J222)</f>
        <v>DPRUFV</v>
      </c>
    </row>
    <row r="223" customFormat="false" ht="15" hidden="true" customHeight="false" outlineLevel="0" collapsed="false">
      <c r="B223" s="1" t="s">
        <v>688</v>
      </c>
      <c r="C223" s="1" t="s">
        <v>277</v>
      </c>
      <c r="D223" s="14" t="n">
        <v>45995.4097222222</v>
      </c>
      <c r="E223" s="14" t="n">
        <v>45995.4097222222</v>
      </c>
      <c r="F223" s="14" t="n">
        <v>45996.625</v>
      </c>
      <c r="G223" s="15" t="n">
        <f aca="false">F223-E223</f>
        <v>1.21527777777778</v>
      </c>
      <c r="H223" s="20" t="s">
        <v>313</v>
      </c>
      <c r="J223" s="20" t="s">
        <v>230</v>
      </c>
      <c r="K223" s="1" t="e">
        <f aca="false">_xlfn.xlookup(J223,REF!$D$2:$D$12,REF!$E$2:$E$12)</f>
        <v>#NAME?</v>
      </c>
      <c r="L223" s="1" t="s">
        <v>776</v>
      </c>
      <c r="M223" s="20" t="s">
        <v>288</v>
      </c>
      <c r="N223" s="20" t="s">
        <v>315</v>
      </c>
      <c r="O223" s="1" t="s">
        <v>777</v>
      </c>
      <c r="P223" s="1" t="str">
        <f aca="false">_xlfn.CONCAT(B223,C223,D223,E223,F223)</f>
        <v>BC Camarao1.2Inverter(MBUS-12)45995.409722222245995.409722222245996.625</v>
      </c>
      <c r="Q223" s="1" t="str">
        <f aca="false">_xlfn.CONCAT(H223,I223,J223)</f>
        <v>DPRUFV</v>
      </c>
    </row>
    <row r="224" customFormat="false" ht="15" hidden="true" customHeight="false" outlineLevel="0" collapsed="false">
      <c r="B224" s="1" t="s">
        <v>688</v>
      </c>
      <c r="C224" s="1" t="s">
        <v>691</v>
      </c>
      <c r="D224" s="14" t="n">
        <v>45995.4097222222</v>
      </c>
      <c r="E224" s="14" t="n">
        <v>45995.4097222222</v>
      </c>
      <c r="F224" s="14" t="n">
        <v>45996.625</v>
      </c>
      <c r="G224" s="15" t="n">
        <f aca="false">F224-E224</f>
        <v>1.21527777777778</v>
      </c>
      <c r="H224" s="20" t="s">
        <v>313</v>
      </c>
      <c r="J224" s="20" t="s">
        <v>230</v>
      </c>
      <c r="K224" s="1" t="e">
        <f aca="false">_xlfn.xlookup(J224,REF!$D$2:$D$12,REF!$E$2:$E$12)</f>
        <v>#NAME?</v>
      </c>
      <c r="L224" s="1" t="s">
        <v>776</v>
      </c>
      <c r="M224" s="20" t="s">
        <v>288</v>
      </c>
      <c r="N224" s="20" t="s">
        <v>315</v>
      </c>
      <c r="O224" s="1" t="s">
        <v>777</v>
      </c>
      <c r="P224" s="1" t="str">
        <f aca="false">_xlfn.CONCAT(B224,C224,D224,E224,F224)</f>
        <v>BC Camarao1.2Inv. 345995.409722222245995.409722222245996.625</v>
      </c>
      <c r="Q224" s="1" t="str">
        <f aca="false">_xlfn.CONCAT(H224,I224,J224)</f>
        <v>DPRUFV</v>
      </c>
    </row>
    <row r="225" customFormat="false" ht="15" hidden="true" customHeight="false" outlineLevel="0" collapsed="false">
      <c r="B225" s="1" t="s">
        <v>688</v>
      </c>
      <c r="C225" s="1" t="s">
        <v>255</v>
      </c>
      <c r="D225" s="14" t="n">
        <v>45995.4097222222</v>
      </c>
      <c r="E225" s="14" t="n">
        <v>45995.4097222222</v>
      </c>
      <c r="F225" s="14" t="n">
        <v>45996.625</v>
      </c>
      <c r="G225" s="15" t="n">
        <f aca="false">F225-E225</f>
        <v>1.21527777777778</v>
      </c>
      <c r="H225" s="20" t="s">
        <v>313</v>
      </c>
      <c r="J225" s="20" t="s">
        <v>230</v>
      </c>
      <c r="K225" s="1" t="e">
        <f aca="false">_xlfn.xlookup(J225,REF!$D$2:$D$12,REF!$E$2:$E$12)</f>
        <v>#NAME?</v>
      </c>
      <c r="L225" s="1" t="s">
        <v>776</v>
      </c>
      <c r="M225" s="20" t="s">
        <v>288</v>
      </c>
      <c r="N225" s="20" t="s">
        <v>315</v>
      </c>
      <c r="O225" s="1" t="s">
        <v>777</v>
      </c>
      <c r="P225" s="1" t="str">
        <f aca="false">_xlfn.CONCAT(B225,C225,D225,E225,F225)</f>
        <v>BC Camarao1.2Inverter(MBUS-1)45995.409722222245995.409722222245996.625</v>
      </c>
      <c r="Q225" s="1" t="str">
        <f aca="false">_xlfn.CONCAT(H225,I225,J225)</f>
        <v>DPRUFV</v>
      </c>
    </row>
    <row r="226" customFormat="false" ht="15" hidden="true" customHeight="false" outlineLevel="0" collapsed="false">
      <c r="B226" s="1" t="s">
        <v>390</v>
      </c>
      <c r="C226" s="1" t="s">
        <v>391</v>
      </c>
      <c r="D226" s="14" t="n">
        <v>45995.4097222222</v>
      </c>
      <c r="E226" s="14" t="n">
        <v>45995.4097222222</v>
      </c>
      <c r="F226" s="14" t="n">
        <v>45996.625</v>
      </c>
      <c r="G226" s="15" t="n">
        <f aca="false">F226-E226</f>
        <v>1.21527777777778</v>
      </c>
      <c r="H226" s="20" t="s">
        <v>313</v>
      </c>
      <c r="J226" s="20" t="s">
        <v>230</v>
      </c>
      <c r="K226" s="1" t="e">
        <f aca="false">_xlfn.xlookup(J226,REF!$D$2:$D$12,REF!$E$2:$E$12)</f>
        <v>#NAME?</v>
      </c>
      <c r="L226" s="1" t="s">
        <v>776</v>
      </c>
      <c r="M226" s="20" t="s">
        <v>288</v>
      </c>
      <c r="N226" s="20" t="s">
        <v>315</v>
      </c>
      <c r="O226" s="1" t="s">
        <v>777</v>
      </c>
      <c r="P226" s="1" t="str">
        <f aca="false">_xlfn.CONCAT(B226,C226,D226,E226,F226)</f>
        <v>BC Camarao1.3215KTL-H3(MBUS-16)45995.409722222245995.409722222245996.625</v>
      </c>
      <c r="Q226" s="1" t="str">
        <f aca="false">_xlfn.CONCAT(H226,I226,J226)</f>
        <v>DPRUFV</v>
      </c>
    </row>
    <row r="227" customFormat="false" ht="15" hidden="true" customHeight="false" outlineLevel="0" collapsed="false">
      <c r="B227" s="1" t="s">
        <v>390</v>
      </c>
      <c r="C227" s="1" t="s">
        <v>394</v>
      </c>
      <c r="D227" s="14" t="n">
        <v>45995.4097222222</v>
      </c>
      <c r="E227" s="14" t="n">
        <v>45995.4097222222</v>
      </c>
      <c r="F227" s="14" t="n">
        <v>45996.625</v>
      </c>
      <c r="G227" s="15" t="n">
        <f aca="false">F227-E227</f>
        <v>1.21527777777778</v>
      </c>
      <c r="H227" s="20" t="s">
        <v>313</v>
      </c>
      <c r="J227" s="20" t="s">
        <v>230</v>
      </c>
      <c r="K227" s="1" t="e">
        <f aca="false">_xlfn.xlookup(J227,REF!$D$2:$D$12,REF!$E$2:$E$12)</f>
        <v>#NAME?</v>
      </c>
      <c r="L227" s="1" t="s">
        <v>776</v>
      </c>
      <c r="M227" s="20" t="s">
        <v>288</v>
      </c>
      <c r="N227" s="20" t="s">
        <v>315</v>
      </c>
      <c r="O227" s="1" t="s">
        <v>777</v>
      </c>
      <c r="P227" s="1" t="str">
        <f aca="false">_xlfn.CONCAT(B227,C227,D227,E227,F227)</f>
        <v>BC Camarao1.3215KTL-H3(MBUS-14)45995.409722222245995.409722222245996.625</v>
      </c>
      <c r="Q227" s="1" t="str">
        <f aca="false">_xlfn.CONCAT(H227,I227,J227)</f>
        <v>DPRUFV</v>
      </c>
    </row>
    <row r="228" customFormat="false" ht="15" hidden="true" customHeight="false" outlineLevel="0" collapsed="false">
      <c r="B228" s="1" t="s">
        <v>390</v>
      </c>
      <c r="C228" s="1" t="s">
        <v>395</v>
      </c>
      <c r="D228" s="14" t="n">
        <v>45995.4097222222</v>
      </c>
      <c r="E228" s="14" t="n">
        <v>45995.4097222222</v>
      </c>
      <c r="F228" s="14" t="n">
        <v>45996.625</v>
      </c>
      <c r="G228" s="15" t="n">
        <f aca="false">F228-E228</f>
        <v>1.21527777777778</v>
      </c>
      <c r="H228" s="20" t="s">
        <v>313</v>
      </c>
      <c r="J228" s="20" t="s">
        <v>230</v>
      </c>
      <c r="K228" s="1" t="e">
        <f aca="false">_xlfn.xlookup(J228,REF!$D$2:$D$12,REF!$E$2:$E$12)</f>
        <v>#NAME?</v>
      </c>
      <c r="L228" s="1" t="s">
        <v>776</v>
      </c>
      <c r="M228" s="20" t="s">
        <v>288</v>
      </c>
      <c r="N228" s="20" t="s">
        <v>315</v>
      </c>
      <c r="O228" s="1" t="s">
        <v>777</v>
      </c>
      <c r="P228" s="1" t="str">
        <f aca="false">_xlfn.CONCAT(B228,C228,D228,E228,F228)</f>
        <v>BC Camarao1.3215KTL-H3(MBUS-15)45995.409722222245995.409722222245996.625</v>
      </c>
      <c r="Q228" s="1" t="str">
        <f aca="false">_xlfn.CONCAT(H228,I228,J228)</f>
        <v>DPRUFV</v>
      </c>
    </row>
    <row r="229" customFormat="false" ht="15" hidden="true" customHeight="false" outlineLevel="0" collapsed="false">
      <c r="B229" s="1" t="s">
        <v>390</v>
      </c>
      <c r="C229" s="1" t="s">
        <v>396</v>
      </c>
      <c r="D229" s="14" t="n">
        <v>45995.4097222222</v>
      </c>
      <c r="E229" s="14" t="n">
        <v>45995.4097222222</v>
      </c>
      <c r="F229" s="14" t="n">
        <v>45996.625</v>
      </c>
      <c r="G229" s="15" t="n">
        <f aca="false">F229-E229</f>
        <v>1.21527777777778</v>
      </c>
      <c r="H229" s="20" t="s">
        <v>313</v>
      </c>
      <c r="J229" s="20" t="s">
        <v>230</v>
      </c>
      <c r="K229" s="1" t="e">
        <f aca="false">_xlfn.xlookup(J229,REF!$D$2:$D$12,REF!$E$2:$E$12)</f>
        <v>#NAME?</v>
      </c>
      <c r="L229" s="1" t="s">
        <v>776</v>
      </c>
      <c r="M229" s="20" t="s">
        <v>288</v>
      </c>
      <c r="N229" s="20" t="s">
        <v>315</v>
      </c>
      <c r="O229" s="1" t="s">
        <v>777</v>
      </c>
      <c r="P229" s="1" t="str">
        <f aca="false">_xlfn.CONCAT(B229,C229,D229,E229,F229)</f>
        <v>BC Camarao1.3215KTL-H3(MBUS-12)45995.409722222245995.409722222245996.625</v>
      </c>
      <c r="Q229" s="1" t="str">
        <f aca="false">_xlfn.CONCAT(H229,I229,J229)</f>
        <v>DPRUFV</v>
      </c>
    </row>
    <row r="230" customFormat="false" ht="15" hidden="true" customHeight="false" outlineLevel="0" collapsed="false">
      <c r="B230" s="1" t="s">
        <v>390</v>
      </c>
      <c r="C230" s="1" t="s">
        <v>397</v>
      </c>
      <c r="D230" s="14" t="n">
        <v>45995.4097222222</v>
      </c>
      <c r="E230" s="14" t="n">
        <v>45995.4097222222</v>
      </c>
      <c r="F230" s="14" t="n">
        <v>45996.625</v>
      </c>
      <c r="G230" s="15" t="n">
        <f aca="false">F230-E230</f>
        <v>1.21527777777778</v>
      </c>
      <c r="H230" s="20" t="s">
        <v>313</v>
      </c>
      <c r="J230" s="20" t="s">
        <v>230</v>
      </c>
      <c r="K230" s="1" t="e">
        <f aca="false">_xlfn.xlookup(J230,REF!$D$2:$D$12,REF!$E$2:$E$12)</f>
        <v>#NAME?</v>
      </c>
      <c r="L230" s="1" t="s">
        <v>776</v>
      </c>
      <c r="M230" s="20" t="s">
        <v>288</v>
      </c>
      <c r="N230" s="20" t="s">
        <v>315</v>
      </c>
      <c r="O230" s="1" t="s">
        <v>777</v>
      </c>
      <c r="P230" s="1" t="str">
        <f aca="false">_xlfn.CONCAT(B230,C230,D230,E230,F230)</f>
        <v>BC Camarao1.3215KTL-H3(MBUS-13)45995.409722222245995.409722222245996.625</v>
      </c>
      <c r="Q230" s="1" t="str">
        <f aca="false">_xlfn.CONCAT(H230,I230,J230)</f>
        <v>DPRUFV</v>
      </c>
    </row>
    <row r="231" customFormat="false" ht="15" hidden="true" customHeight="false" outlineLevel="0" collapsed="false">
      <c r="B231" s="1" t="s">
        <v>692</v>
      </c>
      <c r="C231" s="1" t="s">
        <v>693</v>
      </c>
      <c r="D231" s="14" t="n">
        <v>45995.4097222222</v>
      </c>
      <c r="E231" s="14" t="n">
        <v>45995.4097222222</v>
      </c>
      <c r="F231" s="14" t="n">
        <v>45996.625</v>
      </c>
      <c r="G231" s="15" t="n">
        <f aca="false">F231-E231</f>
        <v>1.21527777777778</v>
      </c>
      <c r="H231" s="20" t="s">
        <v>313</v>
      </c>
      <c r="J231" s="20" t="s">
        <v>230</v>
      </c>
      <c r="K231" s="1" t="e">
        <f aca="false">_xlfn.xlookup(J231,REF!$D$2:$D$12,REF!$E$2:$E$12)</f>
        <v>#NAME?</v>
      </c>
      <c r="L231" s="1" t="s">
        <v>776</v>
      </c>
      <c r="M231" s="20" t="s">
        <v>288</v>
      </c>
      <c r="N231" s="20" t="s">
        <v>315</v>
      </c>
      <c r="O231" s="1" t="s">
        <v>777</v>
      </c>
      <c r="P231" s="1" t="str">
        <f aca="false">_xlfn.CONCAT(B231,C231,D231,E231,F231)</f>
        <v>BC Camarao1.4inv. 145995.409722222245995.409722222245996.625</v>
      </c>
      <c r="Q231" s="1" t="str">
        <f aca="false">_xlfn.CONCAT(H231,I231,J231)</f>
        <v>DPRUFV</v>
      </c>
    </row>
    <row r="232" customFormat="false" ht="15" hidden="true" customHeight="false" outlineLevel="0" collapsed="false">
      <c r="B232" s="1" t="s">
        <v>692</v>
      </c>
      <c r="C232" s="1" t="s">
        <v>394</v>
      </c>
      <c r="D232" s="14" t="n">
        <v>45995.4097222222</v>
      </c>
      <c r="E232" s="14" t="n">
        <v>45995.4097222222</v>
      </c>
      <c r="F232" s="14" t="n">
        <v>45996.625</v>
      </c>
      <c r="G232" s="15" t="n">
        <f aca="false">F232-E232</f>
        <v>1.21527777777778</v>
      </c>
      <c r="H232" s="20" t="s">
        <v>313</v>
      </c>
      <c r="J232" s="20" t="s">
        <v>230</v>
      </c>
      <c r="K232" s="1" t="e">
        <f aca="false">_xlfn.xlookup(J232,REF!$D$2:$D$12,REF!$E$2:$E$12)</f>
        <v>#NAME?</v>
      </c>
      <c r="L232" s="1" t="s">
        <v>776</v>
      </c>
      <c r="M232" s="20" t="s">
        <v>288</v>
      </c>
      <c r="N232" s="20" t="s">
        <v>315</v>
      </c>
      <c r="O232" s="1" t="s">
        <v>777</v>
      </c>
      <c r="P232" s="1" t="str">
        <f aca="false">_xlfn.CONCAT(B232,C232,D232,E232,F232)</f>
        <v>BC Camarao1.4215KTL-H3(MBUS-14)45995.409722222245995.409722222245996.625</v>
      </c>
      <c r="Q232" s="1" t="str">
        <f aca="false">_xlfn.CONCAT(H232,I232,J232)</f>
        <v>DPRUFV</v>
      </c>
    </row>
    <row r="233" customFormat="false" ht="15" hidden="true" customHeight="false" outlineLevel="0" collapsed="false">
      <c r="B233" s="1" t="s">
        <v>692</v>
      </c>
      <c r="C233" s="1" t="s">
        <v>397</v>
      </c>
      <c r="D233" s="14" t="n">
        <v>45995.4097222222</v>
      </c>
      <c r="E233" s="14" t="n">
        <v>45995.4097222222</v>
      </c>
      <c r="F233" s="14" t="n">
        <v>45996.625</v>
      </c>
      <c r="G233" s="15" t="n">
        <f aca="false">F233-E233</f>
        <v>1.21527777777778</v>
      </c>
      <c r="H233" s="20" t="s">
        <v>313</v>
      </c>
      <c r="J233" s="20" t="s">
        <v>230</v>
      </c>
      <c r="K233" s="1" t="e">
        <f aca="false">_xlfn.xlookup(J233,REF!$D$2:$D$12,REF!$E$2:$E$12)</f>
        <v>#NAME?</v>
      </c>
      <c r="L233" s="1" t="s">
        <v>776</v>
      </c>
      <c r="M233" s="20" t="s">
        <v>288</v>
      </c>
      <c r="N233" s="20" t="s">
        <v>315</v>
      </c>
      <c r="O233" s="1" t="s">
        <v>777</v>
      </c>
      <c r="P233" s="1" t="str">
        <f aca="false">_xlfn.CONCAT(B233,C233,D233,E233,F233)</f>
        <v>BC Camarao1.4215KTL-H3(MBUS-13)45995.409722222245995.409722222245996.625</v>
      </c>
      <c r="Q233" s="1" t="str">
        <f aca="false">_xlfn.CONCAT(H233,I233,J233)</f>
        <v>DPRUFV</v>
      </c>
    </row>
    <row r="234" customFormat="false" ht="15" hidden="true" customHeight="false" outlineLevel="0" collapsed="false">
      <c r="B234" s="1" t="s">
        <v>692</v>
      </c>
      <c r="C234" s="1" t="s">
        <v>391</v>
      </c>
      <c r="D234" s="14" t="n">
        <v>45995.4097222222</v>
      </c>
      <c r="E234" s="14" t="n">
        <v>45995.4097222222</v>
      </c>
      <c r="F234" s="14" t="n">
        <v>45996.625</v>
      </c>
      <c r="G234" s="15" t="n">
        <f aca="false">F234-E234</f>
        <v>1.21527777777778</v>
      </c>
      <c r="H234" s="20" t="s">
        <v>313</v>
      </c>
      <c r="J234" s="20" t="s">
        <v>230</v>
      </c>
      <c r="K234" s="1" t="e">
        <f aca="false">_xlfn.xlookup(J234,REF!$D$2:$D$12,REF!$E$2:$E$12)</f>
        <v>#NAME?</v>
      </c>
      <c r="L234" s="1" t="s">
        <v>776</v>
      </c>
      <c r="M234" s="20" t="s">
        <v>288</v>
      </c>
      <c r="N234" s="20" t="s">
        <v>315</v>
      </c>
      <c r="O234" s="1" t="s">
        <v>777</v>
      </c>
      <c r="P234" s="1" t="str">
        <f aca="false">_xlfn.CONCAT(B234,C234,D234,E234,F234)</f>
        <v>BC Camarao1.4215KTL-H3(MBUS-16)45995.409722222245995.409722222245996.625</v>
      </c>
      <c r="Q234" s="1" t="str">
        <f aca="false">_xlfn.CONCAT(H234,I234,J234)</f>
        <v>DPRUFV</v>
      </c>
    </row>
    <row r="235" customFormat="false" ht="15" hidden="true" customHeight="false" outlineLevel="0" collapsed="false">
      <c r="B235" s="1" t="s">
        <v>692</v>
      </c>
      <c r="C235" s="1" t="s">
        <v>395</v>
      </c>
      <c r="D235" s="14" t="n">
        <v>45995.4097222222</v>
      </c>
      <c r="E235" s="14" t="n">
        <v>45995.4097222222</v>
      </c>
      <c r="F235" s="14" t="n">
        <v>45996.625</v>
      </c>
      <c r="G235" s="15" t="n">
        <f aca="false">F235-E235</f>
        <v>1.21527777777778</v>
      </c>
      <c r="H235" s="20" t="s">
        <v>313</v>
      </c>
      <c r="J235" s="20" t="s">
        <v>230</v>
      </c>
      <c r="K235" s="1" t="e">
        <f aca="false">_xlfn.xlookup(J235,REF!$D$2:$D$12,REF!$E$2:$E$12)</f>
        <v>#NAME?</v>
      </c>
      <c r="L235" s="1" t="s">
        <v>776</v>
      </c>
      <c r="M235" s="20" t="s">
        <v>288</v>
      </c>
      <c r="N235" s="20" t="s">
        <v>315</v>
      </c>
      <c r="O235" s="1" t="s">
        <v>777</v>
      </c>
      <c r="P235" s="1" t="str">
        <f aca="false">_xlfn.CONCAT(B235,C235,D235,E235,F235)</f>
        <v>BC Camarao1.4215KTL-H3(MBUS-15)45995.409722222245995.409722222245996.625</v>
      </c>
      <c r="Q235" s="1" t="str">
        <f aca="false">_xlfn.CONCAT(H235,I235,J235)</f>
        <v>DPRUFV</v>
      </c>
    </row>
    <row r="236" customFormat="false" ht="15" hidden="true" customHeight="false" outlineLevel="0" collapsed="false">
      <c r="B236" s="1" t="s">
        <v>694</v>
      </c>
      <c r="C236" s="1" t="s">
        <v>395</v>
      </c>
      <c r="D236" s="14" t="n">
        <v>45995.4097222222</v>
      </c>
      <c r="E236" s="14" t="n">
        <v>45995.4097222222</v>
      </c>
      <c r="F236" s="14" t="n">
        <v>45996.625</v>
      </c>
      <c r="G236" s="15" t="n">
        <f aca="false">F236-E236</f>
        <v>1.21527777777778</v>
      </c>
      <c r="H236" s="20" t="s">
        <v>313</v>
      </c>
      <c r="J236" s="20" t="s">
        <v>230</v>
      </c>
      <c r="K236" s="1" t="e">
        <f aca="false">_xlfn.xlookup(J236,REF!$D$2:$D$12,REF!$E$2:$E$12)</f>
        <v>#NAME?</v>
      </c>
      <c r="L236" s="1" t="s">
        <v>776</v>
      </c>
      <c r="M236" s="20" t="s">
        <v>288</v>
      </c>
      <c r="N236" s="20" t="s">
        <v>315</v>
      </c>
      <c r="O236" s="1" t="s">
        <v>777</v>
      </c>
      <c r="P236" s="1" t="str">
        <f aca="false">_xlfn.CONCAT(B236,C236,D236,E236,F236)</f>
        <v>BC Camarao1.5215KTL-H3(MBUS-15)45995.409722222245995.409722222245996.625</v>
      </c>
      <c r="Q236" s="1" t="str">
        <f aca="false">_xlfn.CONCAT(H236,I236,J236)</f>
        <v>DPRUFV</v>
      </c>
    </row>
    <row r="237" customFormat="false" ht="15" hidden="true" customHeight="false" outlineLevel="0" collapsed="false">
      <c r="B237" s="1" t="s">
        <v>694</v>
      </c>
      <c r="C237" s="1" t="s">
        <v>255</v>
      </c>
      <c r="D237" s="14" t="n">
        <v>45995.4097222222</v>
      </c>
      <c r="E237" s="14" t="n">
        <v>45995.4097222222</v>
      </c>
      <c r="F237" s="14" t="n">
        <v>45996.625</v>
      </c>
      <c r="G237" s="15" t="n">
        <f aca="false">F237-E237</f>
        <v>1.21527777777778</v>
      </c>
      <c r="H237" s="20" t="s">
        <v>313</v>
      </c>
      <c r="J237" s="20" t="s">
        <v>230</v>
      </c>
      <c r="K237" s="1" t="e">
        <f aca="false">_xlfn.xlookup(J237,REF!$D$2:$D$12,REF!$E$2:$E$12)</f>
        <v>#NAME?</v>
      </c>
      <c r="L237" s="1" t="s">
        <v>776</v>
      </c>
      <c r="M237" s="20" t="s">
        <v>288</v>
      </c>
      <c r="N237" s="20" t="s">
        <v>315</v>
      </c>
      <c r="O237" s="1" t="s">
        <v>777</v>
      </c>
      <c r="P237" s="1" t="str">
        <f aca="false">_xlfn.CONCAT(B237,C237,D237,E237,F237)</f>
        <v>BC Camarao1.5Inverter(MBUS-1)45995.409722222245995.409722222245996.625</v>
      </c>
      <c r="Q237" s="1" t="str">
        <f aca="false">_xlfn.CONCAT(H237,I237,J237)</f>
        <v>DPRUFV</v>
      </c>
    </row>
    <row r="238" customFormat="false" ht="15" hidden="true" customHeight="false" outlineLevel="0" collapsed="false">
      <c r="B238" s="1" t="s">
        <v>694</v>
      </c>
      <c r="C238" s="1" t="s">
        <v>397</v>
      </c>
      <c r="D238" s="14" t="n">
        <v>45995.4097222222</v>
      </c>
      <c r="E238" s="14" t="n">
        <v>45995.4097222222</v>
      </c>
      <c r="F238" s="14" t="n">
        <v>45996.625</v>
      </c>
      <c r="G238" s="15" t="n">
        <f aca="false">F238-E238</f>
        <v>1.21527777777778</v>
      </c>
      <c r="H238" s="20" t="s">
        <v>313</v>
      </c>
      <c r="J238" s="20" t="s">
        <v>230</v>
      </c>
      <c r="K238" s="1" t="e">
        <f aca="false">_xlfn.xlookup(J238,REF!$D$2:$D$12,REF!$E$2:$E$12)</f>
        <v>#NAME?</v>
      </c>
      <c r="L238" s="1" t="s">
        <v>776</v>
      </c>
      <c r="M238" s="20" t="s">
        <v>288</v>
      </c>
      <c r="N238" s="20" t="s">
        <v>315</v>
      </c>
      <c r="O238" s="1" t="s">
        <v>777</v>
      </c>
      <c r="P238" s="1" t="str">
        <f aca="false">_xlfn.CONCAT(B238,C238,D238,E238,F238)</f>
        <v>BC Camarao1.5215KTL-H3(MBUS-13)45995.409722222245995.409722222245996.625</v>
      </c>
      <c r="Q238" s="1" t="str">
        <f aca="false">_xlfn.CONCAT(H238,I238,J238)</f>
        <v>DPRUFV</v>
      </c>
    </row>
    <row r="239" customFormat="false" ht="15" hidden="true" customHeight="false" outlineLevel="0" collapsed="false">
      <c r="B239" s="1" t="s">
        <v>694</v>
      </c>
      <c r="C239" s="1" t="s">
        <v>396</v>
      </c>
      <c r="D239" s="14" t="n">
        <v>45995.4097222222</v>
      </c>
      <c r="E239" s="14" t="n">
        <v>45995.4097222222</v>
      </c>
      <c r="F239" s="14" t="n">
        <v>45996.625</v>
      </c>
      <c r="G239" s="15" t="n">
        <f aca="false">F239-E239</f>
        <v>1.21527777777778</v>
      </c>
      <c r="H239" s="20" t="s">
        <v>313</v>
      </c>
      <c r="J239" s="20" t="s">
        <v>230</v>
      </c>
      <c r="K239" s="1" t="e">
        <f aca="false">_xlfn.xlookup(J239,REF!$D$2:$D$12,REF!$E$2:$E$12)</f>
        <v>#NAME?</v>
      </c>
      <c r="L239" s="1" t="s">
        <v>776</v>
      </c>
      <c r="M239" s="20" t="s">
        <v>288</v>
      </c>
      <c r="N239" s="20" t="s">
        <v>315</v>
      </c>
      <c r="O239" s="1" t="s">
        <v>777</v>
      </c>
      <c r="P239" s="1" t="str">
        <f aca="false">_xlfn.CONCAT(B239,C239,D239,E239,F239)</f>
        <v>BC Camarao1.5215KTL-H3(MBUS-12)45995.409722222245995.409722222245996.625</v>
      </c>
      <c r="Q239" s="1" t="str">
        <f aca="false">_xlfn.CONCAT(H239,I239,J239)</f>
        <v>DPRUFV</v>
      </c>
    </row>
    <row r="240" customFormat="false" ht="15" hidden="true" customHeight="false" outlineLevel="0" collapsed="false">
      <c r="B240" s="1" t="s">
        <v>694</v>
      </c>
      <c r="C240" s="1" t="s">
        <v>280</v>
      </c>
      <c r="D240" s="14" t="n">
        <v>45995.4097222222</v>
      </c>
      <c r="E240" s="14" t="n">
        <v>45995.4097222222</v>
      </c>
      <c r="F240" s="14" t="n">
        <v>45996.625</v>
      </c>
      <c r="G240" s="15" t="n">
        <f aca="false">F240-E240</f>
        <v>1.21527777777778</v>
      </c>
      <c r="H240" s="20" t="s">
        <v>313</v>
      </c>
      <c r="J240" s="20" t="s">
        <v>230</v>
      </c>
      <c r="K240" s="1" t="e">
        <f aca="false">_xlfn.xlookup(J240,REF!$D$2:$D$12,REF!$E$2:$E$12)</f>
        <v>#NAME?</v>
      </c>
      <c r="L240" s="1" t="s">
        <v>776</v>
      </c>
      <c r="M240" s="20" t="s">
        <v>288</v>
      </c>
      <c r="N240" s="20" t="s">
        <v>315</v>
      </c>
      <c r="O240" s="1" t="s">
        <v>777</v>
      </c>
      <c r="P240" s="1" t="str">
        <f aca="false">_xlfn.CONCAT(B240,C240,D240,E240,F240)</f>
        <v>BC Camarao1.5Inverter(MBUS-14)45995.409722222245995.409722222245996.625</v>
      </c>
      <c r="Q240" s="1" t="str">
        <f aca="false">_xlfn.CONCAT(H240,I240,J240)</f>
        <v>DPRUFV</v>
      </c>
    </row>
    <row r="241" customFormat="false" ht="15" hidden="true" customHeight="false" outlineLevel="0" collapsed="false">
      <c r="B241" s="1" t="s">
        <v>614</v>
      </c>
      <c r="C241" s="1" t="s">
        <v>255</v>
      </c>
      <c r="D241" s="14" t="n">
        <v>45995.5277777778</v>
      </c>
      <c r="E241" s="14" t="n">
        <v>45995.5277777778</v>
      </c>
      <c r="F241" s="14" t="n">
        <v>45995.6666666667</v>
      </c>
      <c r="G241" s="15" t="n">
        <f aca="false">F241-E241</f>
        <v>0.138888888888889</v>
      </c>
      <c r="H241" s="20" t="s">
        <v>313</v>
      </c>
      <c r="J241" s="20" t="s">
        <v>703</v>
      </c>
      <c r="K241" s="1" t="e">
        <f aca="false">_xlfn.xlookup(J241,REF!$D$2:$D$12,REF!$E$2:$E$12)</f>
        <v>#NAME?</v>
      </c>
      <c r="L241" s="1" t="s">
        <v>704</v>
      </c>
      <c r="M241" s="20" t="s">
        <v>288</v>
      </c>
      <c r="N241" s="20" t="s">
        <v>315</v>
      </c>
      <c r="O241" s="1" t="s">
        <v>705</v>
      </c>
      <c r="P241" s="1" t="str">
        <f aca="false">_xlfn.CONCAT(B241,C241,D241,E241,F241)</f>
        <v>BC Vazante2.2Inverter(MBUS-1)45995.527777777845995.527777777845995.6666666667</v>
      </c>
      <c r="Q241" s="1" t="str">
        <f aca="false">_xlfn.CONCAT(H241,I241,J241)</f>
        <v>DPRTRF</v>
      </c>
    </row>
    <row r="242" customFormat="false" ht="15" hidden="true" customHeight="false" outlineLevel="0" collapsed="false">
      <c r="B242" s="1" t="s">
        <v>614</v>
      </c>
      <c r="C242" s="1" t="s">
        <v>752</v>
      </c>
      <c r="D242" s="14" t="n">
        <v>45995.5277777778</v>
      </c>
      <c r="E242" s="14" t="n">
        <v>45995.5277777778</v>
      </c>
      <c r="F242" s="14" t="n">
        <v>45995.6666666667</v>
      </c>
      <c r="G242" s="15" t="n">
        <f aca="false">F242-E242</f>
        <v>0.138888888888889</v>
      </c>
      <c r="H242" s="20" t="s">
        <v>313</v>
      </c>
      <c r="J242" s="20" t="s">
        <v>703</v>
      </c>
      <c r="K242" s="1" t="e">
        <f aca="false">_xlfn.xlookup(J242,REF!$D$2:$D$12,REF!$E$2:$E$12)</f>
        <v>#NAME?</v>
      </c>
      <c r="L242" s="1" t="s">
        <v>704</v>
      </c>
      <c r="M242" s="20" t="s">
        <v>288</v>
      </c>
      <c r="N242" s="20" t="s">
        <v>315</v>
      </c>
      <c r="O242" s="1" t="s">
        <v>705</v>
      </c>
      <c r="P242" s="1" t="str">
        <f aca="false">_xlfn.CONCAT(B242,C242,D242,E242,F242)</f>
        <v>BC Vazante2.2Inverter(MBUS-6)45995.527777777845995.527777777845995.6666666667</v>
      </c>
      <c r="Q242" s="1" t="str">
        <f aca="false">_xlfn.CONCAT(H242,I242,J242)</f>
        <v>DPRTRF</v>
      </c>
    </row>
    <row r="243" customFormat="false" ht="15" hidden="true" customHeight="false" outlineLevel="0" collapsed="false">
      <c r="B243" s="1" t="s">
        <v>614</v>
      </c>
      <c r="C243" s="1" t="s">
        <v>753</v>
      </c>
      <c r="D243" s="14" t="n">
        <v>45995.5277777778</v>
      </c>
      <c r="E243" s="14" t="n">
        <v>45995.5277777778</v>
      </c>
      <c r="F243" s="14" t="n">
        <v>45995.6666666667</v>
      </c>
      <c r="G243" s="15" t="n">
        <f aca="false">F243-E243</f>
        <v>0.138888888888889</v>
      </c>
      <c r="H243" s="20" t="s">
        <v>313</v>
      </c>
      <c r="J243" s="20" t="s">
        <v>703</v>
      </c>
      <c r="K243" s="1" t="e">
        <f aca="false">_xlfn.xlookup(J243,REF!$D$2:$D$12,REF!$E$2:$E$12)</f>
        <v>#NAME?</v>
      </c>
      <c r="L243" s="1" t="s">
        <v>704</v>
      </c>
      <c r="M243" s="20" t="s">
        <v>288</v>
      </c>
      <c r="N243" s="20" t="s">
        <v>315</v>
      </c>
      <c r="O243" s="1" t="s">
        <v>705</v>
      </c>
      <c r="P243" s="1" t="str">
        <f aca="false">_xlfn.CONCAT(B243,C243,D243,E243,F243)</f>
        <v>BC Vazante2.2Inverter(MBUS-7)45995.527777777845995.527777777845995.6666666667</v>
      </c>
      <c r="Q243" s="1" t="str">
        <f aca="false">_xlfn.CONCAT(H243,I243,J243)</f>
        <v>DPRTRF</v>
      </c>
    </row>
    <row r="244" customFormat="false" ht="15" hidden="true" customHeight="false" outlineLevel="0" collapsed="false">
      <c r="B244" s="1" t="s">
        <v>614</v>
      </c>
      <c r="C244" s="1" t="s">
        <v>754</v>
      </c>
      <c r="D244" s="14" t="n">
        <v>45995.5277777778</v>
      </c>
      <c r="E244" s="14" t="n">
        <v>45995.5277777778</v>
      </c>
      <c r="F244" s="14" t="n">
        <v>45995.6666666667</v>
      </c>
      <c r="G244" s="15" t="n">
        <f aca="false">F244-E244</f>
        <v>0.138888888888889</v>
      </c>
      <c r="H244" s="20" t="s">
        <v>313</v>
      </c>
      <c r="J244" s="20" t="s">
        <v>703</v>
      </c>
      <c r="K244" s="1" t="e">
        <f aca="false">_xlfn.xlookup(J244,REF!$D$2:$D$12,REF!$E$2:$E$12)</f>
        <v>#NAME?</v>
      </c>
      <c r="L244" s="1" t="s">
        <v>704</v>
      </c>
      <c r="M244" s="20" t="s">
        <v>288</v>
      </c>
      <c r="N244" s="20" t="s">
        <v>315</v>
      </c>
      <c r="O244" s="1" t="s">
        <v>705</v>
      </c>
      <c r="P244" s="1" t="str">
        <f aca="false">_xlfn.CONCAT(B244,C244,D244,E244,F244)</f>
        <v>BC Vazante2.2Inverter(MBUS-8)45995.527777777845995.527777777845995.6666666667</v>
      </c>
      <c r="Q244" s="1" t="str">
        <f aca="false">_xlfn.CONCAT(H244,I244,J244)</f>
        <v>DPRTRF</v>
      </c>
    </row>
    <row r="245" customFormat="false" ht="15" hidden="true" customHeight="false" outlineLevel="0" collapsed="false">
      <c r="B245" s="1" t="s">
        <v>614</v>
      </c>
      <c r="C245" s="1" t="s">
        <v>755</v>
      </c>
      <c r="D245" s="14" t="n">
        <v>45995.5277777778</v>
      </c>
      <c r="E245" s="14" t="n">
        <v>45995.5277777778</v>
      </c>
      <c r="F245" s="14" t="n">
        <v>45995.6666666667</v>
      </c>
      <c r="G245" s="15" t="n">
        <f aca="false">F245-E245</f>
        <v>0.138888888888889</v>
      </c>
      <c r="H245" s="20" t="s">
        <v>313</v>
      </c>
      <c r="J245" s="20" t="s">
        <v>703</v>
      </c>
      <c r="K245" s="1" t="e">
        <f aca="false">_xlfn.xlookup(J245,REF!$D$2:$D$12,REF!$E$2:$E$12)</f>
        <v>#NAME?</v>
      </c>
      <c r="L245" s="1" t="s">
        <v>704</v>
      </c>
      <c r="M245" s="20" t="s">
        <v>288</v>
      </c>
      <c r="N245" s="20" t="s">
        <v>315</v>
      </c>
      <c r="O245" s="1" t="s">
        <v>705</v>
      </c>
      <c r="P245" s="1" t="str">
        <f aca="false">_xlfn.CONCAT(B245,C245,D245,E245,F245)</f>
        <v>BC Vazante2.2Inverter(MBUS-10)45995.527777777845995.527777777845995.6666666667</v>
      </c>
      <c r="Q245" s="1" t="str">
        <f aca="false">_xlfn.CONCAT(H245,I245,J245)</f>
        <v>DPRTRF</v>
      </c>
    </row>
    <row r="246" customFormat="false" ht="15" hidden="true" customHeight="false" outlineLevel="0" collapsed="false">
      <c r="B246" s="1" t="s">
        <v>778</v>
      </c>
      <c r="C246" s="1" t="s">
        <v>627</v>
      </c>
      <c r="D246" s="14" t="n">
        <v>45995.5451388889</v>
      </c>
      <c r="E246" s="14" t="n">
        <v>45995.5451388889</v>
      </c>
      <c r="F246" s="14" t="n">
        <v>45995.6041666667</v>
      </c>
      <c r="G246" s="15" t="n">
        <f aca="false">F246-E246</f>
        <v>0.0590277777777778</v>
      </c>
      <c r="H246" s="20" t="s">
        <v>313</v>
      </c>
      <c r="J246" s="20" t="s">
        <v>230</v>
      </c>
      <c r="K246" s="1" t="e">
        <f aca="false">_xlfn.xlookup(J246,REF!$D$2:$D$12,REF!$E$2:$E$12)</f>
        <v>#NAME?</v>
      </c>
      <c r="L246" s="1" t="s">
        <v>721</v>
      </c>
      <c r="M246" s="20" t="s">
        <v>288</v>
      </c>
      <c r="N246" s="20" t="s">
        <v>315</v>
      </c>
      <c r="O246" s="1" t="s">
        <v>771</v>
      </c>
      <c r="P246" s="1" t="str">
        <f aca="false">_xlfn.CONCAT(B246,C246,D246,E246,F246)</f>
        <v>BC Varjao1.2215KTL-H0(MBUS-12)45995.545138888945995.545138888945995.6041666667</v>
      </c>
      <c r="Q246" s="1" t="str">
        <f aca="false">_xlfn.CONCAT(H246,I246,J246)</f>
        <v>DPRUFV</v>
      </c>
    </row>
    <row r="247" customFormat="false" ht="15" hidden="true" customHeight="false" outlineLevel="0" collapsed="false">
      <c r="B247" s="1" t="s">
        <v>778</v>
      </c>
      <c r="C247" s="1" t="s">
        <v>629</v>
      </c>
      <c r="D247" s="14" t="n">
        <v>45995.5451388889</v>
      </c>
      <c r="E247" s="14" t="n">
        <v>45995.5451388889</v>
      </c>
      <c r="F247" s="14" t="n">
        <v>45995.6041666667</v>
      </c>
      <c r="G247" s="15" t="n">
        <f aca="false">F247-E247</f>
        <v>0.0590277777777778</v>
      </c>
      <c r="H247" s="20" t="s">
        <v>313</v>
      </c>
      <c r="J247" s="20" t="s">
        <v>230</v>
      </c>
      <c r="K247" s="1" t="e">
        <f aca="false">_xlfn.xlookup(J247,REF!$D$2:$D$12,REF!$E$2:$E$12)</f>
        <v>#NAME?</v>
      </c>
      <c r="L247" s="1" t="s">
        <v>721</v>
      </c>
      <c r="M247" s="20" t="s">
        <v>288</v>
      </c>
      <c r="N247" s="20" t="s">
        <v>315</v>
      </c>
      <c r="O247" s="1" t="s">
        <v>771</v>
      </c>
      <c r="P247" s="1" t="str">
        <f aca="false">_xlfn.CONCAT(B247,C247,D247,E247,F247)</f>
        <v>BC Varjao1.2215KTL-H0(MBUS-13)45995.545138888945995.545138888945995.6041666667</v>
      </c>
      <c r="Q247" s="1" t="str">
        <f aca="false">_xlfn.CONCAT(H247,I247,J247)</f>
        <v>DPRUFV</v>
      </c>
    </row>
    <row r="248" customFormat="false" ht="15" hidden="true" customHeight="false" outlineLevel="0" collapsed="false">
      <c r="B248" s="1" t="s">
        <v>778</v>
      </c>
      <c r="C248" s="1" t="s">
        <v>282</v>
      </c>
      <c r="D248" s="14" t="n">
        <v>45995.5451388889</v>
      </c>
      <c r="E248" s="14" t="n">
        <v>45995.5451388889</v>
      </c>
      <c r="F248" s="14" t="n">
        <v>45995.6041666667</v>
      </c>
      <c r="G248" s="15" t="n">
        <f aca="false">F248-E248</f>
        <v>0.0590277777777778</v>
      </c>
      <c r="H248" s="20" t="s">
        <v>313</v>
      </c>
      <c r="J248" s="20" t="s">
        <v>230</v>
      </c>
      <c r="K248" s="1" t="e">
        <f aca="false">_xlfn.xlookup(J248,REF!$D$2:$D$12,REF!$E$2:$E$12)</f>
        <v>#NAME?</v>
      </c>
      <c r="L248" s="1" t="s">
        <v>721</v>
      </c>
      <c r="M248" s="20" t="s">
        <v>288</v>
      </c>
      <c r="N248" s="20" t="s">
        <v>315</v>
      </c>
      <c r="O248" s="1" t="s">
        <v>771</v>
      </c>
      <c r="P248" s="1" t="str">
        <f aca="false">_xlfn.CONCAT(B248,C248,D248,E248,F248)</f>
        <v>BC Varjao1.2215KTL-H0(MBUS-14)45995.545138888945995.545138888945995.6041666667</v>
      </c>
      <c r="Q248" s="1" t="str">
        <f aca="false">_xlfn.CONCAT(H248,I248,J248)</f>
        <v>DPRUFV</v>
      </c>
    </row>
    <row r="249" customFormat="false" ht="15" hidden="true" customHeight="false" outlineLevel="0" collapsed="false">
      <c r="B249" s="1" t="s">
        <v>778</v>
      </c>
      <c r="C249" s="1" t="s">
        <v>630</v>
      </c>
      <c r="D249" s="14" t="n">
        <v>45995.5451388889</v>
      </c>
      <c r="E249" s="14" t="n">
        <v>45995.5451388889</v>
      </c>
      <c r="F249" s="14" t="n">
        <v>45995.6041666667</v>
      </c>
      <c r="G249" s="15" t="n">
        <f aca="false">F249-E249</f>
        <v>0.0590277777777778</v>
      </c>
      <c r="H249" s="20" t="s">
        <v>313</v>
      </c>
      <c r="J249" s="20" t="s">
        <v>230</v>
      </c>
      <c r="K249" s="1" t="e">
        <f aca="false">_xlfn.xlookup(J249,REF!$D$2:$D$12,REF!$E$2:$E$12)</f>
        <v>#NAME?</v>
      </c>
      <c r="L249" s="1" t="s">
        <v>721</v>
      </c>
      <c r="M249" s="20" t="s">
        <v>288</v>
      </c>
      <c r="N249" s="20" t="s">
        <v>315</v>
      </c>
      <c r="O249" s="1" t="s">
        <v>771</v>
      </c>
      <c r="P249" s="1" t="str">
        <f aca="false">_xlfn.CONCAT(B249,C249,D249,E249,F249)</f>
        <v>BC Varjao1.2215KTL-H0(MBUS-15)45995.545138888945995.545138888945995.6041666667</v>
      </c>
      <c r="Q249" s="1" t="str">
        <f aca="false">_xlfn.CONCAT(H249,I249,J249)</f>
        <v>DPRUFV</v>
      </c>
    </row>
    <row r="250" customFormat="false" ht="15" hidden="true" customHeight="false" outlineLevel="0" collapsed="false">
      <c r="B250" s="1" t="s">
        <v>778</v>
      </c>
      <c r="C250" s="1" t="s">
        <v>631</v>
      </c>
      <c r="D250" s="14" t="n">
        <v>45995.5451388889</v>
      </c>
      <c r="E250" s="14" t="n">
        <v>45995.5451388889</v>
      </c>
      <c r="F250" s="14" t="n">
        <v>45995.6041666667</v>
      </c>
      <c r="G250" s="15" t="n">
        <f aca="false">F250-E250</f>
        <v>0.0590277777777778</v>
      </c>
      <c r="H250" s="20" t="s">
        <v>313</v>
      </c>
      <c r="J250" s="20" t="s">
        <v>230</v>
      </c>
      <c r="K250" s="1" t="e">
        <f aca="false">_xlfn.xlookup(J250,REF!$D$2:$D$12,REF!$E$2:$E$12)</f>
        <v>#NAME?</v>
      </c>
      <c r="L250" s="1" t="s">
        <v>721</v>
      </c>
      <c r="M250" s="20" t="s">
        <v>288</v>
      </c>
      <c r="N250" s="20" t="s">
        <v>315</v>
      </c>
      <c r="O250" s="1" t="s">
        <v>771</v>
      </c>
      <c r="P250" s="1" t="str">
        <f aca="false">_xlfn.CONCAT(B250,C250,D250,E250,F250)</f>
        <v>BC Varjao1.2215KTL-H0(MBUS-16)45995.545138888945995.545138888945995.6041666667</v>
      </c>
      <c r="Q250" s="1" t="str">
        <f aca="false">_xlfn.CONCAT(H250,I250,J250)</f>
        <v>DPRUFV</v>
      </c>
    </row>
    <row r="251" customFormat="false" ht="15" hidden="true" customHeight="false" outlineLevel="0" collapsed="false">
      <c r="B251" s="1" t="s">
        <v>281</v>
      </c>
      <c r="C251" s="1" t="s">
        <v>779</v>
      </c>
      <c r="D251" s="14" t="n">
        <v>45995.6055555556</v>
      </c>
      <c r="E251" s="14" t="n">
        <v>45995.6055555556</v>
      </c>
      <c r="F251" s="14" t="n">
        <v>45995.65625</v>
      </c>
      <c r="G251" s="15" t="n">
        <f aca="false">F251-E251</f>
        <v>0.0506944444444444</v>
      </c>
      <c r="H251" s="20" t="s">
        <v>313</v>
      </c>
      <c r="J251" s="20" t="s">
        <v>230</v>
      </c>
      <c r="K251" s="1" t="e">
        <f aca="false">_xlfn.xlookup(J251,REF!$D$2:$D$12,REF!$E$2:$E$12)</f>
        <v>#NAME?</v>
      </c>
      <c r="L251" s="1" t="s">
        <v>721</v>
      </c>
      <c r="M251" s="20" t="s">
        <v>288</v>
      </c>
      <c r="N251" s="20" t="s">
        <v>315</v>
      </c>
      <c r="O251" s="1" t="s">
        <v>771</v>
      </c>
      <c r="P251" s="1" t="str">
        <f aca="false">_xlfn.CONCAT(B251,C251,D251,E251,F251)</f>
        <v>BC Varjao1.3100KTL-H1(MBUS-13)45995.605555555645995.605555555645995.65625</v>
      </c>
      <c r="Q251" s="1" t="str">
        <f aca="false">_xlfn.CONCAT(H251,I251,J251)</f>
        <v>DPRUFV</v>
      </c>
    </row>
    <row r="252" customFormat="false" ht="15" hidden="true" customHeight="false" outlineLevel="0" collapsed="false">
      <c r="B252" s="1" t="s">
        <v>281</v>
      </c>
      <c r="C252" s="1" t="s">
        <v>780</v>
      </c>
      <c r="D252" s="14" t="n">
        <v>45995.6055555556</v>
      </c>
      <c r="E252" s="14" t="n">
        <v>45995.6055555556</v>
      </c>
      <c r="F252" s="14" t="n">
        <v>45995.65625</v>
      </c>
      <c r="G252" s="15" t="n">
        <f aca="false">F252-E252</f>
        <v>0.0506944444444444</v>
      </c>
      <c r="H252" s="20" t="s">
        <v>313</v>
      </c>
      <c r="J252" s="20" t="s">
        <v>230</v>
      </c>
      <c r="K252" s="1" t="e">
        <f aca="false">_xlfn.xlookup(J252,REF!$D$2:$D$12,REF!$E$2:$E$12)</f>
        <v>#NAME?</v>
      </c>
      <c r="L252" s="1" t="s">
        <v>721</v>
      </c>
      <c r="M252" s="20" t="s">
        <v>288</v>
      </c>
      <c r="N252" s="20" t="s">
        <v>315</v>
      </c>
      <c r="O252" s="1" t="s">
        <v>771</v>
      </c>
      <c r="P252" s="1" t="str">
        <f aca="false">_xlfn.CONCAT(B252,C252,D252,E252,F252)</f>
        <v>BC Varjao1.3UF3Inv245995.605555555645995.605555555645995.65625</v>
      </c>
      <c r="Q252" s="1" t="str">
        <f aca="false">_xlfn.CONCAT(H252,I252,J252)</f>
        <v>DPRUFV</v>
      </c>
    </row>
    <row r="253" customFormat="false" ht="15" hidden="true" customHeight="false" outlineLevel="0" collapsed="false">
      <c r="B253" s="1" t="s">
        <v>281</v>
      </c>
      <c r="C253" s="1" t="s">
        <v>282</v>
      </c>
      <c r="D253" s="14" t="n">
        <v>45995.6055555556</v>
      </c>
      <c r="E253" s="14" t="n">
        <v>45995.6055555556</v>
      </c>
      <c r="F253" s="14" t="n">
        <v>45995.65625</v>
      </c>
      <c r="G253" s="15" t="n">
        <f aca="false">F253-E253</f>
        <v>0.0506944444444444</v>
      </c>
      <c r="H253" s="20" t="s">
        <v>313</v>
      </c>
      <c r="J253" s="20" t="s">
        <v>230</v>
      </c>
      <c r="K253" s="1" t="e">
        <f aca="false">_xlfn.xlookup(J253,REF!$D$2:$D$12,REF!$E$2:$E$12)</f>
        <v>#NAME?</v>
      </c>
      <c r="L253" s="1" t="s">
        <v>721</v>
      </c>
      <c r="M253" s="20" t="s">
        <v>288</v>
      </c>
      <c r="N253" s="20" t="s">
        <v>315</v>
      </c>
      <c r="O253" s="1" t="s">
        <v>771</v>
      </c>
      <c r="P253" s="1" t="str">
        <f aca="false">_xlfn.CONCAT(B253,C253,D253,E253,F253)</f>
        <v>BC Varjao1.3215KTL-H0(MBUS-14)45995.605555555645995.605555555645995.65625</v>
      </c>
      <c r="Q253" s="1" t="str">
        <f aca="false">_xlfn.CONCAT(H253,I253,J253)</f>
        <v>DPRUFV</v>
      </c>
    </row>
    <row r="254" customFormat="false" ht="15" hidden="true" customHeight="false" outlineLevel="0" collapsed="false">
      <c r="B254" s="1" t="s">
        <v>698</v>
      </c>
      <c r="C254" s="1" t="s">
        <v>247</v>
      </c>
      <c r="D254" s="14" t="n">
        <v>45995.9236111111</v>
      </c>
      <c r="E254" s="14" t="n">
        <v>45995.9236111111</v>
      </c>
      <c r="F254" s="14" t="n">
        <v>45996.3020833333</v>
      </c>
      <c r="G254" s="15" t="n">
        <f aca="false">F254-E254</f>
        <v>0.378472222222222</v>
      </c>
      <c r="H254" s="20" t="s">
        <v>248</v>
      </c>
      <c r="J254" s="20" t="s">
        <v>256</v>
      </c>
      <c r="K254" s="1" t="e">
        <f aca="false">_xlfn.xlookup(J254,REF!$D$2:$D$12,REF!$E$2:$E$12)</f>
        <v>#NAME?</v>
      </c>
      <c r="L254" s="1" t="s">
        <v>781</v>
      </c>
      <c r="M254" s="20" t="s">
        <v>258</v>
      </c>
      <c r="N254" s="20" t="s">
        <v>259</v>
      </c>
      <c r="O254" s="1" t="s">
        <v>399</v>
      </c>
      <c r="P254" s="1" t="str">
        <f aca="false">_xlfn.CONCAT(B254,C254,D254,E254,F254)</f>
        <v>BC Formoso1.2Inverter(MBUS-13)45995.923611111145995.923611111145996.3020833333</v>
      </c>
      <c r="Q254" s="1" t="str">
        <f aca="false">_xlfn.CONCAT(H254,I254,J254)</f>
        <v>DAURDE</v>
      </c>
    </row>
    <row r="255" customFormat="false" ht="15" hidden="true" customHeight="false" outlineLevel="0" collapsed="false">
      <c r="B255" s="1" t="s">
        <v>698</v>
      </c>
      <c r="C255" s="1" t="s">
        <v>277</v>
      </c>
      <c r="D255" s="14" t="n">
        <v>45995.9236111111</v>
      </c>
      <c r="E255" s="14" t="n">
        <v>45995.9236111111</v>
      </c>
      <c r="F255" s="14" t="n">
        <v>45996.3020833333</v>
      </c>
      <c r="G255" s="15" t="n">
        <f aca="false">F255-E255</f>
        <v>0.378472222222222</v>
      </c>
      <c r="H255" s="20" t="s">
        <v>248</v>
      </c>
      <c r="J255" s="20" t="s">
        <v>256</v>
      </c>
      <c r="K255" s="1" t="e">
        <f aca="false">_xlfn.xlookup(J255,REF!$D$2:$D$12,REF!$E$2:$E$12)</f>
        <v>#NAME?</v>
      </c>
      <c r="L255" s="1" t="s">
        <v>781</v>
      </c>
      <c r="M255" s="20" t="s">
        <v>258</v>
      </c>
      <c r="N255" s="20" t="s">
        <v>259</v>
      </c>
      <c r="O255" s="1" t="s">
        <v>399</v>
      </c>
      <c r="P255" s="1" t="str">
        <f aca="false">_xlfn.CONCAT(B255,C255,D255,E255,F255)</f>
        <v>BC Formoso1.2Inverter(MBUS-12)45995.923611111145995.923611111145996.3020833333</v>
      </c>
      <c r="Q255" s="1" t="str">
        <f aca="false">_xlfn.CONCAT(H255,I255,J255)</f>
        <v>DAURDE</v>
      </c>
    </row>
    <row r="256" customFormat="false" ht="15" hidden="true" customHeight="false" outlineLevel="0" collapsed="false">
      <c r="B256" s="1" t="s">
        <v>698</v>
      </c>
      <c r="C256" s="1" t="s">
        <v>279</v>
      </c>
      <c r="D256" s="14" t="n">
        <v>45995.9236111111</v>
      </c>
      <c r="E256" s="14" t="n">
        <v>45995.9236111111</v>
      </c>
      <c r="F256" s="14" t="n">
        <v>45996.3020833333</v>
      </c>
      <c r="G256" s="15" t="n">
        <f aca="false">F256-E256</f>
        <v>0.378472222222222</v>
      </c>
      <c r="H256" s="20" t="s">
        <v>248</v>
      </c>
      <c r="J256" s="20" t="s">
        <v>256</v>
      </c>
      <c r="K256" s="1" t="e">
        <f aca="false">_xlfn.xlookup(J256,REF!$D$2:$D$12,REF!$E$2:$E$12)</f>
        <v>#NAME?</v>
      </c>
      <c r="L256" s="1" t="s">
        <v>781</v>
      </c>
      <c r="M256" s="20" t="s">
        <v>258</v>
      </c>
      <c r="N256" s="20" t="s">
        <v>259</v>
      </c>
      <c r="O256" s="1" t="s">
        <v>399</v>
      </c>
      <c r="P256" s="1" t="str">
        <f aca="false">_xlfn.CONCAT(B256,C256,D256,E256,F256)</f>
        <v>BC Formoso1.2Inverter(MBUS-15)45995.923611111145995.923611111145996.3020833333</v>
      </c>
      <c r="Q256" s="1" t="str">
        <f aca="false">_xlfn.CONCAT(H256,I256,J256)</f>
        <v>DAURDE</v>
      </c>
    </row>
    <row r="257" customFormat="false" ht="15" hidden="true" customHeight="false" outlineLevel="0" collapsed="false">
      <c r="B257" s="1" t="s">
        <v>698</v>
      </c>
      <c r="C257" s="1" t="s">
        <v>280</v>
      </c>
      <c r="D257" s="14" t="n">
        <v>45995.9236111111</v>
      </c>
      <c r="E257" s="14" t="n">
        <v>45995.9236111111</v>
      </c>
      <c r="F257" s="14" t="n">
        <v>45996.3020833333</v>
      </c>
      <c r="G257" s="15" t="n">
        <f aca="false">F257-E257</f>
        <v>0.378472222222222</v>
      </c>
      <c r="H257" s="20" t="s">
        <v>248</v>
      </c>
      <c r="J257" s="20" t="s">
        <v>256</v>
      </c>
      <c r="K257" s="1" t="e">
        <f aca="false">_xlfn.xlookup(J257,REF!$D$2:$D$12,REF!$E$2:$E$12)</f>
        <v>#NAME?</v>
      </c>
      <c r="L257" s="1" t="s">
        <v>781</v>
      </c>
      <c r="M257" s="20" t="s">
        <v>258</v>
      </c>
      <c r="N257" s="20" t="s">
        <v>259</v>
      </c>
      <c r="O257" s="1" t="s">
        <v>399</v>
      </c>
      <c r="P257" s="1" t="str">
        <f aca="false">_xlfn.CONCAT(B257,C257,D257,E257,F257)</f>
        <v>BC Formoso1.2Inverter(MBUS-14)45995.923611111145995.923611111145996.3020833333</v>
      </c>
      <c r="Q257" s="1" t="str">
        <f aca="false">_xlfn.CONCAT(H257,I257,J257)</f>
        <v>DAURDE</v>
      </c>
    </row>
    <row r="258" customFormat="false" ht="15" hidden="true" customHeight="false" outlineLevel="0" collapsed="false">
      <c r="B258" s="1" t="s">
        <v>699</v>
      </c>
      <c r="C258" s="1" t="s">
        <v>247</v>
      </c>
      <c r="D258" s="14" t="n">
        <v>45995.9236111111</v>
      </c>
      <c r="E258" s="14" t="n">
        <v>45995.9236111111</v>
      </c>
      <c r="F258" s="14" t="n">
        <v>45996.3020833333</v>
      </c>
      <c r="G258" s="15" t="n">
        <f aca="false">F258-E258</f>
        <v>0.378472222222222</v>
      </c>
      <c r="H258" s="20" t="s">
        <v>248</v>
      </c>
      <c r="J258" s="20" t="s">
        <v>256</v>
      </c>
      <c r="K258" s="1" t="e">
        <f aca="false">_xlfn.xlookup(J258,REF!$D$2:$D$12,REF!$E$2:$E$12)</f>
        <v>#NAME?</v>
      </c>
      <c r="L258" s="1" t="s">
        <v>781</v>
      </c>
      <c r="M258" s="20" t="s">
        <v>258</v>
      </c>
      <c r="N258" s="20" t="s">
        <v>259</v>
      </c>
      <c r="O258" s="1" t="s">
        <v>399</v>
      </c>
      <c r="P258" s="1" t="str">
        <f aca="false">_xlfn.CONCAT(B258,C258,D258,E258,F258)</f>
        <v>BC Formoso1.3Inverter(MBUS-13)45995.923611111145995.923611111145996.3020833333</v>
      </c>
      <c r="Q258" s="1" t="str">
        <f aca="false">_xlfn.CONCAT(H258,I258,J258)</f>
        <v>DAURDE</v>
      </c>
    </row>
    <row r="259" customFormat="false" ht="15" hidden="true" customHeight="false" outlineLevel="0" collapsed="false">
      <c r="B259" s="1" t="s">
        <v>699</v>
      </c>
      <c r="C259" s="1" t="s">
        <v>277</v>
      </c>
      <c r="D259" s="14" t="n">
        <v>45995.9236111111</v>
      </c>
      <c r="E259" s="14" t="n">
        <v>45995.9236111111</v>
      </c>
      <c r="F259" s="14" t="n">
        <v>45996.3020833333</v>
      </c>
      <c r="G259" s="15" t="n">
        <f aca="false">F259-E259</f>
        <v>0.378472222222222</v>
      </c>
      <c r="H259" s="20" t="s">
        <v>248</v>
      </c>
      <c r="J259" s="20" t="s">
        <v>256</v>
      </c>
      <c r="K259" s="1" t="e">
        <f aca="false">_xlfn.xlookup(J259,REF!$D$2:$D$12,REF!$E$2:$E$12)</f>
        <v>#NAME?</v>
      </c>
      <c r="L259" s="1" t="s">
        <v>781</v>
      </c>
      <c r="M259" s="20" t="s">
        <v>258</v>
      </c>
      <c r="N259" s="20" t="s">
        <v>259</v>
      </c>
      <c r="O259" s="1" t="s">
        <v>399</v>
      </c>
      <c r="P259" s="1" t="str">
        <f aca="false">_xlfn.CONCAT(B259,C259,D259,E259,F259)</f>
        <v>BC Formoso1.3Inverter(MBUS-12)45995.923611111145995.923611111145996.3020833333</v>
      </c>
      <c r="Q259" s="1" t="str">
        <f aca="false">_xlfn.CONCAT(H259,I259,J259)</f>
        <v>DAURDE</v>
      </c>
    </row>
    <row r="260" customFormat="false" ht="15" hidden="true" customHeight="false" outlineLevel="0" collapsed="false">
      <c r="B260" s="1" t="s">
        <v>699</v>
      </c>
      <c r="C260" s="1" t="s">
        <v>247</v>
      </c>
      <c r="D260" s="14" t="n">
        <v>45995.7006944444</v>
      </c>
      <c r="E260" s="14" t="n">
        <v>45995.7006944444</v>
      </c>
      <c r="F260" s="14" t="n">
        <v>45996.4777777778</v>
      </c>
      <c r="G260" s="15" t="n">
        <f aca="false">F260-E260</f>
        <v>0.777083333333333</v>
      </c>
      <c r="H260" s="20" t="s">
        <v>313</v>
      </c>
      <c r="J260" s="20" t="s">
        <v>230</v>
      </c>
      <c r="K260" s="1" t="e">
        <f aca="false">_xlfn.xlookup(J260,REF!$D$2:$D$12,REF!$E$2:$E$12)</f>
        <v>#NAME?</v>
      </c>
      <c r="L260" s="1" t="s">
        <v>782</v>
      </c>
      <c r="M260" s="20" t="s">
        <v>783</v>
      </c>
      <c r="N260" s="20" t="s">
        <v>252</v>
      </c>
      <c r="O260" s="1" t="s">
        <v>784</v>
      </c>
      <c r="P260" s="1" t="str">
        <f aca="false">_xlfn.CONCAT(B260,C260,D260,E260,F260)</f>
        <v>BC Formoso1.3Inverter(MBUS-13)45995.700694444445995.700694444445996.4777777778</v>
      </c>
      <c r="Q260" s="1" t="str">
        <f aca="false">_xlfn.CONCAT(H260,I260,J260)</f>
        <v>DPRUFV</v>
      </c>
    </row>
    <row r="261" customFormat="false" ht="15" hidden="true" customHeight="false" outlineLevel="0" collapsed="false">
      <c r="B261" s="1" t="s">
        <v>699</v>
      </c>
      <c r="C261" s="1" t="s">
        <v>277</v>
      </c>
      <c r="D261" s="14" t="n">
        <v>45995.7006944444</v>
      </c>
      <c r="E261" s="14" t="n">
        <v>45995.7006944444</v>
      </c>
      <c r="F261" s="14" t="n">
        <v>45996.4777777778</v>
      </c>
      <c r="G261" s="15" t="n">
        <f aca="false">F261-E261</f>
        <v>0.777083333333333</v>
      </c>
      <c r="H261" s="20" t="s">
        <v>313</v>
      </c>
      <c r="J261" s="20" t="s">
        <v>230</v>
      </c>
      <c r="K261" s="1" t="e">
        <f aca="false">_xlfn.xlookup(J261,REF!$D$2:$D$12,REF!$E$2:$E$12)</f>
        <v>#NAME?</v>
      </c>
      <c r="L261" s="1" t="s">
        <v>782</v>
      </c>
      <c r="M261" s="20" t="s">
        <v>783</v>
      </c>
      <c r="N261" s="20" t="s">
        <v>252</v>
      </c>
      <c r="O261" s="1" t="s">
        <v>784</v>
      </c>
      <c r="P261" s="1" t="str">
        <f aca="false">_xlfn.CONCAT(B261,C261,D261,E261,F261)</f>
        <v>BC Formoso1.3Inverter(MBUS-12)45995.700694444445995.700694444445996.4777777778</v>
      </c>
      <c r="Q261" s="1" t="str">
        <f aca="false">_xlfn.CONCAT(H261,I261,J261)</f>
        <v>DPRUFV</v>
      </c>
    </row>
    <row r="262" customFormat="false" ht="15" hidden="false" customHeight="false" outlineLevel="0" collapsed="false">
      <c r="B262" s="1" t="s">
        <v>614</v>
      </c>
      <c r="C262" s="1" t="s">
        <v>255</v>
      </c>
      <c r="D262" s="14" t="n">
        <v>45996.2673611111</v>
      </c>
      <c r="E262" s="14" t="n">
        <v>45996.2673611111</v>
      </c>
      <c r="F262" s="14" t="n">
        <v>45996.3125</v>
      </c>
      <c r="G262" s="15" t="n">
        <f aca="false">F262-E262</f>
        <v>0.0451388888888889</v>
      </c>
      <c r="H262" s="20" t="s">
        <v>445</v>
      </c>
      <c r="I262" s="1" t="s">
        <v>263</v>
      </c>
      <c r="J262" s="20" t="s">
        <v>264</v>
      </c>
      <c r="K262" s="1" t="e">
        <f aca="false">_xlfn.xlookup(J262,REF!$D$2:$D$12,REF!$E$2:$E$12)</f>
        <v>#NAME?</v>
      </c>
      <c r="L262" s="1" t="s">
        <v>785</v>
      </c>
      <c r="M262" s="20" t="s">
        <v>266</v>
      </c>
      <c r="N262" s="20" t="s">
        <v>252</v>
      </c>
      <c r="O262" s="1" t="s">
        <v>447</v>
      </c>
      <c r="P262" s="1" t="str">
        <f aca="false">_xlfn.CONCAT(B262,C262,D262,E262,F262)</f>
        <v>BC Vazante2.2Inverter(MBUS-1)45996.267361111145996.267361111145996.3125</v>
      </c>
      <c r="Q262" s="1" t="str">
        <f aca="false">_xlfn.CONCAT(H262,I262,J262)</f>
        <v>LIGRFOCOM</v>
      </c>
    </row>
    <row r="263" customFormat="false" ht="15" hidden="false" customHeight="false" outlineLevel="0" collapsed="false">
      <c r="B263" s="1" t="s">
        <v>614</v>
      </c>
      <c r="C263" s="1" t="s">
        <v>752</v>
      </c>
      <c r="D263" s="14" t="n">
        <v>45996.2673611111</v>
      </c>
      <c r="E263" s="14" t="n">
        <v>45996.2673611111</v>
      </c>
      <c r="F263" s="14" t="n">
        <v>45996.3125</v>
      </c>
      <c r="G263" s="15" t="n">
        <f aca="false">F263-E263</f>
        <v>0.0451388888888889</v>
      </c>
      <c r="H263" s="20" t="s">
        <v>445</v>
      </c>
      <c r="I263" s="1" t="s">
        <v>263</v>
      </c>
      <c r="J263" s="20" t="s">
        <v>264</v>
      </c>
      <c r="K263" s="1" t="e">
        <f aca="false">_xlfn.xlookup(J263,REF!$D$2:$D$12,REF!$E$2:$E$12)</f>
        <v>#NAME?</v>
      </c>
      <c r="L263" s="1" t="s">
        <v>785</v>
      </c>
      <c r="M263" s="20" t="s">
        <v>266</v>
      </c>
      <c r="N263" s="20" t="s">
        <v>252</v>
      </c>
      <c r="O263" s="1" t="s">
        <v>447</v>
      </c>
      <c r="P263" s="1" t="str">
        <f aca="false">_xlfn.CONCAT(B263,C263,D263,E263,F263)</f>
        <v>BC Vazante2.2Inverter(MBUS-6)45996.267361111145996.267361111145996.3125</v>
      </c>
      <c r="Q263" s="1" t="str">
        <f aca="false">_xlfn.CONCAT(H263,I263,J263)</f>
        <v>LIGRFOCOM</v>
      </c>
    </row>
    <row r="264" customFormat="false" ht="15" hidden="false" customHeight="false" outlineLevel="0" collapsed="false">
      <c r="B264" s="1" t="s">
        <v>614</v>
      </c>
      <c r="C264" s="1" t="s">
        <v>753</v>
      </c>
      <c r="D264" s="14" t="n">
        <v>45996.2673611111</v>
      </c>
      <c r="E264" s="14" t="n">
        <v>45996.2673611111</v>
      </c>
      <c r="F264" s="14" t="n">
        <v>45996.3125</v>
      </c>
      <c r="G264" s="15" t="n">
        <f aca="false">F264-E264</f>
        <v>0.0451388888888889</v>
      </c>
      <c r="H264" s="20" t="s">
        <v>445</v>
      </c>
      <c r="I264" s="1" t="s">
        <v>263</v>
      </c>
      <c r="J264" s="20" t="s">
        <v>264</v>
      </c>
      <c r="K264" s="1" t="e">
        <f aca="false">_xlfn.xlookup(J264,REF!$D$2:$D$12,REF!$E$2:$E$12)</f>
        <v>#NAME?</v>
      </c>
      <c r="L264" s="1" t="s">
        <v>785</v>
      </c>
      <c r="M264" s="20" t="s">
        <v>266</v>
      </c>
      <c r="N264" s="20" t="s">
        <v>252</v>
      </c>
      <c r="O264" s="1" t="s">
        <v>447</v>
      </c>
      <c r="P264" s="1" t="str">
        <f aca="false">_xlfn.CONCAT(B264,C264,D264,E264,F264)</f>
        <v>BC Vazante2.2Inverter(MBUS-7)45996.267361111145996.267361111145996.3125</v>
      </c>
      <c r="Q264" s="1" t="str">
        <f aca="false">_xlfn.CONCAT(H264,I264,J264)</f>
        <v>LIGRFOCOM</v>
      </c>
    </row>
    <row r="265" customFormat="false" ht="15" hidden="false" customHeight="false" outlineLevel="0" collapsed="false">
      <c r="B265" s="1" t="s">
        <v>614</v>
      </c>
      <c r="C265" s="1" t="s">
        <v>754</v>
      </c>
      <c r="D265" s="14" t="n">
        <v>45996.2673611111</v>
      </c>
      <c r="E265" s="14" t="n">
        <v>45996.2673611111</v>
      </c>
      <c r="F265" s="14" t="n">
        <v>45996.3125</v>
      </c>
      <c r="G265" s="15" t="n">
        <f aca="false">F265-E265</f>
        <v>0.0451388888888889</v>
      </c>
      <c r="H265" s="20" t="s">
        <v>445</v>
      </c>
      <c r="I265" s="1" t="s">
        <v>263</v>
      </c>
      <c r="J265" s="20" t="s">
        <v>264</v>
      </c>
      <c r="K265" s="1" t="e">
        <f aca="false">_xlfn.xlookup(J265,REF!$D$2:$D$12,REF!$E$2:$E$12)</f>
        <v>#NAME?</v>
      </c>
      <c r="L265" s="1" t="s">
        <v>785</v>
      </c>
      <c r="M265" s="20" t="s">
        <v>266</v>
      </c>
      <c r="N265" s="20" t="s">
        <v>252</v>
      </c>
      <c r="O265" s="1" t="s">
        <v>447</v>
      </c>
      <c r="P265" s="1" t="str">
        <f aca="false">_xlfn.CONCAT(B265,C265,D265,E265,F265)</f>
        <v>BC Vazante2.2Inverter(MBUS-8)45996.267361111145996.267361111145996.3125</v>
      </c>
      <c r="Q265" s="1" t="str">
        <f aca="false">_xlfn.CONCAT(H265,I265,J265)</f>
        <v>LIGRFOCOM</v>
      </c>
    </row>
    <row r="266" customFormat="false" ht="15" hidden="false" customHeight="false" outlineLevel="0" collapsed="false">
      <c r="B266" s="1" t="s">
        <v>614</v>
      </c>
      <c r="C266" s="1" t="s">
        <v>755</v>
      </c>
      <c r="D266" s="14" t="n">
        <v>45996.2673611111</v>
      </c>
      <c r="E266" s="14" t="n">
        <v>45996.2673611111</v>
      </c>
      <c r="F266" s="14" t="n">
        <v>45996.3125</v>
      </c>
      <c r="G266" s="15" t="n">
        <f aca="false">F266-E266</f>
        <v>0.0451388888888889</v>
      </c>
      <c r="H266" s="20" t="s">
        <v>445</v>
      </c>
      <c r="I266" s="1" t="s">
        <v>263</v>
      </c>
      <c r="J266" s="20" t="s">
        <v>264</v>
      </c>
      <c r="K266" s="1" t="e">
        <f aca="false">_xlfn.xlookup(J266,REF!$D$2:$D$12,REF!$E$2:$E$12)</f>
        <v>#NAME?</v>
      </c>
      <c r="L266" s="1" t="s">
        <v>785</v>
      </c>
      <c r="M266" s="20" t="s">
        <v>266</v>
      </c>
      <c r="N266" s="20" t="s">
        <v>252</v>
      </c>
      <c r="O266" s="1" t="s">
        <v>447</v>
      </c>
      <c r="P266" s="1" t="str">
        <f aca="false">_xlfn.CONCAT(B266,C266,D266,E266,F266)</f>
        <v>BC Vazante2.2Inverter(MBUS-10)45996.267361111145996.267361111145996.3125</v>
      </c>
      <c r="Q266" s="1" t="str">
        <f aca="false">_xlfn.CONCAT(H266,I266,J266)</f>
        <v>LIGRFOCOM</v>
      </c>
    </row>
    <row r="267" customFormat="false" ht="15" hidden="true" customHeight="false" outlineLevel="0" collapsed="false">
      <c r="B267" s="1" t="s">
        <v>626</v>
      </c>
      <c r="C267" s="1" t="s">
        <v>627</v>
      </c>
      <c r="D267" s="14" t="n">
        <v>45996.3138888889</v>
      </c>
      <c r="E267" s="14" t="n">
        <v>45996.3138888889</v>
      </c>
      <c r="F267" s="14" t="n">
        <v>45996.3645833333</v>
      </c>
      <c r="G267" s="15" t="n">
        <f aca="false">F267-E267</f>
        <v>0.0506944444444444</v>
      </c>
      <c r="H267" s="20" t="s">
        <v>313</v>
      </c>
      <c r="J267" s="20" t="s">
        <v>230</v>
      </c>
      <c r="K267" s="1" t="e">
        <f aca="false">_xlfn.xlookup(J267,REF!$D$2:$D$12,REF!$E$2:$E$12)</f>
        <v>#NAME?</v>
      </c>
      <c r="L267" s="1" t="s">
        <v>721</v>
      </c>
      <c r="M267" s="20" t="s">
        <v>288</v>
      </c>
      <c r="N267" s="20" t="s">
        <v>315</v>
      </c>
      <c r="O267" s="1" t="s">
        <v>771</v>
      </c>
      <c r="P267" s="1" t="str">
        <f aca="false">_xlfn.CONCAT(B267,C267,D267,E267,F267)</f>
        <v>BC Varjao2.1215KTL-H0(MBUS-12)45996.313888888945996.313888888945996.3645833333</v>
      </c>
      <c r="Q267" s="1" t="str">
        <f aca="false">_xlfn.CONCAT(H267,I267,J267)</f>
        <v>DPRUFV</v>
      </c>
    </row>
    <row r="268" customFormat="false" ht="15" hidden="true" customHeight="false" outlineLevel="0" collapsed="false">
      <c r="B268" s="1" t="s">
        <v>626</v>
      </c>
      <c r="C268" s="1" t="s">
        <v>629</v>
      </c>
      <c r="D268" s="14" t="n">
        <v>45996.3138888889</v>
      </c>
      <c r="E268" s="14" t="n">
        <v>45996.3138888889</v>
      </c>
      <c r="F268" s="14" t="n">
        <v>45996.3645833333</v>
      </c>
      <c r="G268" s="15" t="n">
        <f aca="false">F268-E268</f>
        <v>0.0506944444444444</v>
      </c>
      <c r="H268" s="20" t="s">
        <v>313</v>
      </c>
      <c r="J268" s="20" t="s">
        <v>230</v>
      </c>
      <c r="K268" s="1" t="e">
        <f aca="false">_xlfn.xlookup(J268,REF!$D$2:$D$12,REF!$E$2:$E$12)</f>
        <v>#NAME?</v>
      </c>
      <c r="L268" s="1" t="s">
        <v>721</v>
      </c>
      <c r="M268" s="20" t="s">
        <v>288</v>
      </c>
      <c r="N268" s="20" t="s">
        <v>315</v>
      </c>
      <c r="O268" s="1" t="s">
        <v>771</v>
      </c>
      <c r="P268" s="1" t="str">
        <f aca="false">_xlfn.CONCAT(B268,C268,D268,E268,F268)</f>
        <v>BC Varjao2.1215KTL-H0(MBUS-13)45996.313888888945996.313888888945996.3645833333</v>
      </c>
      <c r="Q268" s="1" t="str">
        <f aca="false">_xlfn.CONCAT(H268,I268,J268)</f>
        <v>DPRUFV</v>
      </c>
    </row>
    <row r="269" customFormat="false" ht="15" hidden="true" customHeight="false" outlineLevel="0" collapsed="false">
      <c r="B269" s="1" t="s">
        <v>626</v>
      </c>
      <c r="C269" s="1" t="s">
        <v>282</v>
      </c>
      <c r="D269" s="14" t="n">
        <v>45996.3138888889</v>
      </c>
      <c r="E269" s="14" t="n">
        <v>45996.3138888889</v>
      </c>
      <c r="F269" s="14" t="n">
        <v>45996.3645833333</v>
      </c>
      <c r="G269" s="15" t="n">
        <f aca="false">F269-E269</f>
        <v>0.0506944444444444</v>
      </c>
      <c r="H269" s="20" t="s">
        <v>313</v>
      </c>
      <c r="J269" s="20" t="s">
        <v>230</v>
      </c>
      <c r="K269" s="1" t="e">
        <f aca="false">_xlfn.xlookup(J269,REF!$D$2:$D$12,REF!$E$2:$E$12)</f>
        <v>#NAME?</v>
      </c>
      <c r="L269" s="1" t="s">
        <v>721</v>
      </c>
      <c r="M269" s="20" t="s">
        <v>288</v>
      </c>
      <c r="N269" s="20" t="s">
        <v>315</v>
      </c>
      <c r="O269" s="1" t="s">
        <v>771</v>
      </c>
      <c r="P269" s="1" t="str">
        <f aca="false">_xlfn.CONCAT(B269,C269,D269,E269,F269)</f>
        <v>BC Varjao2.1215KTL-H0(MBUS-14)45996.313888888945996.313888888945996.3645833333</v>
      </c>
      <c r="Q269" s="1" t="str">
        <f aca="false">_xlfn.CONCAT(H269,I269,J269)</f>
        <v>DPRUFV</v>
      </c>
    </row>
    <row r="270" customFormat="false" ht="15" hidden="true" customHeight="false" outlineLevel="0" collapsed="false">
      <c r="B270" s="1" t="s">
        <v>626</v>
      </c>
      <c r="C270" s="1" t="s">
        <v>630</v>
      </c>
      <c r="D270" s="14" t="n">
        <v>45996.3138888889</v>
      </c>
      <c r="E270" s="14" t="n">
        <v>45996.3138888889</v>
      </c>
      <c r="F270" s="14" t="n">
        <v>45996.3645833333</v>
      </c>
      <c r="G270" s="15" t="n">
        <f aca="false">F270-E270</f>
        <v>0.0506944444444444</v>
      </c>
      <c r="H270" s="20" t="s">
        <v>313</v>
      </c>
      <c r="J270" s="20" t="s">
        <v>230</v>
      </c>
      <c r="K270" s="1" t="e">
        <f aca="false">_xlfn.xlookup(J270,REF!$D$2:$D$12,REF!$E$2:$E$12)</f>
        <v>#NAME?</v>
      </c>
      <c r="L270" s="1" t="s">
        <v>721</v>
      </c>
      <c r="M270" s="20" t="s">
        <v>288</v>
      </c>
      <c r="N270" s="20" t="s">
        <v>315</v>
      </c>
      <c r="O270" s="1" t="s">
        <v>771</v>
      </c>
      <c r="P270" s="1" t="str">
        <f aca="false">_xlfn.CONCAT(B270,C270,D270,E270,F270)</f>
        <v>BC Varjao2.1215KTL-H0(MBUS-15)45996.313888888945996.313888888945996.3645833333</v>
      </c>
      <c r="Q270" s="1" t="str">
        <f aca="false">_xlfn.CONCAT(H270,I270,J270)</f>
        <v>DPRUFV</v>
      </c>
    </row>
    <row r="271" customFormat="false" ht="15" hidden="true" customHeight="false" outlineLevel="0" collapsed="false">
      <c r="B271" s="1" t="s">
        <v>626</v>
      </c>
      <c r="C271" s="1" t="s">
        <v>631</v>
      </c>
      <c r="D271" s="14" t="n">
        <v>45996.3138888889</v>
      </c>
      <c r="E271" s="14" t="n">
        <v>45996.3138888889</v>
      </c>
      <c r="F271" s="14" t="n">
        <v>45996.3645833333</v>
      </c>
      <c r="G271" s="15" t="n">
        <f aca="false">F271-E271</f>
        <v>0.0506944444444444</v>
      </c>
      <c r="H271" s="20" t="s">
        <v>313</v>
      </c>
      <c r="J271" s="20" t="s">
        <v>230</v>
      </c>
      <c r="K271" s="1" t="e">
        <f aca="false">_xlfn.xlookup(J271,REF!$D$2:$D$12,REF!$E$2:$E$12)</f>
        <v>#NAME?</v>
      </c>
      <c r="L271" s="1" t="s">
        <v>721</v>
      </c>
      <c r="M271" s="20" t="s">
        <v>288</v>
      </c>
      <c r="N271" s="20" t="s">
        <v>315</v>
      </c>
      <c r="O271" s="1" t="s">
        <v>771</v>
      </c>
      <c r="P271" s="1" t="str">
        <f aca="false">_xlfn.CONCAT(B271,C271,D271,E271,F271)</f>
        <v>BC Varjao2.1215KTL-H0(MBUS-16)45996.313888888945996.313888888945996.3645833333</v>
      </c>
      <c r="Q271" s="1" t="str">
        <f aca="false">_xlfn.CONCAT(H271,I271,J271)</f>
        <v>DPRUFV</v>
      </c>
    </row>
    <row r="272" customFormat="false" ht="15" hidden="true" customHeight="false" outlineLevel="0" collapsed="false">
      <c r="B272" s="1" t="s">
        <v>633</v>
      </c>
      <c r="C272" s="1" t="s">
        <v>634</v>
      </c>
      <c r="D272" s="14" t="n">
        <v>45996.3652777778</v>
      </c>
      <c r="E272" s="14" t="n">
        <v>45996.3652777778</v>
      </c>
      <c r="F272" s="14" t="n">
        <v>45996.4069444445</v>
      </c>
      <c r="G272" s="15" t="n">
        <f aca="false">F272-E272</f>
        <v>0.0416666666666667</v>
      </c>
      <c r="H272" s="20" t="s">
        <v>313</v>
      </c>
      <c r="J272" s="20" t="s">
        <v>230</v>
      </c>
      <c r="K272" s="1" t="e">
        <f aca="false">_xlfn.xlookup(J272,REF!$D$2:$D$12,REF!$E$2:$E$12)</f>
        <v>#NAME?</v>
      </c>
      <c r="L272" s="1" t="s">
        <v>721</v>
      </c>
      <c r="M272" s="20" t="s">
        <v>288</v>
      </c>
      <c r="N272" s="20" t="s">
        <v>315</v>
      </c>
      <c r="O272" s="1" t="s">
        <v>771</v>
      </c>
      <c r="P272" s="1" t="str">
        <f aca="false">_xlfn.CONCAT(B272,C272,D272,E272,F272)</f>
        <v>BC Varjao2.3100KTL-H1(MBUS-1)45996.365277777845996.365277777845996.4069444445</v>
      </c>
      <c r="Q272" s="1" t="str">
        <f aca="false">_xlfn.CONCAT(H272,I272,J272)</f>
        <v>DPRUFV</v>
      </c>
    </row>
    <row r="273" customFormat="false" ht="15" hidden="true" customHeight="false" outlineLevel="0" collapsed="false">
      <c r="B273" s="1" t="s">
        <v>633</v>
      </c>
      <c r="C273" s="1" t="s">
        <v>629</v>
      </c>
      <c r="D273" s="14" t="n">
        <v>45996.3652777778</v>
      </c>
      <c r="E273" s="14" t="n">
        <v>45996.3652777778</v>
      </c>
      <c r="F273" s="14" t="n">
        <v>45996.4069444445</v>
      </c>
      <c r="G273" s="15" t="n">
        <f aca="false">F273-E273</f>
        <v>0.0416666666666667</v>
      </c>
      <c r="H273" s="20" t="s">
        <v>313</v>
      </c>
      <c r="J273" s="20" t="s">
        <v>230</v>
      </c>
      <c r="K273" s="1" t="e">
        <f aca="false">_xlfn.xlookup(J273,REF!$D$2:$D$12,REF!$E$2:$E$12)</f>
        <v>#NAME?</v>
      </c>
      <c r="L273" s="1" t="s">
        <v>721</v>
      </c>
      <c r="M273" s="20" t="s">
        <v>288</v>
      </c>
      <c r="N273" s="20" t="s">
        <v>315</v>
      </c>
      <c r="O273" s="1" t="s">
        <v>771</v>
      </c>
      <c r="P273" s="1" t="str">
        <f aca="false">_xlfn.CONCAT(B273,C273,D273,E273,F273)</f>
        <v>BC Varjao2.3215KTL-H0(MBUS-13)45996.365277777845996.365277777845996.4069444445</v>
      </c>
      <c r="Q273" s="1" t="str">
        <f aca="false">_xlfn.CONCAT(H273,I273,J273)</f>
        <v>DPRUFV</v>
      </c>
    </row>
    <row r="274" customFormat="false" ht="15" hidden="true" customHeight="false" outlineLevel="0" collapsed="false">
      <c r="B274" s="1" t="s">
        <v>633</v>
      </c>
      <c r="C274" s="1" t="s">
        <v>627</v>
      </c>
      <c r="D274" s="14" t="n">
        <v>45996.3652777778</v>
      </c>
      <c r="E274" s="14" t="n">
        <v>45996.3652777778</v>
      </c>
      <c r="F274" s="14" t="n">
        <v>45996.4069444445</v>
      </c>
      <c r="G274" s="15" t="n">
        <f aca="false">F274-E274</f>
        <v>0.0416666666666667</v>
      </c>
      <c r="H274" s="20" t="s">
        <v>313</v>
      </c>
      <c r="J274" s="20" t="s">
        <v>230</v>
      </c>
      <c r="K274" s="1" t="e">
        <f aca="false">_xlfn.xlookup(J274,REF!$D$2:$D$12,REF!$E$2:$E$12)</f>
        <v>#NAME?</v>
      </c>
      <c r="L274" s="1" t="s">
        <v>721</v>
      </c>
      <c r="M274" s="20" t="s">
        <v>288</v>
      </c>
      <c r="N274" s="20" t="s">
        <v>315</v>
      </c>
      <c r="O274" s="1" t="s">
        <v>771</v>
      </c>
      <c r="P274" s="1" t="str">
        <f aca="false">_xlfn.CONCAT(B274,C274,D274,E274,F274)</f>
        <v>BC Varjao2.3215KTL-H0(MBUS-12)45996.365277777845996.365277777845996.4069444445</v>
      </c>
      <c r="Q274" s="1" t="str">
        <f aca="false">_xlfn.CONCAT(H274,I274,J274)</f>
        <v>DPRUFV</v>
      </c>
    </row>
    <row r="275" customFormat="false" ht="15" hidden="true" customHeight="false" outlineLevel="0" collapsed="false">
      <c r="B275" s="1" t="s">
        <v>632</v>
      </c>
      <c r="C275" s="1" t="s">
        <v>629</v>
      </c>
      <c r="D275" s="14" t="n">
        <v>45996.4097222222</v>
      </c>
      <c r="E275" s="14" t="n">
        <v>45996.4097222222</v>
      </c>
      <c r="F275" s="14" t="n">
        <v>45996.4097222222</v>
      </c>
      <c r="G275" s="15" t="n">
        <f aca="false">F275-E275</f>
        <v>0</v>
      </c>
      <c r="H275" s="20" t="s">
        <v>313</v>
      </c>
      <c r="J275" s="20" t="s">
        <v>230</v>
      </c>
      <c r="K275" s="1" t="e">
        <f aca="false">_xlfn.xlookup(J275,REF!$D$2:$D$12,REF!$E$2:$E$12)</f>
        <v>#NAME?</v>
      </c>
      <c r="L275" s="1" t="s">
        <v>721</v>
      </c>
      <c r="M275" s="20" t="s">
        <v>288</v>
      </c>
      <c r="N275" s="20" t="s">
        <v>315</v>
      </c>
      <c r="O275" s="1" t="s">
        <v>771</v>
      </c>
      <c r="P275" s="1" t="str">
        <f aca="false">_xlfn.CONCAT(B275,C275,D275,E275,F275)</f>
        <v>BC Varjao2.2215KTL-H0(MBUS-13)45996.409722222245996.409722222245996.4097222222</v>
      </c>
      <c r="Q275" s="1" t="str">
        <f aca="false">_xlfn.CONCAT(H275,I275,J275)</f>
        <v>DPRUFV</v>
      </c>
    </row>
    <row r="276" customFormat="false" ht="15" hidden="true" customHeight="false" outlineLevel="0" collapsed="false">
      <c r="B276" s="1" t="s">
        <v>632</v>
      </c>
      <c r="C276" s="1" t="s">
        <v>282</v>
      </c>
      <c r="D276" s="14" t="n">
        <v>45996.4097222222</v>
      </c>
      <c r="E276" s="14" t="n">
        <v>45996.4097222222</v>
      </c>
      <c r="F276" s="14" t="n">
        <v>45996.4097222222</v>
      </c>
      <c r="G276" s="15" t="n">
        <f aca="false">F276-E276</f>
        <v>0</v>
      </c>
      <c r="H276" s="20" t="s">
        <v>313</v>
      </c>
      <c r="J276" s="20" t="s">
        <v>230</v>
      </c>
      <c r="K276" s="1" t="e">
        <f aca="false">_xlfn.xlookup(J276,REF!$D$2:$D$12,REF!$E$2:$E$12)</f>
        <v>#NAME?</v>
      </c>
      <c r="L276" s="1" t="s">
        <v>721</v>
      </c>
      <c r="M276" s="20" t="s">
        <v>288</v>
      </c>
      <c r="N276" s="20" t="s">
        <v>315</v>
      </c>
      <c r="O276" s="1" t="s">
        <v>771</v>
      </c>
      <c r="P276" s="1" t="str">
        <f aca="false">_xlfn.CONCAT(B276,C276,D276,E276,F276)</f>
        <v>BC Varjao2.2215KTL-H0(MBUS-14)45996.409722222245996.409722222245996.4097222222</v>
      </c>
      <c r="Q276" s="1" t="str">
        <f aca="false">_xlfn.CONCAT(H276,I276,J276)</f>
        <v>DPRUFV</v>
      </c>
    </row>
    <row r="277" customFormat="false" ht="15" hidden="true" customHeight="false" outlineLevel="0" collapsed="false">
      <c r="B277" s="1" t="s">
        <v>632</v>
      </c>
      <c r="C277" s="1" t="s">
        <v>630</v>
      </c>
      <c r="D277" s="14" t="n">
        <v>45996.4097222222</v>
      </c>
      <c r="E277" s="14" t="n">
        <v>45996.4097222222</v>
      </c>
      <c r="F277" s="14" t="n">
        <v>45996.4097222222</v>
      </c>
      <c r="G277" s="15" t="n">
        <f aca="false">F277-E277</f>
        <v>0</v>
      </c>
      <c r="H277" s="20" t="s">
        <v>313</v>
      </c>
      <c r="J277" s="20" t="s">
        <v>230</v>
      </c>
      <c r="K277" s="1" t="e">
        <f aca="false">_xlfn.xlookup(J277,REF!$D$2:$D$12,REF!$E$2:$E$12)</f>
        <v>#NAME?</v>
      </c>
      <c r="L277" s="1" t="s">
        <v>721</v>
      </c>
      <c r="M277" s="20" t="s">
        <v>288</v>
      </c>
      <c r="N277" s="20" t="s">
        <v>315</v>
      </c>
      <c r="O277" s="1" t="s">
        <v>771</v>
      </c>
      <c r="P277" s="1" t="str">
        <f aca="false">_xlfn.CONCAT(B277,C277,D277,E277,F277)</f>
        <v>BC Varjao2.2215KTL-H0(MBUS-15)45996.409722222245996.409722222245996.4097222222</v>
      </c>
      <c r="Q277" s="1" t="str">
        <f aca="false">_xlfn.CONCAT(H277,I277,J277)</f>
        <v>DPRUFV</v>
      </c>
    </row>
    <row r="278" customFormat="false" ht="15" hidden="true" customHeight="false" outlineLevel="0" collapsed="false">
      <c r="B278" s="1" t="s">
        <v>632</v>
      </c>
      <c r="C278" s="1" t="s">
        <v>631</v>
      </c>
      <c r="D278" s="14" t="n">
        <v>45996.4097222222</v>
      </c>
      <c r="E278" s="14" t="n">
        <v>45996.4097222222</v>
      </c>
      <c r="F278" s="14" t="n">
        <v>45996.4097222222</v>
      </c>
      <c r="G278" s="15" t="n">
        <f aca="false">F278-E278</f>
        <v>0</v>
      </c>
      <c r="H278" s="20" t="s">
        <v>313</v>
      </c>
      <c r="J278" s="20" t="s">
        <v>230</v>
      </c>
      <c r="K278" s="1" t="e">
        <f aca="false">_xlfn.xlookup(J278,REF!$D$2:$D$12,REF!$E$2:$E$12)</f>
        <v>#NAME?</v>
      </c>
      <c r="L278" s="1" t="s">
        <v>721</v>
      </c>
      <c r="M278" s="20" t="s">
        <v>288</v>
      </c>
      <c r="N278" s="20" t="s">
        <v>315</v>
      </c>
      <c r="O278" s="1" t="s">
        <v>771</v>
      </c>
      <c r="P278" s="1" t="str">
        <f aca="false">_xlfn.CONCAT(B278,C278,D278,E278,F278)</f>
        <v>BC Varjao2.2215KTL-H0(MBUS-16)45996.409722222245996.409722222245996.4097222222</v>
      </c>
      <c r="Q278" s="1" t="str">
        <f aca="false">_xlfn.CONCAT(H278,I278,J278)</f>
        <v>DPRUFV</v>
      </c>
    </row>
    <row r="279" customFormat="false" ht="15" hidden="true" customHeight="false" outlineLevel="0" collapsed="false">
      <c r="B279" s="1" t="s">
        <v>632</v>
      </c>
      <c r="C279" s="1" t="s">
        <v>627</v>
      </c>
      <c r="D279" s="14" t="n">
        <v>45996.4097222222</v>
      </c>
      <c r="E279" s="14" t="n">
        <v>45996.4097222222</v>
      </c>
      <c r="F279" s="14" t="n">
        <v>45996.4097222222</v>
      </c>
      <c r="G279" s="15" t="n">
        <f aca="false">F279-E279</f>
        <v>0</v>
      </c>
      <c r="H279" s="20" t="s">
        <v>313</v>
      </c>
      <c r="J279" s="20" t="s">
        <v>230</v>
      </c>
      <c r="K279" s="1" t="e">
        <f aca="false">_xlfn.xlookup(J279,REF!$D$2:$D$12,REF!$E$2:$E$12)</f>
        <v>#NAME?</v>
      </c>
      <c r="L279" s="1" t="s">
        <v>721</v>
      </c>
      <c r="M279" s="20" t="s">
        <v>288</v>
      </c>
      <c r="N279" s="20" t="s">
        <v>315</v>
      </c>
      <c r="O279" s="1" t="s">
        <v>771</v>
      </c>
      <c r="P279" s="1" t="str">
        <f aca="false">_xlfn.CONCAT(B279,C279,D279,E279,F279)</f>
        <v>BC Varjao2.2215KTL-H0(MBUS-12)45996.409722222245996.409722222245996.4097222222</v>
      </c>
      <c r="Q279" s="1" t="str">
        <f aca="false">_xlfn.CONCAT(H279,I279,J279)</f>
        <v>DPRUFV</v>
      </c>
    </row>
    <row r="280" customFormat="false" ht="15" hidden="true" customHeight="false" outlineLevel="0" collapsed="false">
      <c r="B280" s="1" t="s">
        <v>581</v>
      </c>
      <c r="C280" s="1" t="s">
        <v>586</v>
      </c>
      <c r="D280" s="14" t="n">
        <v>45996.4715277778</v>
      </c>
      <c r="E280" s="14" t="n">
        <v>45996.4715277778</v>
      </c>
      <c r="F280" s="14" t="n">
        <v>45996.5409722222</v>
      </c>
      <c r="G280" s="15" t="n">
        <f aca="false">F280-E280</f>
        <v>0.0694444444444445</v>
      </c>
      <c r="H280" s="20" t="s">
        <v>248</v>
      </c>
      <c r="J280" s="20" t="s">
        <v>256</v>
      </c>
      <c r="K280" s="1" t="e">
        <f aca="false">_xlfn.xlookup(J280,REF!$D$2:$D$12,REF!$E$2:$E$12)</f>
        <v>#NAME?</v>
      </c>
      <c r="L280" s="1" t="s">
        <v>786</v>
      </c>
      <c r="M280" s="20" t="s">
        <v>787</v>
      </c>
      <c r="N280" s="20" t="s">
        <v>379</v>
      </c>
      <c r="O280" s="1" t="s">
        <v>736</v>
      </c>
      <c r="P280" s="1" t="str">
        <f aca="false">_xlfn.CONCAT(B280,C280,D280,E280,F280)</f>
        <v>BC Rio Monte1Inverter4145996.471527777845996.471527777845996.5409722222</v>
      </c>
      <c r="Q280" s="1" t="str">
        <f aca="false">_xlfn.CONCAT(H280,I280,J280)</f>
        <v>DAURDE</v>
      </c>
    </row>
    <row r="281" customFormat="false" ht="15" hidden="true" customHeight="false" outlineLevel="0" collapsed="false">
      <c r="B281" s="1" t="s">
        <v>581</v>
      </c>
      <c r="C281" s="1" t="s">
        <v>737</v>
      </c>
      <c r="D281" s="14" t="n">
        <v>45996.4715277778</v>
      </c>
      <c r="E281" s="14" t="n">
        <v>45996.4715277778</v>
      </c>
      <c r="F281" s="14" t="n">
        <v>45996.5409722222</v>
      </c>
      <c r="G281" s="15" t="n">
        <f aca="false">F281-E281</f>
        <v>0.0694444444444445</v>
      </c>
      <c r="H281" s="20" t="s">
        <v>248</v>
      </c>
      <c r="J281" s="20" t="s">
        <v>256</v>
      </c>
      <c r="K281" s="1" t="e">
        <f aca="false">_xlfn.xlookup(J281,REF!$D$2:$D$12,REF!$E$2:$E$12)</f>
        <v>#NAME?</v>
      </c>
      <c r="L281" s="1" t="s">
        <v>786</v>
      </c>
      <c r="M281" s="20" t="s">
        <v>787</v>
      </c>
      <c r="N281" s="20" t="s">
        <v>379</v>
      </c>
      <c r="O281" s="1" t="s">
        <v>736</v>
      </c>
      <c r="P281" s="1" t="str">
        <f aca="false">_xlfn.CONCAT(B281,C281,D281,E281,F281)</f>
        <v>BC Rio Monte1Inverter4745996.471527777845996.471527777845996.5409722222</v>
      </c>
      <c r="Q281" s="1" t="str">
        <f aca="false">_xlfn.CONCAT(H281,I281,J281)</f>
        <v>DAURDE</v>
      </c>
    </row>
    <row r="282" customFormat="false" ht="15" hidden="true" customHeight="false" outlineLevel="0" collapsed="false">
      <c r="B282" s="1" t="s">
        <v>581</v>
      </c>
      <c r="C282" s="1" t="s">
        <v>582</v>
      </c>
      <c r="D282" s="14" t="n">
        <v>45996.4715277778</v>
      </c>
      <c r="E282" s="14" t="n">
        <v>45996.4715277778</v>
      </c>
      <c r="F282" s="14" t="n">
        <v>45996.5409722222</v>
      </c>
      <c r="G282" s="15" t="n">
        <f aca="false">F282-E282</f>
        <v>0.0694444444444445</v>
      </c>
      <c r="H282" s="20" t="s">
        <v>248</v>
      </c>
      <c r="J282" s="20" t="s">
        <v>256</v>
      </c>
      <c r="K282" s="1" t="e">
        <f aca="false">_xlfn.xlookup(J282,REF!$D$2:$D$12,REF!$E$2:$E$12)</f>
        <v>#NAME?</v>
      </c>
      <c r="L282" s="1" t="s">
        <v>786</v>
      </c>
      <c r="M282" s="20" t="s">
        <v>787</v>
      </c>
      <c r="N282" s="20" t="s">
        <v>379</v>
      </c>
      <c r="O282" s="1" t="s">
        <v>736</v>
      </c>
      <c r="P282" s="1" t="str">
        <f aca="false">_xlfn.CONCAT(B282,C282,D282,E282,F282)</f>
        <v>BC Rio Monte1Inverter3545996.471527777845996.471527777845996.5409722222</v>
      </c>
      <c r="Q282" s="1" t="str">
        <f aca="false">_xlfn.CONCAT(H282,I282,J282)</f>
        <v>DAURDE</v>
      </c>
    </row>
    <row r="283" customFormat="false" ht="15" hidden="true" customHeight="false" outlineLevel="0" collapsed="false">
      <c r="B283" s="1" t="s">
        <v>581</v>
      </c>
      <c r="C283" s="1" t="s">
        <v>594</v>
      </c>
      <c r="D283" s="14" t="n">
        <v>45996.4715277778</v>
      </c>
      <c r="E283" s="14" t="n">
        <v>45996.4715277778</v>
      </c>
      <c r="F283" s="14" t="n">
        <v>45996.5409722222</v>
      </c>
      <c r="G283" s="15" t="n">
        <f aca="false">F283-E283</f>
        <v>0.0694444444444445</v>
      </c>
      <c r="H283" s="20" t="s">
        <v>248</v>
      </c>
      <c r="J283" s="20" t="s">
        <v>256</v>
      </c>
      <c r="K283" s="1" t="e">
        <f aca="false">_xlfn.xlookup(J283,REF!$D$2:$D$12,REF!$E$2:$E$12)</f>
        <v>#NAME?</v>
      </c>
      <c r="L283" s="1" t="s">
        <v>786</v>
      </c>
      <c r="M283" s="20" t="s">
        <v>787</v>
      </c>
      <c r="N283" s="20" t="s">
        <v>379</v>
      </c>
      <c r="O283" s="1" t="s">
        <v>736</v>
      </c>
      <c r="P283" s="1" t="str">
        <f aca="false">_xlfn.CONCAT(B283,C283,D283,E283,F283)</f>
        <v>BC Rio Monte1Inverter3645996.471527777845996.471527777845996.5409722222</v>
      </c>
      <c r="Q283" s="1" t="str">
        <f aca="false">_xlfn.CONCAT(H283,I283,J283)</f>
        <v>DAURDE</v>
      </c>
    </row>
    <row r="284" customFormat="false" ht="15" hidden="true" customHeight="false" outlineLevel="0" collapsed="false">
      <c r="B284" s="1" t="s">
        <v>581</v>
      </c>
      <c r="C284" s="1" t="s">
        <v>596</v>
      </c>
      <c r="D284" s="14" t="n">
        <v>45996.4715277778</v>
      </c>
      <c r="E284" s="14" t="n">
        <v>45996.4715277778</v>
      </c>
      <c r="F284" s="14" t="n">
        <v>45996.5409722222</v>
      </c>
      <c r="G284" s="15" t="n">
        <f aca="false">F284-E284</f>
        <v>0.0694444444444445</v>
      </c>
      <c r="H284" s="20" t="s">
        <v>248</v>
      </c>
      <c r="J284" s="20" t="s">
        <v>256</v>
      </c>
      <c r="K284" s="1" t="e">
        <f aca="false">_xlfn.xlookup(J284,REF!$D$2:$D$12,REF!$E$2:$E$12)</f>
        <v>#NAME?</v>
      </c>
      <c r="L284" s="1" t="s">
        <v>786</v>
      </c>
      <c r="M284" s="20" t="s">
        <v>787</v>
      </c>
      <c r="N284" s="20" t="s">
        <v>379</v>
      </c>
      <c r="O284" s="1" t="s">
        <v>736</v>
      </c>
      <c r="P284" s="1" t="str">
        <f aca="false">_xlfn.CONCAT(B284,C284,D284,E284,F284)</f>
        <v>BC Rio Monte1Inverter3145996.471527777845996.471527777845996.5409722222</v>
      </c>
      <c r="Q284" s="1" t="str">
        <f aca="false">_xlfn.CONCAT(H284,I284,J284)</f>
        <v>DAURDE</v>
      </c>
    </row>
    <row r="285" customFormat="false" ht="15" hidden="true" customHeight="false" outlineLevel="0" collapsed="false">
      <c r="B285" s="1" t="s">
        <v>581</v>
      </c>
      <c r="C285" s="1" t="s">
        <v>592</v>
      </c>
      <c r="D285" s="14" t="n">
        <v>45996.4715277778</v>
      </c>
      <c r="E285" s="14" t="n">
        <v>45996.4715277778</v>
      </c>
      <c r="F285" s="14" t="n">
        <v>45996.5409722222</v>
      </c>
      <c r="G285" s="15" t="n">
        <f aca="false">F285-E285</f>
        <v>0.0694444444444445</v>
      </c>
      <c r="H285" s="20" t="s">
        <v>248</v>
      </c>
      <c r="J285" s="20" t="s">
        <v>256</v>
      </c>
      <c r="K285" s="1" t="e">
        <f aca="false">_xlfn.xlookup(J285,REF!$D$2:$D$12,REF!$E$2:$E$12)</f>
        <v>#NAME?</v>
      </c>
      <c r="L285" s="1" t="s">
        <v>786</v>
      </c>
      <c r="M285" s="20" t="s">
        <v>787</v>
      </c>
      <c r="N285" s="20" t="s">
        <v>379</v>
      </c>
      <c r="O285" s="1" t="s">
        <v>736</v>
      </c>
      <c r="P285" s="1" t="str">
        <f aca="false">_xlfn.CONCAT(B285,C285,D285,E285,F285)</f>
        <v>BC Rio Monte1Inverter3345996.471527777845996.471527777845996.5409722222</v>
      </c>
      <c r="Q285" s="1" t="str">
        <f aca="false">_xlfn.CONCAT(H285,I285,J285)</f>
        <v>DAURDE</v>
      </c>
    </row>
    <row r="286" customFormat="false" ht="15" hidden="true" customHeight="false" outlineLevel="0" collapsed="false">
      <c r="B286" s="1" t="s">
        <v>581</v>
      </c>
      <c r="C286" s="1" t="s">
        <v>595</v>
      </c>
      <c r="D286" s="14" t="n">
        <v>45996.4715277778</v>
      </c>
      <c r="E286" s="14" t="n">
        <v>45996.4715277778</v>
      </c>
      <c r="F286" s="14" t="n">
        <v>45996.5409722222</v>
      </c>
      <c r="G286" s="15" t="n">
        <f aca="false">F286-E286</f>
        <v>0.0694444444444445</v>
      </c>
      <c r="H286" s="20" t="s">
        <v>248</v>
      </c>
      <c r="J286" s="20" t="s">
        <v>256</v>
      </c>
      <c r="K286" s="1" t="e">
        <f aca="false">_xlfn.xlookup(J286,REF!$D$2:$D$12,REF!$E$2:$E$12)</f>
        <v>#NAME?</v>
      </c>
      <c r="L286" s="1" t="s">
        <v>786</v>
      </c>
      <c r="M286" s="20" t="s">
        <v>787</v>
      </c>
      <c r="N286" s="20" t="s">
        <v>379</v>
      </c>
      <c r="O286" s="1" t="s">
        <v>736</v>
      </c>
      <c r="P286" s="1" t="str">
        <f aca="false">_xlfn.CONCAT(B286,C286,D286,E286,F286)</f>
        <v>BC Rio Monte1Inverter3945996.471527777845996.471527777845996.5409722222</v>
      </c>
      <c r="Q286" s="1" t="str">
        <f aca="false">_xlfn.CONCAT(H286,I286,J286)</f>
        <v>DAURDE</v>
      </c>
    </row>
    <row r="287" customFormat="false" ht="15" hidden="true" customHeight="false" outlineLevel="0" collapsed="false">
      <c r="B287" s="1" t="s">
        <v>581</v>
      </c>
      <c r="C287" s="1" t="s">
        <v>599</v>
      </c>
      <c r="D287" s="14" t="n">
        <v>45996.4715277778</v>
      </c>
      <c r="E287" s="14" t="n">
        <v>45996.4715277778</v>
      </c>
      <c r="F287" s="14" t="n">
        <v>45996.5409722222</v>
      </c>
      <c r="G287" s="15" t="n">
        <f aca="false">F287-E287</f>
        <v>0.0694444444444445</v>
      </c>
      <c r="H287" s="20" t="s">
        <v>248</v>
      </c>
      <c r="J287" s="20" t="s">
        <v>256</v>
      </c>
      <c r="K287" s="1" t="e">
        <f aca="false">_xlfn.xlookup(J287,REF!$D$2:$D$12,REF!$E$2:$E$12)</f>
        <v>#NAME?</v>
      </c>
      <c r="L287" s="1" t="s">
        <v>786</v>
      </c>
      <c r="M287" s="20" t="s">
        <v>787</v>
      </c>
      <c r="N287" s="20" t="s">
        <v>379</v>
      </c>
      <c r="O287" s="1" t="s">
        <v>736</v>
      </c>
      <c r="P287" s="1" t="str">
        <f aca="false">_xlfn.CONCAT(B287,C287,D287,E287,F287)</f>
        <v>BC Rio Monte1Inverter3245996.471527777845996.471527777845996.5409722222</v>
      </c>
      <c r="Q287" s="1" t="str">
        <f aca="false">_xlfn.CONCAT(H287,I287,J287)</f>
        <v>DAURDE</v>
      </c>
    </row>
    <row r="288" customFormat="false" ht="15" hidden="true" customHeight="false" outlineLevel="0" collapsed="false">
      <c r="B288" s="1" t="s">
        <v>581</v>
      </c>
      <c r="C288" s="1" t="s">
        <v>584</v>
      </c>
      <c r="D288" s="14" t="n">
        <v>45996.4715277778</v>
      </c>
      <c r="E288" s="14" t="n">
        <v>45996.4715277778</v>
      </c>
      <c r="F288" s="14" t="n">
        <v>45996.5409722222</v>
      </c>
      <c r="G288" s="15" t="n">
        <f aca="false">F288-E288</f>
        <v>0.0694444444444445</v>
      </c>
      <c r="H288" s="20" t="s">
        <v>248</v>
      </c>
      <c r="J288" s="20" t="s">
        <v>256</v>
      </c>
      <c r="K288" s="1" t="e">
        <f aca="false">_xlfn.xlookup(J288,REF!$D$2:$D$12,REF!$E$2:$E$12)</f>
        <v>#NAME?</v>
      </c>
      <c r="L288" s="1" t="s">
        <v>786</v>
      </c>
      <c r="M288" s="20" t="s">
        <v>787</v>
      </c>
      <c r="N288" s="20" t="s">
        <v>379</v>
      </c>
      <c r="O288" s="1" t="s">
        <v>736</v>
      </c>
      <c r="P288" s="1" t="str">
        <f aca="false">_xlfn.CONCAT(B288,C288,D288,E288,F288)</f>
        <v>BC Rio Monte1Inverter4045996.471527777845996.471527777845996.5409722222</v>
      </c>
      <c r="Q288" s="1" t="str">
        <f aca="false">_xlfn.CONCAT(H288,I288,J288)</f>
        <v>DAURDE</v>
      </c>
    </row>
    <row r="289" customFormat="false" ht="15" hidden="true" customHeight="false" outlineLevel="0" collapsed="false">
      <c r="B289" s="1" t="s">
        <v>581</v>
      </c>
      <c r="C289" s="1" t="s">
        <v>590</v>
      </c>
      <c r="D289" s="14" t="n">
        <v>45996.4715277778</v>
      </c>
      <c r="E289" s="14" t="n">
        <v>45996.4715277778</v>
      </c>
      <c r="F289" s="14" t="n">
        <v>45996.5409722222</v>
      </c>
      <c r="G289" s="15" t="n">
        <f aca="false">F289-E289</f>
        <v>0.0694444444444445</v>
      </c>
      <c r="H289" s="20" t="s">
        <v>248</v>
      </c>
      <c r="J289" s="20" t="s">
        <v>256</v>
      </c>
      <c r="K289" s="1" t="e">
        <f aca="false">_xlfn.xlookup(J289,REF!$D$2:$D$12,REF!$E$2:$E$12)</f>
        <v>#NAME?</v>
      </c>
      <c r="L289" s="1" t="s">
        <v>786</v>
      </c>
      <c r="M289" s="20" t="s">
        <v>787</v>
      </c>
      <c r="N289" s="20" t="s">
        <v>379</v>
      </c>
      <c r="O289" s="1" t="s">
        <v>736</v>
      </c>
      <c r="P289" s="1" t="str">
        <f aca="false">_xlfn.CONCAT(B289,C289,D289,E289,F289)</f>
        <v>BC Rio Monte1Inverter3445996.471527777845996.471527777845996.5409722222</v>
      </c>
      <c r="Q289" s="1" t="str">
        <f aca="false">_xlfn.CONCAT(H289,I289,J289)</f>
        <v>DAURDE</v>
      </c>
    </row>
    <row r="290" customFormat="false" ht="15" hidden="false" customHeight="false" outlineLevel="0" collapsed="false">
      <c r="B290" s="1" t="s">
        <v>614</v>
      </c>
      <c r="C290" s="1" t="s">
        <v>255</v>
      </c>
      <c r="D290" s="14" t="n">
        <v>45997.3618055556</v>
      </c>
      <c r="E290" s="14" t="n">
        <v>45997.3618055556</v>
      </c>
      <c r="F290" s="14" t="n">
        <v>45997.4166666667</v>
      </c>
      <c r="G290" s="15" t="n">
        <f aca="false">F290-E290</f>
        <v>0.0548611111111111</v>
      </c>
      <c r="H290" s="20" t="s">
        <v>445</v>
      </c>
      <c r="I290" s="1" t="s">
        <v>263</v>
      </c>
      <c r="J290" s="20" t="s">
        <v>264</v>
      </c>
      <c r="K290" s="1" t="e">
        <f aca="false">_xlfn.xlookup(J290,REF!$D$2:$D$12,REF!$E$2:$E$12)</f>
        <v>#NAME?</v>
      </c>
      <c r="L290" s="1" t="s">
        <v>788</v>
      </c>
      <c r="M290" s="20" t="s">
        <v>266</v>
      </c>
      <c r="N290" s="20" t="s">
        <v>252</v>
      </c>
      <c r="O290" s="1" t="s">
        <v>789</v>
      </c>
      <c r="P290" s="1" t="str">
        <f aca="false">_xlfn.CONCAT(B290,C290,D290,E290,F290)</f>
        <v>BC Vazante2.2Inverter(MBUS-1)45997.361805555645997.361805555645997.4166666667</v>
      </c>
      <c r="Q290" s="1" t="str">
        <f aca="false">_xlfn.CONCAT(H290,I290,J290)</f>
        <v>LIGRFOCOM</v>
      </c>
    </row>
    <row r="291" customFormat="false" ht="15" hidden="false" customHeight="false" outlineLevel="0" collapsed="false">
      <c r="B291" s="1" t="s">
        <v>614</v>
      </c>
      <c r="C291" s="1" t="s">
        <v>752</v>
      </c>
      <c r="D291" s="14" t="n">
        <v>45997.3618055556</v>
      </c>
      <c r="E291" s="14" t="n">
        <v>45997.3618055556</v>
      </c>
      <c r="F291" s="14" t="n">
        <v>45997.4166666667</v>
      </c>
      <c r="G291" s="15" t="n">
        <f aca="false">F291-E291</f>
        <v>0.0548611111111111</v>
      </c>
      <c r="H291" s="20" t="s">
        <v>445</v>
      </c>
      <c r="I291" s="1" t="s">
        <v>263</v>
      </c>
      <c r="J291" s="20" t="s">
        <v>264</v>
      </c>
      <c r="K291" s="1" t="e">
        <f aca="false">_xlfn.xlookup(J291,REF!$D$2:$D$12,REF!$E$2:$E$12)</f>
        <v>#NAME?</v>
      </c>
      <c r="L291" s="1" t="s">
        <v>788</v>
      </c>
      <c r="M291" s="20" t="s">
        <v>266</v>
      </c>
      <c r="N291" s="20" t="s">
        <v>252</v>
      </c>
      <c r="O291" s="1" t="s">
        <v>789</v>
      </c>
      <c r="P291" s="1" t="str">
        <f aca="false">_xlfn.CONCAT(B291,C291,D291,E291,F291)</f>
        <v>BC Vazante2.2Inverter(MBUS-6)45997.361805555645997.361805555645997.4166666667</v>
      </c>
      <c r="Q291" s="1" t="str">
        <f aca="false">_xlfn.CONCAT(H291,I291,J291)</f>
        <v>LIGRFOCOM</v>
      </c>
    </row>
    <row r="292" customFormat="false" ht="15" hidden="false" customHeight="false" outlineLevel="0" collapsed="false">
      <c r="B292" s="1" t="s">
        <v>614</v>
      </c>
      <c r="C292" s="1" t="s">
        <v>753</v>
      </c>
      <c r="D292" s="14" t="n">
        <v>45997.3618055556</v>
      </c>
      <c r="E292" s="14" t="n">
        <v>45997.3618055556</v>
      </c>
      <c r="F292" s="14" t="n">
        <v>45997.4166666667</v>
      </c>
      <c r="G292" s="15" t="n">
        <f aca="false">F292-E292</f>
        <v>0.0548611111111111</v>
      </c>
      <c r="H292" s="20" t="s">
        <v>445</v>
      </c>
      <c r="I292" s="1" t="s">
        <v>263</v>
      </c>
      <c r="J292" s="20" t="s">
        <v>264</v>
      </c>
      <c r="K292" s="1" t="e">
        <f aca="false">_xlfn.xlookup(J292,REF!$D$2:$D$12,REF!$E$2:$E$12)</f>
        <v>#NAME?</v>
      </c>
      <c r="L292" s="1" t="s">
        <v>788</v>
      </c>
      <c r="M292" s="20" t="s">
        <v>266</v>
      </c>
      <c r="N292" s="20" t="s">
        <v>252</v>
      </c>
      <c r="O292" s="1" t="s">
        <v>789</v>
      </c>
      <c r="P292" s="1" t="str">
        <f aca="false">_xlfn.CONCAT(B292,C292,D292,E292,F292)</f>
        <v>BC Vazante2.2Inverter(MBUS-7)45997.361805555645997.361805555645997.4166666667</v>
      </c>
      <c r="Q292" s="1" t="str">
        <f aca="false">_xlfn.CONCAT(H292,I292,J292)</f>
        <v>LIGRFOCOM</v>
      </c>
    </row>
    <row r="293" customFormat="false" ht="15" hidden="false" customHeight="false" outlineLevel="0" collapsed="false">
      <c r="B293" s="1" t="s">
        <v>614</v>
      </c>
      <c r="C293" s="1" t="s">
        <v>754</v>
      </c>
      <c r="D293" s="14" t="n">
        <v>45997.3618055556</v>
      </c>
      <c r="E293" s="14" t="n">
        <v>45997.3618055556</v>
      </c>
      <c r="F293" s="14" t="n">
        <v>45997.4166666667</v>
      </c>
      <c r="G293" s="15" t="n">
        <f aca="false">F293-E293</f>
        <v>0.0548611111111111</v>
      </c>
      <c r="H293" s="20" t="s">
        <v>445</v>
      </c>
      <c r="I293" s="1" t="s">
        <v>263</v>
      </c>
      <c r="J293" s="20" t="s">
        <v>264</v>
      </c>
      <c r="K293" s="1" t="e">
        <f aca="false">_xlfn.xlookup(J293,REF!$D$2:$D$12,REF!$E$2:$E$12)</f>
        <v>#NAME?</v>
      </c>
      <c r="L293" s="1" t="s">
        <v>788</v>
      </c>
      <c r="M293" s="20" t="s">
        <v>266</v>
      </c>
      <c r="N293" s="20" t="s">
        <v>252</v>
      </c>
      <c r="O293" s="1" t="s">
        <v>789</v>
      </c>
      <c r="P293" s="1" t="str">
        <f aca="false">_xlfn.CONCAT(B293,C293,D293,E293,F293)</f>
        <v>BC Vazante2.2Inverter(MBUS-8)45997.361805555645997.361805555645997.4166666667</v>
      </c>
      <c r="Q293" s="1" t="str">
        <f aca="false">_xlfn.CONCAT(H293,I293,J293)</f>
        <v>LIGRFOCOM</v>
      </c>
    </row>
    <row r="294" customFormat="false" ht="15" hidden="false" customHeight="false" outlineLevel="0" collapsed="false">
      <c r="B294" s="1" t="s">
        <v>614</v>
      </c>
      <c r="C294" s="1" t="s">
        <v>755</v>
      </c>
      <c r="D294" s="14" t="n">
        <v>45997.3618055556</v>
      </c>
      <c r="E294" s="14" t="n">
        <v>45997.3618055556</v>
      </c>
      <c r="F294" s="14" t="n">
        <v>45997.4166666667</v>
      </c>
      <c r="G294" s="15" t="n">
        <f aca="false">F294-E294</f>
        <v>0.0548611111111111</v>
      </c>
      <c r="H294" s="20" t="s">
        <v>445</v>
      </c>
      <c r="I294" s="1" t="s">
        <v>263</v>
      </c>
      <c r="J294" s="20" t="s">
        <v>264</v>
      </c>
      <c r="K294" s="1" t="e">
        <f aca="false">_xlfn.xlookup(J294,REF!$D$2:$D$12,REF!$E$2:$E$12)</f>
        <v>#NAME?</v>
      </c>
      <c r="L294" s="1" t="s">
        <v>788</v>
      </c>
      <c r="M294" s="20" t="s">
        <v>266</v>
      </c>
      <c r="N294" s="20" t="s">
        <v>252</v>
      </c>
      <c r="O294" s="1" t="s">
        <v>789</v>
      </c>
      <c r="P294" s="1" t="str">
        <f aca="false">_xlfn.CONCAT(B294,C294,D294,E294,F294)</f>
        <v>BC Vazante2.2Inverter(MBUS-10)45997.361805555645997.361805555645997.4166666667</v>
      </c>
      <c r="Q294" s="1" t="str">
        <f aca="false">_xlfn.CONCAT(H294,I294,J294)</f>
        <v>LIGRFOCOM</v>
      </c>
    </row>
    <row r="295" customFormat="false" ht="15" hidden="true" customHeight="false" outlineLevel="0" collapsed="false">
      <c r="B295" s="1" t="s">
        <v>698</v>
      </c>
      <c r="C295" s="1" t="s">
        <v>247</v>
      </c>
      <c r="D295" s="14" t="n">
        <v>45997.4027777778</v>
      </c>
      <c r="E295" s="14" t="n">
        <v>45997.4027777778</v>
      </c>
      <c r="F295" s="14" t="n">
        <v>45997.6944444444</v>
      </c>
      <c r="G295" s="15" t="n">
        <f aca="false">F295-E295</f>
        <v>0.291666666666667</v>
      </c>
      <c r="H295" s="20" t="s">
        <v>248</v>
      </c>
      <c r="J295" s="20" t="s">
        <v>256</v>
      </c>
      <c r="K295" s="1" t="e">
        <f aca="false">_xlfn.xlookup(J295,REF!$D$2:$D$12,REF!$E$2:$E$12)</f>
        <v>#NAME?</v>
      </c>
      <c r="L295" s="1" t="s">
        <v>686</v>
      </c>
      <c r="M295" s="20" t="s">
        <v>258</v>
      </c>
      <c r="N295" s="20" t="s">
        <v>259</v>
      </c>
      <c r="O295" s="1" t="s">
        <v>760</v>
      </c>
      <c r="P295" s="1" t="str">
        <f aca="false">_xlfn.CONCAT(B295,C295,D295,E295,F295)</f>
        <v>BC Formoso1.2Inverter(MBUS-13)45997.402777777845997.402777777845997.6944444444</v>
      </c>
      <c r="Q295" s="1" t="str">
        <f aca="false">_xlfn.CONCAT(H295,I295,J295)</f>
        <v>DAURDE</v>
      </c>
    </row>
    <row r="296" customFormat="false" ht="15" hidden="true" customHeight="false" outlineLevel="0" collapsed="false">
      <c r="B296" s="1" t="s">
        <v>698</v>
      </c>
      <c r="C296" s="1" t="s">
        <v>277</v>
      </c>
      <c r="D296" s="14" t="n">
        <v>45997.4027777778</v>
      </c>
      <c r="E296" s="14" t="n">
        <v>45997.4027777778</v>
      </c>
      <c r="F296" s="14" t="n">
        <v>45997.6944444444</v>
      </c>
      <c r="G296" s="15" t="n">
        <f aca="false">F296-E296</f>
        <v>0.291666666666667</v>
      </c>
      <c r="H296" s="20" t="s">
        <v>248</v>
      </c>
      <c r="J296" s="20" t="s">
        <v>256</v>
      </c>
      <c r="K296" s="1" t="e">
        <f aca="false">_xlfn.xlookup(J296,REF!$D$2:$D$12,REF!$E$2:$E$12)</f>
        <v>#NAME?</v>
      </c>
      <c r="L296" s="1" t="s">
        <v>686</v>
      </c>
      <c r="M296" s="20" t="s">
        <v>258</v>
      </c>
      <c r="N296" s="20" t="s">
        <v>259</v>
      </c>
      <c r="O296" s="1" t="s">
        <v>760</v>
      </c>
      <c r="P296" s="1" t="str">
        <f aca="false">_xlfn.CONCAT(B296,C296,D296,E296,F296)</f>
        <v>BC Formoso1.2Inverter(MBUS-12)45997.402777777845997.402777777845997.6944444444</v>
      </c>
      <c r="Q296" s="1" t="str">
        <f aca="false">_xlfn.CONCAT(H296,I296,J296)</f>
        <v>DAURDE</v>
      </c>
    </row>
    <row r="297" customFormat="false" ht="15" hidden="true" customHeight="false" outlineLevel="0" collapsed="false">
      <c r="B297" s="1" t="s">
        <v>698</v>
      </c>
      <c r="C297" s="1" t="s">
        <v>279</v>
      </c>
      <c r="D297" s="14" t="n">
        <v>45997.4027777778</v>
      </c>
      <c r="E297" s="14" t="n">
        <v>45997.4027777778</v>
      </c>
      <c r="F297" s="14" t="n">
        <v>45997.6944444444</v>
      </c>
      <c r="G297" s="15" t="n">
        <f aca="false">F297-E297</f>
        <v>0.291666666666667</v>
      </c>
      <c r="H297" s="20" t="s">
        <v>248</v>
      </c>
      <c r="J297" s="20" t="s">
        <v>256</v>
      </c>
      <c r="K297" s="1" t="e">
        <f aca="false">_xlfn.xlookup(J297,REF!$D$2:$D$12,REF!$E$2:$E$12)</f>
        <v>#NAME?</v>
      </c>
      <c r="L297" s="1" t="s">
        <v>686</v>
      </c>
      <c r="M297" s="20" t="s">
        <v>258</v>
      </c>
      <c r="N297" s="20" t="s">
        <v>259</v>
      </c>
      <c r="O297" s="1" t="s">
        <v>760</v>
      </c>
      <c r="P297" s="1" t="str">
        <f aca="false">_xlfn.CONCAT(B297,C297,D297,E297,F297)</f>
        <v>BC Formoso1.2Inverter(MBUS-15)45997.402777777845997.402777777845997.6944444444</v>
      </c>
      <c r="Q297" s="1" t="str">
        <f aca="false">_xlfn.CONCAT(H297,I297,J297)</f>
        <v>DAURDE</v>
      </c>
    </row>
    <row r="298" customFormat="false" ht="15" hidden="true" customHeight="false" outlineLevel="0" collapsed="false">
      <c r="B298" s="1" t="s">
        <v>698</v>
      </c>
      <c r="C298" s="1" t="s">
        <v>280</v>
      </c>
      <c r="D298" s="14" t="n">
        <v>45997.4027777778</v>
      </c>
      <c r="E298" s="14" t="n">
        <v>45997.4027777778</v>
      </c>
      <c r="F298" s="14" t="n">
        <v>45997.6944444444</v>
      </c>
      <c r="G298" s="15" t="n">
        <f aca="false">F298-E298</f>
        <v>0.291666666666667</v>
      </c>
      <c r="H298" s="20" t="s">
        <v>248</v>
      </c>
      <c r="J298" s="20" t="s">
        <v>256</v>
      </c>
      <c r="K298" s="1" t="e">
        <f aca="false">_xlfn.xlookup(J298,REF!$D$2:$D$12,REF!$E$2:$E$12)</f>
        <v>#NAME?</v>
      </c>
      <c r="L298" s="1" t="s">
        <v>686</v>
      </c>
      <c r="M298" s="20" t="s">
        <v>258</v>
      </c>
      <c r="N298" s="20" t="s">
        <v>259</v>
      </c>
      <c r="O298" s="1" t="s">
        <v>760</v>
      </c>
      <c r="P298" s="1" t="str">
        <f aca="false">_xlfn.CONCAT(B298,C298,D298,E298,F298)</f>
        <v>BC Formoso1.2Inverter(MBUS-14)45997.402777777845997.402777777845997.6944444444</v>
      </c>
      <c r="Q298" s="1" t="str">
        <f aca="false">_xlfn.CONCAT(H298,I298,J298)</f>
        <v>DAURDE</v>
      </c>
    </row>
    <row r="299" customFormat="false" ht="15" hidden="true" customHeight="false" outlineLevel="0" collapsed="false">
      <c r="B299" s="1" t="s">
        <v>254</v>
      </c>
      <c r="C299" s="1" t="s">
        <v>255</v>
      </c>
      <c r="D299" s="14" t="n">
        <v>45997.4270833333</v>
      </c>
      <c r="E299" s="14" t="n">
        <v>45997.4270833333</v>
      </c>
      <c r="F299" s="14" t="n">
        <v>45997.5381944444</v>
      </c>
      <c r="G299" s="15" t="n">
        <f aca="false">F299-E299</f>
        <v>0.111111111111111</v>
      </c>
      <c r="H299" s="20" t="s">
        <v>248</v>
      </c>
      <c r="J299" s="20" t="s">
        <v>256</v>
      </c>
      <c r="K299" s="1" t="e">
        <f aca="false">_xlfn.xlookup(J299,REF!$D$2:$D$12,REF!$E$2:$E$12)</f>
        <v>#NAME?</v>
      </c>
      <c r="L299" s="1" t="s">
        <v>576</v>
      </c>
      <c r="M299" s="20" t="s">
        <v>787</v>
      </c>
      <c r="N299" s="20" t="s">
        <v>379</v>
      </c>
      <c r="O299" s="1" t="s">
        <v>790</v>
      </c>
      <c r="P299" s="1" t="str">
        <f aca="false">_xlfn.CONCAT(B299,C299,D299,E299,F299)</f>
        <v>BC Aracu5.1Inverter(MBUS-1)45997.427083333345997.427083333345997.5381944444</v>
      </c>
      <c r="Q299" s="1" t="str">
        <f aca="false">_xlfn.CONCAT(H299,I299,J299)</f>
        <v>DAURDE</v>
      </c>
    </row>
    <row r="300" customFormat="false" ht="15" hidden="true" customHeight="false" outlineLevel="0" collapsed="false">
      <c r="B300" s="1" t="s">
        <v>307</v>
      </c>
      <c r="C300" s="1" t="s">
        <v>255</v>
      </c>
      <c r="D300" s="14" t="n">
        <v>45997.4270833333</v>
      </c>
      <c r="E300" s="14" t="n">
        <v>45997.4270833333</v>
      </c>
      <c r="F300" s="14" t="n">
        <v>45997.5381944444</v>
      </c>
      <c r="G300" s="15" t="n">
        <f aca="false">F300-E300</f>
        <v>0.111111111111111</v>
      </c>
      <c r="H300" s="20" t="s">
        <v>248</v>
      </c>
      <c r="J300" s="20" t="s">
        <v>256</v>
      </c>
      <c r="K300" s="1" t="e">
        <f aca="false">_xlfn.xlookup(J300,REF!$D$2:$D$12,REF!$E$2:$E$12)</f>
        <v>#NAME?</v>
      </c>
      <c r="L300" s="1" t="s">
        <v>576</v>
      </c>
      <c r="M300" s="20" t="s">
        <v>787</v>
      </c>
      <c r="N300" s="20" t="s">
        <v>379</v>
      </c>
      <c r="O300" s="1" t="s">
        <v>790</v>
      </c>
      <c r="P300" s="1" t="str">
        <f aca="false">_xlfn.CONCAT(B300,C300,D300,E300,F300)</f>
        <v>BC Aracu5.2Inverter(MBUS-1)45997.427083333345997.427083333345997.5381944444</v>
      </c>
      <c r="Q300" s="1" t="str">
        <f aca="false">_xlfn.CONCAT(H300,I300,J300)</f>
        <v>DAURDE</v>
      </c>
    </row>
    <row r="301" customFormat="false" ht="15" hidden="true" customHeight="false" outlineLevel="0" collapsed="false">
      <c r="B301" s="1" t="s">
        <v>308</v>
      </c>
      <c r="C301" s="1" t="s">
        <v>255</v>
      </c>
      <c r="D301" s="14" t="n">
        <v>45997.4270833333</v>
      </c>
      <c r="E301" s="14" t="n">
        <v>45997.4270833333</v>
      </c>
      <c r="F301" s="14" t="n">
        <v>45997.5381944444</v>
      </c>
      <c r="G301" s="15" t="n">
        <f aca="false">F301-E301</f>
        <v>0.111111111111111</v>
      </c>
      <c r="H301" s="20" t="s">
        <v>248</v>
      </c>
      <c r="J301" s="20" t="s">
        <v>256</v>
      </c>
      <c r="K301" s="1" t="e">
        <f aca="false">_xlfn.xlookup(J301,REF!$D$2:$D$12,REF!$E$2:$E$12)</f>
        <v>#NAME?</v>
      </c>
      <c r="L301" s="1" t="s">
        <v>576</v>
      </c>
      <c r="M301" s="20" t="s">
        <v>787</v>
      </c>
      <c r="N301" s="20" t="s">
        <v>379</v>
      </c>
      <c r="O301" s="1" t="s">
        <v>790</v>
      </c>
      <c r="P301" s="1" t="str">
        <f aca="false">_xlfn.CONCAT(B301,C301,D301,E301,F301)</f>
        <v>BC Aracu5.3Inverter(MBUS-1)45997.427083333345997.427083333345997.5381944444</v>
      </c>
      <c r="Q301" s="1" t="str">
        <f aca="false">_xlfn.CONCAT(H301,I301,J301)</f>
        <v>DAURDE</v>
      </c>
    </row>
    <row r="302" customFormat="false" ht="15" hidden="true" customHeight="false" outlineLevel="0" collapsed="false">
      <c r="B302" s="1" t="s">
        <v>309</v>
      </c>
      <c r="C302" s="1" t="s">
        <v>255</v>
      </c>
      <c r="D302" s="14" t="n">
        <v>45997.4270833333</v>
      </c>
      <c r="E302" s="14" t="n">
        <v>45997.4270833333</v>
      </c>
      <c r="F302" s="14" t="n">
        <v>45997.5381944444</v>
      </c>
      <c r="G302" s="15" t="n">
        <f aca="false">F302-E302</f>
        <v>0.111111111111111</v>
      </c>
      <c r="H302" s="20" t="s">
        <v>248</v>
      </c>
      <c r="J302" s="20" t="s">
        <v>256</v>
      </c>
      <c r="K302" s="1" t="e">
        <f aca="false">_xlfn.xlookup(J302,REF!$D$2:$D$12,REF!$E$2:$E$12)</f>
        <v>#NAME?</v>
      </c>
      <c r="L302" s="1" t="s">
        <v>576</v>
      </c>
      <c r="M302" s="20" t="s">
        <v>787</v>
      </c>
      <c r="N302" s="20" t="s">
        <v>379</v>
      </c>
      <c r="O302" s="1" t="s">
        <v>790</v>
      </c>
      <c r="P302" s="1" t="str">
        <f aca="false">_xlfn.CONCAT(B302,C302,D302,E302,F302)</f>
        <v>BC Aracu5.4Inverter(MBUS-1)45997.427083333345997.427083333345997.5381944444</v>
      </c>
      <c r="Q302" s="1" t="str">
        <f aca="false">_xlfn.CONCAT(H302,I302,J302)</f>
        <v>DAURDE</v>
      </c>
    </row>
    <row r="303" customFormat="false" ht="15" hidden="true" customHeight="false" outlineLevel="0" collapsed="false">
      <c r="B303" s="1" t="s">
        <v>310</v>
      </c>
      <c r="C303" s="1" t="s">
        <v>255</v>
      </c>
      <c r="D303" s="14" t="n">
        <v>45997.4270833333</v>
      </c>
      <c r="E303" s="14" t="n">
        <v>45997.4270833333</v>
      </c>
      <c r="F303" s="14" t="n">
        <v>45997.5381944444</v>
      </c>
      <c r="G303" s="15" t="n">
        <f aca="false">F303-E303</f>
        <v>0.111111111111111</v>
      </c>
      <c r="H303" s="20" t="s">
        <v>248</v>
      </c>
      <c r="J303" s="20" t="s">
        <v>256</v>
      </c>
      <c r="K303" s="1" t="e">
        <f aca="false">_xlfn.xlookup(J303,REF!$D$2:$D$12,REF!$E$2:$E$12)</f>
        <v>#NAME?</v>
      </c>
      <c r="L303" s="1" t="s">
        <v>576</v>
      </c>
      <c r="M303" s="20" t="s">
        <v>787</v>
      </c>
      <c r="N303" s="20" t="s">
        <v>379</v>
      </c>
      <c r="O303" s="1" t="s">
        <v>790</v>
      </c>
      <c r="P303" s="1" t="str">
        <f aca="false">_xlfn.CONCAT(B303,C303,D303,E303,F303)</f>
        <v>BC Aracu5.5Inverter(MBUS-1)45997.427083333345997.427083333345997.5381944444</v>
      </c>
      <c r="Q303" s="1" t="str">
        <f aca="false">_xlfn.CONCAT(H303,I303,J303)</f>
        <v>DAURDE</v>
      </c>
    </row>
    <row r="304" customFormat="false" ht="15" hidden="true" customHeight="false" outlineLevel="0" collapsed="false">
      <c r="B304" s="1" t="s">
        <v>672</v>
      </c>
      <c r="C304" s="1" t="s">
        <v>291</v>
      </c>
      <c r="D304" s="14" t="n">
        <v>45997.4611111111</v>
      </c>
      <c r="E304" s="14" t="n">
        <v>45997.4611111111</v>
      </c>
      <c r="F304" s="14" t="n">
        <v>45997.5173611111</v>
      </c>
      <c r="G304" s="15" t="n">
        <f aca="false">F304-E304</f>
        <v>0.05625</v>
      </c>
      <c r="H304" s="20" t="s">
        <v>445</v>
      </c>
      <c r="I304" s="1" t="s">
        <v>263</v>
      </c>
      <c r="J304" s="20" t="s">
        <v>417</v>
      </c>
      <c r="K304" s="1" t="e">
        <f aca="false">_xlfn.xlookup(J304,REF!$D$2:$D$12,REF!$E$2:$E$12)</f>
        <v>#NAME?</v>
      </c>
      <c r="L304" s="1" t="s">
        <v>420</v>
      </c>
      <c r="M304" s="20" t="s">
        <v>418</v>
      </c>
      <c r="N304" s="20" t="s">
        <v>252</v>
      </c>
      <c r="O304" s="1" t="s">
        <v>791</v>
      </c>
      <c r="P304" s="1" t="str">
        <f aca="false">_xlfn.CONCAT(B304,C304,D304,E304,F304)</f>
        <v>BC BomSucessoSG60KTL45997.461111111145997.461111111145997.5173611111</v>
      </c>
      <c r="Q304" s="1" t="str">
        <f aca="false">_xlfn.CONCAT(H304,I304,J304)</f>
        <v>LIGRFOINT</v>
      </c>
    </row>
    <row r="305" customFormat="false" ht="15" hidden="true" customHeight="false" outlineLevel="0" collapsed="false">
      <c r="B305" s="1" t="s">
        <v>672</v>
      </c>
      <c r="C305" s="1" t="s">
        <v>674</v>
      </c>
      <c r="D305" s="14" t="n">
        <v>45997.4611111111</v>
      </c>
      <c r="E305" s="14" t="n">
        <v>45997.4611111111</v>
      </c>
      <c r="F305" s="14" t="n">
        <v>45997.5173611111</v>
      </c>
      <c r="G305" s="15" t="n">
        <f aca="false">F305-E305</f>
        <v>0.05625</v>
      </c>
      <c r="H305" s="20" t="s">
        <v>445</v>
      </c>
      <c r="I305" s="1" t="s">
        <v>263</v>
      </c>
      <c r="J305" s="20" t="s">
        <v>417</v>
      </c>
      <c r="K305" s="1" t="e">
        <f aca="false">_xlfn.xlookup(J305,REF!$D$2:$D$12,REF!$E$2:$E$12)</f>
        <v>#NAME?</v>
      </c>
      <c r="L305" s="1" t="s">
        <v>420</v>
      </c>
      <c r="M305" s="20" t="s">
        <v>418</v>
      </c>
      <c r="N305" s="20" t="s">
        <v>252</v>
      </c>
      <c r="O305" s="1" t="s">
        <v>791</v>
      </c>
      <c r="P305" s="1" t="str">
        <f aca="false">_xlfn.CONCAT(B305,C305,D305,E305,F305)</f>
        <v>BC BomSucessoABB_0145997.461111111145997.461111111145997.5173611111</v>
      </c>
      <c r="Q305" s="1" t="str">
        <f aca="false">_xlfn.CONCAT(H305,I305,J305)</f>
        <v>LIGRFOINT</v>
      </c>
    </row>
    <row r="306" customFormat="false" ht="15" hidden="true" customHeight="false" outlineLevel="0" collapsed="false">
      <c r="B306" s="1" t="s">
        <v>672</v>
      </c>
      <c r="C306" s="1" t="s">
        <v>675</v>
      </c>
      <c r="D306" s="14" t="n">
        <v>45997.4611111111</v>
      </c>
      <c r="E306" s="14" t="n">
        <v>45997.4611111111</v>
      </c>
      <c r="F306" s="14" t="n">
        <v>45997.5173611111</v>
      </c>
      <c r="G306" s="15" t="n">
        <f aca="false">F306-E306</f>
        <v>0.05625</v>
      </c>
      <c r="H306" s="20" t="s">
        <v>445</v>
      </c>
      <c r="I306" s="1" t="s">
        <v>263</v>
      </c>
      <c r="J306" s="20" t="s">
        <v>417</v>
      </c>
      <c r="K306" s="1" t="e">
        <f aca="false">_xlfn.xlookup(J306,REF!$D$2:$D$12,REF!$E$2:$E$12)</f>
        <v>#NAME?</v>
      </c>
      <c r="L306" s="1" t="s">
        <v>420</v>
      </c>
      <c r="M306" s="20" t="s">
        <v>418</v>
      </c>
      <c r="N306" s="20" t="s">
        <v>252</v>
      </c>
      <c r="O306" s="1" t="s">
        <v>791</v>
      </c>
      <c r="P306" s="1" t="str">
        <f aca="false">_xlfn.CONCAT(B306,C306,D306,E306,F306)</f>
        <v>BC BomSucessoABB_0245997.461111111145997.461111111145997.5173611111</v>
      </c>
      <c r="Q306" s="1" t="str">
        <f aca="false">_xlfn.CONCAT(H306,I306,J306)</f>
        <v>LIGRFOINT</v>
      </c>
    </row>
    <row r="307" customFormat="false" ht="15" hidden="true" customHeight="false" outlineLevel="0" collapsed="false">
      <c r="B307" s="1" t="s">
        <v>672</v>
      </c>
      <c r="C307" s="1" t="s">
        <v>676</v>
      </c>
      <c r="D307" s="14" t="n">
        <v>45997.4611111111</v>
      </c>
      <c r="E307" s="14" t="n">
        <v>45997.4611111111</v>
      </c>
      <c r="F307" s="14" t="n">
        <v>45997.5173611111</v>
      </c>
      <c r="G307" s="15" t="n">
        <f aca="false">F307-E307</f>
        <v>0.05625</v>
      </c>
      <c r="H307" s="20" t="s">
        <v>445</v>
      </c>
      <c r="I307" s="1" t="s">
        <v>263</v>
      </c>
      <c r="J307" s="20" t="s">
        <v>417</v>
      </c>
      <c r="K307" s="1" t="e">
        <f aca="false">_xlfn.xlookup(J307,REF!$D$2:$D$12,REF!$E$2:$E$12)</f>
        <v>#NAME?</v>
      </c>
      <c r="L307" s="1" t="s">
        <v>420</v>
      </c>
      <c r="M307" s="20" t="s">
        <v>418</v>
      </c>
      <c r="N307" s="20" t="s">
        <v>252</v>
      </c>
      <c r="O307" s="1" t="s">
        <v>791</v>
      </c>
      <c r="P307" s="1" t="str">
        <f aca="false">_xlfn.CONCAT(B307,C307,D307,E307,F307)</f>
        <v>BC BomSucessoABB_0345997.461111111145997.461111111145997.5173611111</v>
      </c>
      <c r="Q307" s="1" t="str">
        <f aca="false">_xlfn.CONCAT(H307,I307,J307)</f>
        <v>LIGRFOINT</v>
      </c>
    </row>
    <row r="308" customFormat="false" ht="15" hidden="true" customHeight="false" outlineLevel="0" collapsed="false">
      <c r="B308" s="1" t="s">
        <v>672</v>
      </c>
      <c r="C308" s="1" t="s">
        <v>677</v>
      </c>
      <c r="D308" s="14" t="n">
        <v>45997.4611111111</v>
      </c>
      <c r="E308" s="14" t="n">
        <v>45997.4611111111</v>
      </c>
      <c r="F308" s="14" t="n">
        <v>45997.5173611111</v>
      </c>
      <c r="G308" s="15" t="n">
        <f aca="false">F308-E308</f>
        <v>0.05625</v>
      </c>
      <c r="H308" s="20" t="s">
        <v>445</v>
      </c>
      <c r="I308" s="1" t="s">
        <v>263</v>
      </c>
      <c r="J308" s="20" t="s">
        <v>417</v>
      </c>
      <c r="K308" s="1" t="e">
        <f aca="false">_xlfn.xlookup(J308,REF!$D$2:$D$12,REF!$E$2:$E$12)</f>
        <v>#NAME?</v>
      </c>
      <c r="L308" s="1" t="s">
        <v>420</v>
      </c>
      <c r="M308" s="20" t="s">
        <v>418</v>
      </c>
      <c r="N308" s="20" t="s">
        <v>252</v>
      </c>
      <c r="O308" s="1" t="s">
        <v>791</v>
      </c>
      <c r="P308" s="1" t="str">
        <f aca="false">_xlfn.CONCAT(B308,C308,D308,E308,F308)</f>
        <v>BC BomSucessoABB_0445997.461111111145997.461111111145997.5173611111</v>
      </c>
      <c r="Q308" s="1" t="str">
        <f aca="false">_xlfn.CONCAT(H308,I308,J308)</f>
        <v>LIGRFOINT</v>
      </c>
    </row>
    <row r="309" customFormat="false" ht="15" hidden="true" customHeight="false" outlineLevel="0" collapsed="false">
      <c r="B309" s="1" t="s">
        <v>672</v>
      </c>
      <c r="C309" s="1" t="s">
        <v>678</v>
      </c>
      <c r="D309" s="14" t="n">
        <v>45997.4611111111</v>
      </c>
      <c r="E309" s="14" t="n">
        <v>45997.4611111111</v>
      </c>
      <c r="F309" s="14" t="n">
        <v>45997.5173611111</v>
      </c>
      <c r="G309" s="15" t="n">
        <f aca="false">F309-E309</f>
        <v>0.05625</v>
      </c>
      <c r="H309" s="20" t="s">
        <v>445</v>
      </c>
      <c r="I309" s="1" t="s">
        <v>263</v>
      </c>
      <c r="J309" s="20" t="s">
        <v>417</v>
      </c>
      <c r="K309" s="1" t="e">
        <f aca="false">_xlfn.xlookup(J309,REF!$D$2:$D$12,REF!$E$2:$E$12)</f>
        <v>#NAME?</v>
      </c>
      <c r="L309" s="1" t="s">
        <v>420</v>
      </c>
      <c r="M309" s="20" t="s">
        <v>418</v>
      </c>
      <c r="N309" s="20" t="s">
        <v>252</v>
      </c>
      <c r="O309" s="1" t="s">
        <v>791</v>
      </c>
      <c r="P309" s="1" t="str">
        <f aca="false">_xlfn.CONCAT(B309,C309,D309,E309,F309)</f>
        <v>BC BomSucessoABB_0545997.461111111145997.461111111145997.5173611111</v>
      </c>
      <c r="Q309" s="1" t="str">
        <f aca="false">_xlfn.CONCAT(H309,I309,J309)</f>
        <v>LIGRFOINT</v>
      </c>
    </row>
    <row r="310" customFormat="false" ht="15" hidden="true" customHeight="false" outlineLevel="0" collapsed="false">
      <c r="B310" s="1" t="s">
        <v>672</v>
      </c>
      <c r="C310" s="1" t="s">
        <v>679</v>
      </c>
      <c r="D310" s="14" t="n">
        <v>45997.4611111111</v>
      </c>
      <c r="E310" s="14" t="n">
        <v>45997.4611111111</v>
      </c>
      <c r="F310" s="14" t="n">
        <v>45997.5173611111</v>
      </c>
      <c r="G310" s="15" t="n">
        <f aca="false">F310-E310</f>
        <v>0.05625</v>
      </c>
      <c r="H310" s="20" t="s">
        <v>445</v>
      </c>
      <c r="I310" s="1" t="s">
        <v>263</v>
      </c>
      <c r="J310" s="20" t="s">
        <v>417</v>
      </c>
      <c r="K310" s="1" t="e">
        <f aca="false">_xlfn.xlookup(J310,REF!$D$2:$D$12,REF!$E$2:$E$12)</f>
        <v>#NAME?</v>
      </c>
      <c r="L310" s="1" t="s">
        <v>420</v>
      </c>
      <c r="M310" s="20" t="s">
        <v>418</v>
      </c>
      <c r="N310" s="20" t="s">
        <v>252</v>
      </c>
      <c r="O310" s="1" t="s">
        <v>791</v>
      </c>
      <c r="P310" s="1" t="str">
        <f aca="false">_xlfn.CONCAT(B310,C310,D310,E310,F310)</f>
        <v>BC BomSucessoABB_0645997.461111111145997.461111111145997.5173611111</v>
      </c>
      <c r="Q310" s="1" t="str">
        <f aca="false">_xlfn.CONCAT(H310,I310,J310)</f>
        <v>LIGRFOINT</v>
      </c>
    </row>
    <row r="311" customFormat="false" ht="15" hidden="true" customHeight="false" outlineLevel="0" collapsed="false">
      <c r="B311" s="1" t="s">
        <v>672</v>
      </c>
      <c r="C311" s="1" t="s">
        <v>680</v>
      </c>
      <c r="D311" s="14" t="n">
        <v>45997.4611111111</v>
      </c>
      <c r="E311" s="14" t="n">
        <v>45997.4611111111</v>
      </c>
      <c r="F311" s="14" t="n">
        <v>45997.5173611111</v>
      </c>
      <c r="G311" s="15" t="n">
        <f aca="false">F311-E311</f>
        <v>0.05625</v>
      </c>
      <c r="H311" s="20" t="s">
        <v>445</v>
      </c>
      <c r="I311" s="1" t="s">
        <v>263</v>
      </c>
      <c r="J311" s="20" t="s">
        <v>417</v>
      </c>
      <c r="K311" s="1" t="e">
        <f aca="false">_xlfn.xlookup(J311,REF!$D$2:$D$12,REF!$E$2:$E$12)</f>
        <v>#NAME?</v>
      </c>
      <c r="L311" s="1" t="s">
        <v>420</v>
      </c>
      <c r="M311" s="20" t="s">
        <v>418</v>
      </c>
      <c r="N311" s="20" t="s">
        <v>252</v>
      </c>
      <c r="O311" s="1" t="s">
        <v>791</v>
      </c>
      <c r="P311" s="1" t="str">
        <f aca="false">_xlfn.CONCAT(B311,C311,D311,E311,F311)</f>
        <v>BC BomSucessoABB_0745997.461111111145997.461111111145997.5173611111</v>
      </c>
      <c r="Q311" s="1" t="str">
        <f aca="false">_xlfn.CONCAT(H311,I311,J311)</f>
        <v>LIGRFOINT</v>
      </c>
    </row>
    <row r="312" customFormat="false" ht="15" hidden="true" customHeight="false" outlineLevel="0" collapsed="false">
      <c r="B312" s="1" t="s">
        <v>672</v>
      </c>
      <c r="C312" s="1" t="s">
        <v>681</v>
      </c>
      <c r="D312" s="14" t="n">
        <v>45997.4611111111</v>
      </c>
      <c r="E312" s="14" t="n">
        <v>45997.4611111111</v>
      </c>
      <c r="F312" s="14" t="n">
        <v>45997.5173611111</v>
      </c>
      <c r="G312" s="15" t="n">
        <f aca="false">F312-E312</f>
        <v>0.05625</v>
      </c>
      <c r="H312" s="20" t="s">
        <v>445</v>
      </c>
      <c r="I312" s="1" t="s">
        <v>263</v>
      </c>
      <c r="J312" s="20" t="s">
        <v>417</v>
      </c>
      <c r="K312" s="1" t="e">
        <f aca="false">_xlfn.xlookup(J312,REF!$D$2:$D$12,REF!$E$2:$E$12)</f>
        <v>#NAME?</v>
      </c>
      <c r="L312" s="1" t="s">
        <v>420</v>
      </c>
      <c r="M312" s="20" t="s">
        <v>418</v>
      </c>
      <c r="N312" s="20" t="s">
        <v>252</v>
      </c>
      <c r="O312" s="1" t="s">
        <v>791</v>
      </c>
      <c r="P312" s="1" t="str">
        <f aca="false">_xlfn.CONCAT(B312,C312,D312,E312,F312)</f>
        <v>BC BomSucessoABB_0845997.461111111145997.461111111145997.5173611111</v>
      </c>
      <c r="Q312" s="1" t="str">
        <f aca="false">_xlfn.CONCAT(H312,I312,J312)</f>
        <v>LIGRFOINT</v>
      </c>
    </row>
    <row r="313" customFormat="false" ht="15" hidden="true" customHeight="false" outlineLevel="0" collapsed="false">
      <c r="B313" s="1" t="s">
        <v>672</v>
      </c>
      <c r="C313" s="1" t="s">
        <v>682</v>
      </c>
      <c r="D313" s="14" t="n">
        <v>45997.4611111111</v>
      </c>
      <c r="E313" s="14" t="n">
        <v>45997.4611111111</v>
      </c>
      <c r="F313" s="14" t="n">
        <v>45997.5173611111</v>
      </c>
      <c r="G313" s="15" t="n">
        <f aca="false">F313-E313</f>
        <v>0.05625</v>
      </c>
      <c r="H313" s="20" t="s">
        <v>445</v>
      </c>
      <c r="I313" s="1" t="s">
        <v>263</v>
      </c>
      <c r="J313" s="20" t="s">
        <v>417</v>
      </c>
      <c r="K313" s="1" t="e">
        <f aca="false">_xlfn.xlookup(J313,REF!$D$2:$D$12,REF!$E$2:$E$12)</f>
        <v>#NAME?</v>
      </c>
      <c r="L313" s="1" t="s">
        <v>420</v>
      </c>
      <c r="M313" s="20" t="s">
        <v>418</v>
      </c>
      <c r="N313" s="20" t="s">
        <v>252</v>
      </c>
      <c r="O313" s="1" t="s">
        <v>791</v>
      </c>
      <c r="P313" s="1" t="str">
        <f aca="false">_xlfn.CONCAT(B313,C313,D313,E313,F313)</f>
        <v>BC BomSucessoABB_0945997.461111111145997.461111111145997.5173611111</v>
      </c>
      <c r="Q313" s="1" t="str">
        <f aca="false">_xlfn.CONCAT(H313,I313,J313)</f>
        <v>LIGRFOINT</v>
      </c>
    </row>
    <row r="314" customFormat="false" ht="15" hidden="true" customHeight="false" outlineLevel="0" collapsed="false">
      <c r="B314" s="1" t="s">
        <v>672</v>
      </c>
      <c r="C314" s="1" t="s">
        <v>683</v>
      </c>
      <c r="D314" s="14" t="n">
        <v>45997.4611111111</v>
      </c>
      <c r="E314" s="14" t="n">
        <v>45997.4611111111</v>
      </c>
      <c r="F314" s="14" t="n">
        <v>45997.5173611111</v>
      </c>
      <c r="G314" s="15" t="n">
        <f aca="false">F314-E314</f>
        <v>0.05625</v>
      </c>
      <c r="H314" s="20" t="s">
        <v>445</v>
      </c>
      <c r="I314" s="1" t="s">
        <v>263</v>
      </c>
      <c r="J314" s="20" t="s">
        <v>417</v>
      </c>
      <c r="K314" s="1" t="e">
        <f aca="false">_xlfn.xlookup(J314,REF!$D$2:$D$12,REF!$E$2:$E$12)</f>
        <v>#NAME?</v>
      </c>
      <c r="L314" s="1" t="s">
        <v>420</v>
      </c>
      <c r="M314" s="20" t="s">
        <v>418</v>
      </c>
      <c r="N314" s="20" t="s">
        <v>252</v>
      </c>
      <c r="O314" s="1" t="s">
        <v>791</v>
      </c>
      <c r="P314" s="1" t="str">
        <f aca="false">_xlfn.CONCAT(B314,C314,D314,E314,F314)</f>
        <v>BC BomSucessoABB_1045997.461111111145997.461111111145997.5173611111</v>
      </c>
      <c r="Q314" s="1" t="str">
        <f aca="false">_xlfn.CONCAT(H314,I314,J314)</f>
        <v>LIGRFOINT</v>
      </c>
    </row>
    <row r="315" customFormat="false" ht="15" hidden="true" customHeight="false" outlineLevel="0" collapsed="false">
      <c r="B315" s="1" t="s">
        <v>672</v>
      </c>
      <c r="C315" s="1" t="s">
        <v>684</v>
      </c>
      <c r="D315" s="14" t="n">
        <v>45997.4611111111</v>
      </c>
      <c r="E315" s="14" t="n">
        <v>45997.4611111111</v>
      </c>
      <c r="F315" s="14" t="n">
        <v>45997.5173611111</v>
      </c>
      <c r="G315" s="15" t="n">
        <f aca="false">F315-E315</f>
        <v>0.05625</v>
      </c>
      <c r="H315" s="20" t="s">
        <v>445</v>
      </c>
      <c r="I315" s="1" t="s">
        <v>263</v>
      </c>
      <c r="J315" s="20" t="s">
        <v>417</v>
      </c>
      <c r="K315" s="1" t="e">
        <f aca="false">_xlfn.xlookup(J315,REF!$D$2:$D$12,REF!$E$2:$E$12)</f>
        <v>#NAME?</v>
      </c>
      <c r="L315" s="1" t="s">
        <v>420</v>
      </c>
      <c r="M315" s="20" t="s">
        <v>418</v>
      </c>
      <c r="N315" s="20" t="s">
        <v>252</v>
      </c>
      <c r="O315" s="1" t="s">
        <v>791</v>
      </c>
      <c r="P315" s="1" t="str">
        <f aca="false">_xlfn.CONCAT(B315,C315,D315,E315,F315)</f>
        <v>BC BomSucessoABB_1145997.461111111145997.461111111145997.5173611111</v>
      </c>
      <c r="Q315" s="1" t="str">
        <f aca="false">_xlfn.CONCAT(H315,I315,J315)</f>
        <v>LIGRFOINT</v>
      </c>
    </row>
    <row r="316" customFormat="false" ht="15" hidden="true" customHeight="false" outlineLevel="0" collapsed="false">
      <c r="B316" s="1" t="s">
        <v>672</v>
      </c>
      <c r="C316" s="1" t="s">
        <v>291</v>
      </c>
      <c r="D316" s="14" t="n">
        <v>45998.2847222222</v>
      </c>
      <c r="E316" s="14" t="n">
        <v>45998.2847222222</v>
      </c>
      <c r="F316" s="14" t="n">
        <v>45998.3958333333</v>
      </c>
      <c r="G316" s="15" t="n">
        <f aca="false">F316-E316</f>
        <v>0.111111111111111</v>
      </c>
      <c r="H316" s="20" t="s">
        <v>445</v>
      </c>
      <c r="I316" s="1" t="s">
        <v>263</v>
      </c>
      <c r="J316" s="20" t="s">
        <v>417</v>
      </c>
      <c r="K316" s="1" t="e">
        <f aca="false">_xlfn.xlookup(J316,REF!$D$2:$D$12,REF!$E$2:$E$12)</f>
        <v>#NAME?</v>
      </c>
      <c r="L316" s="1" t="s">
        <v>420</v>
      </c>
      <c r="M316" s="20" t="s">
        <v>418</v>
      </c>
      <c r="N316" s="20" t="s">
        <v>252</v>
      </c>
      <c r="O316" s="1" t="s">
        <v>791</v>
      </c>
      <c r="P316" s="1" t="str">
        <f aca="false">_xlfn.CONCAT(B316,C316,D316,E316,F316)</f>
        <v>BC BomSucessoSG60KTL45998.284722222245998.284722222245998.3958333333</v>
      </c>
      <c r="Q316" s="1" t="str">
        <f aca="false">_xlfn.CONCAT(H316,I316,J316)</f>
        <v>LIGRFOINT</v>
      </c>
    </row>
    <row r="317" customFormat="false" ht="15" hidden="true" customHeight="false" outlineLevel="0" collapsed="false">
      <c r="B317" s="1" t="s">
        <v>672</v>
      </c>
      <c r="C317" s="1" t="s">
        <v>674</v>
      </c>
      <c r="D317" s="14" t="n">
        <v>45998.2847222222</v>
      </c>
      <c r="E317" s="14" t="n">
        <v>45998.2847222222</v>
      </c>
      <c r="F317" s="14" t="n">
        <v>45998.3958333333</v>
      </c>
      <c r="G317" s="15" t="n">
        <f aca="false">F317-E317</f>
        <v>0.111111111111111</v>
      </c>
      <c r="H317" s="20" t="s">
        <v>445</v>
      </c>
      <c r="I317" s="1" t="s">
        <v>263</v>
      </c>
      <c r="J317" s="20" t="s">
        <v>417</v>
      </c>
      <c r="K317" s="1" t="e">
        <f aca="false">_xlfn.xlookup(J317,REF!$D$2:$D$12,REF!$E$2:$E$12)</f>
        <v>#NAME?</v>
      </c>
      <c r="L317" s="1" t="s">
        <v>420</v>
      </c>
      <c r="M317" s="20" t="s">
        <v>418</v>
      </c>
      <c r="N317" s="20" t="s">
        <v>252</v>
      </c>
      <c r="O317" s="1" t="s">
        <v>791</v>
      </c>
      <c r="P317" s="1" t="str">
        <f aca="false">_xlfn.CONCAT(B317,C317,D317,E317,F317)</f>
        <v>BC BomSucessoABB_0145998.284722222245998.284722222245998.3958333333</v>
      </c>
      <c r="Q317" s="1" t="str">
        <f aca="false">_xlfn.CONCAT(H317,I317,J317)</f>
        <v>LIGRFOINT</v>
      </c>
    </row>
    <row r="318" customFormat="false" ht="15" hidden="true" customHeight="false" outlineLevel="0" collapsed="false">
      <c r="B318" s="1" t="s">
        <v>672</v>
      </c>
      <c r="C318" s="1" t="s">
        <v>675</v>
      </c>
      <c r="D318" s="14" t="n">
        <v>45998.2847222222</v>
      </c>
      <c r="E318" s="14" t="n">
        <v>45998.2847222222</v>
      </c>
      <c r="F318" s="14" t="n">
        <v>45998.3958333333</v>
      </c>
      <c r="G318" s="15" t="n">
        <f aca="false">F318-E318</f>
        <v>0.111111111111111</v>
      </c>
      <c r="H318" s="20" t="s">
        <v>445</v>
      </c>
      <c r="I318" s="1" t="s">
        <v>263</v>
      </c>
      <c r="J318" s="20" t="s">
        <v>417</v>
      </c>
      <c r="K318" s="1" t="e">
        <f aca="false">_xlfn.xlookup(J318,REF!$D$2:$D$12,REF!$E$2:$E$12)</f>
        <v>#NAME?</v>
      </c>
      <c r="L318" s="1" t="s">
        <v>420</v>
      </c>
      <c r="M318" s="20" t="s">
        <v>418</v>
      </c>
      <c r="N318" s="20" t="s">
        <v>252</v>
      </c>
      <c r="O318" s="1" t="s">
        <v>791</v>
      </c>
      <c r="P318" s="1" t="str">
        <f aca="false">_xlfn.CONCAT(B318,C318,D318,E318,F318)</f>
        <v>BC BomSucessoABB_0245998.284722222245998.284722222245998.3958333333</v>
      </c>
      <c r="Q318" s="1" t="str">
        <f aca="false">_xlfn.CONCAT(H318,I318,J318)</f>
        <v>LIGRFOINT</v>
      </c>
    </row>
    <row r="319" customFormat="false" ht="15" hidden="true" customHeight="false" outlineLevel="0" collapsed="false">
      <c r="B319" s="1" t="s">
        <v>672</v>
      </c>
      <c r="C319" s="1" t="s">
        <v>676</v>
      </c>
      <c r="D319" s="14" t="n">
        <v>45998.2847222222</v>
      </c>
      <c r="E319" s="14" t="n">
        <v>45998.2847222222</v>
      </c>
      <c r="F319" s="14" t="n">
        <v>45998.3958333333</v>
      </c>
      <c r="G319" s="15" t="n">
        <f aca="false">F319-E319</f>
        <v>0.111111111111111</v>
      </c>
      <c r="H319" s="20" t="s">
        <v>445</v>
      </c>
      <c r="I319" s="1" t="s">
        <v>263</v>
      </c>
      <c r="J319" s="20" t="s">
        <v>417</v>
      </c>
      <c r="K319" s="1" t="e">
        <f aca="false">_xlfn.xlookup(J319,REF!$D$2:$D$12,REF!$E$2:$E$12)</f>
        <v>#NAME?</v>
      </c>
      <c r="L319" s="1" t="s">
        <v>420</v>
      </c>
      <c r="M319" s="20" t="s">
        <v>418</v>
      </c>
      <c r="N319" s="20" t="s">
        <v>252</v>
      </c>
      <c r="O319" s="1" t="s">
        <v>791</v>
      </c>
      <c r="P319" s="1" t="str">
        <f aca="false">_xlfn.CONCAT(B319,C319,D319,E319,F319)</f>
        <v>BC BomSucessoABB_0345998.284722222245998.284722222245998.3958333333</v>
      </c>
      <c r="Q319" s="1" t="str">
        <f aca="false">_xlfn.CONCAT(H319,I319,J319)</f>
        <v>LIGRFOINT</v>
      </c>
    </row>
    <row r="320" customFormat="false" ht="15" hidden="true" customHeight="false" outlineLevel="0" collapsed="false">
      <c r="B320" s="1" t="s">
        <v>672</v>
      </c>
      <c r="C320" s="1" t="s">
        <v>677</v>
      </c>
      <c r="D320" s="14" t="n">
        <v>45998.2847222222</v>
      </c>
      <c r="E320" s="14" t="n">
        <v>45998.2847222222</v>
      </c>
      <c r="F320" s="14" t="n">
        <v>45998.3958333333</v>
      </c>
      <c r="G320" s="15" t="n">
        <f aca="false">F320-E320</f>
        <v>0.111111111111111</v>
      </c>
      <c r="H320" s="20" t="s">
        <v>445</v>
      </c>
      <c r="I320" s="1" t="s">
        <v>263</v>
      </c>
      <c r="J320" s="20" t="s">
        <v>417</v>
      </c>
      <c r="K320" s="1" t="e">
        <f aca="false">_xlfn.xlookup(J320,REF!$D$2:$D$12,REF!$E$2:$E$12)</f>
        <v>#NAME?</v>
      </c>
      <c r="L320" s="1" t="s">
        <v>420</v>
      </c>
      <c r="M320" s="20" t="s">
        <v>418</v>
      </c>
      <c r="N320" s="20" t="s">
        <v>252</v>
      </c>
      <c r="O320" s="1" t="s">
        <v>791</v>
      </c>
      <c r="P320" s="1" t="str">
        <f aca="false">_xlfn.CONCAT(B320,C320,D320,E320,F320)</f>
        <v>BC BomSucessoABB_0445998.284722222245998.284722222245998.3958333333</v>
      </c>
      <c r="Q320" s="1" t="str">
        <f aca="false">_xlfn.CONCAT(H320,I320,J320)</f>
        <v>LIGRFOINT</v>
      </c>
    </row>
    <row r="321" customFormat="false" ht="15" hidden="true" customHeight="false" outlineLevel="0" collapsed="false">
      <c r="B321" s="1" t="s">
        <v>672</v>
      </c>
      <c r="C321" s="1" t="s">
        <v>678</v>
      </c>
      <c r="D321" s="14" t="n">
        <v>45998.2847222222</v>
      </c>
      <c r="E321" s="14" t="n">
        <v>45998.2847222222</v>
      </c>
      <c r="F321" s="14" t="n">
        <v>45998.3958333333</v>
      </c>
      <c r="G321" s="15" t="n">
        <f aca="false">F321-E321</f>
        <v>0.111111111111111</v>
      </c>
      <c r="H321" s="20" t="s">
        <v>445</v>
      </c>
      <c r="I321" s="1" t="s">
        <v>263</v>
      </c>
      <c r="J321" s="20" t="s">
        <v>417</v>
      </c>
      <c r="K321" s="1" t="e">
        <f aca="false">_xlfn.xlookup(J321,REF!$D$2:$D$12,REF!$E$2:$E$12)</f>
        <v>#NAME?</v>
      </c>
      <c r="L321" s="1" t="s">
        <v>420</v>
      </c>
      <c r="M321" s="20" t="s">
        <v>418</v>
      </c>
      <c r="N321" s="20" t="s">
        <v>252</v>
      </c>
      <c r="O321" s="1" t="s">
        <v>791</v>
      </c>
      <c r="P321" s="1" t="str">
        <f aca="false">_xlfn.CONCAT(B321,C321,D321,E321,F321)</f>
        <v>BC BomSucessoABB_0545998.284722222245998.284722222245998.3958333333</v>
      </c>
      <c r="Q321" s="1" t="str">
        <f aca="false">_xlfn.CONCAT(H321,I321,J321)</f>
        <v>LIGRFOINT</v>
      </c>
    </row>
    <row r="322" customFormat="false" ht="15" hidden="true" customHeight="false" outlineLevel="0" collapsed="false">
      <c r="B322" s="1" t="s">
        <v>672</v>
      </c>
      <c r="C322" s="1" t="s">
        <v>679</v>
      </c>
      <c r="D322" s="14" t="n">
        <v>45998.2847222222</v>
      </c>
      <c r="E322" s="14" t="n">
        <v>45998.2847222222</v>
      </c>
      <c r="F322" s="14" t="n">
        <v>45998.3958333333</v>
      </c>
      <c r="G322" s="15" t="n">
        <f aca="false">F322-E322</f>
        <v>0.111111111111111</v>
      </c>
      <c r="H322" s="20" t="s">
        <v>445</v>
      </c>
      <c r="I322" s="1" t="s">
        <v>263</v>
      </c>
      <c r="J322" s="20" t="s">
        <v>417</v>
      </c>
      <c r="K322" s="1" t="e">
        <f aca="false">_xlfn.xlookup(J322,REF!$D$2:$D$12,REF!$E$2:$E$12)</f>
        <v>#NAME?</v>
      </c>
      <c r="L322" s="1" t="s">
        <v>420</v>
      </c>
      <c r="M322" s="20" t="s">
        <v>418</v>
      </c>
      <c r="N322" s="20" t="s">
        <v>252</v>
      </c>
      <c r="O322" s="1" t="s">
        <v>791</v>
      </c>
      <c r="P322" s="1" t="str">
        <f aca="false">_xlfn.CONCAT(B322,C322,D322,E322,F322)</f>
        <v>BC BomSucessoABB_0645998.284722222245998.284722222245998.3958333333</v>
      </c>
      <c r="Q322" s="1" t="str">
        <f aca="false">_xlfn.CONCAT(H322,I322,J322)</f>
        <v>LIGRFOINT</v>
      </c>
    </row>
    <row r="323" customFormat="false" ht="15" hidden="true" customHeight="false" outlineLevel="0" collapsed="false">
      <c r="B323" s="1" t="s">
        <v>672</v>
      </c>
      <c r="C323" s="1" t="s">
        <v>680</v>
      </c>
      <c r="D323" s="14" t="n">
        <v>45998.2847222222</v>
      </c>
      <c r="E323" s="14" t="n">
        <v>45998.2847222222</v>
      </c>
      <c r="F323" s="14" t="n">
        <v>45998.3958333333</v>
      </c>
      <c r="G323" s="15" t="n">
        <f aca="false">F323-E323</f>
        <v>0.111111111111111</v>
      </c>
      <c r="H323" s="20" t="s">
        <v>445</v>
      </c>
      <c r="I323" s="1" t="s">
        <v>263</v>
      </c>
      <c r="J323" s="20" t="s">
        <v>417</v>
      </c>
      <c r="K323" s="1" t="e">
        <f aca="false">_xlfn.xlookup(J323,REF!$D$2:$D$12,REF!$E$2:$E$12)</f>
        <v>#NAME?</v>
      </c>
      <c r="L323" s="1" t="s">
        <v>420</v>
      </c>
      <c r="M323" s="20" t="s">
        <v>418</v>
      </c>
      <c r="N323" s="20" t="s">
        <v>252</v>
      </c>
      <c r="O323" s="1" t="s">
        <v>791</v>
      </c>
      <c r="P323" s="1" t="str">
        <f aca="false">_xlfn.CONCAT(B323,C323,D323,E323,F323)</f>
        <v>BC BomSucessoABB_0745998.284722222245998.284722222245998.3958333333</v>
      </c>
      <c r="Q323" s="1" t="str">
        <f aca="false">_xlfn.CONCAT(H323,I323,J323)</f>
        <v>LIGRFOINT</v>
      </c>
    </row>
    <row r="324" customFormat="false" ht="15" hidden="true" customHeight="false" outlineLevel="0" collapsed="false">
      <c r="B324" s="1" t="s">
        <v>672</v>
      </c>
      <c r="C324" s="1" t="s">
        <v>681</v>
      </c>
      <c r="D324" s="14" t="n">
        <v>45998.2847222222</v>
      </c>
      <c r="E324" s="14" t="n">
        <v>45998.2847222222</v>
      </c>
      <c r="F324" s="14" t="n">
        <v>45998.3958333333</v>
      </c>
      <c r="G324" s="15" t="n">
        <f aca="false">F324-E324</f>
        <v>0.111111111111111</v>
      </c>
      <c r="H324" s="20" t="s">
        <v>445</v>
      </c>
      <c r="I324" s="1" t="s">
        <v>263</v>
      </c>
      <c r="J324" s="20" t="s">
        <v>417</v>
      </c>
      <c r="K324" s="1" t="e">
        <f aca="false">_xlfn.xlookup(J324,REF!$D$2:$D$12,REF!$E$2:$E$12)</f>
        <v>#NAME?</v>
      </c>
      <c r="L324" s="1" t="s">
        <v>420</v>
      </c>
      <c r="M324" s="20" t="s">
        <v>418</v>
      </c>
      <c r="N324" s="20" t="s">
        <v>252</v>
      </c>
      <c r="O324" s="1" t="s">
        <v>791</v>
      </c>
      <c r="P324" s="1" t="str">
        <f aca="false">_xlfn.CONCAT(B324,C324,D324,E324,F324)</f>
        <v>BC BomSucessoABB_0845998.284722222245998.284722222245998.3958333333</v>
      </c>
      <c r="Q324" s="1" t="str">
        <f aca="false">_xlfn.CONCAT(H324,I324,J324)</f>
        <v>LIGRFOINT</v>
      </c>
    </row>
    <row r="325" customFormat="false" ht="15" hidden="true" customHeight="false" outlineLevel="0" collapsed="false">
      <c r="B325" s="1" t="s">
        <v>672</v>
      </c>
      <c r="C325" s="1" t="s">
        <v>682</v>
      </c>
      <c r="D325" s="14" t="n">
        <v>45998.2847222222</v>
      </c>
      <c r="E325" s="14" t="n">
        <v>45998.2847222222</v>
      </c>
      <c r="F325" s="14" t="n">
        <v>45998.3958333333</v>
      </c>
      <c r="G325" s="15" t="n">
        <f aca="false">F325-E325</f>
        <v>0.111111111111111</v>
      </c>
      <c r="H325" s="20" t="s">
        <v>445</v>
      </c>
      <c r="I325" s="1" t="s">
        <v>263</v>
      </c>
      <c r="J325" s="20" t="s">
        <v>417</v>
      </c>
      <c r="K325" s="1" t="e">
        <f aca="false">_xlfn.xlookup(J325,REF!$D$2:$D$12,REF!$E$2:$E$12)</f>
        <v>#NAME?</v>
      </c>
      <c r="L325" s="1" t="s">
        <v>420</v>
      </c>
      <c r="M325" s="20" t="s">
        <v>418</v>
      </c>
      <c r="N325" s="20" t="s">
        <v>252</v>
      </c>
      <c r="O325" s="1" t="s">
        <v>791</v>
      </c>
      <c r="P325" s="1" t="str">
        <f aca="false">_xlfn.CONCAT(B325,C325,D325,E325,F325)</f>
        <v>BC BomSucessoABB_0945998.284722222245998.284722222245998.3958333333</v>
      </c>
      <c r="Q325" s="1" t="str">
        <f aca="false">_xlfn.CONCAT(H325,I325,J325)</f>
        <v>LIGRFOINT</v>
      </c>
    </row>
    <row r="326" customFormat="false" ht="15" hidden="true" customHeight="false" outlineLevel="0" collapsed="false">
      <c r="B326" s="1" t="s">
        <v>672</v>
      </c>
      <c r="C326" s="1" t="s">
        <v>683</v>
      </c>
      <c r="D326" s="14" t="n">
        <v>45998.2847222222</v>
      </c>
      <c r="E326" s="14" t="n">
        <v>45998.2847222222</v>
      </c>
      <c r="F326" s="14" t="n">
        <v>45998.3958333333</v>
      </c>
      <c r="G326" s="15" t="n">
        <f aca="false">F326-E326</f>
        <v>0.111111111111111</v>
      </c>
      <c r="H326" s="20" t="s">
        <v>445</v>
      </c>
      <c r="I326" s="1" t="s">
        <v>263</v>
      </c>
      <c r="J326" s="20" t="s">
        <v>417</v>
      </c>
      <c r="K326" s="1" t="e">
        <f aca="false">_xlfn.xlookup(J326,REF!$D$2:$D$12,REF!$E$2:$E$12)</f>
        <v>#NAME?</v>
      </c>
      <c r="L326" s="1" t="s">
        <v>420</v>
      </c>
      <c r="M326" s="20" t="s">
        <v>418</v>
      </c>
      <c r="N326" s="20" t="s">
        <v>252</v>
      </c>
      <c r="O326" s="1" t="s">
        <v>791</v>
      </c>
      <c r="P326" s="1" t="str">
        <f aca="false">_xlfn.CONCAT(B326,C326,D326,E326,F326)</f>
        <v>BC BomSucessoABB_1045998.284722222245998.284722222245998.3958333333</v>
      </c>
      <c r="Q326" s="1" t="str">
        <f aca="false">_xlfn.CONCAT(H326,I326,J326)</f>
        <v>LIGRFOINT</v>
      </c>
    </row>
    <row r="327" customFormat="false" ht="15" hidden="true" customHeight="false" outlineLevel="0" collapsed="false">
      <c r="B327" s="1" t="s">
        <v>672</v>
      </c>
      <c r="C327" s="1" t="s">
        <v>684</v>
      </c>
      <c r="D327" s="14" t="n">
        <v>45998.2847222222</v>
      </c>
      <c r="E327" s="14" t="n">
        <v>45998.2847222222</v>
      </c>
      <c r="F327" s="14" t="n">
        <v>45998.3958333333</v>
      </c>
      <c r="G327" s="15" t="n">
        <f aca="false">F327-E327</f>
        <v>0.111111111111111</v>
      </c>
      <c r="H327" s="20" t="s">
        <v>445</v>
      </c>
      <c r="I327" s="1" t="s">
        <v>263</v>
      </c>
      <c r="J327" s="20" t="s">
        <v>417</v>
      </c>
      <c r="K327" s="1" t="e">
        <f aca="false">_xlfn.xlookup(J327,REF!$D$2:$D$12,REF!$E$2:$E$12)</f>
        <v>#NAME?</v>
      </c>
      <c r="L327" s="1" t="s">
        <v>420</v>
      </c>
      <c r="M327" s="20" t="s">
        <v>418</v>
      </c>
      <c r="N327" s="20" t="s">
        <v>252</v>
      </c>
      <c r="O327" s="1" t="s">
        <v>791</v>
      </c>
      <c r="P327" s="1" t="str">
        <f aca="false">_xlfn.CONCAT(B327,C327,D327,E327,F327)</f>
        <v>BC BomSucessoABB_1145998.284722222245998.284722222245998.3958333333</v>
      </c>
      <c r="Q327" s="1" t="str">
        <f aca="false">_xlfn.CONCAT(H327,I327,J327)</f>
        <v>LIGRFOINT</v>
      </c>
    </row>
    <row r="328" customFormat="false" ht="15" hidden="true" customHeight="false" outlineLevel="0" collapsed="false">
      <c r="B328" s="1" t="s">
        <v>382</v>
      </c>
      <c r="C328" s="1" t="s">
        <v>383</v>
      </c>
      <c r="D328" s="14" t="n">
        <v>45998.2951388889</v>
      </c>
      <c r="E328" s="14" t="n">
        <v>45998.2951388889</v>
      </c>
      <c r="F328" s="14" t="n">
        <v>45998.3513888889</v>
      </c>
      <c r="G328" s="15" t="n">
        <f aca="false">F328-E328</f>
        <v>0.05625</v>
      </c>
      <c r="H328" s="20" t="s">
        <v>248</v>
      </c>
      <c r="J328" s="20" t="s">
        <v>256</v>
      </c>
      <c r="K328" s="1" t="e">
        <f aca="false">_xlfn.xlookup(J328,REF!$D$2:$D$12,REF!$E$2:$E$12)</f>
        <v>#NAME?</v>
      </c>
      <c r="L328" s="1" t="s">
        <v>735</v>
      </c>
      <c r="M328" s="20" t="s">
        <v>258</v>
      </c>
      <c r="N328" s="20" t="s">
        <v>259</v>
      </c>
      <c r="O328" s="1" t="s">
        <v>736</v>
      </c>
      <c r="P328" s="1" t="str">
        <f aca="false">_xlfn.CONCAT(B328,C328,D328,E328,F328)</f>
        <v>ARAGUATINS 1.3Inverter(MBUS-20)45998.295138888945998.295138888945998.3513888889</v>
      </c>
      <c r="Q328" s="1" t="str">
        <f aca="false">_xlfn.CONCAT(H328,I328,J328)</f>
        <v>DAURDE</v>
      </c>
    </row>
    <row r="329" customFormat="false" ht="15" hidden="true" customHeight="false" outlineLevel="0" collapsed="false">
      <c r="B329" s="1" t="s">
        <v>382</v>
      </c>
      <c r="C329" s="1" t="s">
        <v>255</v>
      </c>
      <c r="D329" s="14" t="n">
        <v>45998.2951388889</v>
      </c>
      <c r="E329" s="14" t="n">
        <v>45998.2951388889</v>
      </c>
      <c r="F329" s="14" t="n">
        <v>45998.3513888889</v>
      </c>
      <c r="G329" s="15" t="n">
        <f aca="false">F329-E329</f>
        <v>0.05625</v>
      </c>
      <c r="H329" s="20" t="s">
        <v>248</v>
      </c>
      <c r="J329" s="20" t="s">
        <v>256</v>
      </c>
      <c r="K329" s="1" t="e">
        <f aca="false">_xlfn.xlookup(J329,REF!$D$2:$D$12,REF!$E$2:$E$12)</f>
        <v>#NAME?</v>
      </c>
      <c r="L329" s="1" t="s">
        <v>735</v>
      </c>
      <c r="M329" s="20" t="s">
        <v>258</v>
      </c>
      <c r="N329" s="20" t="s">
        <v>259</v>
      </c>
      <c r="O329" s="1" t="s">
        <v>736</v>
      </c>
      <c r="P329" s="1" t="str">
        <f aca="false">_xlfn.CONCAT(B329,C329,D329,E329,F329)</f>
        <v>ARAGUATINS 1.3Inverter(MBUS-1)45998.295138888945998.295138888945998.3513888889</v>
      </c>
      <c r="Q329" s="1" t="str">
        <f aca="false">_xlfn.CONCAT(H329,I329,J329)</f>
        <v>DAURDE</v>
      </c>
    </row>
    <row r="330" customFormat="false" ht="15" hidden="true" customHeight="false" outlineLevel="0" collapsed="false">
      <c r="B330" s="1" t="s">
        <v>792</v>
      </c>
      <c r="C330" s="1" t="s">
        <v>312</v>
      </c>
      <c r="D330" s="14" t="n">
        <v>45998.3784722222</v>
      </c>
      <c r="E330" s="14" t="n">
        <v>45998.3784722222</v>
      </c>
      <c r="F330" s="14" t="n">
        <v>45998.69375</v>
      </c>
      <c r="G330" s="15" t="n">
        <f aca="false">F330-E330</f>
        <v>0.315277777777778</v>
      </c>
      <c r="H330" s="20" t="s">
        <v>248</v>
      </c>
      <c r="J330" s="20" t="s">
        <v>256</v>
      </c>
      <c r="K330" s="1" t="e">
        <f aca="false">_xlfn.xlookup(J330,REF!$D$2:$D$12,REF!$E$2:$E$12)</f>
        <v>#NAME?</v>
      </c>
      <c r="L330" s="1" t="s">
        <v>793</v>
      </c>
      <c r="M330" s="20" t="s">
        <v>258</v>
      </c>
      <c r="N330" s="20" t="s">
        <v>379</v>
      </c>
      <c r="O330" s="1" t="s">
        <v>399</v>
      </c>
      <c r="P330" s="1" t="str">
        <f aca="false">_xlfn.CONCAT(B330,C330,D330,E330,F330)</f>
        <v>Araçu IVSG75CX(COM1-018)_001_01845998.378472222245998.378472222245998.69375</v>
      </c>
      <c r="Q330" s="1" t="str">
        <f aca="false">_xlfn.CONCAT(H330,I330,J330)</f>
        <v>DAURDE</v>
      </c>
    </row>
    <row r="331" customFormat="false" ht="15" hidden="true" customHeight="false" outlineLevel="0" collapsed="false">
      <c r="B331" s="1" t="s">
        <v>792</v>
      </c>
      <c r="C331" s="1" t="s">
        <v>317</v>
      </c>
      <c r="D331" s="14" t="n">
        <v>45998.3784722222</v>
      </c>
      <c r="E331" s="14" t="n">
        <v>45998.3784722222</v>
      </c>
      <c r="F331" s="14" t="n">
        <v>45998.69375</v>
      </c>
      <c r="G331" s="15" t="n">
        <f aca="false">F331-E331</f>
        <v>0.315277777777778</v>
      </c>
      <c r="H331" s="20" t="s">
        <v>248</v>
      </c>
      <c r="J331" s="20" t="s">
        <v>256</v>
      </c>
      <c r="K331" s="1" t="e">
        <f aca="false">_xlfn.xlookup(J331,REF!$D$2:$D$12,REF!$E$2:$E$12)</f>
        <v>#NAME?</v>
      </c>
      <c r="L331" s="1" t="s">
        <v>793</v>
      </c>
      <c r="M331" s="20" t="s">
        <v>258</v>
      </c>
      <c r="N331" s="20" t="s">
        <v>379</v>
      </c>
      <c r="O331" s="1" t="s">
        <v>399</v>
      </c>
      <c r="P331" s="1" t="str">
        <f aca="false">_xlfn.CONCAT(B331,C331,D331,E331,F331)</f>
        <v>Araçu IVSG75CX(COM1-019)_001_01945998.378472222245998.378472222245998.69375</v>
      </c>
      <c r="Q331" s="1" t="str">
        <f aca="false">_xlfn.CONCAT(H331,I331,J331)</f>
        <v>DAURDE</v>
      </c>
    </row>
    <row r="332" customFormat="false" ht="15" hidden="true" customHeight="false" outlineLevel="0" collapsed="false">
      <c r="B332" s="1" t="s">
        <v>792</v>
      </c>
      <c r="C332" s="1" t="s">
        <v>318</v>
      </c>
      <c r="D332" s="14" t="n">
        <v>45998.3784722222</v>
      </c>
      <c r="E332" s="14" t="n">
        <v>45998.3784722222</v>
      </c>
      <c r="F332" s="14" t="n">
        <v>45998.69375</v>
      </c>
      <c r="G332" s="15" t="n">
        <f aca="false">F332-E332</f>
        <v>0.315277777777778</v>
      </c>
      <c r="H332" s="20" t="s">
        <v>248</v>
      </c>
      <c r="J332" s="20" t="s">
        <v>256</v>
      </c>
      <c r="K332" s="1" t="e">
        <f aca="false">_xlfn.xlookup(J332,REF!$D$2:$D$12,REF!$E$2:$E$12)</f>
        <v>#NAME?</v>
      </c>
      <c r="L332" s="1" t="s">
        <v>793</v>
      </c>
      <c r="M332" s="20" t="s">
        <v>258</v>
      </c>
      <c r="N332" s="20" t="s">
        <v>379</v>
      </c>
      <c r="O332" s="1" t="s">
        <v>399</v>
      </c>
      <c r="P332" s="1" t="str">
        <f aca="false">_xlfn.CONCAT(B332,C332,D332,E332,F332)</f>
        <v>Araçu IVSG75CX(COM1-020)_001_02045998.378472222245998.378472222245998.69375</v>
      </c>
      <c r="Q332" s="1" t="str">
        <f aca="false">_xlfn.CONCAT(H332,I332,J332)</f>
        <v>DAURDE</v>
      </c>
    </row>
    <row r="333" customFormat="false" ht="15" hidden="true" customHeight="false" outlineLevel="0" collapsed="false">
      <c r="B333" s="1" t="s">
        <v>792</v>
      </c>
      <c r="C333" s="1" t="s">
        <v>319</v>
      </c>
      <c r="D333" s="14" t="n">
        <v>45998.3784722222</v>
      </c>
      <c r="E333" s="14" t="n">
        <v>45998.3784722222</v>
      </c>
      <c r="F333" s="14" t="n">
        <v>45998.69375</v>
      </c>
      <c r="G333" s="15" t="n">
        <f aca="false">F333-E333</f>
        <v>0.315277777777778</v>
      </c>
      <c r="H333" s="20" t="s">
        <v>248</v>
      </c>
      <c r="J333" s="20" t="s">
        <v>256</v>
      </c>
      <c r="K333" s="1" t="e">
        <f aca="false">_xlfn.xlookup(J333,REF!$D$2:$D$12,REF!$E$2:$E$12)</f>
        <v>#NAME?</v>
      </c>
      <c r="L333" s="1" t="s">
        <v>793</v>
      </c>
      <c r="M333" s="20" t="s">
        <v>258</v>
      </c>
      <c r="N333" s="20" t="s">
        <v>379</v>
      </c>
      <c r="O333" s="1" t="s">
        <v>399</v>
      </c>
      <c r="P333" s="1" t="str">
        <f aca="false">_xlfn.CONCAT(B333,C333,D333,E333,F333)</f>
        <v>Araçu IVSG75CX(COM1-021)_001_02145998.378472222245998.378472222245998.69375</v>
      </c>
      <c r="Q333" s="1" t="str">
        <f aca="false">_xlfn.CONCAT(H333,I333,J333)</f>
        <v>DAURDE</v>
      </c>
    </row>
    <row r="334" customFormat="false" ht="15" hidden="false" customHeight="false" outlineLevel="0" collapsed="false">
      <c r="B334" s="1" t="s">
        <v>643</v>
      </c>
      <c r="C334" s="1" t="s">
        <v>644</v>
      </c>
      <c r="D334" s="14" t="n">
        <v>45999.2722222222</v>
      </c>
      <c r="E334" s="14" t="n">
        <v>45999.2722222222</v>
      </c>
      <c r="F334" s="14" t="n">
        <v>45999.3215277778</v>
      </c>
      <c r="G334" s="15" t="n">
        <f aca="false">F334-E334</f>
        <v>0.0493055555555556</v>
      </c>
      <c r="H334" s="20" t="s">
        <v>445</v>
      </c>
      <c r="I334" s="1" t="s">
        <v>263</v>
      </c>
      <c r="J334" s="20" t="s">
        <v>264</v>
      </c>
      <c r="K334" s="1" t="e">
        <f aca="false">_xlfn.xlookup(J334,REF!$D$2:$D$12,REF!$E$2:$E$12)</f>
        <v>#NAME?</v>
      </c>
      <c r="L334" s="1" t="s">
        <v>424</v>
      </c>
      <c r="M334" s="20" t="s">
        <v>266</v>
      </c>
      <c r="N334" s="20" t="s">
        <v>252</v>
      </c>
      <c r="O334" s="1" t="s">
        <v>794</v>
      </c>
      <c r="P334" s="1" t="str">
        <f aca="false">_xlfn.CONCAT(B334,C334,D334,E334,F334)</f>
        <v>BC Rio Bonito2INV-00145999.272222222245999.272222222245999.3215277778</v>
      </c>
      <c r="Q334" s="1" t="str">
        <f aca="false">_xlfn.CONCAT(H334,I334,J334)</f>
        <v>LIGRFOCOM</v>
      </c>
    </row>
    <row r="335" customFormat="false" ht="15" hidden="false" customHeight="false" outlineLevel="0" collapsed="false">
      <c r="B335" s="1" t="s">
        <v>643</v>
      </c>
      <c r="C335" s="1" t="s">
        <v>647</v>
      </c>
      <c r="D335" s="14" t="n">
        <v>45999.2722222222</v>
      </c>
      <c r="E335" s="14" t="n">
        <v>45999.2722222222</v>
      </c>
      <c r="F335" s="14" t="n">
        <v>45999.3215277778</v>
      </c>
      <c r="G335" s="15" t="n">
        <f aca="false">F335-E335</f>
        <v>0.0493055555555556</v>
      </c>
      <c r="H335" s="20" t="s">
        <v>445</v>
      </c>
      <c r="I335" s="1" t="s">
        <v>263</v>
      </c>
      <c r="J335" s="20" t="s">
        <v>264</v>
      </c>
      <c r="K335" s="1" t="e">
        <f aca="false">_xlfn.xlookup(J335,REF!$D$2:$D$12,REF!$E$2:$E$12)</f>
        <v>#NAME?</v>
      </c>
      <c r="L335" s="1" t="s">
        <v>424</v>
      </c>
      <c r="M335" s="20" t="s">
        <v>266</v>
      </c>
      <c r="N335" s="20" t="s">
        <v>252</v>
      </c>
      <c r="O335" s="1" t="s">
        <v>794</v>
      </c>
      <c r="P335" s="1" t="str">
        <f aca="false">_xlfn.CONCAT(B335,C335,D335,E335,F335)</f>
        <v>BC Rio Bonito2INV-00245999.272222222245999.272222222245999.3215277778</v>
      </c>
      <c r="Q335" s="1" t="str">
        <f aca="false">_xlfn.CONCAT(H335,I335,J335)</f>
        <v>LIGRFOCOM</v>
      </c>
    </row>
    <row r="336" customFormat="false" ht="15" hidden="false" customHeight="false" outlineLevel="0" collapsed="false">
      <c r="B336" s="1" t="s">
        <v>643</v>
      </c>
      <c r="C336" s="1" t="s">
        <v>648</v>
      </c>
      <c r="D336" s="14" t="n">
        <v>45999.2722222222</v>
      </c>
      <c r="E336" s="14" t="n">
        <v>45999.2722222222</v>
      </c>
      <c r="F336" s="14" t="n">
        <v>45999.3215277778</v>
      </c>
      <c r="G336" s="15" t="n">
        <f aca="false">F336-E336</f>
        <v>0.0493055555555556</v>
      </c>
      <c r="H336" s="20" t="s">
        <v>445</v>
      </c>
      <c r="I336" s="1" t="s">
        <v>263</v>
      </c>
      <c r="J336" s="20" t="s">
        <v>264</v>
      </c>
      <c r="K336" s="1" t="e">
        <f aca="false">_xlfn.xlookup(J336,REF!$D$2:$D$12,REF!$E$2:$E$12)</f>
        <v>#NAME?</v>
      </c>
      <c r="L336" s="1" t="s">
        <v>424</v>
      </c>
      <c r="M336" s="20" t="s">
        <v>266</v>
      </c>
      <c r="N336" s="20" t="s">
        <v>252</v>
      </c>
      <c r="O336" s="1" t="s">
        <v>794</v>
      </c>
      <c r="P336" s="1" t="str">
        <f aca="false">_xlfn.CONCAT(B336,C336,D336,E336,F336)</f>
        <v>BC Rio Bonito2INV-00345999.272222222245999.272222222245999.3215277778</v>
      </c>
      <c r="Q336" s="1" t="str">
        <f aca="false">_xlfn.CONCAT(H336,I336,J336)</f>
        <v>LIGRFOCOM</v>
      </c>
    </row>
    <row r="337" customFormat="false" ht="15" hidden="false" customHeight="false" outlineLevel="0" collapsed="false">
      <c r="B337" s="1" t="s">
        <v>643</v>
      </c>
      <c r="C337" s="1" t="s">
        <v>649</v>
      </c>
      <c r="D337" s="14" t="n">
        <v>45999.2722222222</v>
      </c>
      <c r="E337" s="14" t="n">
        <v>45999.2722222222</v>
      </c>
      <c r="F337" s="14" t="n">
        <v>45999.3215277778</v>
      </c>
      <c r="G337" s="15" t="n">
        <f aca="false">F337-E337</f>
        <v>0.0493055555555556</v>
      </c>
      <c r="H337" s="20" t="s">
        <v>445</v>
      </c>
      <c r="I337" s="1" t="s">
        <v>263</v>
      </c>
      <c r="J337" s="20" t="s">
        <v>264</v>
      </c>
      <c r="K337" s="1" t="e">
        <f aca="false">_xlfn.xlookup(J337,REF!$D$2:$D$12,REF!$E$2:$E$12)</f>
        <v>#NAME?</v>
      </c>
      <c r="L337" s="1" t="s">
        <v>424</v>
      </c>
      <c r="M337" s="20" t="s">
        <v>266</v>
      </c>
      <c r="N337" s="20" t="s">
        <v>252</v>
      </c>
      <c r="O337" s="1" t="s">
        <v>794</v>
      </c>
      <c r="P337" s="1" t="str">
        <f aca="false">_xlfn.CONCAT(B337,C337,D337,E337,F337)</f>
        <v>BC Rio Bonito2INV-00445999.272222222245999.272222222245999.3215277778</v>
      </c>
      <c r="Q337" s="1" t="str">
        <f aca="false">_xlfn.CONCAT(H337,I337,J337)</f>
        <v>LIGRFOCOM</v>
      </c>
    </row>
    <row r="338" customFormat="false" ht="15" hidden="true" customHeight="false" outlineLevel="0" collapsed="false">
      <c r="B338" s="1" t="s">
        <v>795</v>
      </c>
      <c r="C338" s="1" t="s">
        <v>586</v>
      </c>
      <c r="D338" s="14" t="n">
        <v>45999.2986111111</v>
      </c>
      <c r="E338" s="14" t="n">
        <v>45999.2986111111</v>
      </c>
      <c r="F338" s="14" t="n">
        <v>45999.5791666667</v>
      </c>
      <c r="G338" s="15" t="n">
        <f aca="false">F338-E338</f>
        <v>0.280555555555556</v>
      </c>
      <c r="H338" s="20" t="s">
        <v>248</v>
      </c>
      <c r="J338" s="20" t="s">
        <v>256</v>
      </c>
      <c r="K338" s="1" t="e">
        <f aca="false">_xlfn.xlookup(J338,REF!$D$2:$D$12,REF!$E$2:$E$12)</f>
        <v>#NAME?</v>
      </c>
      <c r="L338" s="1" t="s">
        <v>735</v>
      </c>
      <c r="M338" s="20" t="s">
        <v>258</v>
      </c>
      <c r="N338" s="20" t="s">
        <v>259</v>
      </c>
      <c r="O338" s="1" t="s">
        <v>736</v>
      </c>
      <c r="P338" s="1" t="str">
        <f aca="false">_xlfn.CONCAT(B338,C338,D338,E338,F338)</f>
        <v>BC Rio Monte 3Inverter4145999.298611111145999.298611111145999.5791666667</v>
      </c>
      <c r="Q338" s="1" t="str">
        <f aca="false">_xlfn.CONCAT(H338,I338,J338)</f>
        <v>DAURDE</v>
      </c>
    </row>
    <row r="339" customFormat="false" ht="15" hidden="true" customHeight="false" outlineLevel="0" collapsed="false">
      <c r="B339" s="1" t="s">
        <v>795</v>
      </c>
      <c r="C339" s="1" t="s">
        <v>737</v>
      </c>
      <c r="D339" s="14" t="n">
        <v>45999.2986111111</v>
      </c>
      <c r="E339" s="14" t="n">
        <v>45999.2986111111</v>
      </c>
      <c r="F339" s="14" t="n">
        <v>45999.5791666667</v>
      </c>
      <c r="G339" s="15" t="n">
        <f aca="false">F339-E339</f>
        <v>0.280555555555556</v>
      </c>
      <c r="H339" s="20" t="s">
        <v>248</v>
      </c>
      <c r="J339" s="20" t="s">
        <v>256</v>
      </c>
      <c r="K339" s="1" t="e">
        <f aca="false">_xlfn.xlookup(J339,REF!$D$2:$D$12,REF!$E$2:$E$12)</f>
        <v>#NAME?</v>
      </c>
      <c r="L339" s="1" t="s">
        <v>735</v>
      </c>
      <c r="M339" s="20" t="s">
        <v>258</v>
      </c>
      <c r="N339" s="20" t="s">
        <v>259</v>
      </c>
      <c r="O339" s="1" t="s">
        <v>736</v>
      </c>
      <c r="P339" s="1" t="str">
        <f aca="false">_xlfn.CONCAT(B339,C339,D339,E339,F339)</f>
        <v>BC Rio Monte 3Inverter4745999.298611111145999.298611111145999.5791666667</v>
      </c>
      <c r="Q339" s="1" t="str">
        <f aca="false">_xlfn.CONCAT(H339,I339,J339)</f>
        <v>DAURDE</v>
      </c>
    </row>
    <row r="340" customFormat="false" ht="15" hidden="true" customHeight="false" outlineLevel="0" collapsed="false">
      <c r="B340" s="1" t="s">
        <v>795</v>
      </c>
      <c r="C340" s="1" t="s">
        <v>582</v>
      </c>
      <c r="D340" s="14" t="n">
        <v>45999.2986111111</v>
      </c>
      <c r="E340" s="14" t="n">
        <v>45999.2986111111</v>
      </c>
      <c r="F340" s="14" t="n">
        <v>45999.5791666667</v>
      </c>
      <c r="G340" s="15" t="n">
        <f aca="false">F340-E340</f>
        <v>0.280555555555556</v>
      </c>
      <c r="H340" s="20" t="s">
        <v>248</v>
      </c>
      <c r="J340" s="20" t="s">
        <v>256</v>
      </c>
      <c r="K340" s="1" t="e">
        <f aca="false">_xlfn.xlookup(J340,REF!$D$2:$D$12,REF!$E$2:$E$12)</f>
        <v>#NAME?</v>
      </c>
      <c r="L340" s="1" t="s">
        <v>735</v>
      </c>
      <c r="M340" s="20" t="s">
        <v>258</v>
      </c>
      <c r="N340" s="20" t="s">
        <v>259</v>
      </c>
      <c r="O340" s="1" t="s">
        <v>736</v>
      </c>
      <c r="P340" s="1" t="str">
        <f aca="false">_xlfn.CONCAT(B340,C340,D340,E340,F340)</f>
        <v>BC Rio Monte 3Inverter3545999.298611111145999.298611111145999.5791666667</v>
      </c>
      <c r="Q340" s="1" t="str">
        <f aca="false">_xlfn.CONCAT(H340,I340,J340)</f>
        <v>DAURDE</v>
      </c>
    </row>
    <row r="341" customFormat="false" ht="15" hidden="true" customHeight="false" outlineLevel="0" collapsed="false">
      <c r="B341" s="1" t="s">
        <v>795</v>
      </c>
      <c r="C341" s="1" t="s">
        <v>594</v>
      </c>
      <c r="D341" s="14" t="n">
        <v>45999.2986111111</v>
      </c>
      <c r="E341" s="14" t="n">
        <v>45999.2986111111</v>
      </c>
      <c r="F341" s="14" t="n">
        <v>45999.5791666667</v>
      </c>
      <c r="G341" s="15" t="n">
        <f aca="false">F341-E341</f>
        <v>0.280555555555556</v>
      </c>
      <c r="H341" s="20" t="s">
        <v>248</v>
      </c>
      <c r="J341" s="20" t="s">
        <v>256</v>
      </c>
      <c r="K341" s="1" t="e">
        <f aca="false">_xlfn.xlookup(J341,REF!$D$2:$D$12,REF!$E$2:$E$12)</f>
        <v>#NAME?</v>
      </c>
      <c r="L341" s="1" t="s">
        <v>735</v>
      </c>
      <c r="M341" s="20" t="s">
        <v>258</v>
      </c>
      <c r="N341" s="20" t="s">
        <v>259</v>
      </c>
      <c r="O341" s="1" t="s">
        <v>736</v>
      </c>
      <c r="P341" s="1" t="str">
        <f aca="false">_xlfn.CONCAT(B341,C341,D341,E341,F341)</f>
        <v>BC Rio Monte 3Inverter3645999.298611111145999.298611111145999.5791666667</v>
      </c>
      <c r="Q341" s="1" t="str">
        <f aca="false">_xlfn.CONCAT(H341,I341,J341)</f>
        <v>DAURDE</v>
      </c>
    </row>
    <row r="342" customFormat="false" ht="15" hidden="true" customHeight="false" outlineLevel="0" collapsed="false">
      <c r="B342" s="1" t="s">
        <v>795</v>
      </c>
      <c r="C342" s="1" t="s">
        <v>596</v>
      </c>
      <c r="D342" s="14" t="n">
        <v>45999.2986111111</v>
      </c>
      <c r="E342" s="14" t="n">
        <v>45999.2986111111</v>
      </c>
      <c r="F342" s="14" t="n">
        <v>45999.5791666667</v>
      </c>
      <c r="G342" s="15" t="n">
        <f aca="false">F342-E342</f>
        <v>0.280555555555556</v>
      </c>
      <c r="H342" s="20" t="s">
        <v>248</v>
      </c>
      <c r="J342" s="20" t="s">
        <v>256</v>
      </c>
      <c r="K342" s="1" t="e">
        <f aca="false">_xlfn.xlookup(J342,REF!$D$2:$D$12,REF!$E$2:$E$12)</f>
        <v>#NAME?</v>
      </c>
      <c r="L342" s="1" t="s">
        <v>735</v>
      </c>
      <c r="M342" s="20" t="s">
        <v>258</v>
      </c>
      <c r="N342" s="20" t="s">
        <v>259</v>
      </c>
      <c r="O342" s="1" t="s">
        <v>736</v>
      </c>
      <c r="P342" s="1" t="str">
        <f aca="false">_xlfn.CONCAT(B342,C342,D342,E342,F342)</f>
        <v>BC Rio Monte 3Inverter3145999.298611111145999.298611111145999.5791666667</v>
      </c>
      <c r="Q342" s="1" t="str">
        <f aca="false">_xlfn.CONCAT(H342,I342,J342)</f>
        <v>DAURDE</v>
      </c>
    </row>
    <row r="343" customFormat="false" ht="15" hidden="true" customHeight="false" outlineLevel="0" collapsed="false">
      <c r="B343" s="1" t="s">
        <v>795</v>
      </c>
      <c r="C343" s="1" t="s">
        <v>592</v>
      </c>
      <c r="D343" s="14" t="n">
        <v>45999.2986111111</v>
      </c>
      <c r="E343" s="14" t="n">
        <v>45999.2986111111</v>
      </c>
      <c r="F343" s="14" t="n">
        <v>45999.5791666667</v>
      </c>
      <c r="G343" s="15" t="n">
        <f aca="false">F343-E343</f>
        <v>0.280555555555556</v>
      </c>
      <c r="H343" s="20" t="s">
        <v>248</v>
      </c>
      <c r="J343" s="20" t="s">
        <v>256</v>
      </c>
      <c r="K343" s="1" t="e">
        <f aca="false">_xlfn.xlookup(J343,REF!$D$2:$D$12,REF!$E$2:$E$12)</f>
        <v>#NAME?</v>
      </c>
      <c r="L343" s="1" t="s">
        <v>735</v>
      </c>
      <c r="M343" s="20" t="s">
        <v>258</v>
      </c>
      <c r="N343" s="20" t="s">
        <v>259</v>
      </c>
      <c r="O343" s="1" t="s">
        <v>736</v>
      </c>
      <c r="P343" s="1" t="str">
        <f aca="false">_xlfn.CONCAT(B343,C343,D343,E343,F343)</f>
        <v>BC Rio Monte 3Inverter3345999.298611111145999.298611111145999.5791666667</v>
      </c>
      <c r="Q343" s="1" t="str">
        <f aca="false">_xlfn.CONCAT(H343,I343,J343)</f>
        <v>DAURDE</v>
      </c>
    </row>
    <row r="344" customFormat="false" ht="15" hidden="true" customHeight="false" outlineLevel="0" collapsed="false">
      <c r="B344" s="1" t="s">
        <v>795</v>
      </c>
      <c r="C344" s="1" t="s">
        <v>595</v>
      </c>
      <c r="D344" s="14" t="n">
        <v>45999.2986111111</v>
      </c>
      <c r="E344" s="14" t="n">
        <v>45999.2986111111</v>
      </c>
      <c r="F344" s="14" t="n">
        <v>45999.5791666667</v>
      </c>
      <c r="G344" s="15" t="n">
        <f aca="false">F344-E344</f>
        <v>0.280555555555556</v>
      </c>
      <c r="H344" s="20" t="s">
        <v>248</v>
      </c>
      <c r="J344" s="20" t="s">
        <v>256</v>
      </c>
      <c r="K344" s="1" t="e">
        <f aca="false">_xlfn.xlookup(J344,REF!$D$2:$D$12,REF!$E$2:$E$12)</f>
        <v>#NAME?</v>
      </c>
      <c r="L344" s="1" t="s">
        <v>735</v>
      </c>
      <c r="M344" s="20" t="s">
        <v>258</v>
      </c>
      <c r="N344" s="20" t="s">
        <v>259</v>
      </c>
      <c r="O344" s="1" t="s">
        <v>736</v>
      </c>
      <c r="P344" s="1" t="str">
        <f aca="false">_xlfn.CONCAT(B344,C344,D344,E344,F344)</f>
        <v>BC Rio Monte 3Inverter3945999.298611111145999.298611111145999.5791666667</v>
      </c>
      <c r="Q344" s="1" t="str">
        <f aca="false">_xlfn.CONCAT(H344,I344,J344)</f>
        <v>DAURDE</v>
      </c>
    </row>
    <row r="345" customFormat="false" ht="15" hidden="true" customHeight="false" outlineLevel="0" collapsed="false">
      <c r="B345" s="1" t="s">
        <v>795</v>
      </c>
      <c r="C345" s="1" t="s">
        <v>599</v>
      </c>
      <c r="D345" s="14" t="n">
        <v>45999.2986111111</v>
      </c>
      <c r="E345" s="14" t="n">
        <v>45999.2986111111</v>
      </c>
      <c r="F345" s="14" t="n">
        <v>45999.5791666667</v>
      </c>
      <c r="G345" s="15" t="n">
        <f aca="false">F345-E345</f>
        <v>0.280555555555556</v>
      </c>
      <c r="H345" s="20" t="s">
        <v>248</v>
      </c>
      <c r="J345" s="20" t="s">
        <v>256</v>
      </c>
      <c r="K345" s="1" t="e">
        <f aca="false">_xlfn.xlookup(J345,REF!$D$2:$D$12,REF!$E$2:$E$12)</f>
        <v>#NAME?</v>
      </c>
      <c r="L345" s="1" t="s">
        <v>735</v>
      </c>
      <c r="M345" s="20" t="s">
        <v>258</v>
      </c>
      <c r="N345" s="20" t="s">
        <v>259</v>
      </c>
      <c r="O345" s="1" t="s">
        <v>736</v>
      </c>
      <c r="P345" s="1" t="str">
        <f aca="false">_xlfn.CONCAT(B345,C345,D345,E345,F345)</f>
        <v>BC Rio Monte 3Inverter3245999.298611111145999.298611111145999.5791666667</v>
      </c>
      <c r="Q345" s="1" t="str">
        <f aca="false">_xlfn.CONCAT(H345,I345,J345)</f>
        <v>DAURDE</v>
      </c>
    </row>
    <row r="346" customFormat="false" ht="15" hidden="true" customHeight="false" outlineLevel="0" collapsed="false">
      <c r="B346" s="1" t="s">
        <v>795</v>
      </c>
      <c r="C346" s="1" t="s">
        <v>584</v>
      </c>
      <c r="D346" s="14" t="n">
        <v>45999.2986111111</v>
      </c>
      <c r="E346" s="14" t="n">
        <v>45999.2986111111</v>
      </c>
      <c r="F346" s="14" t="n">
        <v>45999.5791666667</v>
      </c>
      <c r="G346" s="15" t="n">
        <f aca="false">F346-E346</f>
        <v>0.280555555555556</v>
      </c>
      <c r="H346" s="20" t="s">
        <v>248</v>
      </c>
      <c r="J346" s="20" t="s">
        <v>256</v>
      </c>
      <c r="K346" s="1" t="e">
        <f aca="false">_xlfn.xlookup(J346,REF!$D$2:$D$12,REF!$E$2:$E$12)</f>
        <v>#NAME?</v>
      </c>
      <c r="L346" s="1" t="s">
        <v>735</v>
      </c>
      <c r="M346" s="20" t="s">
        <v>258</v>
      </c>
      <c r="N346" s="20" t="s">
        <v>259</v>
      </c>
      <c r="O346" s="1" t="s">
        <v>736</v>
      </c>
      <c r="P346" s="1" t="str">
        <f aca="false">_xlfn.CONCAT(B346,C346,D346,E346,F346)</f>
        <v>BC Rio Monte 3Inverter4045999.298611111145999.298611111145999.5791666667</v>
      </c>
      <c r="Q346" s="1" t="str">
        <f aca="false">_xlfn.CONCAT(H346,I346,J346)</f>
        <v>DAURDE</v>
      </c>
    </row>
    <row r="347" customFormat="false" ht="15" hidden="true" customHeight="false" outlineLevel="0" collapsed="false">
      <c r="B347" s="1" t="s">
        <v>795</v>
      </c>
      <c r="C347" s="1" t="s">
        <v>590</v>
      </c>
      <c r="D347" s="14" t="n">
        <v>45999.2986111111</v>
      </c>
      <c r="E347" s="14" t="n">
        <v>45999.2986111111</v>
      </c>
      <c r="F347" s="14" t="n">
        <v>45999.5791666667</v>
      </c>
      <c r="G347" s="15" t="n">
        <f aca="false">F347-E347</f>
        <v>0.280555555555556</v>
      </c>
      <c r="H347" s="20" t="s">
        <v>248</v>
      </c>
      <c r="J347" s="20" t="s">
        <v>256</v>
      </c>
      <c r="K347" s="1" t="e">
        <f aca="false">_xlfn.xlookup(J347,REF!$D$2:$D$12,REF!$E$2:$E$12)</f>
        <v>#NAME?</v>
      </c>
      <c r="L347" s="1" t="s">
        <v>735</v>
      </c>
      <c r="M347" s="20" t="s">
        <v>258</v>
      </c>
      <c r="N347" s="20" t="s">
        <v>259</v>
      </c>
      <c r="O347" s="1" t="s">
        <v>736</v>
      </c>
      <c r="P347" s="1" t="str">
        <f aca="false">_xlfn.CONCAT(B347,C347,D347,E347,F347)</f>
        <v>BC Rio Monte 3Inverter3445999.298611111145999.298611111145999.5791666667</v>
      </c>
      <c r="Q347" s="1" t="str">
        <f aca="false">_xlfn.CONCAT(H347,I347,J347)</f>
        <v>DAURDE</v>
      </c>
    </row>
    <row r="348" customFormat="false" ht="15" hidden="true" customHeight="false" outlineLevel="0" collapsed="false">
      <c r="B348" s="1" t="s">
        <v>254</v>
      </c>
      <c r="C348" s="1" t="s">
        <v>255</v>
      </c>
      <c r="D348" s="14" t="n">
        <v>45999.4708333333</v>
      </c>
      <c r="E348" s="14" t="n">
        <v>45999.4708333333</v>
      </c>
      <c r="F348" s="14" t="n">
        <v>45999.4763888889</v>
      </c>
      <c r="G348" s="15" t="n">
        <f aca="false">F348-E348</f>
        <v>0.00555555555555556</v>
      </c>
      <c r="H348" s="20" t="s">
        <v>248</v>
      </c>
      <c r="J348" s="20" t="s">
        <v>256</v>
      </c>
      <c r="K348" s="1" t="e">
        <f aca="false">_xlfn.xlookup(J348,REF!$D$2:$D$12,REF!$E$2:$E$12)</f>
        <v>#NAME?</v>
      </c>
      <c r="L348" s="1" t="s">
        <v>576</v>
      </c>
      <c r="M348" s="20" t="s">
        <v>787</v>
      </c>
      <c r="N348" s="20" t="s">
        <v>379</v>
      </c>
      <c r="O348" s="1" t="s">
        <v>790</v>
      </c>
      <c r="P348" s="1" t="str">
        <f aca="false">_xlfn.CONCAT(B348,C348,D348,E348,F348)</f>
        <v>BC Aracu5.1Inverter(MBUS-1)45999.470833333345999.470833333345999.4763888889</v>
      </c>
      <c r="Q348" s="1" t="str">
        <f aca="false">_xlfn.CONCAT(H348,I348,J348)</f>
        <v>DAURDE</v>
      </c>
    </row>
    <row r="349" customFormat="false" ht="15" hidden="true" customHeight="false" outlineLevel="0" collapsed="false">
      <c r="B349" s="1" t="s">
        <v>307</v>
      </c>
      <c r="C349" s="1" t="s">
        <v>255</v>
      </c>
      <c r="D349" s="14" t="n">
        <v>45999.4708333333</v>
      </c>
      <c r="E349" s="14" t="n">
        <v>45999.4708333333</v>
      </c>
      <c r="F349" s="14" t="n">
        <v>45999.4763888889</v>
      </c>
      <c r="G349" s="15" t="n">
        <f aca="false">F349-E349</f>
        <v>0.00555555555555556</v>
      </c>
      <c r="H349" s="20" t="s">
        <v>248</v>
      </c>
      <c r="J349" s="20" t="s">
        <v>256</v>
      </c>
      <c r="K349" s="1" t="e">
        <f aca="false">_xlfn.xlookup(J349,REF!$D$2:$D$12,REF!$E$2:$E$12)</f>
        <v>#NAME?</v>
      </c>
      <c r="L349" s="1" t="s">
        <v>576</v>
      </c>
      <c r="M349" s="20" t="s">
        <v>787</v>
      </c>
      <c r="N349" s="20" t="s">
        <v>379</v>
      </c>
      <c r="O349" s="1" t="s">
        <v>790</v>
      </c>
      <c r="P349" s="1" t="str">
        <f aca="false">_xlfn.CONCAT(B349,C349,D349,E349,F349)</f>
        <v>BC Aracu5.2Inverter(MBUS-1)45999.470833333345999.470833333345999.4763888889</v>
      </c>
      <c r="Q349" s="1" t="str">
        <f aca="false">_xlfn.CONCAT(H349,I349,J349)</f>
        <v>DAURDE</v>
      </c>
    </row>
    <row r="350" customFormat="false" ht="15" hidden="true" customHeight="false" outlineLevel="0" collapsed="false">
      <c r="B350" s="1" t="s">
        <v>308</v>
      </c>
      <c r="C350" s="1" t="s">
        <v>255</v>
      </c>
      <c r="D350" s="14" t="n">
        <v>45999.4708333333</v>
      </c>
      <c r="E350" s="14" t="n">
        <v>45999.4708333333</v>
      </c>
      <c r="F350" s="14" t="n">
        <v>45999.4763888889</v>
      </c>
      <c r="G350" s="15" t="n">
        <f aca="false">F350-E350</f>
        <v>0.00555555555555556</v>
      </c>
      <c r="H350" s="20" t="s">
        <v>248</v>
      </c>
      <c r="J350" s="20" t="s">
        <v>256</v>
      </c>
      <c r="K350" s="1" t="e">
        <f aca="false">_xlfn.xlookup(J350,REF!$D$2:$D$12,REF!$E$2:$E$12)</f>
        <v>#NAME?</v>
      </c>
      <c r="L350" s="1" t="s">
        <v>576</v>
      </c>
      <c r="M350" s="20" t="s">
        <v>787</v>
      </c>
      <c r="N350" s="20" t="s">
        <v>379</v>
      </c>
      <c r="O350" s="1" t="s">
        <v>790</v>
      </c>
      <c r="P350" s="1" t="str">
        <f aca="false">_xlfn.CONCAT(B350,C350,D350,E350,F350)</f>
        <v>BC Aracu5.3Inverter(MBUS-1)45999.470833333345999.470833333345999.4763888889</v>
      </c>
      <c r="Q350" s="1" t="str">
        <f aca="false">_xlfn.CONCAT(H350,I350,J350)</f>
        <v>DAURDE</v>
      </c>
    </row>
    <row r="351" customFormat="false" ht="15" hidden="true" customHeight="false" outlineLevel="0" collapsed="false">
      <c r="B351" s="1" t="s">
        <v>309</v>
      </c>
      <c r="C351" s="1" t="s">
        <v>255</v>
      </c>
      <c r="D351" s="14" t="n">
        <v>45999.4708333333</v>
      </c>
      <c r="E351" s="14" t="n">
        <v>45999.4708333333</v>
      </c>
      <c r="F351" s="14" t="n">
        <v>45999.4763888889</v>
      </c>
      <c r="G351" s="15" t="n">
        <f aca="false">F351-E351</f>
        <v>0.00555555555555556</v>
      </c>
      <c r="H351" s="20" t="s">
        <v>248</v>
      </c>
      <c r="J351" s="20" t="s">
        <v>256</v>
      </c>
      <c r="K351" s="1" t="e">
        <f aca="false">_xlfn.xlookup(J351,REF!$D$2:$D$12,REF!$E$2:$E$12)</f>
        <v>#NAME?</v>
      </c>
      <c r="L351" s="1" t="s">
        <v>576</v>
      </c>
      <c r="M351" s="20" t="s">
        <v>787</v>
      </c>
      <c r="N351" s="20" t="s">
        <v>379</v>
      </c>
      <c r="O351" s="1" t="s">
        <v>790</v>
      </c>
      <c r="P351" s="1" t="str">
        <f aca="false">_xlfn.CONCAT(B351,C351,D351,E351,F351)</f>
        <v>BC Aracu5.4Inverter(MBUS-1)45999.470833333345999.470833333345999.4763888889</v>
      </c>
      <c r="Q351" s="1" t="str">
        <f aca="false">_xlfn.CONCAT(H351,I351,J351)</f>
        <v>DAURDE</v>
      </c>
    </row>
    <row r="352" customFormat="false" ht="15" hidden="true" customHeight="false" outlineLevel="0" collapsed="false">
      <c r="B352" s="1" t="s">
        <v>310</v>
      </c>
      <c r="C352" s="1" t="s">
        <v>255</v>
      </c>
      <c r="D352" s="14" t="n">
        <v>45999.4708333333</v>
      </c>
      <c r="E352" s="14" t="n">
        <v>45999.4708333333</v>
      </c>
      <c r="F352" s="14" t="n">
        <v>45999.4763888889</v>
      </c>
      <c r="G352" s="15" t="n">
        <f aca="false">F352-E352</f>
        <v>0.00555555555555556</v>
      </c>
      <c r="H352" s="20" t="s">
        <v>248</v>
      </c>
      <c r="J352" s="20" t="s">
        <v>256</v>
      </c>
      <c r="K352" s="1" t="e">
        <f aca="false">_xlfn.xlookup(J352,REF!$D$2:$D$12,REF!$E$2:$E$12)</f>
        <v>#NAME?</v>
      </c>
      <c r="L352" s="1" t="s">
        <v>576</v>
      </c>
      <c r="M352" s="20" t="s">
        <v>787</v>
      </c>
      <c r="N352" s="20" t="s">
        <v>379</v>
      </c>
      <c r="O352" s="1" t="s">
        <v>790</v>
      </c>
      <c r="P352" s="1" t="str">
        <f aca="false">_xlfn.CONCAT(B352,C352,D352,E352,F352)</f>
        <v>BC Aracu5.5Inverter(MBUS-1)45999.470833333345999.470833333345999.4763888889</v>
      </c>
      <c r="Q352" s="1" t="str">
        <f aca="false">_xlfn.CONCAT(H352,I352,J352)</f>
        <v>DAURDE</v>
      </c>
    </row>
    <row r="353" customFormat="false" ht="15" hidden="true" customHeight="false" outlineLevel="0" collapsed="false">
      <c r="B353" s="1" t="s">
        <v>795</v>
      </c>
      <c r="C353" s="1" t="s">
        <v>586</v>
      </c>
      <c r="D353" s="14" t="n">
        <v>46000.2673611111</v>
      </c>
      <c r="E353" s="14" t="n">
        <v>46000.2673611111</v>
      </c>
      <c r="F353" s="14" t="n">
        <v>46000.3645833333</v>
      </c>
      <c r="G353" s="15" t="n">
        <f aca="false">F353-E353</f>
        <v>0.0972222222222222</v>
      </c>
      <c r="H353" s="20" t="s">
        <v>248</v>
      </c>
      <c r="J353" s="20" t="s">
        <v>256</v>
      </c>
      <c r="K353" s="1" t="e">
        <f aca="false">_xlfn.xlookup(J353,REF!$D$2:$D$12,REF!$E$2:$E$12)</f>
        <v>#NAME?</v>
      </c>
      <c r="L353" s="1" t="s">
        <v>686</v>
      </c>
      <c r="M353" s="20" t="s">
        <v>258</v>
      </c>
      <c r="N353" s="20" t="s">
        <v>259</v>
      </c>
      <c r="O353" s="1" t="s">
        <v>760</v>
      </c>
      <c r="P353" s="1" t="str">
        <f aca="false">_xlfn.CONCAT(B353,C353,D353,E353,F353)</f>
        <v>BC Rio Monte 3Inverter4146000.267361111146000.267361111146000.3645833333</v>
      </c>
      <c r="Q353" s="1" t="str">
        <f aca="false">_xlfn.CONCAT(H353,I353,J353)</f>
        <v>DAURDE</v>
      </c>
    </row>
    <row r="354" customFormat="false" ht="15" hidden="true" customHeight="false" outlineLevel="0" collapsed="false">
      <c r="B354" s="1" t="s">
        <v>795</v>
      </c>
      <c r="C354" s="1" t="s">
        <v>737</v>
      </c>
      <c r="D354" s="14" t="n">
        <v>46000.2673611111</v>
      </c>
      <c r="E354" s="14" t="n">
        <v>46000.2673611111</v>
      </c>
      <c r="F354" s="14" t="n">
        <v>46000.3645833333</v>
      </c>
      <c r="G354" s="15" t="n">
        <f aca="false">F354-E354</f>
        <v>0.0972222222222222</v>
      </c>
      <c r="H354" s="20" t="s">
        <v>248</v>
      </c>
      <c r="J354" s="20" t="s">
        <v>256</v>
      </c>
      <c r="K354" s="1" t="e">
        <f aca="false">_xlfn.xlookup(J354,REF!$D$2:$D$12,REF!$E$2:$E$12)</f>
        <v>#NAME?</v>
      </c>
      <c r="L354" s="1" t="s">
        <v>686</v>
      </c>
      <c r="M354" s="20" t="s">
        <v>258</v>
      </c>
      <c r="N354" s="20" t="s">
        <v>259</v>
      </c>
      <c r="O354" s="1" t="s">
        <v>760</v>
      </c>
      <c r="P354" s="1" t="str">
        <f aca="false">_xlfn.CONCAT(B354,C354,D354,E354,F354)</f>
        <v>BC Rio Monte 3Inverter4746000.267361111146000.267361111146000.3645833333</v>
      </c>
      <c r="Q354" s="1" t="str">
        <f aca="false">_xlfn.CONCAT(H354,I354,J354)</f>
        <v>DAURDE</v>
      </c>
    </row>
    <row r="355" customFormat="false" ht="15" hidden="true" customHeight="false" outlineLevel="0" collapsed="false">
      <c r="B355" s="1" t="s">
        <v>795</v>
      </c>
      <c r="C355" s="1" t="s">
        <v>582</v>
      </c>
      <c r="D355" s="14" t="n">
        <v>46000.2673611111</v>
      </c>
      <c r="E355" s="14" t="n">
        <v>46000.2673611111</v>
      </c>
      <c r="F355" s="14" t="n">
        <v>46000.3645833333</v>
      </c>
      <c r="G355" s="15" t="n">
        <f aca="false">F355-E355</f>
        <v>0.0972222222222222</v>
      </c>
      <c r="H355" s="20" t="s">
        <v>248</v>
      </c>
      <c r="J355" s="20" t="s">
        <v>256</v>
      </c>
      <c r="K355" s="1" t="e">
        <f aca="false">_xlfn.xlookup(J355,REF!$D$2:$D$12,REF!$E$2:$E$12)</f>
        <v>#NAME?</v>
      </c>
      <c r="L355" s="1" t="s">
        <v>686</v>
      </c>
      <c r="M355" s="20" t="s">
        <v>258</v>
      </c>
      <c r="N355" s="20" t="s">
        <v>259</v>
      </c>
      <c r="O355" s="1" t="s">
        <v>760</v>
      </c>
      <c r="P355" s="1" t="str">
        <f aca="false">_xlfn.CONCAT(B355,C355,D355,E355,F355)</f>
        <v>BC Rio Monte 3Inverter3546000.267361111146000.267361111146000.3645833333</v>
      </c>
      <c r="Q355" s="1" t="str">
        <f aca="false">_xlfn.CONCAT(H355,I355,J355)</f>
        <v>DAURDE</v>
      </c>
    </row>
    <row r="356" customFormat="false" ht="15" hidden="true" customHeight="false" outlineLevel="0" collapsed="false">
      <c r="B356" s="1" t="s">
        <v>795</v>
      </c>
      <c r="C356" s="1" t="s">
        <v>594</v>
      </c>
      <c r="D356" s="14" t="n">
        <v>46000.2673611111</v>
      </c>
      <c r="E356" s="14" t="n">
        <v>46000.2673611111</v>
      </c>
      <c r="F356" s="14" t="n">
        <v>46000.3645833333</v>
      </c>
      <c r="G356" s="15" t="n">
        <f aca="false">F356-E356</f>
        <v>0.0972222222222222</v>
      </c>
      <c r="H356" s="20" t="s">
        <v>248</v>
      </c>
      <c r="J356" s="20" t="s">
        <v>256</v>
      </c>
      <c r="K356" s="1" t="e">
        <f aca="false">_xlfn.xlookup(J356,REF!$D$2:$D$12,REF!$E$2:$E$12)</f>
        <v>#NAME?</v>
      </c>
      <c r="L356" s="1" t="s">
        <v>686</v>
      </c>
      <c r="M356" s="20" t="s">
        <v>258</v>
      </c>
      <c r="N356" s="20" t="s">
        <v>259</v>
      </c>
      <c r="O356" s="1" t="s">
        <v>760</v>
      </c>
      <c r="P356" s="1" t="str">
        <f aca="false">_xlfn.CONCAT(B356,C356,D356,E356,F356)</f>
        <v>BC Rio Monte 3Inverter3646000.267361111146000.267361111146000.3645833333</v>
      </c>
      <c r="Q356" s="1" t="str">
        <f aca="false">_xlfn.CONCAT(H356,I356,J356)</f>
        <v>DAURDE</v>
      </c>
    </row>
    <row r="357" customFormat="false" ht="15" hidden="true" customHeight="false" outlineLevel="0" collapsed="false">
      <c r="B357" s="1" t="s">
        <v>795</v>
      </c>
      <c r="C357" s="1" t="s">
        <v>596</v>
      </c>
      <c r="D357" s="14" t="n">
        <v>46000.2673611111</v>
      </c>
      <c r="E357" s="14" t="n">
        <v>46000.2673611111</v>
      </c>
      <c r="F357" s="14" t="n">
        <v>46000.3645833333</v>
      </c>
      <c r="G357" s="15" t="n">
        <f aca="false">F357-E357</f>
        <v>0.0972222222222222</v>
      </c>
      <c r="H357" s="20" t="s">
        <v>248</v>
      </c>
      <c r="J357" s="20" t="s">
        <v>256</v>
      </c>
      <c r="K357" s="1" t="e">
        <f aca="false">_xlfn.xlookup(J357,REF!$D$2:$D$12,REF!$E$2:$E$12)</f>
        <v>#NAME?</v>
      </c>
      <c r="L357" s="1" t="s">
        <v>686</v>
      </c>
      <c r="M357" s="20" t="s">
        <v>258</v>
      </c>
      <c r="N357" s="20" t="s">
        <v>259</v>
      </c>
      <c r="O357" s="1" t="s">
        <v>760</v>
      </c>
      <c r="P357" s="1" t="str">
        <f aca="false">_xlfn.CONCAT(B357,C357,D357,E357,F357)</f>
        <v>BC Rio Monte 3Inverter3146000.267361111146000.267361111146000.3645833333</v>
      </c>
      <c r="Q357" s="1" t="str">
        <f aca="false">_xlfn.CONCAT(H357,I357,J357)</f>
        <v>DAURDE</v>
      </c>
    </row>
    <row r="358" customFormat="false" ht="15" hidden="true" customHeight="false" outlineLevel="0" collapsed="false">
      <c r="B358" s="1" t="s">
        <v>795</v>
      </c>
      <c r="C358" s="1" t="s">
        <v>592</v>
      </c>
      <c r="D358" s="14" t="n">
        <v>46000.2673611111</v>
      </c>
      <c r="E358" s="14" t="n">
        <v>46000.2673611111</v>
      </c>
      <c r="F358" s="14" t="n">
        <v>46000.3645833333</v>
      </c>
      <c r="G358" s="15" t="n">
        <f aca="false">F358-E358</f>
        <v>0.0972222222222222</v>
      </c>
      <c r="H358" s="20" t="s">
        <v>248</v>
      </c>
      <c r="J358" s="20" t="s">
        <v>256</v>
      </c>
      <c r="K358" s="1" t="e">
        <f aca="false">_xlfn.xlookup(J358,REF!$D$2:$D$12,REF!$E$2:$E$12)</f>
        <v>#NAME?</v>
      </c>
      <c r="L358" s="1" t="s">
        <v>686</v>
      </c>
      <c r="M358" s="20" t="s">
        <v>258</v>
      </c>
      <c r="N358" s="20" t="s">
        <v>259</v>
      </c>
      <c r="O358" s="1" t="s">
        <v>760</v>
      </c>
      <c r="P358" s="1" t="str">
        <f aca="false">_xlfn.CONCAT(B358,C358,D358,E358,F358)</f>
        <v>BC Rio Monte 3Inverter3346000.267361111146000.267361111146000.3645833333</v>
      </c>
      <c r="Q358" s="1" t="str">
        <f aca="false">_xlfn.CONCAT(H358,I358,J358)</f>
        <v>DAURDE</v>
      </c>
    </row>
    <row r="359" customFormat="false" ht="15" hidden="true" customHeight="false" outlineLevel="0" collapsed="false">
      <c r="B359" s="1" t="s">
        <v>795</v>
      </c>
      <c r="C359" s="1" t="s">
        <v>595</v>
      </c>
      <c r="D359" s="14" t="n">
        <v>46000.2673611111</v>
      </c>
      <c r="E359" s="14" t="n">
        <v>46000.2673611111</v>
      </c>
      <c r="F359" s="14" t="n">
        <v>46000.3645833333</v>
      </c>
      <c r="G359" s="15" t="n">
        <f aca="false">F359-E359</f>
        <v>0.0972222222222222</v>
      </c>
      <c r="H359" s="20" t="s">
        <v>248</v>
      </c>
      <c r="J359" s="20" t="s">
        <v>256</v>
      </c>
      <c r="K359" s="1" t="e">
        <f aca="false">_xlfn.xlookup(J359,REF!$D$2:$D$12,REF!$E$2:$E$12)</f>
        <v>#NAME?</v>
      </c>
      <c r="L359" s="1" t="s">
        <v>686</v>
      </c>
      <c r="M359" s="20" t="s">
        <v>258</v>
      </c>
      <c r="N359" s="20" t="s">
        <v>259</v>
      </c>
      <c r="O359" s="1" t="s">
        <v>760</v>
      </c>
      <c r="P359" s="1" t="str">
        <f aca="false">_xlfn.CONCAT(B359,C359,D359,E359,F359)</f>
        <v>BC Rio Monte 3Inverter3946000.267361111146000.267361111146000.3645833333</v>
      </c>
      <c r="Q359" s="1" t="str">
        <f aca="false">_xlfn.CONCAT(H359,I359,J359)</f>
        <v>DAURDE</v>
      </c>
    </row>
    <row r="360" customFormat="false" ht="15" hidden="true" customHeight="false" outlineLevel="0" collapsed="false">
      <c r="B360" s="1" t="s">
        <v>795</v>
      </c>
      <c r="C360" s="1" t="s">
        <v>599</v>
      </c>
      <c r="D360" s="14" t="n">
        <v>46000.2673611111</v>
      </c>
      <c r="E360" s="14" t="n">
        <v>46000.2673611111</v>
      </c>
      <c r="F360" s="14" t="n">
        <v>46000.3645833333</v>
      </c>
      <c r="G360" s="15" t="n">
        <f aca="false">F360-E360</f>
        <v>0.0972222222222222</v>
      </c>
      <c r="H360" s="20" t="s">
        <v>248</v>
      </c>
      <c r="J360" s="20" t="s">
        <v>256</v>
      </c>
      <c r="K360" s="1" t="e">
        <f aca="false">_xlfn.xlookup(J360,REF!$D$2:$D$12,REF!$E$2:$E$12)</f>
        <v>#NAME?</v>
      </c>
      <c r="L360" s="1" t="s">
        <v>686</v>
      </c>
      <c r="M360" s="20" t="s">
        <v>258</v>
      </c>
      <c r="N360" s="20" t="s">
        <v>259</v>
      </c>
      <c r="O360" s="1" t="s">
        <v>760</v>
      </c>
      <c r="P360" s="1" t="str">
        <f aca="false">_xlfn.CONCAT(B360,C360,D360,E360,F360)</f>
        <v>BC Rio Monte 3Inverter3246000.267361111146000.267361111146000.3645833333</v>
      </c>
      <c r="Q360" s="1" t="str">
        <f aca="false">_xlfn.CONCAT(H360,I360,J360)</f>
        <v>DAURDE</v>
      </c>
    </row>
    <row r="361" customFormat="false" ht="15" hidden="true" customHeight="false" outlineLevel="0" collapsed="false">
      <c r="B361" s="1" t="s">
        <v>795</v>
      </c>
      <c r="C361" s="1" t="s">
        <v>584</v>
      </c>
      <c r="D361" s="14" t="n">
        <v>46000.2673611111</v>
      </c>
      <c r="E361" s="14" t="n">
        <v>46000.2673611111</v>
      </c>
      <c r="F361" s="14" t="n">
        <v>46000.3645833333</v>
      </c>
      <c r="G361" s="15" t="n">
        <f aca="false">F361-E361</f>
        <v>0.0972222222222222</v>
      </c>
      <c r="H361" s="20" t="s">
        <v>248</v>
      </c>
      <c r="J361" s="20" t="s">
        <v>256</v>
      </c>
      <c r="K361" s="1" t="e">
        <f aca="false">_xlfn.xlookup(J361,REF!$D$2:$D$12,REF!$E$2:$E$12)</f>
        <v>#NAME?</v>
      </c>
      <c r="L361" s="1" t="s">
        <v>686</v>
      </c>
      <c r="M361" s="20" t="s">
        <v>258</v>
      </c>
      <c r="N361" s="20" t="s">
        <v>259</v>
      </c>
      <c r="O361" s="1" t="s">
        <v>760</v>
      </c>
      <c r="P361" s="1" t="str">
        <f aca="false">_xlfn.CONCAT(B361,C361,D361,E361,F361)</f>
        <v>BC Rio Monte 3Inverter4046000.267361111146000.267361111146000.3645833333</v>
      </c>
      <c r="Q361" s="1" t="str">
        <f aca="false">_xlfn.CONCAT(H361,I361,J361)</f>
        <v>DAURDE</v>
      </c>
    </row>
    <row r="362" customFormat="false" ht="15" hidden="true" customHeight="false" outlineLevel="0" collapsed="false">
      <c r="B362" s="1" t="s">
        <v>795</v>
      </c>
      <c r="C362" s="1" t="s">
        <v>590</v>
      </c>
      <c r="D362" s="14" t="n">
        <v>46000.2673611111</v>
      </c>
      <c r="E362" s="14" t="n">
        <v>46000.2673611111</v>
      </c>
      <c r="F362" s="14" t="n">
        <v>46000.3645833333</v>
      </c>
      <c r="G362" s="15" t="n">
        <f aca="false">F362-E362</f>
        <v>0.0972222222222222</v>
      </c>
      <c r="H362" s="20" t="s">
        <v>248</v>
      </c>
      <c r="J362" s="20" t="s">
        <v>256</v>
      </c>
      <c r="K362" s="1" t="e">
        <f aca="false">_xlfn.xlookup(J362,REF!$D$2:$D$12,REF!$E$2:$E$12)</f>
        <v>#NAME?</v>
      </c>
      <c r="L362" s="1" t="s">
        <v>686</v>
      </c>
      <c r="M362" s="20" t="s">
        <v>258</v>
      </c>
      <c r="N362" s="20" t="s">
        <v>259</v>
      </c>
      <c r="O362" s="1" t="s">
        <v>760</v>
      </c>
      <c r="P362" s="1" t="str">
        <f aca="false">_xlfn.CONCAT(B362,C362,D362,E362,F362)</f>
        <v>BC Rio Monte 3Inverter3446000.267361111146000.267361111146000.3645833333</v>
      </c>
      <c r="Q362" s="1" t="str">
        <f aca="false">_xlfn.CONCAT(H362,I362,J362)</f>
        <v>DAURDE</v>
      </c>
    </row>
    <row r="363" customFormat="false" ht="15" hidden="true" customHeight="false" outlineLevel="0" collapsed="false">
      <c r="B363" s="1" t="s">
        <v>276</v>
      </c>
      <c r="C363" s="1" t="s">
        <v>255</v>
      </c>
      <c r="D363" s="14" t="n">
        <v>46012.5833333333</v>
      </c>
      <c r="E363" s="14" t="n">
        <v>46012.5833333333</v>
      </c>
      <c r="F363" s="14" t="n">
        <v>46012.6597222222</v>
      </c>
      <c r="G363" s="15" t="n">
        <f aca="false">F363-E363</f>
        <v>0.0763888888888889</v>
      </c>
      <c r="H363" s="20" t="s">
        <v>248</v>
      </c>
      <c r="J363" s="20" t="s">
        <v>256</v>
      </c>
      <c r="K363" s="1" t="e">
        <f aca="false">_xlfn.xlookup(J363,REF!$D$2:$D$12,REF!$E$2:$E$12)</f>
        <v>#NAME?</v>
      </c>
      <c r="L363" s="1" t="s">
        <v>735</v>
      </c>
      <c r="M363" s="20" t="s">
        <v>258</v>
      </c>
      <c r="N363" s="20" t="s">
        <v>259</v>
      </c>
      <c r="O363" s="1" t="s">
        <v>736</v>
      </c>
      <c r="P363" s="1" t="str">
        <f aca="false">_xlfn.CONCAT(B363,C363,D363,E363,F363)</f>
        <v>ARAGUATINS 2.1Inverter(MBUS-1)46012.583333333346012.583333333346012.6597222222</v>
      </c>
      <c r="Q363" s="1" t="str">
        <f aca="false">_xlfn.CONCAT(H363,I363,J363)</f>
        <v>DAURDE</v>
      </c>
    </row>
    <row r="364" customFormat="false" ht="15" hidden="true" customHeight="false" outlineLevel="0" collapsed="false">
      <c r="B364" s="1" t="s">
        <v>386</v>
      </c>
      <c r="C364" s="1" t="s">
        <v>279</v>
      </c>
      <c r="D364" s="14" t="n">
        <v>46012.5833333333</v>
      </c>
      <c r="E364" s="14" t="n">
        <v>46012.5833333333</v>
      </c>
      <c r="F364" s="14" t="n">
        <v>46012.6597222222</v>
      </c>
      <c r="G364" s="15" t="n">
        <f aca="false">F364-E364</f>
        <v>0.0763888888888889</v>
      </c>
      <c r="H364" s="20" t="s">
        <v>248</v>
      </c>
      <c r="J364" s="20" t="s">
        <v>256</v>
      </c>
      <c r="K364" s="1" t="e">
        <f aca="false">_xlfn.xlookup(J364,REF!$D$2:$D$12,REF!$E$2:$E$12)</f>
        <v>#NAME?</v>
      </c>
      <c r="L364" s="1" t="s">
        <v>735</v>
      </c>
      <c r="M364" s="20" t="s">
        <v>258</v>
      </c>
      <c r="N364" s="20" t="s">
        <v>259</v>
      </c>
      <c r="O364" s="1" t="s">
        <v>736</v>
      </c>
      <c r="P364" s="1" t="str">
        <f aca="false">_xlfn.CONCAT(B364,C364,D364,E364,F364)</f>
        <v>ARAGUATINS 2.2Inverter(MBUS-15)46012.583333333346012.583333333346012.6597222222</v>
      </c>
      <c r="Q364" s="1" t="str">
        <f aca="false">_xlfn.CONCAT(H364,I364,J364)</f>
        <v>DAURDE</v>
      </c>
    </row>
    <row r="365" customFormat="false" ht="15" hidden="true" customHeight="false" outlineLevel="0" collapsed="false">
      <c r="B365" s="1" t="s">
        <v>386</v>
      </c>
      <c r="C365" s="1" t="s">
        <v>247</v>
      </c>
      <c r="D365" s="14" t="n">
        <v>46012.5833333333</v>
      </c>
      <c r="E365" s="14" t="n">
        <v>46012.5833333333</v>
      </c>
      <c r="F365" s="14" t="n">
        <v>46012.6597222222</v>
      </c>
      <c r="G365" s="15" t="n">
        <f aca="false">F365-E365</f>
        <v>0.0763888888888889</v>
      </c>
      <c r="H365" s="20" t="s">
        <v>248</v>
      </c>
      <c r="J365" s="20" t="s">
        <v>256</v>
      </c>
      <c r="K365" s="1" t="e">
        <f aca="false">_xlfn.xlookup(J365,REF!$D$2:$D$12,REF!$E$2:$E$12)</f>
        <v>#NAME?</v>
      </c>
      <c r="L365" s="1" t="s">
        <v>735</v>
      </c>
      <c r="M365" s="20" t="s">
        <v>258</v>
      </c>
      <c r="N365" s="20" t="s">
        <v>259</v>
      </c>
      <c r="O365" s="1" t="s">
        <v>736</v>
      </c>
      <c r="P365" s="1" t="str">
        <f aca="false">_xlfn.CONCAT(B365,C365,D365,E365,F365)</f>
        <v>ARAGUATINS 2.2Inverter(MBUS-13)46012.583333333346012.583333333346012.6597222222</v>
      </c>
      <c r="Q365" s="1" t="str">
        <f aca="false">_xlfn.CONCAT(H365,I365,J365)</f>
        <v>DAURDE</v>
      </c>
    </row>
    <row r="366" customFormat="false" ht="15" hidden="true" customHeight="false" outlineLevel="0" collapsed="false">
      <c r="B366" s="1" t="s">
        <v>386</v>
      </c>
      <c r="C366" s="1" t="s">
        <v>280</v>
      </c>
      <c r="D366" s="14" t="n">
        <v>46012.5833333333</v>
      </c>
      <c r="E366" s="14" t="n">
        <v>46012.5833333333</v>
      </c>
      <c r="F366" s="14" t="n">
        <v>46012.6597222222</v>
      </c>
      <c r="G366" s="15" t="n">
        <f aca="false">F366-E366</f>
        <v>0.0763888888888889</v>
      </c>
      <c r="H366" s="20" t="s">
        <v>248</v>
      </c>
      <c r="J366" s="20" t="s">
        <v>256</v>
      </c>
      <c r="K366" s="1" t="e">
        <f aca="false">_xlfn.xlookup(J366,REF!$D$2:$D$12,REF!$E$2:$E$12)</f>
        <v>#NAME?</v>
      </c>
      <c r="L366" s="1" t="s">
        <v>735</v>
      </c>
      <c r="M366" s="20" t="s">
        <v>258</v>
      </c>
      <c r="N366" s="20" t="s">
        <v>259</v>
      </c>
      <c r="O366" s="1" t="s">
        <v>736</v>
      </c>
      <c r="P366" s="1" t="str">
        <f aca="false">_xlfn.CONCAT(B366,C366,D366,E366,F366)</f>
        <v>ARAGUATINS 2.2Inverter(MBUS-14)46012.583333333346012.583333333346012.6597222222</v>
      </c>
      <c r="Q366" s="1" t="str">
        <f aca="false">_xlfn.CONCAT(H366,I366,J366)</f>
        <v>DAURDE</v>
      </c>
    </row>
    <row r="367" customFormat="false" ht="15" hidden="true" customHeight="false" outlineLevel="0" collapsed="false">
      <c r="B367" s="1" t="s">
        <v>386</v>
      </c>
      <c r="C367" s="1" t="s">
        <v>277</v>
      </c>
      <c r="D367" s="14" t="n">
        <v>46012.5833333333</v>
      </c>
      <c r="E367" s="14" t="n">
        <v>46012.5833333333</v>
      </c>
      <c r="F367" s="14" t="n">
        <v>46012.6597222222</v>
      </c>
      <c r="G367" s="15" t="n">
        <f aca="false">F367-E367</f>
        <v>0.0763888888888889</v>
      </c>
      <c r="H367" s="20" t="s">
        <v>248</v>
      </c>
      <c r="J367" s="20" t="s">
        <v>256</v>
      </c>
      <c r="K367" s="1" t="e">
        <f aca="false">_xlfn.xlookup(J367,REF!$D$2:$D$12,REF!$E$2:$E$12)</f>
        <v>#NAME?</v>
      </c>
      <c r="L367" s="1" t="s">
        <v>735</v>
      </c>
      <c r="M367" s="20" t="s">
        <v>258</v>
      </c>
      <c r="N367" s="20" t="s">
        <v>259</v>
      </c>
      <c r="O367" s="1" t="s">
        <v>736</v>
      </c>
      <c r="P367" s="1" t="str">
        <f aca="false">_xlfn.CONCAT(B367,C367,D367,E367,F367)</f>
        <v>ARAGUATINS 2.2Inverter(MBUS-12)46012.583333333346012.583333333346012.6597222222</v>
      </c>
      <c r="Q367" s="1" t="str">
        <f aca="false">_xlfn.CONCAT(H367,I367,J367)</f>
        <v>DAURDE</v>
      </c>
    </row>
    <row r="368" customFormat="false" ht="15" hidden="true" customHeight="false" outlineLevel="0" collapsed="false">
      <c r="B368" s="1" t="s">
        <v>542</v>
      </c>
      <c r="C368" s="1" t="s">
        <v>543</v>
      </c>
      <c r="D368" s="14" t="n">
        <v>46012.5208333333</v>
      </c>
      <c r="E368" s="14" t="n">
        <v>46012.5208333333</v>
      </c>
      <c r="F368" s="14" t="n">
        <v>46012.5840277778</v>
      </c>
      <c r="G368" s="15" t="n">
        <f aca="false">F368-E368</f>
        <v>0.0631944444444444</v>
      </c>
      <c r="H368" s="20" t="s">
        <v>248</v>
      </c>
      <c r="J368" s="20" t="s">
        <v>256</v>
      </c>
      <c r="K368" s="1" t="e">
        <f aca="false">_xlfn.xlookup(J368,REF!$D$2:$D$12,REF!$E$2:$E$12)</f>
        <v>#NAME?</v>
      </c>
      <c r="L368" s="1" t="s">
        <v>796</v>
      </c>
      <c r="M368" s="20" t="s">
        <v>258</v>
      </c>
      <c r="N368" s="20" t="s">
        <v>379</v>
      </c>
      <c r="O368" s="1" t="s">
        <v>399</v>
      </c>
      <c r="P368" s="1" t="str">
        <f aca="false">_xlfn.CONCAT(B368,C368,D368,E368,F368)</f>
        <v>BC Caiaponia1SG60KTL(COM1-001)_001_00746012.520833333346012.520833333346012.5840277778</v>
      </c>
      <c r="Q368" s="1" t="str">
        <f aca="false">_xlfn.CONCAT(H368,I368,J368)</f>
        <v>DAURDE</v>
      </c>
    </row>
    <row r="369" customFormat="false" ht="15" hidden="true" customHeight="false" outlineLevel="0" collapsed="false">
      <c r="B369" s="1" t="s">
        <v>542</v>
      </c>
      <c r="C369" s="1" t="s">
        <v>545</v>
      </c>
      <c r="D369" s="14" t="n">
        <v>46012.5208333333</v>
      </c>
      <c r="E369" s="14" t="n">
        <v>46012.5208333333</v>
      </c>
      <c r="F369" s="14" t="n">
        <v>46012.5840277778</v>
      </c>
      <c r="G369" s="15" t="n">
        <f aca="false">F369-E369</f>
        <v>0.0631944444444444</v>
      </c>
      <c r="H369" s="20" t="s">
        <v>248</v>
      </c>
      <c r="J369" s="20" t="s">
        <v>256</v>
      </c>
      <c r="K369" s="1" t="e">
        <f aca="false">_xlfn.xlookup(J369,REF!$D$2:$D$12,REF!$E$2:$E$12)</f>
        <v>#NAME?</v>
      </c>
      <c r="L369" s="1" t="s">
        <v>796</v>
      </c>
      <c r="M369" s="20" t="s">
        <v>258</v>
      </c>
      <c r="N369" s="20" t="s">
        <v>379</v>
      </c>
      <c r="O369" s="1" t="s">
        <v>399</v>
      </c>
      <c r="P369" s="1" t="str">
        <f aca="false">_xlfn.CONCAT(B369,C369,D369,E369,F369)</f>
        <v>BC Caiaponia1SG60KTL(COM1-002)_001_01046012.520833333346012.520833333346012.5840277778</v>
      </c>
      <c r="Q369" s="1" t="str">
        <f aca="false">_xlfn.CONCAT(H369,I369,J369)</f>
        <v>DAURDE</v>
      </c>
    </row>
    <row r="370" customFormat="false" ht="15" hidden="true" customHeight="false" outlineLevel="0" collapsed="false">
      <c r="B370" s="1" t="s">
        <v>542</v>
      </c>
      <c r="C370" s="1" t="s">
        <v>546</v>
      </c>
      <c r="D370" s="14" t="n">
        <v>46012.5208333333</v>
      </c>
      <c r="E370" s="14" t="n">
        <v>46012.5208333333</v>
      </c>
      <c r="F370" s="14" t="n">
        <v>46012.5840277778</v>
      </c>
      <c r="G370" s="15" t="n">
        <f aca="false">F370-E370</f>
        <v>0.0631944444444444</v>
      </c>
      <c r="H370" s="20" t="s">
        <v>248</v>
      </c>
      <c r="J370" s="20" t="s">
        <v>256</v>
      </c>
      <c r="K370" s="1" t="e">
        <f aca="false">_xlfn.xlookup(J370,REF!$D$2:$D$12,REF!$E$2:$E$12)</f>
        <v>#NAME?</v>
      </c>
      <c r="L370" s="1" t="s">
        <v>796</v>
      </c>
      <c r="M370" s="20" t="s">
        <v>258</v>
      </c>
      <c r="N370" s="20" t="s">
        <v>379</v>
      </c>
      <c r="O370" s="1" t="s">
        <v>399</v>
      </c>
      <c r="P370" s="1" t="str">
        <f aca="false">_xlfn.CONCAT(B370,C370,D370,E370,F370)</f>
        <v>BC Caiaponia1SG60KTL(COM1-003)_001_01146012.520833333346012.520833333346012.5840277778</v>
      </c>
      <c r="Q370" s="1" t="str">
        <f aca="false">_xlfn.CONCAT(H370,I370,J370)</f>
        <v>DAURDE</v>
      </c>
    </row>
    <row r="371" customFormat="false" ht="15" hidden="true" customHeight="false" outlineLevel="0" collapsed="false">
      <c r="B371" s="1" t="s">
        <v>542</v>
      </c>
      <c r="C371" s="1" t="s">
        <v>547</v>
      </c>
      <c r="D371" s="14" t="n">
        <v>46012.5208333333</v>
      </c>
      <c r="E371" s="14" t="n">
        <v>46012.5208333333</v>
      </c>
      <c r="F371" s="14" t="n">
        <v>46012.5840277778</v>
      </c>
      <c r="G371" s="15" t="n">
        <f aca="false">F371-E371</f>
        <v>0.0631944444444444</v>
      </c>
      <c r="H371" s="20" t="s">
        <v>248</v>
      </c>
      <c r="J371" s="20" t="s">
        <v>256</v>
      </c>
      <c r="K371" s="1" t="e">
        <f aca="false">_xlfn.xlookup(J371,REF!$D$2:$D$12,REF!$E$2:$E$12)</f>
        <v>#NAME?</v>
      </c>
      <c r="L371" s="1" t="s">
        <v>796</v>
      </c>
      <c r="M371" s="20" t="s">
        <v>258</v>
      </c>
      <c r="N371" s="20" t="s">
        <v>379</v>
      </c>
      <c r="O371" s="1" t="s">
        <v>399</v>
      </c>
      <c r="P371" s="1" t="str">
        <f aca="false">_xlfn.CONCAT(B371,C371,D371,E371,F371)</f>
        <v>BC Caiaponia1SG60KTL(COM1-004)_001_01446012.520833333346012.520833333346012.5840277778</v>
      </c>
      <c r="Q371" s="1" t="str">
        <f aca="false">_xlfn.CONCAT(H371,I371,J371)</f>
        <v>DAURDE</v>
      </c>
    </row>
    <row r="372" customFormat="false" ht="15" hidden="true" customHeight="false" outlineLevel="0" collapsed="false">
      <c r="B372" s="1" t="s">
        <v>542</v>
      </c>
      <c r="C372" s="1" t="s">
        <v>548</v>
      </c>
      <c r="D372" s="14" t="n">
        <v>46012.5208333333</v>
      </c>
      <c r="E372" s="14" t="n">
        <v>46012.5208333333</v>
      </c>
      <c r="F372" s="14" t="n">
        <v>46012.5840277778</v>
      </c>
      <c r="G372" s="15" t="n">
        <f aca="false">F372-E372</f>
        <v>0.0631944444444444</v>
      </c>
      <c r="H372" s="20" t="s">
        <v>248</v>
      </c>
      <c r="J372" s="20" t="s">
        <v>256</v>
      </c>
      <c r="K372" s="1" t="e">
        <f aca="false">_xlfn.xlookup(J372,REF!$D$2:$D$12,REF!$E$2:$E$12)</f>
        <v>#NAME?</v>
      </c>
      <c r="L372" s="1" t="s">
        <v>796</v>
      </c>
      <c r="M372" s="20" t="s">
        <v>258</v>
      </c>
      <c r="N372" s="20" t="s">
        <v>379</v>
      </c>
      <c r="O372" s="1" t="s">
        <v>399</v>
      </c>
      <c r="P372" s="1" t="str">
        <f aca="false">_xlfn.CONCAT(B372,C372,D372,E372,F372)</f>
        <v>BC Caiaponia1SG60KTL(COM1-005)_001_01746012.520833333346012.520833333346012.5840277778</v>
      </c>
      <c r="Q372" s="1" t="str">
        <f aca="false">_xlfn.CONCAT(H372,I372,J372)</f>
        <v>DAURDE</v>
      </c>
    </row>
    <row r="373" customFormat="false" ht="15" hidden="true" customHeight="false" outlineLevel="0" collapsed="false">
      <c r="B373" s="1" t="s">
        <v>542</v>
      </c>
      <c r="C373" s="1" t="s">
        <v>549</v>
      </c>
      <c r="D373" s="14" t="n">
        <v>46012.5208333333</v>
      </c>
      <c r="E373" s="14" t="n">
        <v>46012.5208333333</v>
      </c>
      <c r="F373" s="14" t="n">
        <v>46012.5840277778</v>
      </c>
      <c r="G373" s="15" t="n">
        <f aca="false">F373-E373</f>
        <v>0.0631944444444444</v>
      </c>
      <c r="H373" s="20" t="s">
        <v>248</v>
      </c>
      <c r="J373" s="20" t="s">
        <v>256</v>
      </c>
      <c r="K373" s="1" t="e">
        <f aca="false">_xlfn.xlookup(J373,REF!$D$2:$D$12,REF!$E$2:$E$12)</f>
        <v>#NAME?</v>
      </c>
      <c r="L373" s="1" t="s">
        <v>796</v>
      </c>
      <c r="M373" s="20" t="s">
        <v>258</v>
      </c>
      <c r="N373" s="20" t="s">
        <v>379</v>
      </c>
      <c r="O373" s="1" t="s">
        <v>399</v>
      </c>
      <c r="P373" s="1" t="str">
        <f aca="false">_xlfn.CONCAT(B373,C373,D373,E373,F373)</f>
        <v>BC Caiaponia1SG60KTL(COM1-006)_001_01646012.520833333346012.520833333346012.5840277778</v>
      </c>
      <c r="Q373" s="1" t="str">
        <f aca="false">_xlfn.CONCAT(H373,I373,J373)</f>
        <v>DAURDE</v>
      </c>
    </row>
    <row r="374" customFormat="false" ht="15" hidden="true" customHeight="false" outlineLevel="0" collapsed="false">
      <c r="B374" s="1" t="s">
        <v>542</v>
      </c>
      <c r="C374" s="1" t="s">
        <v>550</v>
      </c>
      <c r="D374" s="14" t="n">
        <v>46012.5208333333</v>
      </c>
      <c r="E374" s="14" t="n">
        <v>46012.5208333333</v>
      </c>
      <c r="F374" s="14" t="n">
        <v>46012.5840277778</v>
      </c>
      <c r="G374" s="15" t="n">
        <f aca="false">F374-E374</f>
        <v>0.0631944444444444</v>
      </c>
      <c r="H374" s="20" t="s">
        <v>248</v>
      </c>
      <c r="J374" s="20" t="s">
        <v>256</v>
      </c>
      <c r="K374" s="1" t="e">
        <f aca="false">_xlfn.xlookup(J374,REF!$D$2:$D$12,REF!$E$2:$E$12)</f>
        <v>#NAME?</v>
      </c>
      <c r="L374" s="1" t="s">
        <v>796</v>
      </c>
      <c r="M374" s="20" t="s">
        <v>258</v>
      </c>
      <c r="N374" s="20" t="s">
        <v>379</v>
      </c>
      <c r="O374" s="1" t="s">
        <v>399</v>
      </c>
      <c r="P374" s="1" t="str">
        <f aca="false">_xlfn.CONCAT(B374,C374,D374,E374,F374)</f>
        <v>BC Caiaponia1SG60KTL(COM1-007)_001_01346012.520833333346012.520833333346012.5840277778</v>
      </c>
      <c r="Q374" s="1" t="str">
        <f aca="false">_xlfn.CONCAT(H374,I374,J374)</f>
        <v>DAURDE</v>
      </c>
    </row>
    <row r="375" customFormat="false" ht="15" hidden="true" customHeight="false" outlineLevel="0" collapsed="false">
      <c r="B375" s="1" t="s">
        <v>542</v>
      </c>
      <c r="C375" s="1" t="s">
        <v>551</v>
      </c>
      <c r="D375" s="14" t="n">
        <v>46012.5208333333</v>
      </c>
      <c r="E375" s="14" t="n">
        <v>46012.5208333333</v>
      </c>
      <c r="F375" s="14" t="n">
        <v>46012.5840277778</v>
      </c>
      <c r="G375" s="15" t="n">
        <f aca="false">F375-E375</f>
        <v>0.0631944444444444</v>
      </c>
      <c r="H375" s="20" t="s">
        <v>248</v>
      </c>
      <c r="J375" s="20" t="s">
        <v>256</v>
      </c>
      <c r="K375" s="1" t="e">
        <f aca="false">_xlfn.xlookup(J375,REF!$D$2:$D$12,REF!$E$2:$E$12)</f>
        <v>#NAME?</v>
      </c>
      <c r="L375" s="1" t="s">
        <v>796</v>
      </c>
      <c r="M375" s="20" t="s">
        <v>258</v>
      </c>
      <c r="N375" s="20" t="s">
        <v>379</v>
      </c>
      <c r="O375" s="1" t="s">
        <v>399</v>
      </c>
      <c r="P375" s="1" t="str">
        <f aca="false">_xlfn.CONCAT(B375,C375,D375,E375,F375)</f>
        <v>BC Caiaponia1SG60KTL(COM1-008)_001_00146012.520833333346012.520833333346012.5840277778</v>
      </c>
      <c r="Q375" s="1" t="str">
        <f aca="false">_xlfn.CONCAT(H375,I375,J375)</f>
        <v>DAURDE</v>
      </c>
    </row>
    <row r="376" customFormat="false" ht="15" hidden="true" customHeight="false" outlineLevel="0" collapsed="false">
      <c r="B376" s="1" t="s">
        <v>382</v>
      </c>
      <c r="C376" s="1" t="s">
        <v>383</v>
      </c>
      <c r="D376" s="14" t="n">
        <v>46011.0840277778</v>
      </c>
      <c r="E376" s="14" t="n">
        <v>46011.0840277778</v>
      </c>
      <c r="F376" s="14" t="n">
        <v>46011.34375</v>
      </c>
      <c r="G376" s="15" t="n">
        <f aca="false">F376-E376</f>
        <v>0.259722222222222</v>
      </c>
      <c r="H376" s="20" t="s">
        <v>248</v>
      </c>
      <c r="J376" s="20" t="s">
        <v>256</v>
      </c>
      <c r="K376" s="1" t="e">
        <f aca="false">_xlfn.xlookup(J376,REF!$D$2:$D$12,REF!$E$2:$E$12)</f>
        <v>#NAME?</v>
      </c>
      <c r="L376" s="1" t="s">
        <v>735</v>
      </c>
      <c r="M376" s="20" t="s">
        <v>258</v>
      </c>
      <c r="N376" s="20" t="s">
        <v>259</v>
      </c>
      <c r="O376" s="1" t="s">
        <v>736</v>
      </c>
      <c r="P376" s="1" t="str">
        <f aca="false">_xlfn.CONCAT(B376,C376,D376,E376,F376)</f>
        <v>ARAGUATINS 1.3Inverter(MBUS-20)46011.084027777846011.084027777846011.34375</v>
      </c>
      <c r="Q376" s="1" t="str">
        <f aca="false">_xlfn.CONCAT(H376,I376,J376)</f>
        <v>DAURDE</v>
      </c>
    </row>
    <row r="377" customFormat="false" ht="15" hidden="true" customHeight="false" outlineLevel="0" collapsed="false">
      <c r="B377" s="1" t="s">
        <v>382</v>
      </c>
      <c r="C377" s="1" t="s">
        <v>255</v>
      </c>
      <c r="D377" s="14" t="n">
        <v>46011.0840277778</v>
      </c>
      <c r="E377" s="14" t="n">
        <v>46011.0840277778</v>
      </c>
      <c r="F377" s="14" t="n">
        <v>46011.34375</v>
      </c>
      <c r="G377" s="15" t="n">
        <f aca="false">F377-E377</f>
        <v>0.259722222222222</v>
      </c>
      <c r="H377" s="20" t="s">
        <v>248</v>
      </c>
      <c r="J377" s="20" t="s">
        <v>256</v>
      </c>
      <c r="K377" s="1" t="e">
        <f aca="false">_xlfn.xlookup(J377,REF!$D$2:$D$12,REF!$E$2:$E$12)</f>
        <v>#NAME?</v>
      </c>
      <c r="L377" s="1" t="s">
        <v>735</v>
      </c>
      <c r="M377" s="20" t="s">
        <v>258</v>
      </c>
      <c r="N377" s="20" t="s">
        <v>259</v>
      </c>
      <c r="O377" s="1" t="s">
        <v>736</v>
      </c>
      <c r="P377" s="1" t="str">
        <f aca="false">_xlfn.CONCAT(B377,C377,D377,E377,F377)</f>
        <v>ARAGUATINS 1.3Inverter(MBUS-1)46011.084027777846011.084027777846011.34375</v>
      </c>
      <c r="Q377" s="1" t="str">
        <f aca="false">_xlfn.CONCAT(H377,I377,J377)</f>
        <v>DAURDE</v>
      </c>
    </row>
    <row r="378" customFormat="false" ht="15" hidden="true" customHeight="false" outlineLevel="0" collapsed="false">
      <c r="B378" s="1" t="s">
        <v>650</v>
      </c>
      <c r="C378" s="1" t="s">
        <v>651</v>
      </c>
      <c r="D378" s="14" t="n">
        <v>46008.2888888889</v>
      </c>
      <c r="E378" s="14" t="n">
        <v>46008.2888888889</v>
      </c>
      <c r="F378" s="14" t="n">
        <v>46008.3090277778</v>
      </c>
      <c r="G378" s="15" t="n">
        <f aca="false">F378-E378</f>
        <v>0.0201388888888889</v>
      </c>
      <c r="H378" s="20" t="s">
        <v>248</v>
      </c>
      <c r="J378" s="20" t="s">
        <v>256</v>
      </c>
      <c r="K378" s="1" t="e">
        <f aca="false">_xlfn.xlookup(J378,REF!$D$2:$D$12,REF!$E$2:$E$12)</f>
        <v>#NAME?</v>
      </c>
      <c r="L378" s="1" t="s">
        <v>735</v>
      </c>
      <c r="M378" s="20" t="s">
        <v>258</v>
      </c>
      <c r="N378" s="20" t="s">
        <v>259</v>
      </c>
      <c r="O378" s="1" t="s">
        <v>736</v>
      </c>
      <c r="P378" s="1" t="str">
        <f aca="false">_xlfn.CONCAT(B378,C378,D378,E378,F378)</f>
        <v>BC Rio Bonito1SG36KTL-M-17_001_01746008.288888888946008.288888888946008.3090277778</v>
      </c>
      <c r="Q378" s="1" t="str">
        <f aca="false">_xlfn.CONCAT(H378,I378,J378)</f>
        <v>DAURDE</v>
      </c>
    </row>
    <row r="379" customFormat="false" ht="15" hidden="true" customHeight="false" outlineLevel="0" collapsed="false">
      <c r="B379" s="1" t="s">
        <v>650</v>
      </c>
      <c r="C379" s="1" t="s">
        <v>653</v>
      </c>
      <c r="D379" s="14" t="n">
        <v>46008.2888888889</v>
      </c>
      <c r="E379" s="14" t="n">
        <v>46008.2888888889</v>
      </c>
      <c r="F379" s="14" t="n">
        <v>46008.3090277778</v>
      </c>
      <c r="G379" s="15" t="n">
        <f aca="false">F379-E379</f>
        <v>0.0201388888888889</v>
      </c>
      <c r="H379" s="20" t="s">
        <v>248</v>
      </c>
      <c r="J379" s="20" t="s">
        <v>256</v>
      </c>
      <c r="K379" s="1" t="e">
        <f aca="false">_xlfn.xlookup(J379,REF!$D$2:$D$12,REF!$E$2:$E$12)</f>
        <v>#NAME?</v>
      </c>
      <c r="L379" s="1" t="s">
        <v>735</v>
      </c>
      <c r="M379" s="20" t="s">
        <v>258</v>
      </c>
      <c r="N379" s="20" t="s">
        <v>259</v>
      </c>
      <c r="O379" s="1" t="s">
        <v>736</v>
      </c>
      <c r="P379" s="1" t="str">
        <f aca="false">_xlfn.CONCAT(B379,C379,D379,E379,F379)</f>
        <v>BC Rio Bonito1SG60KTL-10_001_01046008.288888888946008.288888888946008.3090277778</v>
      </c>
      <c r="Q379" s="1" t="str">
        <f aca="false">_xlfn.CONCAT(H379,I379,J379)</f>
        <v>DAURDE</v>
      </c>
    </row>
    <row r="380" customFormat="false" ht="15" hidden="true" customHeight="false" outlineLevel="0" collapsed="false">
      <c r="B380" s="1" t="s">
        <v>650</v>
      </c>
      <c r="C380" s="1" t="s">
        <v>654</v>
      </c>
      <c r="D380" s="14" t="n">
        <v>46008.2888888889</v>
      </c>
      <c r="E380" s="14" t="n">
        <v>46008.2888888889</v>
      </c>
      <c r="F380" s="14" t="n">
        <v>46008.3090277778</v>
      </c>
      <c r="G380" s="15" t="n">
        <f aca="false">F380-E380</f>
        <v>0.0201388888888889</v>
      </c>
      <c r="H380" s="20" t="s">
        <v>248</v>
      </c>
      <c r="J380" s="20" t="s">
        <v>256</v>
      </c>
      <c r="K380" s="1" t="e">
        <f aca="false">_xlfn.xlookup(J380,REF!$D$2:$D$12,REF!$E$2:$E$12)</f>
        <v>#NAME?</v>
      </c>
      <c r="L380" s="1" t="s">
        <v>735</v>
      </c>
      <c r="M380" s="20" t="s">
        <v>258</v>
      </c>
      <c r="N380" s="20" t="s">
        <v>259</v>
      </c>
      <c r="O380" s="1" t="s">
        <v>736</v>
      </c>
      <c r="P380" s="1" t="str">
        <f aca="false">_xlfn.CONCAT(B380,C380,D380,E380,F380)</f>
        <v>BC Rio Bonito1SG60KTL-11_001_01146008.288888888946008.288888888946008.3090277778</v>
      </c>
      <c r="Q380" s="1" t="str">
        <f aca="false">_xlfn.CONCAT(H380,I380,J380)</f>
        <v>DAURDE</v>
      </c>
    </row>
    <row r="381" customFormat="false" ht="15" hidden="true" customHeight="false" outlineLevel="0" collapsed="false">
      <c r="B381" s="1" t="s">
        <v>650</v>
      </c>
      <c r="C381" s="1" t="s">
        <v>655</v>
      </c>
      <c r="D381" s="14" t="n">
        <v>46008.2888888889</v>
      </c>
      <c r="E381" s="14" t="n">
        <v>46008.2888888889</v>
      </c>
      <c r="F381" s="14" t="n">
        <v>46008.3090277778</v>
      </c>
      <c r="G381" s="15" t="n">
        <f aca="false">F381-E381</f>
        <v>0.0201388888888889</v>
      </c>
      <c r="H381" s="20" t="s">
        <v>248</v>
      </c>
      <c r="J381" s="20" t="s">
        <v>256</v>
      </c>
      <c r="K381" s="1" t="e">
        <f aca="false">_xlfn.xlookup(J381,REF!$D$2:$D$12,REF!$E$2:$E$12)</f>
        <v>#NAME?</v>
      </c>
      <c r="L381" s="1" t="s">
        <v>735</v>
      </c>
      <c r="M381" s="20" t="s">
        <v>258</v>
      </c>
      <c r="N381" s="20" t="s">
        <v>259</v>
      </c>
      <c r="O381" s="1" t="s">
        <v>736</v>
      </c>
      <c r="P381" s="1" t="str">
        <f aca="false">_xlfn.CONCAT(B381,C381,D381,E381,F381)</f>
        <v>BC Rio Bonito1SG60KTL-12_001_01246008.288888888946008.288888888946008.3090277778</v>
      </c>
      <c r="Q381" s="1" t="str">
        <f aca="false">_xlfn.CONCAT(H381,I381,J381)</f>
        <v>DAURDE</v>
      </c>
    </row>
    <row r="382" customFormat="false" ht="15" hidden="true" customHeight="false" outlineLevel="0" collapsed="false">
      <c r="B382" s="1" t="s">
        <v>650</v>
      </c>
      <c r="C382" s="1" t="s">
        <v>656</v>
      </c>
      <c r="D382" s="14" t="n">
        <v>46008.2888888889</v>
      </c>
      <c r="E382" s="14" t="n">
        <v>46008.2888888889</v>
      </c>
      <c r="F382" s="14" t="n">
        <v>46008.3090277778</v>
      </c>
      <c r="G382" s="15" t="n">
        <f aca="false">F382-E382</f>
        <v>0.0201388888888889</v>
      </c>
      <c r="H382" s="20" t="s">
        <v>248</v>
      </c>
      <c r="J382" s="20" t="s">
        <v>256</v>
      </c>
      <c r="K382" s="1" t="e">
        <f aca="false">_xlfn.xlookup(J382,REF!$D$2:$D$12,REF!$E$2:$E$12)</f>
        <v>#NAME?</v>
      </c>
      <c r="L382" s="1" t="s">
        <v>735</v>
      </c>
      <c r="M382" s="20" t="s">
        <v>258</v>
      </c>
      <c r="N382" s="20" t="s">
        <v>259</v>
      </c>
      <c r="O382" s="1" t="s">
        <v>736</v>
      </c>
      <c r="P382" s="1" t="str">
        <f aca="false">_xlfn.CONCAT(B382,C382,D382,E382,F382)</f>
        <v>BC Rio Bonito1SG60KTL-13_001_01346008.288888888946008.288888888946008.3090277778</v>
      </c>
      <c r="Q382" s="1" t="str">
        <f aca="false">_xlfn.CONCAT(H382,I382,J382)</f>
        <v>DAURDE</v>
      </c>
    </row>
    <row r="383" customFormat="false" ht="15" hidden="true" customHeight="false" outlineLevel="0" collapsed="false">
      <c r="B383" s="1" t="s">
        <v>650</v>
      </c>
      <c r="C383" s="1" t="s">
        <v>657</v>
      </c>
      <c r="D383" s="14" t="n">
        <v>46008.2888888889</v>
      </c>
      <c r="E383" s="14" t="n">
        <v>46008.2888888889</v>
      </c>
      <c r="F383" s="14" t="n">
        <v>46008.3090277778</v>
      </c>
      <c r="G383" s="15" t="n">
        <f aca="false">F383-E383</f>
        <v>0.0201388888888889</v>
      </c>
      <c r="H383" s="20" t="s">
        <v>248</v>
      </c>
      <c r="J383" s="20" t="s">
        <v>256</v>
      </c>
      <c r="K383" s="1" t="e">
        <f aca="false">_xlfn.xlookup(J383,REF!$D$2:$D$12,REF!$E$2:$E$12)</f>
        <v>#NAME?</v>
      </c>
      <c r="L383" s="1" t="s">
        <v>735</v>
      </c>
      <c r="M383" s="20" t="s">
        <v>258</v>
      </c>
      <c r="N383" s="20" t="s">
        <v>259</v>
      </c>
      <c r="O383" s="1" t="s">
        <v>736</v>
      </c>
      <c r="P383" s="1" t="str">
        <f aca="false">_xlfn.CONCAT(B383,C383,D383,E383,F383)</f>
        <v>BC Rio Bonito1SG60KTL-14_001_01446008.288888888946008.288888888946008.3090277778</v>
      </c>
      <c r="Q383" s="1" t="str">
        <f aca="false">_xlfn.CONCAT(H383,I383,J383)</f>
        <v>DAURDE</v>
      </c>
    </row>
    <row r="384" customFormat="false" ht="15" hidden="true" customHeight="false" outlineLevel="0" collapsed="false">
      <c r="B384" s="1" t="s">
        <v>650</v>
      </c>
      <c r="C384" s="1" t="s">
        <v>658</v>
      </c>
      <c r="D384" s="14" t="n">
        <v>46008.2888888889</v>
      </c>
      <c r="E384" s="14" t="n">
        <v>46008.2888888889</v>
      </c>
      <c r="F384" s="14" t="n">
        <v>46008.3090277778</v>
      </c>
      <c r="G384" s="15" t="n">
        <f aca="false">F384-E384</f>
        <v>0.0201388888888889</v>
      </c>
      <c r="H384" s="20" t="s">
        <v>248</v>
      </c>
      <c r="J384" s="20" t="s">
        <v>256</v>
      </c>
      <c r="K384" s="1" t="e">
        <f aca="false">_xlfn.xlookup(J384,REF!$D$2:$D$12,REF!$E$2:$E$12)</f>
        <v>#NAME?</v>
      </c>
      <c r="L384" s="1" t="s">
        <v>735</v>
      </c>
      <c r="M384" s="20" t="s">
        <v>258</v>
      </c>
      <c r="N384" s="20" t="s">
        <v>259</v>
      </c>
      <c r="O384" s="1" t="s">
        <v>736</v>
      </c>
      <c r="P384" s="1" t="str">
        <f aca="false">_xlfn.CONCAT(B384,C384,D384,E384,F384)</f>
        <v>BC Rio Bonito1SG60KTL-15_001_01546008.288888888946008.288888888946008.3090277778</v>
      </c>
      <c r="Q384" s="1" t="str">
        <f aca="false">_xlfn.CONCAT(H384,I384,J384)</f>
        <v>DAURDE</v>
      </c>
    </row>
    <row r="385" customFormat="false" ht="15" hidden="true" customHeight="false" outlineLevel="0" collapsed="false">
      <c r="B385" s="1" t="s">
        <v>650</v>
      </c>
      <c r="C385" s="1" t="s">
        <v>659</v>
      </c>
      <c r="D385" s="14" t="n">
        <v>46008.2888888889</v>
      </c>
      <c r="E385" s="14" t="n">
        <v>46008.2888888889</v>
      </c>
      <c r="F385" s="14" t="n">
        <v>46008.3090277778</v>
      </c>
      <c r="G385" s="15" t="n">
        <f aca="false">F385-E385</f>
        <v>0.0201388888888889</v>
      </c>
      <c r="H385" s="20" t="s">
        <v>248</v>
      </c>
      <c r="J385" s="20" t="s">
        <v>256</v>
      </c>
      <c r="K385" s="1" t="e">
        <f aca="false">_xlfn.xlookup(J385,REF!$D$2:$D$12,REF!$E$2:$E$12)</f>
        <v>#NAME?</v>
      </c>
      <c r="L385" s="1" t="s">
        <v>735</v>
      </c>
      <c r="M385" s="20" t="s">
        <v>258</v>
      </c>
      <c r="N385" s="20" t="s">
        <v>259</v>
      </c>
      <c r="O385" s="1" t="s">
        <v>736</v>
      </c>
      <c r="P385" s="1" t="str">
        <f aca="false">_xlfn.CONCAT(B385,C385,D385,E385,F385)</f>
        <v>BC Rio Bonito1SG60KTL-16_001_01646008.288888888946008.288888888946008.3090277778</v>
      </c>
      <c r="Q385" s="1" t="str">
        <f aca="false">_xlfn.CONCAT(H385,I385,J385)</f>
        <v>DAURDE</v>
      </c>
    </row>
    <row r="386" customFormat="false" ht="15" hidden="true" customHeight="false" outlineLevel="0" collapsed="false">
      <c r="B386" s="1" t="s">
        <v>650</v>
      </c>
      <c r="C386" s="1" t="s">
        <v>660</v>
      </c>
      <c r="D386" s="14" t="n">
        <v>46008.2888888889</v>
      </c>
      <c r="E386" s="14" t="n">
        <v>46008.2888888889</v>
      </c>
      <c r="F386" s="14" t="n">
        <v>46008.3090277778</v>
      </c>
      <c r="G386" s="15" t="n">
        <f aca="false">F386-E386</f>
        <v>0.0201388888888889</v>
      </c>
      <c r="H386" s="20" t="s">
        <v>248</v>
      </c>
      <c r="J386" s="20" t="s">
        <v>256</v>
      </c>
      <c r="K386" s="1" t="e">
        <f aca="false">_xlfn.xlookup(J386,REF!$D$2:$D$12,REF!$E$2:$E$12)</f>
        <v>#NAME?</v>
      </c>
      <c r="L386" s="1" t="s">
        <v>735</v>
      </c>
      <c r="M386" s="20" t="s">
        <v>258</v>
      </c>
      <c r="N386" s="20" t="s">
        <v>259</v>
      </c>
      <c r="O386" s="1" t="s">
        <v>736</v>
      </c>
      <c r="P386" s="1" t="str">
        <f aca="false">_xlfn.CONCAT(B386,C386,D386,E386,F386)</f>
        <v>BC Rio Bonito1SG60KTL-1_001_00146008.288888888946008.288888888946008.3090277778</v>
      </c>
      <c r="Q386" s="1" t="str">
        <f aca="false">_xlfn.CONCAT(H386,I386,J386)</f>
        <v>DAURDE</v>
      </c>
    </row>
    <row r="387" customFormat="false" ht="15" hidden="true" customHeight="false" outlineLevel="0" collapsed="false">
      <c r="B387" s="1" t="s">
        <v>650</v>
      </c>
      <c r="C387" s="1" t="s">
        <v>661</v>
      </c>
      <c r="D387" s="14" t="n">
        <v>46008.2888888889</v>
      </c>
      <c r="E387" s="14" t="n">
        <v>46008.2888888889</v>
      </c>
      <c r="F387" s="14" t="n">
        <v>46008.3090277778</v>
      </c>
      <c r="G387" s="15" t="n">
        <f aca="false">F387-E387</f>
        <v>0.0201388888888889</v>
      </c>
      <c r="H387" s="20" t="s">
        <v>248</v>
      </c>
      <c r="J387" s="20" t="s">
        <v>256</v>
      </c>
      <c r="K387" s="1" t="e">
        <f aca="false">_xlfn.xlookup(J387,REF!$D$2:$D$12,REF!$E$2:$E$12)</f>
        <v>#NAME?</v>
      </c>
      <c r="L387" s="1" t="s">
        <v>735</v>
      </c>
      <c r="M387" s="20" t="s">
        <v>258</v>
      </c>
      <c r="N387" s="20" t="s">
        <v>259</v>
      </c>
      <c r="O387" s="1" t="s">
        <v>736</v>
      </c>
      <c r="P387" s="1" t="str">
        <f aca="false">_xlfn.CONCAT(B387,C387,D387,E387,F387)</f>
        <v>BC Rio Bonito1SG60KTL-2_001_00246008.288888888946008.288888888946008.3090277778</v>
      </c>
      <c r="Q387" s="1" t="str">
        <f aca="false">_xlfn.CONCAT(H387,I387,J387)</f>
        <v>DAURDE</v>
      </c>
    </row>
    <row r="388" customFormat="false" ht="15" hidden="true" customHeight="false" outlineLevel="0" collapsed="false">
      <c r="B388" s="1" t="s">
        <v>650</v>
      </c>
      <c r="C388" s="1" t="s">
        <v>662</v>
      </c>
      <c r="D388" s="14" t="n">
        <v>46008.2888888889</v>
      </c>
      <c r="E388" s="14" t="n">
        <v>46008.2888888889</v>
      </c>
      <c r="F388" s="14" t="n">
        <v>46008.3090277778</v>
      </c>
      <c r="G388" s="15" t="n">
        <f aca="false">F388-E388</f>
        <v>0.0201388888888889</v>
      </c>
      <c r="H388" s="20" t="s">
        <v>248</v>
      </c>
      <c r="J388" s="20" t="s">
        <v>256</v>
      </c>
      <c r="K388" s="1" t="e">
        <f aca="false">_xlfn.xlookup(J388,REF!$D$2:$D$12,REF!$E$2:$E$12)</f>
        <v>#NAME?</v>
      </c>
      <c r="L388" s="1" t="s">
        <v>735</v>
      </c>
      <c r="M388" s="20" t="s">
        <v>258</v>
      </c>
      <c r="N388" s="20" t="s">
        <v>259</v>
      </c>
      <c r="O388" s="1" t="s">
        <v>736</v>
      </c>
      <c r="P388" s="1" t="str">
        <f aca="false">_xlfn.CONCAT(B388,C388,D388,E388,F388)</f>
        <v>BC Rio Bonito1SG60KTL-3_001_00346008.288888888946008.288888888946008.3090277778</v>
      </c>
      <c r="Q388" s="1" t="str">
        <f aca="false">_xlfn.CONCAT(H388,I388,J388)</f>
        <v>DAURDE</v>
      </c>
    </row>
    <row r="389" customFormat="false" ht="15" hidden="true" customHeight="false" outlineLevel="0" collapsed="false">
      <c r="B389" s="1" t="s">
        <v>650</v>
      </c>
      <c r="C389" s="1" t="s">
        <v>663</v>
      </c>
      <c r="D389" s="14" t="n">
        <v>46008.2888888889</v>
      </c>
      <c r="E389" s="14" t="n">
        <v>46008.2888888889</v>
      </c>
      <c r="F389" s="14" t="n">
        <v>46008.3090277778</v>
      </c>
      <c r="G389" s="15" t="n">
        <f aca="false">F389-E389</f>
        <v>0.0201388888888889</v>
      </c>
      <c r="H389" s="20" t="s">
        <v>248</v>
      </c>
      <c r="J389" s="20" t="s">
        <v>256</v>
      </c>
      <c r="K389" s="1" t="e">
        <f aca="false">_xlfn.xlookup(J389,REF!$D$2:$D$12,REF!$E$2:$E$12)</f>
        <v>#NAME?</v>
      </c>
      <c r="L389" s="1" t="s">
        <v>735</v>
      </c>
      <c r="M389" s="20" t="s">
        <v>258</v>
      </c>
      <c r="N389" s="20" t="s">
        <v>259</v>
      </c>
      <c r="O389" s="1" t="s">
        <v>736</v>
      </c>
      <c r="P389" s="1" t="str">
        <f aca="false">_xlfn.CONCAT(B389,C389,D389,E389,F389)</f>
        <v>BC Rio Bonito1SG60KTL-4_001_00446008.288888888946008.288888888946008.3090277778</v>
      </c>
      <c r="Q389" s="1" t="str">
        <f aca="false">_xlfn.CONCAT(H389,I389,J389)</f>
        <v>DAURDE</v>
      </c>
    </row>
    <row r="390" customFormat="false" ht="15" hidden="true" customHeight="false" outlineLevel="0" collapsed="false">
      <c r="B390" s="1" t="s">
        <v>650</v>
      </c>
      <c r="C390" s="1" t="s">
        <v>664</v>
      </c>
      <c r="D390" s="14" t="n">
        <v>46008.2888888889</v>
      </c>
      <c r="E390" s="14" t="n">
        <v>46008.2888888889</v>
      </c>
      <c r="F390" s="14" t="n">
        <v>46008.3090277778</v>
      </c>
      <c r="G390" s="15" t="n">
        <f aca="false">F390-E390</f>
        <v>0.0201388888888889</v>
      </c>
      <c r="H390" s="20" t="s">
        <v>248</v>
      </c>
      <c r="J390" s="20" t="s">
        <v>256</v>
      </c>
      <c r="K390" s="1" t="e">
        <f aca="false">_xlfn.xlookup(J390,REF!$D$2:$D$12,REF!$E$2:$E$12)</f>
        <v>#NAME?</v>
      </c>
      <c r="L390" s="1" t="s">
        <v>735</v>
      </c>
      <c r="M390" s="20" t="s">
        <v>258</v>
      </c>
      <c r="N390" s="20" t="s">
        <v>259</v>
      </c>
      <c r="O390" s="1" t="s">
        <v>736</v>
      </c>
      <c r="P390" s="1" t="str">
        <f aca="false">_xlfn.CONCAT(B390,C390,D390,E390,F390)</f>
        <v>BC Rio Bonito1SG60KTL-5_001_00546008.288888888946008.288888888946008.3090277778</v>
      </c>
      <c r="Q390" s="1" t="str">
        <f aca="false">_xlfn.CONCAT(H390,I390,J390)</f>
        <v>DAURDE</v>
      </c>
    </row>
    <row r="391" customFormat="false" ht="15" hidden="true" customHeight="false" outlineLevel="0" collapsed="false">
      <c r="B391" s="1" t="s">
        <v>650</v>
      </c>
      <c r="C391" s="1" t="s">
        <v>665</v>
      </c>
      <c r="D391" s="14" t="n">
        <v>46008.2888888889</v>
      </c>
      <c r="E391" s="14" t="n">
        <v>46008.2888888889</v>
      </c>
      <c r="F391" s="14" t="n">
        <v>46008.3090277778</v>
      </c>
      <c r="G391" s="15" t="n">
        <f aca="false">F391-E391</f>
        <v>0.0201388888888889</v>
      </c>
      <c r="H391" s="20" t="s">
        <v>248</v>
      </c>
      <c r="J391" s="20" t="s">
        <v>256</v>
      </c>
      <c r="K391" s="1" t="e">
        <f aca="false">_xlfn.xlookup(J391,REF!$D$2:$D$12,REF!$E$2:$E$12)</f>
        <v>#NAME?</v>
      </c>
      <c r="L391" s="1" t="s">
        <v>735</v>
      </c>
      <c r="M391" s="20" t="s">
        <v>258</v>
      </c>
      <c r="N391" s="20" t="s">
        <v>259</v>
      </c>
      <c r="O391" s="1" t="s">
        <v>736</v>
      </c>
      <c r="P391" s="1" t="str">
        <f aca="false">_xlfn.CONCAT(B391,C391,D391,E391,F391)</f>
        <v>BC Rio Bonito1SG60KTL-6_001_00646008.288888888946008.288888888946008.3090277778</v>
      </c>
      <c r="Q391" s="1" t="str">
        <f aca="false">_xlfn.CONCAT(H391,I391,J391)</f>
        <v>DAURDE</v>
      </c>
    </row>
    <row r="392" customFormat="false" ht="15" hidden="true" customHeight="false" outlineLevel="0" collapsed="false">
      <c r="B392" s="1" t="s">
        <v>650</v>
      </c>
      <c r="C392" s="1" t="s">
        <v>666</v>
      </c>
      <c r="D392" s="14" t="n">
        <v>46008.2888888889</v>
      </c>
      <c r="E392" s="14" t="n">
        <v>46008.2888888889</v>
      </c>
      <c r="F392" s="14" t="n">
        <v>46008.3090277778</v>
      </c>
      <c r="G392" s="15" t="n">
        <f aca="false">F392-E392</f>
        <v>0.0201388888888889</v>
      </c>
      <c r="H392" s="20" t="s">
        <v>248</v>
      </c>
      <c r="J392" s="20" t="s">
        <v>256</v>
      </c>
      <c r="K392" s="1" t="e">
        <f aca="false">_xlfn.xlookup(J392,REF!$D$2:$D$12,REF!$E$2:$E$12)</f>
        <v>#NAME?</v>
      </c>
      <c r="L392" s="1" t="s">
        <v>735</v>
      </c>
      <c r="M392" s="20" t="s">
        <v>258</v>
      </c>
      <c r="N392" s="20" t="s">
        <v>259</v>
      </c>
      <c r="O392" s="1" t="s">
        <v>736</v>
      </c>
      <c r="P392" s="1" t="str">
        <f aca="false">_xlfn.CONCAT(B392,C392,D392,E392,F392)</f>
        <v>BC Rio Bonito1SG60KTL-7_001_00746008.288888888946008.288888888946008.3090277778</v>
      </c>
      <c r="Q392" s="1" t="str">
        <f aca="false">_xlfn.CONCAT(H392,I392,J392)</f>
        <v>DAURDE</v>
      </c>
    </row>
    <row r="393" customFormat="false" ht="15" hidden="true" customHeight="false" outlineLevel="0" collapsed="false">
      <c r="B393" s="1" t="s">
        <v>650</v>
      </c>
      <c r="C393" s="1" t="s">
        <v>667</v>
      </c>
      <c r="D393" s="14" t="n">
        <v>46008.2888888889</v>
      </c>
      <c r="E393" s="14" t="n">
        <v>46008.2888888889</v>
      </c>
      <c r="F393" s="14" t="n">
        <v>46008.3090277778</v>
      </c>
      <c r="G393" s="15" t="n">
        <f aca="false">F393-E393</f>
        <v>0.0201388888888889</v>
      </c>
      <c r="H393" s="20" t="s">
        <v>248</v>
      </c>
      <c r="J393" s="20" t="s">
        <v>256</v>
      </c>
      <c r="K393" s="1" t="e">
        <f aca="false">_xlfn.xlookup(J393,REF!$D$2:$D$12,REF!$E$2:$E$12)</f>
        <v>#NAME?</v>
      </c>
      <c r="L393" s="1" t="s">
        <v>735</v>
      </c>
      <c r="M393" s="20" t="s">
        <v>258</v>
      </c>
      <c r="N393" s="20" t="s">
        <v>259</v>
      </c>
      <c r="O393" s="1" t="s">
        <v>736</v>
      </c>
      <c r="P393" s="1" t="str">
        <f aca="false">_xlfn.CONCAT(B393,C393,D393,E393,F393)</f>
        <v>BC Rio Bonito1SG60KTL-8_001_00846008.288888888946008.288888888946008.3090277778</v>
      </c>
      <c r="Q393" s="1" t="str">
        <f aca="false">_xlfn.CONCAT(H393,I393,J393)</f>
        <v>DAURDE</v>
      </c>
    </row>
    <row r="394" customFormat="false" ht="15" hidden="true" customHeight="false" outlineLevel="0" collapsed="false">
      <c r="B394" s="1" t="s">
        <v>650</v>
      </c>
      <c r="C394" s="1" t="s">
        <v>668</v>
      </c>
      <c r="D394" s="14" t="n">
        <v>46008.2888888889</v>
      </c>
      <c r="E394" s="14" t="n">
        <v>46008.2888888889</v>
      </c>
      <c r="F394" s="14" t="n">
        <v>46008.3090277778</v>
      </c>
      <c r="G394" s="15" t="n">
        <f aca="false">F394-E394</f>
        <v>0.0201388888888889</v>
      </c>
      <c r="H394" s="20" t="s">
        <v>248</v>
      </c>
      <c r="J394" s="20" t="s">
        <v>256</v>
      </c>
      <c r="K394" s="1" t="e">
        <f aca="false">_xlfn.xlookup(J394,REF!$D$2:$D$12,REF!$E$2:$E$12)</f>
        <v>#NAME?</v>
      </c>
      <c r="L394" s="1" t="s">
        <v>735</v>
      </c>
      <c r="M394" s="20" t="s">
        <v>258</v>
      </c>
      <c r="N394" s="20" t="s">
        <v>259</v>
      </c>
      <c r="O394" s="1" t="s">
        <v>736</v>
      </c>
      <c r="P394" s="1" t="str">
        <f aca="false">_xlfn.CONCAT(B394,C394,D394,E394,F394)</f>
        <v>BC Rio Bonito1SG60KTL-9_001_00946008.288888888946008.288888888946008.3090277778</v>
      </c>
      <c r="Q394" s="1" t="str">
        <f aca="false">_xlfn.CONCAT(H394,I394,J394)</f>
        <v>DAURDE</v>
      </c>
    </row>
    <row r="395" customFormat="false" ht="15" hidden="true" customHeight="false" outlineLevel="0" collapsed="false">
      <c r="B395" s="1" t="s">
        <v>797</v>
      </c>
      <c r="C395" s="1" t="s">
        <v>277</v>
      </c>
      <c r="D395" s="14" t="n">
        <v>46005.5590277778</v>
      </c>
      <c r="E395" s="14" t="n">
        <v>46005.5590277778</v>
      </c>
      <c r="F395" s="14" t="n">
        <v>46005.6041666667</v>
      </c>
      <c r="G395" s="15" t="n">
        <f aca="false">F395-E395</f>
        <v>0.0451388888888889</v>
      </c>
      <c r="H395" s="20" t="s">
        <v>248</v>
      </c>
      <c r="J395" s="20" t="s">
        <v>256</v>
      </c>
      <c r="K395" s="1" t="e">
        <f aca="false">_xlfn.xlookup(J395,REF!$D$2:$D$12,REF!$E$2:$E$12)</f>
        <v>#NAME?</v>
      </c>
      <c r="L395" s="1" t="s">
        <v>735</v>
      </c>
      <c r="M395" s="20" t="s">
        <v>258</v>
      </c>
      <c r="N395" s="20" t="s">
        <v>259</v>
      </c>
      <c r="O395" s="1" t="s">
        <v>736</v>
      </c>
      <c r="P395" s="1" t="str">
        <f aca="false">_xlfn.CONCAT(B395,C395,D395,E395,F395)</f>
        <v>BC Turvania1.1Inverter(MBUS-12)46005.559027777846005.559027777846005.6041666667</v>
      </c>
      <c r="Q395" s="1" t="str">
        <f aca="false">_xlfn.CONCAT(H395,I395,J395)</f>
        <v>DAURDE</v>
      </c>
    </row>
    <row r="396" customFormat="false" ht="15" hidden="true" customHeight="false" outlineLevel="0" collapsed="false">
      <c r="B396" s="1" t="s">
        <v>797</v>
      </c>
      <c r="C396" s="1" t="s">
        <v>247</v>
      </c>
      <c r="D396" s="14" t="n">
        <v>46005.5590277778</v>
      </c>
      <c r="E396" s="14" t="n">
        <v>46005.5590277778</v>
      </c>
      <c r="F396" s="14" t="n">
        <v>46005.6041666667</v>
      </c>
      <c r="G396" s="15" t="n">
        <f aca="false">F396-E396</f>
        <v>0.0451388888888889</v>
      </c>
      <c r="H396" s="20" t="s">
        <v>248</v>
      </c>
      <c r="J396" s="20" t="s">
        <v>256</v>
      </c>
      <c r="K396" s="1" t="e">
        <f aca="false">_xlfn.xlookup(J396,REF!$D$2:$D$12,REF!$E$2:$E$12)</f>
        <v>#NAME?</v>
      </c>
      <c r="L396" s="1" t="s">
        <v>735</v>
      </c>
      <c r="M396" s="20" t="s">
        <v>258</v>
      </c>
      <c r="N396" s="20" t="s">
        <v>259</v>
      </c>
      <c r="O396" s="1" t="s">
        <v>736</v>
      </c>
      <c r="P396" s="1" t="str">
        <f aca="false">_xlfn.CONCAT(B396,C396,D396,E396,F396)</f>
        <v>BC Turvania1.1Inverter(MBUS-13)46005.559027777846005.559027777846005.6041666667</v>
      </c>
      <c r="Q396" s="1" t="str">
        <f aca="false">_xlfn.CONCAT(H396,I396,J396)</f>
        <v>DAURDE</v>
      </c>
    </row>
    <row r="397" customFormat="false" ht="15" hidden="true" customHeight="false" outlineLevel="0" collapsed="false">
      <c r="B397" s="1" t="s">
        <v>797</v>
      </c>
      <c r="C397" s="1" t="s">
        <v>280</v>
      </c>
      <c r="D397" s="14" t="n">
        <v>46005.5590277778</v>
      </c>
      <c r="E397" s="14" t="n">
        <v>46005.5590277778</v>
      </c>
      <c r="F397" s="14" t="n">
        <v>46005.6041666667</v>
      </c>
      <c r="G397" s="15" t="n">
        <f aca="false">F397-E397</f>
        <v>0.0451388888888889</v>
      </c>
      <c r="H397" s="20" t="s">
        <v>248</v>
      </c>
      <c r="J397" s="20" t="s">
        <v>256</v>
      </c>
      <c r="K397" s="1" t="e">
        <f aca="false">_xlfn.xlookup(J397,REF!$D$2:$D$12,REF!$E$2:$E$12)</f>
        <v>#NAME?</v>
      </c>
      <c r="L397" s="1" t="s">
        <v>735</v>
      </c>
      <c r="M397" s="20" t="s">
        <v>258</v>
      </c>
      <c r="N397" s="20" t="s">
        <v>259</v>
      </c>
      <c r="O397" s="1" t="s">
        <v>736</v>
      </c>
      <c r="P397" s="1" t="str">
        <f aca="false">_xlfn.CONCAT(B397,C397,D397,E397,F397)</f>
        <v>BC Turvania1.1Inverter(MBUS-14)46005.559027777846005.559027777846005.6041666667</v>
      </c>
      <c r="Q397" s="1" t="str">
        <f aca="false">_xlfn.CONCAT(H397,I397,J397)</f>
        <v>DAURDE</v>
      </c>
    </row>
    <row r="398" customFormat="false" ht="15" hidden="true" customHeight="false" outlineLevel="0" collapsed="false">
      <c r="B398" s="1" t="s">
        <v>797</v>
      </c>
      <c r="C398" s="1" t="s">
        <v>279</v>
      </c>
      <c r="D398" s="14" t="n">
        <v>46005.5590277778</v>
      </c>
      <c r="E398" s="14" t="n">
        <v>46005.5590277778</v>
      </c>
      <c r="F398" s="14" t="n">
        <v>46005.6041666667</v>
      </c>
      <c r="G398" s="15" t="n">
        <f aca="false">F398-E398</f>
        <v>0.0451388888888889</v>
      </c>
      <c r="H398" s="20" t="s">
        <v>248</v>
      </c>
      <c r="J398" s="20" t="s">
        <v>256</v>
      </c>
      <c r="K398" s="1" t="e">
        <f aca="false">_xlfn.xlookup(J398,REF!$D$2:$D$12,REF!$E$2:$E$12)</f>
        <v>#NAME?</v>
      </c>
      <c r="L398" s="1" t="s">
        <v>735</v>
      </c>
      <c r="M398" s="20" t="s">
        <v>258</v>
      </c>
      <c r="N398" s="20" t="s">
        <v>259</v>
      </c>
      <c r="O398" s="1" t="s">
        <v>736</v>
      </c>
      <c r="P398" s="1" t="str">
        <f aca="false">_xlfn.CONCAT(B398,C398,D398,E398,F398)</f>
        <v>BC Turvania1.1Inverter(MBUS-15)46005.559027777846005.559027777846005.6041666667</v>
      </c>
      <c r="Q398" s="1" t="str">
        <f aca="false">_xlfn.CONCAT(H398,I398,J398)</f>
        <v>DAURDE</v>
      </c>
    </row>
    <row r="399" customFormat="false" ht="15" hidden="true" customHeight="false" outlineLevel="0" collapsed="false">
      <c r="B399" s="1" t="s">
        <v>698</v>
      </c>
      <c r="C399" s="1" t="s">
        <v>247</v>
      </c>
      <c r="D399" s="14" t="n">
        <v>46005.2354166667</v>
      </c>
      <c r="E399" s="14" t="n">
        <v>46005.2354166667</v>
      </c>
      <c r="F399" s="14" t="n">
        <v>46005.4305555556</v>
      </c>
      <c r="G399" s="15" t="n">
        <f aca="false">F399-E399</f>
        <v>0.195138888888889</v>
      </c>
      <c r="H399" s="20" t="s">
        <v>248</v>
      </c>
      <c r="J399" s="20" t="s">
        <v>256</v>
      </c>
      <c r="K399" s="1" t="e">
        <f aca="false">_xlfn.xlookup(J399,REF!$D$2:$D$12,REF!$E$2:$E$12)</f>
        <v>#NAME?</v>
      </c>
      <c r="L399" s="1" t="s">
        <v>735</v>
      </c>
      <c r="M399" s="20" t="s">
        <v>258</v>
      </c>
      <c r="N399" s="20" t="s">
        <v>259</v>
      </c>
      <c r="O399" s="1" t="s">
        <v>736</v>
      </c>
      <c r="P399" s="1" t="str">
        <f aca="false">_xlfn.CONCAT(B399,C399,D399,E399,F399)</f>
        <v>BC Formoso1.2Inverter(MBUS-13)46005.235416666746005.235416666746005.4305555556</v>
      </c>
      <c r="Q399" s="1" t="str">
        <f aca="false">_xlfn.CONCAT(H399,I399,J399)</f>
        <v>DAURDE</v>
      </c>
    </row>
    <row r="400" customFormat="false" ht="15" hidden="true" customHeight="false" outlineLevel="0" collapsed="false">
      <c r="B400" s="1" t="s">
        <v>698</v>
      </c>
      <c r="C400" s="1" t="s">
        <v>277</v>
      </c>
      <c r="D400" s="14" t="n">
        <v>46005.2354166667</v>
      </c>
      <c r="E400" s="14" t="n">
        <v>46005.2354166667</v>
      </c>
      <c r="F400" s="14" t="n">
        <v>46005.4305555556</v>
      </c>
      <c r="G400" s="15" t="n">
        <f aca="false">F400-E400</f>
        <v>0.195138888888889</v>
      </c>
      <c r="H400" s="20" t="s">
        <v>248</v>
      </c>
      <c r="J400" s="20" t="s">
        <v>256</v>
      </c>
      <c r="K400" s="1" t="e">
        <f aca="false">_xlfn.xlookup(J400,REF!$D$2:$D$12,REF!$E$2:$E$12)</f>
        <v>#NAME?</v>
      </c>
      <c r="L400" s="1" t="s">
        <v>735</v>
      </c>
      <c r="M400" s="20" t="s">
        <v>258</v>
      </c>
      <c r="N400" s="20" t="s">
        <v>259</v>
      </c>
      <c r="O400" s="1" t="s">
        <v>736</v>
      </c>
      <c r="P400" s="1" t="str">
        <f aca="false">_xlfn.CONCAT(B400,C400,D400,E400,F400)</f>
        <v>BC Formoso1.2Inverter(MBUS-12)46005.235416666746005.235416666746005.4305555556</v>
      </c>
      <c r="Q400" s="1" t="str">
        <f aca="false">_xlfn.CONCAT(H400,I400,J400)</f>
        <v>DAURDE</v>
      </c>
    </row>
    <row r="401" customFormat="false" ht="15" hidden="true" customHeight="false" outlineLevel="0" collapsed="false">
      <c r="B401" s="1" t="s">
        <v>698</v>
      </c>
      <c r="C401" s="1" t="s">
        <v>279</v>
      </c>
      <c r="D401" s="14" t="n">
        <v>46005.2354166667</v>
      </c>
      <c r="E401" s="14" t="n">
        <v>46005.2354166667</v>
      </c>
      <c r="F401" s="14" t="n">
        <v>46005.4305555556</v>
      </c>
      <c r="G401" s="15" t="n">
        <f aca="false">F401-E401</f>
        <v>0.195138888888889</v>
      </c>
      <c r="H401" s="20" t="s">
        <v>248</v>
      </c>
      <c r="J401" s="20" t="s">
        <v>256</v>
      </c>
      <c r="K401" s="1" t="e">
        <f aca="false">_xlfn.xlookup(J401,REF!$D$2:$D$12,REF!$E$2:$E$12)</f>
        <v>#NAME?</v>
      </c>
      <c r="L401" s="1" t="s">
        <v>735</v>
      </c>
      <c r="M401" s="20" t="s">
        <v>258</v>
      </c>
      <c r="N401" s="20" t="s">
        <v>259</v>
      </c>
      <c r="O401" s="1" t="s">
        <v>736</v>
      </c>
      <c r="P401" s="1" t="str">
        <f aca="false">_xlfn.CONCAT(B401,C401,D401,E401,F401)</f>
        <v>BC Formoso1.2Inverter(MBUS-15)46005.235416666746005.235416666746005.4305555556</v>
      </c>
      <c r="Q401" s="1" t="str">
        <f aca="false">_xlfn.CONCAT(H401,I401,J401)</f>
        <v>DAURDE</v>
      </c>
    </row>
    <row r="402" customFormat="false" ht="15" hidden="true" customHeight="false" outlineLevel="0" collapsed="false">
      <c r="B402" s="1" t="s">
        <v>698</v>
      </c>
      <c r="C402" s="1" t="s">
        <v>280</v>
      </c>
      <c r="D402" s="14" t="n">
        <v>46005.2354166667</v>
      </c>
      <c r="E402" s="14" t="n">
        <v>46005.2354166667</v>
      </c>
      <c r="F402" s="14" t="n">
        <v>46005.4305555556</v>
      </c>
      <c r="G402" s="15" t="n">
        <f aca="false">F402-E402</f>
        <v>0.195138888888889</v>
      </c>
      <c r="H402" s="20" t="s">
        <v>248</v>
      </c>
      <c r="J402" s="20" t="s">
        <v>256</v>
      </c>
      <c r="K402" s="1" t="e">
        <f aca="false">_xlfn.xlookup(J402,REF!$D$2:$D$12,REF!$E$2:$E$12)</f>
        <v>#NAME?</v>
      </c>
      <c r="L402" s="1" t="s">
        <v>735</v>
      </c>
      <c r="M402" s="20" t="s">
        <v>258</v>
      </c>
      <c r="N402" s="20" t="s">
        <v>259</v>
      </c>
      <c r="O402" s="1" t="s">
        <v>736</v>
      </c>
      <c r="P402" s="1" t="str">
        <f aca="false">_xlfn.CONCAT(B402,C402,D402,E402,F402)</f>
        <v>BC Formoso1.2Inverter(MBUS-14)46005.235416666746005.235416666746005.4305555556</v>
      </c>
      <c r="Q402" s="1" t="str">
        <f aca="false">_xlfn.CONCAT(H402,I402,J402)</f>
        <v>DAURDE</v>
      </c>
    </row>
    <row r="403" customFormat="false" ht="15" hidden="true" customHeight="false" outlineLevel="0" collapsed="false">
      <c r="B403" s="1" t="s">
        <v>699</v>
      </c>
      <c r="C403" s="1" t="s">
        <v>247</v>
      </c>
      <c r="D403" s="14" t="n">
        <v>46005.2354166667</v>
      </c>
      <c r="E403" s="14" t="n">
        <v>46005.2354166667</v>
      </c>
      <c r="F403" s="14" t="n">
        <v>46005.4305555556</v>
      </c>
      <c r="G403" s="15" t="n">
        <f aca="false">F403-E403</f>
        <v>0.195138888888889</v>
      </c>
      <c r="H403" s="20" t="s">
        <v>248</v>
      </c>
      <c r="J403" s="20" t="s">
        <v>256</v>
      </c>
      <c r="K403" s="1" t="e">
        <f aca="false">_xlfn.xlookup(J403,REF!$D$2:$D$12,REF!$E$2:$E$12)</f>
        <v>#NAME?</v>
      </c>
      <c r="L403" s="1" t="s">
        <v>735</v>
      </c>
      <c r="M403" s="20" t="s">
        <v>258</v>
      </c>
      <c r="N403" s="20" t="s">
        <v>259</v>
      </c>
      <c r="O403" s="1" t="s">
        <v>736</v>
      </c>
      <c r="P403" s="1" t="str">
        <f aca="false">_xlfn.CONCAT(B403,C403,D403,E403,F403)</f>
        <v>BC Formoso1.3Inverter(MBUS-13)46005.235416666746005.235416666746005.4305555556</v>
      </c>
      <c r="Q403" s="1" t="str">
        <f aca="false">_xlfn.CONCAT(H403,I403,J403)</f>
        <v>DAURDE</v>
      </c>
    </row>
    <row r="404" customFormat="false" ht="15" hidden="true" customHeight="false" outlineLevel="0" collapsed="false">
      <c r="B404" s="1" t="s">
        <v>699</v>
      </c>
      <c r="C404" s="1" t="s">
        <v>277</v>
      </c>
      <c r="D404" s="14" t="n">
        <v>46005.2354166667</v>
      </c>
      <c r="E404" s="14" t="n">
        <v>46005.2354166667</v>
      </c>
      <c r="F404" s="14" t="n">
        <v>46005.4305555556</v>
      </c>
      <c r="G404" s="15" t="n">
        <f aca="false">F404-E404</f>
        <v>0.195138888888889</v>
      </c>
      <c r="H404" s="20" t="s">
        <v>248</v>
      </c>
      <c r="J404" s="20" t="s">
        <v>256</v>
      </c>
      <c r="K404" s="1" t="e">
        <f aca="false">_xlfn.xlookup(J404,REF!$D$2:$D$12,REF!$E$2:$E$12)</f>
        <v>#NAME?</v>
      </c>
      <c r="L404" s="1" t="s">
        <v>735</v>
      </c>
      <c r="M404" s="20" t="s">
        <v>258</v>
      </c>
      <c r="N404" s="20" t="s">
        <v>259</v>
      </c>
      <c r="O404" s="1" t="s">
        <v>736</v>
      </c>
      <c r="P404" s="1" t="str">
        <f aca="false">_xlfn.CONCAT(B404,C404,D404,E404,F404)</f>
        <v>BC Formoso1.3Inverter(MBUS-12)46005.235416666746005.235416666746005.4305555556</v>
      </c>
      <c r="Q404" s="1" t="str">
        <f aca="false">_xlfn.CONCAT(H404,I404,J404)</f>
        <v>DAURDE</v>
      </c>
    </row>
    <row r="405" customFormat="false" ht="15" hidden="true" customHeight="false" outlineLevel="0" collapsed="false">
      <c r="B405" s="1" t="s">
        <v>622</v>
      </c>
      <c r="C405" s="1" t="s">
        <v>280</v>
      </c>
      <c r="D405" s="14" t="n">
        <v>46005.2354166667</v>
      </c>
      <c r="E405" s="14" t="n">
        <v>46005.2354166667</v>
      </c>
      <c r="F405" s="14" t="n">
        <v>46005.4305555556</v>
      </c>
      <c r="G405" s="15" t="n">
        <f aca="false">F405-E405</f>
        <v>0.195138888888889</v>
      </c>
      <c r="H405" s="20" t="s">
        <v>248</v>
      </c>
      <c r="J405" s="20" t="s">
        <v>256</v>
      </c>
      <c r="K405" s="1" t="e">
        <f aca="false">_xlfn.xlookup(J405,REF!$D$2:$D$12,REF!$E$2:$E$12)</f>
        <v>#NAME?</v>
      </c>
      <c r="L405" s="1" t="s">
        <v>735</v>
      </c>
      <c r="M405" s="20" t="s">
        <v>258</v>
      </c>
      <c r="N405" s="20" t="s">
        <v>259</v>
      </c>
      <c r="O405" s="1" t="s">
        <v>736</v>
      </c>
      <c r="P405" s="1" t="str">
        <f aca="false">_xlfn.CONCAT(B405,C405,D405,E405,F405)</f>
        <v>BC Formoso2.2Inverter(MBUS-14)46005.235416666746005.235416666746005.4305555556</v>
      </c>
      <c r="Q405" s="1" t="str">
        <f aca="false">_xlfn.CONCAT(H405,I405,J405)</f>
        <v>DAURDE</v>
      </c>
    </row>
    <row r="406" customFormat="false" ht="15" hidden="true" customHeight="false" outlineLevel="0" collapsed="false">
      <c r="B406" s="1" t="s">
        <v>622</v>
      </c>
      <c r="C406" s="1" t="s">
        <v>247</v>
      </c>
      <c r="D406" s="14" t="n">
        <v>46005.2354166667</v>
      </c>
      <c r="E406" s="14" t="n">
        <v>46005.2354166667</v>
      </c>
      <c r="F406" s="14" t="n">
        <v>46005.4305555556</v>
      </c>
      <c r="G406" s="15" t="n">
        <f aca="false">F406-E406</f>
        <v>0.195138888888889</v>
      </c>
      <c r="H406" s="20" t="s">
        <v>248</v>
      </c>
      <c r="J406" s="20" t="s">
        <v>256</v>
      </c>
      <c r="K406" s="1" t="e">
        <f aca="false">_xlfn.xlookup(J406,REF!$D$2:$D$12,REF!$E$2:$E$12)</f>
        <v>#NAME?</v>
      </c>
      <c r="L406" s="1" t="s">
        <v>735</v>
      </c>
      <c r="M406" s="20" t="s">
        <v>258</v>
      </c>
      <c r="N406" s="20" t="s">
        <v>259</v>
      </c>
      <c r="O406" s="1" t="s">
        <v>736</v>
      </c>
      <c r="P406" s="1" t="str">
        <f aca="false">_xlfn.CONCAT(B406,C406,D406,E406,F406)</f>
        <v>BC Formoso2.2Inverter(MBUS-13)46005.235416666746005.235416666746005.4305555556</v>
      </c>
      <c r="Q406" s="1" t="str">
        <f aca="false">_xlfn.CONCAT(H406,I406,J406)</f>
        <v>DAURDE</v>
      </c>
    </row>
    <row r="407" customFormat="false" ht="15" hidden="true" customHeight="false" outlineLevel="0" collapsed="false">
      <c r="B407" s="1" t="s">
        <v>622</v>
      </c>
      <c r="C407" s="1" t="s">
        <v>277</v>
      </c>
      <c r="D407" s="14" t="n">
        <v>46005.2354166667</v>
      </c>
      <c r="E407" s="14" t="n">
        <v>46005.2354166667</v>
      </c>
      <c r="F407" s="14" t="n">
        <v>46005.4305555556</v>
      </c>
      <c r="G407" s="15" t="n">
        <f aca="false">F407-E407</f>
        <v>0.195138888888889</v>
      </c>
      <c r="H407" s="20" t="s">
        <v>248</v>
      </c>
      <c r="J407" s="20" t="s">
        <v>256</v>
      </c>
      <c r="K407" s="1" t="e">
        <f aca="false">_xlfn.xlookup(J407,REF!$D$2:$D$12,REF!$E$2:$E$12)</f>
        <v>#NAME?</v>
      </c>
      <c r="L407" s="1" t="s">
        <v>735</v>
      </c>
      <c r="M407" s="20" t="s">
        <v>258</v>
      </c>
      <c r="N407" s="20" t="s">
        <v>259</v>
      </c>
      <c r="O407" s="1" t="s">
        <v>736</v>
      </c>
      <c r="P407" s="1" t="str">
        <f aca="false">_xlfn.CONCAT(B407,C407,D407,E407,F407)</f>
        <v>BC Formoso2.2Inverter(MBUS-12)46005.235416666746005.235416666746005.4305555556</v>
      </c>
      <c r="Q407" s="1" t="str">
        <f aca="false">_xlfn.CONCAT(H407,I407,J407)</f>
        <v>DAURDE</v>
      </c>
    </row>
    <row r="408" customFormat="false" ht="15" hidden="true" customHeight="false" outlineLevel="0" collapsed="false">
      <c r="B408" s="1" t="s">
        <v>622</v>
      </c>
      <c r="C408" s="1" t="s">
        <v>255</v>
      </c>
      <c r="D408" s="14" t="n">
        <v>46005.2354166667</v>
      </c>
      <c r="E408" s="14" t="n">
        <v>46005.2354166667</v>
      </c>
      <c r="F408" s="14" t="n">
        <v>46005.4305555556</v>
      </c>
      <c r="G408" s="15" t="n">
        <f aca="false">F408-E408</f>
        <v>0.195138888888889</v>
      </c>
      <c r="H408" s="20" t="s">
        <v>248</v>
      </c>
      <c r="J408" s="20" t="s">
        <v>256</v>
      </c>
      <c r="K408" s="1" t="e">
        <f aca="false">_xlfn.xlookup(J408,REF!$D$2:$D$12,REF!$E$2:$E$12)</f>
        <v>#NAME?</v>
      </c>
      <c r="L408" s="1" t="s">
        <v>735</v>
      </c>
      <c r="M408" s="20" t="s">
        <v>258</v>
      </c>
      <c r="N408" s="20" t="s">
        <v>259</v>
      </c>
      <c r="O408" s="1" t="s">
        <v>736</v>
      </c>
      <c r="P408" s="1" t="str">
        <f aca="false">_xlfn.CONCAT(B408,C408,D408,E408,F408)</f>
        <v>BC Formoso2.2Inverter(MBUS-1)46005.235416666746005.235416666746005.4305555556</v>
      </c>
      <c r="Q408" s="1" t="str">
        <f aca="false">_xlfn.CONCAT(H408,I408,J408)</f>
        <v>DAURDE</v>
      </c>
    </row>
    <row r="409" customFormat="false" ht="15" hidden="true" customHeight="false" outlineLevel="0" collapsed="false">
      <c r="B409" s="1" t="s">
        <v>542</v>
      </c>
      <c r="C409" s="1" t="s">
        <v>543</v>
      </c>
      <c r="D409" s="14" t="n">
        <v>46005.2354166667</v>
      </c>
      <c r="E409" s="14" t="n">
        <v>46005.2354166667</v>
      </c>
      <c r="F409" s="14" t="n">
        <v>46005.4305555556</v>
      </c>
      <c r="G409" s="15" t="n">
        <v>0.195138888884685</v>
      </c>
      <c r="H409" s="20" t="s">
        <v>248</v>
      </c>
      <c r="J409" s="20" t="s">
        <v>256</v>
      </c>
      <c r="K409" s="1" t="e">
        <f aca="false">_xlfn.xlookup(J409,REF!$D$2:$D$12,REF!$E$2:$E$12)</f>
        <v>#NAME?</v>
      </c>
      <c r="L409" s="1" t="s">
        <v>735</v>
      </c>
      <c r="M409" s="20" t="s">
        <v>258</v>
      </c>
      <c r="N409" s="20" t="s">
        <v>259</v>
      </c>
      <c r="O409" s="1" t="s">
        <v>736</v>
      </c>
      <c r="P409" s="1" t="str">
        <f aca="false">_xlfn.CONCAT(B409,C409,D409,E409,F409)</f>
        <v>BC Caiaponia1SG60KTL(COM1-001)_001_00746005.235416666746005.235416666746005.4305555556</v>
      </c>
      <c r="Q409" s="1" t="str">
        <f aca="false">_xlfn.CONCAT(H409,I409,J409)</f>
        <v>DAURDE</v>
      </c>
    </row>
    <row r="410" customFormat="false" ht="15" hidden="true" customHeight="false" outlineLevel="0" collapsed="false">
      <c r="B410" s="1" t="s">
        <v>542</v>
      </c>
      <c r="C410" s="1" t="s">
        <v>545</v>
      </c>
      <c r="D410" s="14" t="n">
        <v>46005.2354166667</v>
      </c>
      <c r="E410" s="14" t="n">
        <v>46005.2354166667</v>
      </c>
      <c r="F410" s="14" t="n">
        <v>46005.4305555556</v>
      </c>
      <c r="G410" s="15" t="n">
        <v>0.195138888884685</v>
      </c>
      <c r="H410" s="20" t="s">
        <v>248</v>
      </c>
      <c r="J410" s="20" t="s">
        <v>256</v>
      </c>
      <c r="K410" s="1" t="e">
        <f aca="false">_xlfn.xlookup(J410,REF!$D$2:$D$12,REF!$E$2:$E$12)</f>
        <v>#NAME?</v>
      </c>
      <c r="L410" s="1" t="s">
        <v>735</v>
      </c>
      <c r="M410" s="20" t="s">
        <v>258</v>
      </c>
      <c r="N410" s="20" t="s">
        <v>259</v>
      </c>
      <c r="O410" s="1" t="s">
        <v>736</v>
      </c>
      <c r="P410" s="1" t="str">
        <f aca="false">_xlfn.CONCAT(B410,C410,D410,E410,F410)</f>
        <v>BC Caiaponia1SG60KTL(COM1-002)_001_01046005.235416666746005.235416666746005.4305555556</v>
      </c>
      <c r="Q410" s="1" t="str">
        <f aca="false">_xlfn.CONCAT(H410,I410,J410)</f>
        <v>DAURDE</v>
      </c>
    </row>
    <row r="411" customFormat="false" ht="15" hidden="true" customHeight="false" outlineLevel="0" collapsed="false">
      <c r="B411" s="1" t="s">
        <v>542</v>
      </c>
      <c r="C411" s="1" t="s">
        <v>546</v>
      </c>
      <c r="D411" s="14" t="n">
        <v>46005.2354166667</v>
      </c>
      <c r="E411" s="14" t="n">
        <v>46005.2354166667</v>
      </c>
      <c r="F411" s="14" t="n">
        <v>46005.4305555556</v>
      </c>
      <c r="G411" s="15" t="n">
        <v>0.195138888884685</v>
      </c>
      <c r="H411" s="20" t="s">
        <v>248</v>
      </c>
      <c r="J411" s="20" t="s">
        <v>256</v>
      </c>
      <c r="K411" s="1" t="e">
        <f aca="false">_xlfn.xlookup(J411,REF!$D$2:$D$12,REF!$E$2:$E$12)</f>
        <v>#NAME?</v>
      </c>
      <c r="L411" s="1" t="s">
        <v>735</v>
      </c>
      <c r="M411" s="20" t="s">
        <v>258</v>
      </c>
      <c r="N411" s="20" t="s">
        <v>259</v>
      </c>
      <c r="O411" s="1" t="s">
        <v>736</v>
      </c>
      <c r="P411" s="1" t="str">
        <f aca="false">_xlfn.CONCAT(B411,C411,D411,E411,F411)</f>
        <v>BC Caiaponia1SG60KTL(COM1-003)_001_01146005.235416666746005.235416666746005.4305555556</v>
      </c>
      <c r="Q411" s="1" t="str">
        <f aca="false">_xlfn.CONCAT(H411,I411,J411)</f>
        <v>DAURDE</v>
      </c>
    </row>
    <row r="412" customFormat="false" ht="15" hidden="true" customHeight="false" outlineLevel="0" collapsed="false">
      <c r="B412" s="1" t="s">
        <v>542</v>
      </c>
      <c r="C412" s="1" t="s">
        <v>547</v>
      </c>
      <c r="D412" s="14" t="n">
        <v>46005.2354166667</v>
      </c>
      <c r="E412" s="14" t="n">
        <v>46005.2354166667</v>
      </c>
      <c r="F412" s="14" t="n">
        <v>46005.4305555556</v>
      </c>
      <c r="G412" s="15" t="n">
        <v>0.195138888884685</v>
      </c>
      <c r="H412" s="20" t="s">
        <v>248</v>
      </c>
      <c r="J412" s="20" t="s">
        <v>256</v>
      </c>
      <c r="K412" s="1" t="e">
        <f aca="false">_xlfn.xlookup(J412,REF!$D$2:$D$12,REF!$E$2:$E$12)</f>
        <v>#NAME?</v>
      </c>
      <c r="L412" s="1" t="s">
        <v>735</v>
      </c>
      <c r="M412" s="20" t="s">
        <v>258</v>
      </c>
      <c r="N412" s="20" t="s">
        <v>259</v>
      </c>
      <c r="O412" s="1" t="s">
        <v>736</v>
      </c>
      <c r="P412" s="1" t="str">
        <f aca="false">_xlfn.CONCAT(B412,C412,D412,E412,F412)</f>
        <v>BC Caiaponia1SG60KTL(COM1-004)_001_01446005.235416666746005.235416666746005.4305555556</v>
      </c>
      <c r="Q412" s="1" t="str">
        <f aca="false">_xlfn.CONCAT(H412,I412,J412)</f>
        <v>DAURDE</v>
      </c>
    </row>
    <row r="413" customFormat="false" ht="15" hidden="true" customHeight="false" outlineLevel="0" collapsed="false">
      <c r="B413" s="1" t="s">
        <v>542</v>
      </c>
      <c r="C413" s="1" t="s">
        <v>548</v>
      </c>
      <c r="D413" s="14" t="n">
        <v>46005.2354166667</v>
      </c>
      <c r="E413" s="14" t="n">
        <v>46005.2354166667</v>
      </c>
      <c r="F413" s="14" t="n">
        <v>46005.4305555556</v>
      </c>
      <c r="G413" s="15" t="n">
        <v>0.195138888884685</v>
      </c>
      <c r="H413" s="20" t="s">
        <v>248</v>
      </c>
      <c r="J413" s="20" t="s">
        <v>256</v>
      </c>
      <c r="K413" s="1" t="e">
        <f aca="false">_xlfn.xlookup(J413,REF!$D$2:$D$12,REF!$E$2:$E$12)</f>
        <v>#NAME?</v>
      </c>
      <c r="L413" s="1" t="s">
        <v>735</v>
      </c>
      <c r="M413" s="20" t="s">
        <v>258</v>
      </c>
      <c r="N413" s="20" t="s">
        <v>259</v>
      </c>
      <c r="O413" s="1" t="s">
        <v>736</v>
      </c>
      <c r="P413" s="1" t="str">
        <f aca="false">_xlfn.CONCAT(B413,C413,D413,E413,F413)</f>
        <v>BC Caiaponia1SG60KTL(COM1-005)_001_01746005.235416666746005.235416666746005.4305555556</v>
      </c>
      <c r="Q413" s="1" t="str">
        <f aca="false">_xlfn.CONCAT(H413,I413,J413)</f>
        <v>DAURDE</v>
      </c>
    </row>
    <row r="414" customFormat="false" ht="15" hidden="true" customHeight="false" outlineLevel="0" collapsed="false">
      <c r="B414" s="1" t="s">
        <v>542</v>
      </c>
      <c r="C414" s="1" t="s">
        <v>549</v>
      </c>
      <c r="D414" s="14" t="n">
        <v>46005.2354166667</v>
      </c>
      <c r="E414" s="14" t="n">
        <v>46005.2354166667</v>
      </c>
      <c r="F414" s="14" t="n">
        <v>46005.4305555556</v>
      </c>
      <c r="G414" s="15" t="n">
        <v>0.195138888884685</v>
      </c>
      <c r="H414" s="20" t="s">
        <v>248</v>
      </c>
      <c r="J414" s="20" t="s">
        <v>256</v>
      </c>
      <c r="K414" s="1" t="e">
        <f aca="false">_xlfn.xlookup(J414,REF!$D$2:$D$12,REF!$E$2:$E$12)</f>
        <v>#NAME?</v>
      </c>
      <c r="L414" s="1" t="s">
        <v>735</v>
      </c>
      <c r="M414" s="20" t="s">
        <v>258</v>
      </c>
      <c r="N414" s="20" t="s">
        <v>259</v>
      </c>
      <c r="O414" s="1" t="s">
        <v>736</v>
      </c>
      <c r="P414" s="1" t="str">
        <f aca="false">_xlfn.CONCAT(B414,C414,D414,E414,F414)</f>
        <v>BC Caiaponia1SG60KTL(COM1-006)_001_01646005.235416666746005.235416666746005.4305555556</v>
      </c>
      <c r="Q414" s="1" t="str">
        <f aca="false">_xlfn.CONCAT(H414,I414,J414)</f>
        <v>DAURDE</v>
      </c>
    </row>
    <row r="415" customFormat="false" ht="15" hidden="true" customHeight="false" outlineLevel="0" collapsed="false">
      <c r="B415" s="1" t="s">
        <v>542</v>
      </c>
      <c r="C415" s="1" t="s">
        <v>550</v>
      </c>
      <c r="D415" s="14" t="n">
        <v>46005.2354166667</v>
      </c>
      <c r="E415" s="14" t="n">
        <v>46005.2354166667</v>
      </c>
      <c r="F415" s="14" t="n">
        <v>46005.4305555556</v>
      </c>
      <c r="G415" s="15" t="n">
        <v>0.195138888884685</v>
      </c>
      <c r="H415" s="20" t="s">
        <v>248</v>
      </c>
      <c r="J415" s="20" t="s">
        <v>256</v>
      </c>
      <c r="K415" s="1" t="e">
        <f aca="false">_xlfn.xlookup(J415,REF!$D$2:$D$12,REF!$E$2:$E$12)</f>
        <v>#NAME?</v>
      </c>
      <c r="L415" s="1" t="s">
        <v>735</v>
      </c>
      <c r="M415" s="20" t="s">
        <v>258</v>
      </c>
      <c r="N415" s="20" t="s">
        <v>259</v>
      </c>
      <c r="O415" s="1" t="s">
        <v>736</v>
      </c>
      <c r="P415" s="1" t="str">
        <f aca="false">_xlfn.CONCAT(B415,C415,D415,E415,F415)</f>
        <v>BC Caiaponia1SG60KTL(COM1-007)_001_01346005.235416666746005.235416666746005.4305555556</v>
      </c>
      <c r="Q415" s="1" t="str">
        <f aca="false">_xlfn.CONCAT(H415,I415,J415)</f>
        <v>DAURDE</v>
      </c>
    </row>
    <row r="416" customFormat="false" ht="15" hidden="true" customHeight="false" outlineLevel="0" collapsed="false">
      <c r="B416" s="1" t="s">
        <v>542</v>
      </c>
      <c r="C416" s="1" t="s">
        <v>551</v>
      </c>
      <c r="D416" s="14" t="n">
        <v>46005.2354166667</v>
      </c>
      <c r="E416" s="14" t="n">
        <v>46005.2354166667</v>
      </c>
      <c r="F416" s="14" t="n">
        <v>46005.4305555556</v>
      </c>
      <c r="G416" s="15" t="n">
        <v>0.195138888884685</v>
      </c>
      <c r="H416" s="20" t="s">
        <v>248</v>
      </c>
      <c r="J416" s="20" t="s">
        <v>256</v>
      </c>
      <c r="K416" s="1" t="e">
        <f aca="false">_xlfn.xlookup(J416,REF!$D$2:$D$12,REF!$E$2:$E$12)</f>
        <v>#NAME?</v>
      </c>
      <c r="L416" s="1" t="s">
        <v>735</v>
      </c>
      <c r="M416" s="20" t="s">
        <v>258</v>
      </c>
      <c r="N416" s="20" t="s">
        <v>259</v>
      </c>
      <c r="O416" s="1" t="s">
        <v>736</v>
      </c>
      <c r="P416" s="1" t="str">
        <f aca="false">_xlfn.CONCAT(B416,C416,D416,E416,F416)</f>
        <v>BC Caiaponia1SG60KTL(COM1-008)_001_00146005.235416666746005.235416666746005.4305555556</v>
      </c>
      <c r="Q416" s="1" t="str">
        <f aca="false">_xlfn.CONCAT(H416,I416,J416)</f>
        <v>DAURDE</v>
      </c>
    </row>
    <row r="417" customFormat="false" ht="15" hidden="true" customHeight="false" outlineLevel="0" collapsed="false">
      <c r="B417" s="1" t="s">
        <v>330</v>
      </c>
      <c r="C417" s="1" t="s">
        <v>277</v>
      </c>
      <c r="D417" s="14" t="n">
        <v>46003.6166666667</v>
      </c>
      <c r="E417" s="14" t="n">
        <v>46003.6166666667</v>
      </c>
      <c r="F417" s="14" t="n">
        <v>46003.6319444444</v>
      </c>
      <c r="G417" s="15" t="n">
        <f aca="false">F417-E417</f>
        <v>0.0152777777777778</v>
      </c>
      <c r="H417" s="20" t="s">
        <v>248</v>
      </c>
      <c r="J417" s="20" t="s">
        <v>256</v>
      </c>
      <c r="K417" s="1" t="e">
        <f aca="false">_xlfn.xlookup(J417,REF!$D$2:$D$12,REF!$E$2:$E$12)</f>
        <v>#NAME?</v>
      </c>
      <c r="L417" s="1" t="s">
        <v>735</v>
      </c>
      <c r="M417" s="20" t="s">
        <v>258</v>
      </c>
      <c r="N417" s="20" t="s">
        <v>259</v>
      </c>
      <c r="O417" s="1" t="s">
        <v>736</v>
      </c>
      <c r="P417" s="1" t="str">
        <f aca="false">_xlfn.CONCAT(B417,C417,D417,E417,F417)</f>
        <v>BC Formoso2.1Inverter(MBUS-12)46003.616666666746003.616666666746003.6319444444</v>
      </c>
      <c r="Q417" s="1" t="str">
        <f aca="false">_xlfn.CONCAT(H417,I417,J417)</f>
        <v>DAURDE</v>
      </c>
    </row>
    <row r="418" customFormat="false" ht="15" hidden="true" customHeight="false" outlineLevel="0" collapsed="false">
      <c r="B418" s="1" t="s">
        <v>330</v>
      </c>
      <c r="C418" s="1" t="s">
        <v>280</v>
      </c>
      <c r="D418" s="14" t="n">
        <v>46003.6166666667</v>
      </c>
      <c r="E418" s="14" t="n">
        <v>46003.6166666667</v>
      </c>
      <c r="F418" s="14" t="n">
        <v>46003.6319444444</v>
      </c>
      <c r="G418" s="15" t="n">
        <f aca="false">F418-E418</f>
        <v>0.0152777777777778</v>
      </c>
      <c r="H418" s="20" t="s">
        <v>248</v>
      </c>
      <c r="J418" s="20" t="s">
        <v>256</v>
      </c>
      <c r="K418" s="1" t="e">
        <f aca="false">_xlfn.xlookup(J418,REF!$D$2:$D$12,REF!$E$2:$E$12)</f>
        <v>#NAME?</v>
      </c>
      <c r="L418" s="1" t="s">
        <v>735</v>
      </c>
      <c r="M418" s="20" t="s">
        <v>258</v>
      </c>
      <c r="N418" s="20" t="s">
        <v>259</v>
      </c>
      <c r="O418" s="1" t="s">
        <v>736</v>
      </c>
      <c r="P418" s="1" t="str">
        <f aca="false">_xlfn.CONCAT(B418,C418,D418,E418,F418)</f>
        <v>BC Formoso2.1Inverter(MBUS-14)46003.616666666746003.616666666746003.6319444444</v>
      </c>
      <c r="Q418" s="1" t="str">
        <f aca="false">_xlfn.CONCAT(H418,I418,J418)</f>
        <v>DAURDE</v>
      </c>
    </row>
    <row r="419" customFormat="false" ht="15" hidden="true" customHeight="false" outlineLevel="0" collapsed="false">
      <c r="B419" s="1" t="s">
        <v>330</v>
      </c>
      <c r="C419" s="1" t="s">
        <v>247</v>
      </c>
      <c r="D419" s="14" t="n">
        <v>46003.6166666667</v>
      </c>
      <c r="E419" s="14" t="n">
        <v>46003.6166666667</v>
      </c>
      <c r="F419" s="14" t="n">
        <v>46003.6319444444</v>
      </c>
      <c r="G419" s="15" t="n">
        <f aca="false">F419-E419</f>
        <v>0.0152777777777778</v>
      </c>
      <c r="H419" s="20" t="s">
        <v>248</v>
      </c>
      <c r="J419" s="20" t="s">
        <v>256</v>
      </c>
      <c r="K419" s="1" t="e">
        <f aca="false">_xlfn.xlookup(J419,REF!$D$2:$D$12,REF!$E$2:$E$12)</f>
        <v>#NAME?</v>
      </c>
      <c r="L419" s="1" t="s">
        <v>735</v>
      </c>
      <c r="M419" s="20" t="s">
        <v>258</v>
      </c>
      <c r="N419" s="20" t="s">
        <v>259</v>
      </c>
      <c r="O419" s="1" t="s">
        <v>736</v>
      </c>
      <c r="P419" s="1" t="str">
        <f aca="false">_xlfn.CONCAT(B419,C419,D419,E419,F419)</f>
        <v>BC Formoso2.1Inverter(MBUS-13)46003.616666666746003.616666666746003.6319444444</v>
      </c>
      <c r="Q419" s="1" t="str">
        <f aca="false">_xlfn.CONCAT(H419,I419,J419)</f>
        <v>DAURDE</v>
      </c>
    </row>
    <row r="420" customFormat="false" ht="15" hidden="true" customHeight="false" outlineLevel="0" collapsed="false">
      <c r="B420" s="1" t="s">
        <v>330</v>
      </c>
      <c r="C420" s="1" t="s">
        <v>255</v>
      </c>
      <c r="D420" s="14" t="n">
        <v>46003.6166666667</v>
      </c>
      <c r="E420" s="14" t="n">
        <v>46003.6166666667</v>
      </c>
      <c r="F420" s="14" t="n">
        <v>46003.6319444444</v>
      </c>
      <c r="G420" s="15" t="n">
        <f aca="false">F420-E420</f>
        <v>0.0152777777777778</v>
      </c>
      <c r="H420" s="20" t="s">
        <v>248</v>
      </c>
      <c r="J420" s="20" t="s">
        <v>256</v>
      </c>
      <c r="K420" s="1" t="e">
        <f aca="false">_xlfn.xlookup(J420,REF!$D$2:$D$12,REF!$E$2:$E$12)</f>
        <v>#NAME?</v>
      </c>
      <c r="L420" s="1" t="s">
        <v>735</v>
      </c>
      <c r="M420" s="20" t="s">
        <v>258</v>
      </c>
      <c r="N420" s="20" t="s">
        <v>259</v>
      </c>
      <c r="O420" s="1" t="s">
        <v>736</v>
      </c>
      <c r="P420" s="1" t="str">
        <f aca="false">_xlfn.CONCAT(B420,C420,D420,E420,F420)</f>
        <v>BC Formoso2.1Inverter(MBUS-1)46003.616666666746003.616666666746003.6319444444</v>
      </c>
      <c r="Q420" s="1" t="str">
        <f aca="false">_xlfn.CONCAT(H420,I420,J420)</f>
        <v>DAURDE</v>
      </c>
    </row>
    <row r="421" customFormat="false" ht="15" hidden="true" customHeight="false" outlineLevel="0" collapsed="false">
      <c r="B421" s="1" t="s">
        <v>622</v>
      </c>
      <c r="C421" s="1" t="s">
        <v>280</v>
      </c>
      <c r="D421" s="14" t="n">
        <v>46003.6166666667</v>
      </c>
      <c r="E421" s="14" t="n">
        <v>46003.6166666667</v>
      </c>
      <c r="F421" s="14" t="n">
        <v>46003.6319444444</v>
      </c>
      <c r="G421" s="15" t="n">
        <f aca="false">F421-E421</f>
        <v>0.0152777777777778</v>
      </c>
      <c r="H421" s="20" t="s">
        <v>248</v>
      </c>
      <c r="J421" s="20" t="s">
        <v>256</v>
      </c>
      <c r="K421" s="1" t="e">
        <f aca="false">_xlfn.xlookup(J421,REF!$D$2:$D$12,REF!$E$2:$E$12)</f>
        <v>#NAME?</v>
      </c>
      <c r="L421" s="1" t="s">
        <v>735</v>
      </c>
      <c r="M421" s="20" t="s">
        <v>258</v>
      </c>
      <c r="N421" s="20" t="s">
        <v>259</v>
      </c>
      <c r="O421" s="1" t="s">
        <v>736</v>
      </c>
      <c r="P421" s="1" t="str">
        <f aca="false">_xlfn.CONCAT(B421,C421,D421,E421,F421)</f>
        <v>BC Formoso2.2Inverter(MBUS-14)46003.616666666746003.616666666746003.6319444444</v>
      </c>
      <c r="Q421" s="1" t="str">
        <f aca="false">_xlfn.CONCAT(H421,I421,J421)</f>
        <v>DAURDE</v>
      </c>
    </row>
    <row r="422" customFormat="false" ht="15" hidden="true" customHeight="false" outlineLevel="0" collapsed="false">
      <c r="B422" s="1" t="s">
        <v>622</v>
      </c>
      <c r="C422" s="1" t="s">
        <v>247</v>
      </c>
      <c r="D422" s="14" t="n">
        <v>46003.6166666667</v>
      </c>
      <c r="E422" s="14" t="n">
        <v>46003.6166666667</v>
      </c>
      <c r="F422" s="14" t="n">
        <v>46003.6319444444</v>
      </c>
      <c r="G422" s="15" t="n">
        <f aca="false">F422-E422</f>
        <v>0.0152777777777778</v>
      </c>
      <c r="H422" s="20" t="s">
        <v>248</v>
      </c>
      <c r="J422" s="20" t="s">
        <v>256</v>
      </c>
      <c r="K422" s="1" t="e">
        <f aca="false">_xlfn.xlookup(J422,REF!$D$2:$D$12,REF!$E$2:$E$12)</f>
        <v>#NAME?</v>
      </c>
      <c r="L422" s="1" t="s">
        <v>735</v>
      </c>
      <c r="M422" s="20" t="s">
        <v>258</v>
      </c>
      <c r="N422" s="20" t="s">
        <v>259</v>
      </c>
      <c r="O422" s="1" t="s">
        <v>736</v>
      </c>
      <c r="P422" s="1" t="str">
        <f aca="false">_xlfn.CONCAT(B422,C422,D422,E422,F422)</f>
        <v>BC Formoso2.2Inverter(MBUS-13)46003.616666666746003.616666666746003.6319444444</v>
      </c>
      <c r="Q422" s="1" t="str">
        <f aca="false">_xlfn.CONCAT(H422,I422,J422)</f>
        <v>DAURDE</v>
      </c>
    </row>
    <row r="423" customFormat="false" ht="15" hidden="true" customHeight="false" outlineLevel="0" collapsed="false">
      <c r="B423" s="1" t="s">
        <v>622</v>
      </c>
      <c r="C423" s="1" t="s">
        <v>277</v>
      </c>
      <c r="D423" s="14" t="n">
        <v>46003.6166666667</v>
      </c>
      <c r="E423" s="14" t="n">
        <v>46003.6166666667</v>
      </c>
      <c r="F423" s="14" t="n">
        <v>46003.6319444444</v>
      </c>
      <c r="G423" s="15" t="n">
        <f aca="false">F423-E423</f>
        <v>0.0152777777777778</v>
      </c>
      <c r="H423" s="20" t="s">
        <v>248</v>
      </c>
      <c r="J423" s="20" t="s">
        <v>256</v>
      </c>
      <c r="K423" s="1" t="e">
        <f aca="false">_xlfn.xlookup(J423,REF!$D$2:$D$12,REF!$E$2:$E$12)</f>
        <v>#NAME?</v>
      </c>
      <c r="L423" s="1" t="s">
        <v>735</v>
      </c>
      <c r="M423" s="20" t="s">
        <v>258</v>
      </c>
      <c r="N423" s="20" t="s">
        <v>259</v>
      </c>
      <c r="O423" s="1" t="s">
        <v>736</v>
      </c>
      <c r="P423" s="1" t="str">
        <f aca="false">_xlfn.CONCAT(B423,C423,D423,E423,F423)</f>
        <v>BC Formoso2.2Inverter(MBUS-12)46003.616666666746003.616666666746003.6319444444</v>
      </c>
      <c r="Q423" s="1" t="str">
        <f aca="false">_xlfn.CONCAT(H423,I423,J423)</f>
        <v>DAURDE</v>
      </c>
    </row>
    <row r="424" customFormat="false" ht="15" hidden="true" customHeight="false" outlineLevel="0" collapsed="false">
      <c r="B424" s="1" t="s">
        <v>622</v>
      </c>
      <c r="C424" s="1" t="s">
        <v>255</v>
      </c>
      <c r="D424" s="14" t="n">
        <v>46003.6166666667</v>
      </c>
      <c r="E424" s="14" t="n">
        <v>46003.6166666667</v>
      </c>
      <c r="F424" s="14" t="n">
        <v>46003.6319444444</v>
      </c>
      <c r="G424" s="15" t="n">
        <f aca="false">F424-E424</f>
        <v>0.0152777777777778</v>
      </c>
      <c r="H424" s="20" t="s">
        <v>248</v>
      </c>
      <c r="J424" s="20" t="s">
        <v>256</v>
      </c>
      <c r="K424" s="1" t="e">
        <f aca="false">_xlfn.xlookup(J424,REF!$D$2:$D$12,REF!$E$2:$E$12)</f>
        <v>#NAME?</v>
      </c>
      <c r="L424" s="1" t="s">
        <v>735</v>
      </c>
      <c r="M424" s="20" t="s">
        <v>258</v>
      </c>
      <c r="N424" s="20" t="s">
        <v>259</v>
      </c>
      <c r="O424" s="1" t="s">
        <v>736</v>
      </c>
      <c r="P424" s="1" t="str">
        <f aca="false">_xlfn.CONCAT(B424,C424,D424,E424,F424)</f>
        <v>BC Formoso2.2Inverter(MBUS-1)46003.616666666746003.616666666746003.6319444444</v>
      </c>
      <c r="Q424" s="1" t="str">
        <f aca="false">_xlfn.CONCAT(H424,I424,J424)</f>
        <v>DAURDE</v>
      </c>
    </row>
    <row r="425" customFormat="false" ht="15" hidden="true" customHeight="false" outlineLevel="0" collapsed="false">
      <c r="B425" s="1" t="s">
        <v>332</v>
      </c>
      <c r="C425" s="1" t="s">
        <v>247</v>
      </c>
      <c r="D425" s="14" t="n">
        <v>46003.6166666667</v>
      </c>
      <c r="E425" s="14" t="n">
        <v>46003.6166666667</v>
      </c>
      <c r="F425" s="14" t="n">
        <v>46003.6319444444</v>
      </c>
      <c r="G425" s="15" t="n">
        <f aca="false">F425-E425</f>
        <v>0.0152777777777778</v>
      </c>
      <c r="H425" s="20" t="s">
        <v>248</v>
      </c>
      <c r="J425" s="20" t="s">
        <v>256</v>
      </c>
      <c r="K425" s="1" t="e">
        <f aca="false">_xlfn.xlookup(J425,REF!$D$2:$D$12,REF!$E$2:$E$12)</f>
        <v>#NAME?</v>
      </c>
      <c r="L425" s="1" t="s">
        <v>735</v>
      </c>
      <c r="M425" s="20" t="s">
        <v>258</v>
      </c>
      <c r="N425" s="20" t="s">
        <v>259</v>
      </c>
      <c r="O425" s="1" t="s">
        <v>736</v>
      </c>
      <c r="P425" s="1" t="str">
        <f aca="false">_xlfn.CONCAT(B425,C425,D425,E425,F425)</f>
        <v>BC Formoso2.3Inverter(MBUS-13)46003.616666666746003.616666666746003.6319444444</v>
      </c>
      <c r="Q425" s="1" t="str">
        <f aca="false">_xlfn.CONCAT(H425,I425,J425)</f>
        <v>DAURDE</v>
      </c>
    </row>
    <row r="426" customFormat="false" ht="15" hidden="true" customHeight="false" outlineLevel="0" collapsed="false">
      <c r="B426" s="1" t="s">
        <v>332</v>
      </c>
      <c r="C426" s="1" t="s">
        <v>277</v>
      </c>
      <c r="D426" s="14" t="n">
        <v>46003.6166666667</v>
      </c>
      <c r="E426" s="14" t="n">
        <v>46003.6166666667</v>
      </c>
      <c r="F426" s="14" t="n">
        <v>46003.6319444444</v>
      </c>
      <c r="G426" s="15" t="n">
        <f aca="false">F426-E426</f>
        <v>0.0152777777777778</v>
      </c>
      <c r="H426" s="20" t="s">
        <v>248</v>
      </c>
      <c r="J426" s="20" t="s">
        <v>256</v>
      </c>
      <c r="K426" s="1" t="e">
        <f aca="false">_xlfn.xlookup(J426,REF!$D$2:$D$12,REF!$E$2:$E$12)</f>
        <v>#NAME?</v>
      </c>
      <c r="L426" s="1" t="s">
        <v>735</v>
      </c>
      <c r="M426" s="20" t="s">
        <v>258</v>
      </c>
      <c r="N426" s="20" t="s">
        <v>259</v>
      </c>
      <c r="O426" s="1" t="s">
        <v>736</v>
      </c>
      <c r="P426" s="1" t="str">
        <f aca="false">_xlfn.CONCAT(B426,C426,D426,E426,F426)</f>
        <v>BC Formoso2.3Inverter(MBUS-12)46003.616666666746003.616666666746003.6319444444</v>
      </c>
      <c r="Q426" s="1" t="str">
        <f aca="false">_xlfn.CONCAT(H426,I426,J426)</f>
        <v>DAURDE</v>
      </c>
    </row>
    <row r="427" customFormat="false" ht="15" hidden="true" customHeight="false" outlineLevel="0" collapsed="false">
      <c r="B427" s="1" t="s">
        <v>330</v>
      </c>
      <c r="C427" s="1" t="s">
        <v>277</v>
      </c>
      <c r="D427" s="14" t="n">
        <v>46003.75</v>
      </c>
      <c r="E427" s="14" t="n">
        <v>46003.75</v>
      </c>
      <c r="F427" s="14" t="n">
        <v>46003.8888888889</v>
      </c>
      <c r="G427" s="15" t="n">
        <f aca="false">F427-E427</f>
        <v>0.138888888888889</v>
      </c>
      <c r="H427" s="20" t="s">
        <v>248</v>
      </c>
      <c r="J427" s="20" t="s">
        <v>256</v>
      </c>
      <c r="K427" s="1" t="e">
        <f aca="false">_xlfn.xlookup(J427,REF!$D$2:$D$12,REF!$E$2:$E$12)</f>
        <v>#NAME?</v>
      </c>
      <c r="L427" s="1" t="s">
        <v>735</v>
      </c>
      <c r="M427" s="20" t="s">
        <v>258</v>
      </c>
      <c r="N427" s="20" t="s">
        <v>259</v>
      </c>
      <c r="O427" s="1" t="s">
        <v>736</v>
      </c>
      <c r="P427" s="1" t="str">
        <f aca="false">_xlfn.CONCAT(B427,C427,D427,E427,F427)</f>
        <v>BC Formoso2.1Inverter(MBUS-12)46003.7546003.7546003.8888888889</v>
      </c>
      <c r="Q427" s="1" t="str">
        <f aca="false">_xlfn.CONCAT(H427,I427,J427)</f>
        <v>DAURDE</v>
      </c>
    </row>
    <row r="428" customFormat="false" ht="15" hidden="true" customHeight="false" outlineLevel="0" collapsed="false">
      <c r="B428" s="1" t="s">
        <v>330</v>
      </c>
      <c r="C428" s="1" t="s">
        <v>280</v>
      </c>
      <c r="D428" s="14" t="n">
        <v>46003.75</v>
      </c>
      <c r="E428" s="14" t="n">
        <v>46003.75</v>
      </c>
      <c r="F428" s="14" t="n">
        <v>46003.8888888889</v>
      </c>
      <c r="G428" s="15" t="n">
        <f aca="false">F428-E428</f>
        <v>0.138888888888889</v>
      </c>
      <c r="H428" s="20" t="s">
        <v>248</v>
      </c>
      <c r="J428" s="20" t="s">
        <v>256</v>
      </c>
      <c r="K428" s="1" t="e">
        <f aca="false">_xlfn.xlookup(J428,REF!$D$2:$D$12,REF!$E$2:$E$12)</f>
        <v>#NAME?</v>
      </c>
      <c r="L428" s="1" t="s">
        <v>735</v>
      </c>
      <c r="M428" s="20" t="s">
        <v>258</v>
      </c>
      <c r="N428" s="20" t="s">
        <v>259</v>
      </c>
      <c r="O428" s="1" t="s">
        <v>736</v>
      </c>
      <c r="P428" s="1" t="str">
        <f aca="false">_xlfn.CONCAT(B428,C428,D428,E428,F428)</f>
        <v>BC Formoso2.1Inverter(MBUS-14)46003.7546003.7546003.8888888889</v>
      </c>
      <c r="Q428" s="1" t="str">
        <f aca="false">_xlfn.CONCAT(H428,I428,J428)</f>
        <v>DAURDE</v>
      </c>
    </row>
    <row r="429" customFormat="false" ht="15" hidden="true" customHeight="false" outlineLevel="0" collapsed="false">
      <c r="B429" s="1" t="s">
        <v>330</v>
      </c>
      <c r="C429" s="1" t="s">
        <v>247</v>
      </c>
      <c r="D429" s="14" t="n">
        <v>46003.75</v>
      </c>
      <c r="E429" s="14" t="n">
        <v>46003.75</v>
      </c>
      <c r="F429" s="14" t="n">
        <v>46003.8888888889</v>
      </c>
      <c r="G429" s="15" t="n">
        <f aca="false">F429-E429</f>
        <v>0.138888888888889</v>
      </c>
      <c r="H429" s="20" t="s">
        <v>248</v>
      </c>
      <c r="J429" s="20" t="s">
        <v>256</v>
      </c>
      <c r="K429" s="1" t="e">
        <f aca="false">_xlfn.xlookup(J429,REF!$D$2:$D$12,REF!$E$2:$E$12)</f>
        <v>#NAME?</v>
      </c>
      <c r="L429" s="1" t="s">
        <v>735</v>
      </c>
      <c r="M429" s="20" t="s">
        <v>258</v>
      </c>
      <c r="N429" s="20" t="s">
        <v>259</v>
      </c>
      <c r="O429" s="1" t="s">
        <v>736</v>
      </c>
      <c r="P429" s="1" t="str">
        <f aca="false">_xlfn.CONCAT(B429,C429,D429,E429,F429)</f>
        <v>BC Formoso2.1Inverter(MBUS-13)46003.7546003.7546003.8888888889</v>
      </c>
      <c r="Q429" s="1" t="str">
        <f aca="false">_xlfn.CONCAT(H429,I429,J429)</f>
        <v>DAURDE</v>
      </c>
    </row>
    <row r="430" customFormat="false" ht="15" hidden="true" customHeight="false" outlineLevel="0" collapsed="false">
      <c r="B430" s="1" t="s">
        <v>330</v>
      </c>
      <c r="C430" s="1" t="s">
        <v>255</v>
      </c>
      <c r="D430" s="14" t="n">
        <v>46003.75</v>
      </c>
      <c r="E430" s="14" t="n">
        <v>46003.75</v>
      </c>
      <c r="F430" s="14" t="n">
        <v>46003.8888888889</v>
      </c>
      <c r="G430" s="15" t="n">
        <f aca="false">F430-E430</f>
        <v>0.138888888888889</v>
      </c>
      <c r="H430" s="20" t="s">
        <v>248</v>
      </c>
      <c r="J430" s="20" t="s">
        <v>256</v>
      </c>
      <c r="K430" s="1" t="e">
        <f aca="false">_xlfn.xlookup(J430,REF!$D$2:$D$12,REF!$E$2:$E$12)</f>
        <v>#NAME?</v>
      </c>
      <c r="L430" s="1" t="s">
        <v>735</v>
      </c>
      <c r="M430" s="20" t="s">
        <v>258</v>
      </c>
      <c r="N430" s="20" t="s">
        <v>259</v>
      </c>
      <c r="O430" s="1" t="s">
        <v>736</v>
      </c>
      <c r="P430" s="1" t="str">
        <f aca="false">_xlfn.CONCAT(B430,C430,D430,E430,F430)</f>
        <v>BC Formoso2.1Inverter(MBUS-1)46003.7546003.7546003.8888888889</v>
      </c>
      <c r="Q430" s="1" t="str">
        <f aca="false">_xlfn.CONCAT(H430,I430,J430)</f>
        <v>DAURDE</v>
      </c>
    </row>
    <row r="431" customFormat="false" ht="15" hidden="true" customHeight="false" outlineLevel="0" collapsed="false">
      <c r="B431" s="1" t="s">
        <v>622</v>
      </c>
      <c r="C431" s="1" t="s">
        <v>280</v>
      </c>
      <c r="D431" s="14" t="n">
        <v>46003.75</v>
      </c>
      <c r="E431" s="14" t="n">
        <v>46003.75</v>
      </c>
      <c r="F431" s="14" t="n">
        <v>46003.8888888889</v>
      </c>
      <c r="G431" s="15" t="n">
        <f aca="false">F431-E431</f>
        <v>0.138888888888889</v>
      </c>
      <c r="H431" s="20" t="s">
        <v>248</v>
      </c>
      <c r="J431" s="20" t="s">
        <v>256</v>
      </c>
      <c r="K431" s="1" t="e">
        <f aca="false">_xlfn.xlookup(J431,REF!$D$2:$D$12,REF!$E$2:$E$12)</f>
        <v>#NAME?</v>
      </c>
      <c r="L431" s="1" t="s">
        <v>735</v>
      </c>
      <c r="M431" s="20" t="s">
        <v>258</v>
      </c>
      <c r="N431" s="20" t="s">
        <v>259</v>
      </c>
      <c r="O431" s="1" t="s">
        <v>736</v>
      </c>
      <c r="P431" s="1" t="str">
        <f aca="false">_xlfn.CONCAT(B431,C431,D431,E431,F431)</f>
        <v>BC Formoso2.2Inverter(MBUS-14)46003.7546003.7546003.8888888889</v>
      </c>
      <c r="Q431" s="1" t="str">
        <f aca="false">_xlfn.CONCAT(H431,I431,J431)</f>
        <v>DAURDE</v>
      </c>
    </row>
    <row r="432" customFormat="false" ht="15" hidden="true" customHeight="false" outlineLevel="0" collapsed="false">
      <c r="B432" s="1" t="s">
        <v>622</v>
      </c>
      <c r="C432" s="1" t="s">
        <v>247</v>
      </c>
      <c r="D432" s="14" t="n">
        <v>46003.75</v>
      </c>
      <c r="E432" s="14" t="n">
        <v>46003.75</v>
      </c>
      <c r="F432" s="14" t="n">
        <v>46003.8888888889</v>
      </c>
      <c r="G432" s="15" t="n">
        <f aca="false">F432-E432</f>
        <v>0.138888888888889</v>
      </c>
      <c r="H432" s="20" t="s">
        <v>248</v>
      </c>
      <c r="J432" s="20" t="s">
        <v>256</v>
      </c>
      <c r="K432" s="1" t="e">
        <f aca="false">_xlfn.xlookup(J432,REF!$D$2:$D$12,REF!$E$2:$E$12)</f>
        <v>#NAME?</v>
      </c>
      <c r="L432" s="1" t="s">
        <v>735</v>
      </c>
      <c r="M432" s="20" t="s">
        <v>258</v>
      </c>
      <c r="N432" s="20" t="s">
        <v>259</v>
      </c>
      <c r="O432" s="1" t="s">
        <v>736</v>
      </c>
      <c r="P432" s="1" t="str">
        <f aca="false">_xlfn.CONCAT(B432,C432,D432,E432,F432)</f>
        <v>BC Formoso2.2Inverter(MBUS-13)46003.7546003.7546003.8888888889</v>
      </c>
      <c r="Q432" s="1" t="str">
        <f aca="false">_xlfn.CONCAT(H432,I432,J432)</f>
        <v>DAURDE</v>
      </c>
    </row>
    <row r="433" customFormat="false" ht="15" hidden="true" customHeight="false" outlineLevel="0" collapsed="false">
      <c r="B433" s="1" t="s">
        <v>622</v>
      </c>
      <c r="C433" s="1" t="s">
        <v>277</v>
      </c>
      <c r="D433" s="14" t="n">
        <v>46003.75</v>
      </c>
      <c r="E433" s="14" t="n">
        <v>46003.75</v>
      </c>
      <c r="F433" s="14" t="n">
        <v>46003.8888888889</v>
      </c>
      <c r="G433" s="15" t="n">
        <f aca="false">F433-E433</f>
        <v>0.138888888888889</v>
      </c>
      <c r="H433" s="20" t="s">
        <v>248</v>
      </c>
      <c r="J433" s="20" t="s">
        <v>256</v>
      </c>
      <c r="K433" s="1" t="e">
        <f aca="false">_xlfn.xlookup(J433,REF!$D$2:$D$12,REF!$E$2:$E$12)</f>
        <v>#NAME?</v>
      </c>
      <c r="L433" s="1" t="s">
        <v>735</v>
      </c>
      <c r="M433" s="20" t="s">
        <v>258</v>
      </c>
      <c r="N433" s="20" t="s">
        <v>259</v>
      </c>
      <c r="O433" s="1" t="s">
        <v>736</v>
      </c>
      <c r="P433" s="1" t="str">
        <f aca="false">_xlfn.CONCAT(B433,C433,D433,E433,F433)</f>
        <v>BC Formoso2.2Inverter(MBUS-12)46003.7546003.7546003.8888888889</v>
      </c>
      <c r="Q433" s="1" t="str">
        <f aca="false">_xlfn.CONCAT(H433,I433,J433)</f>
        <v>DAURDE</v>
      </c>
    </row>
    <row r="434" customFormat="false" ht="15" hidden="true" customHeight="false" outlineLevel="0" collapsed="false">
      <c r="B434" s="1" t="s">
        <v>622</v>
      </c>
      <c r="C434" s="1" t="s">
        <v>255</v>
      </c>
      <c r="D434" s="14" t="n">
        <v>46003.75</v>
      </c>
      <c r="E434" s="14" t="n">
        <v>46003.75</v>
      </c>
      <c r="F434" s="14" t="n">
        <v>46003.8888888889</v>
      </c>
      <c r="G434" s="15" t="n">
        <f aca="false">F434-E434</f>
        <v>0.138888888888889</v>
      </c>
      <c r="H434" s="20" t="s">
        <v>248</v>
      </c>
      <c r="J434" s="20" t="s">
        <v>256</v>
      </c>
      <c r="K434" s="1" t="e">
        <f aca="false">_xlfn.xlookup(J434,REF!$D$2:$D$12,REF!$E$2:$E$12)</f>
        <v>#NAME?</v>
      </c>
      <c r="L434" s="1" t="s">
        <v>735</v>
      </c>
      <c r="M434" s="20" t="s">
        <v>258</v>
      </c>
      <c r="N434" s="20" t="s">
        <v>259</v>
      </c>
      <c r="O434" s="1" t="s">
        <v>736</v>
      </c>
      <c r="P434" s="1" t="str">
        <f aca="false">_xlfn.CONCAT(B434,C434,D434,E434,F434)</f>
        <v>BC Formoso2.2Inverter(MBUS-1)46003.7546003.7546003.8888888889</v>
      </c>
      <c r="Q434" s="1" t="str">
        <f aca="false">_xlfn.CONCAT(H434,I434,J434)</f>
        <v>DAURDE</v>
      </c>
    </row>
    <row r="435" customFormat="false" ht="15" hidden="true" customHeight="false" outlineLevel="0" collapsed="false">
      <c r="B435" s="1" t="s">
        <v>332</v>
      </c>
      <c r="C435" s="1" t="s">
        <v>247</v>
      </c>
      <c r="D435" s="14" t="n">
        <v>46003.75</v>
      </c>
      <c r="E435" s="14" t="n">
        <v>46003.75</v>
      </c>
      <c r="F435" s="14" t="n">
        <v>46003.8888888889</v>
      </c>
      <c r="G435" s="15" t="n">
        <f aca="false">F435-E435</f>
        <v>0.138888888888889</v>
      </c>
      <c r="H435" s="20" t="s">
        <v>248</v>
      </c>
      <c r="J435" s="20" t="s">
        <v>256</v>
      </c>
      <c r="K435" s="1" t="e">
        <f aca="false">_xlfn.xlookup(J435,REF!$D$2:$D$12,REF!$E$2:$E$12)</f>
        <v>#NAME?</v>
      </c>
      <c r="L435" s="1" t="s">
        <v>735</v>
      </c>
      <c r="M435" s="20" t="s">
        <v>258</v>
      </c>
      <c r="N435" s="20" t="s">
        <v>259</v>
      </c>
      <c r="O435" s="1" t="s">
        <v>736</v>
      </c>
      <c r="P435" s="1" t="str">
        <f aca="false">_xlfn.CONCAT(B435,C435,D435,E435,F435)</f>
        <v>BC Formoso2.3Inverter(MBUS-13)46003.7546003.7546003.8888888889</v>
      </c>
      <c r="Q435" s="1" t="str">
        <f aca="false">_xlfn.CONCAT(H435,I435,J435)</f>
        <v>DAURDE</v>
      </c>
    </row>
    <row r="436" customFormat="false" ht="15" hidden="true" customHeight="false" outlineLevel="0" collapsed="false">
      <c r="B436" s="1" t="s">
        <v>332</v>
      </c>
      <c r="C436" s="1" t="s">
        <v>277</v>
      </c>
      <c r="D436" s="14" t="n">
        <v>46003.75</v>
      </c>
      <c r="E436" s="14" t="n">
        <v>46003.75</v>
      </c>
      <c r="F436" s="14" t="n">
        <v>46003.8888888889</v>
      </c>
      <c r="G436" s="15" t="n">
        <f aca="false">F436-E436</f>
        <v>0.138888888888889</v>
      </c>
      <c r="H436" s="20" t="s">
        <v>248</v>
      </c>
      <c r="J436" s="20" t="s">
        <v>256</v>
      </c>
      <c r="K436" s="1" t="e">
        <f aca="false">_xlfn.xlookup(J436,REF!$D$2:$D$12,REF!$E$2:$E$12)</f>
        <v>#NAME?</v>
      </c>
      <c r="L436" s="1" t="s">
        <v>735</v>
      </c>
      <c r="M436" s="20" t="s">
        <v>258</v>
      </c>
      <c r="N436" s="20" t="s">
        <v>259</v>
      </c>
      <c r="O436" s="1" t="s">
        <v>736</v>
      </c>
      <c r="P436" s="1" t="str">
        <f aca="false">_xlfn.CONCAT(B436,C436,D436,E436,F436)</f>
        <v>BC Formoso2.3Inverter(MBUS-12)46003.7546003.7546003.8888888889</v>
      </c>
      <c r="Q436" s="1" t="str">
        <f aca="false">_xlfn.CONCAT(H436,I436,J436)</f>
        <v>DAURDE</v>
      </c>
    </row>
    <row r="437" customFormat="false" ht="15" hidden="true" customHeight="false" outlineLevel="0" collapsed="false">
      <c r="B437" s="1" t="s">
        <v>798</v>
      </c>
      <c r="C437" s="1" t="s">
        <v>799</v>
      </c>
      <c r="D437" s="14" t="n">
        <v>46005.6263888889</v>
      </c>
      <c r="E437" s="14" t="n">
        <v>46005.6263888889</v>
      </c>
      <c r="F437" s="14" t="n">
        <v>46007.625</v>
      </c>
      <c r="G437" s="15" t="n">
        <f aca="false">F437-E437</f>
        <v>1.99861111111111</v>
      </c>
      <c r="H437" s="20" t="s">
        <v>248</v>
      </c>
      <c r="J437" s="20" t="s">
        <v>256</v>
      </c>
      <c r="K437" s="1" t="e">
        <f aca="false">_xlfn.xlookup(J437,REF!$D$2:$D$12,REF!$E$2:$E$12)</f>
        <v>#NAME?</v>
      </c>
      <c r="L437" s="1" t="s">
        <v>735</v>
      </c>
      <c r="M437" s="20" t="s">
        <v>258</v>
      </c>
      <c r="N437" s="20" t="s">
        <v>259</v>
      </c>
      <c r="O437" s="1" t="s">
        <v>736</v>
      </c>
      <c r="P437" s="1" t="str">
        <f aca="false">_xlfn.CONCAT(B437,C437,D437,E437,F437)</f>
        <v>CORUMBÁ I - UFV 1U01.I0146005.626388888946005.626388888946007.625</v>
      </c>
      <c r="Q437" s="1" t="str">
        <f aca="false">_xlfn.CONCAT(H437,I437,J437)</f>
        <v>DAURDE</v>
      </c>
    </row>
    <row r="438" customFormat="false" ht="15" hidden="true" customHeight="false" outlineLevel="0" collapsed="false">
      <c r="B438" s="1" t="s">
        <v>798</v>
      </c>
      <c r="C438" s="1" t="s">
        <v>759</v>
      </c>
      <c r="D438" s="14" t="n">
        <v>46005.6263888889</v>
      </c>
      <c r="E438" s="14" t="n">
        <v>46005.6263888889</v>
      </c>
      <c r="F438" s="14" t="n">
        <v>46007.625</v>
      </c>
      <c r="G438" s="15" t="n">
        <f aca="false">F438-E438</f>
        <v>1.99861111111111</v>
      </c>
      <c r="H438" s="20" t="s">
        <v>248</v>
      </c>
      <c r="J438" s="20" t="s">
        <v>256</v>
      </c>
      <c r="K438" s="1" t="e">
        <f aca="false">_xlfn.xlookup(J438,REF!$D$2:$D$12,REF!$E$2:$E$12)</f>
        <v>#NAME?</v>
      </c>
      <c r="L438" s="1" t="s">
        <v>735</v>
      </c>
      <c r="M438" s="20" t="s">
        <v>258</v>
      </c>
      <c r="N438" s="20" t="s">
        <v>259</v>
      </c>
      <c r="O438" s="1" t="s">
        <v>736</v>
      </c>
      <c r="P438" s="1" t="str">
        <f aca="false">_xlfn.CONCAT(B438,C438,D438,E438,F438)</f>
        <v>CORUMBÁ I - UFV 1U01.I0246005.626388888946005.626388888946007.625</v>
      </c>
      <c r="Q438" s="1" t="str">
        <f aca="false">_xlfn.CONCAT(H438,I438,J438)</f>
        <v>DAURDE</v>
      </c>
    </row>
    <row r="439" customFormat="false" ht="15" hidden="true" customHeight="false" outlineLevel="0" collapsed="false">
      <c r="B439" s="1" t="s">
        <v>798</v>
      </c>
      <c r="C439" s="1" t="s">
        <v>761</v>
      </c>
      <c r="D439" s="14" t="n">
        <v>46005.6263888889</v>
      </c>
      <c r="E439" s="14" t="n">
        <v>46005.6263888889</v>
      </c>
      <c r="F439" s="14" t="n">
        <v>46007.625</v>
      </c>
      <c r="G439" s="15" t="n">
        <f aca="false">F439-E439</f>
        <v>1.99861111111111</v>
      </c>
      <c r="H439" s="20" t="s">
        <v>248</v>
      </c>
      <c r="J439" s="20" t="s">
        <v>256</v>
      </c>
      <c r="K439" s="1" t="e">
        <f aca="false">_xlfn.xlookup(J439,REF!$D$2:$D$12,REF!$E$2:$E$12)</f>
        <v>#NAME?</v>
      </c>
      <c r="L439" s="1" t="s">
        <v>735</v>
      </c>
      <c r="M439" s="20" t="s">
        <v>258</v>
      </c>
      <c r="N439" s="20" t="s">
        <v>259</v>
      </c>
      <c r="O439" s="1" t="s">
        <v>736</v>
      </c>
      <c r="P439" s="1" t="str">
        <f aca="false">_xlfn.CONCAT(B439,C439,D439,E439,F439)</f>
        <v>CORUMBÁ I - UFV 1U01.I0346005.626388888946005.626388888946007.625</v>
      </c>
      <c r="Q439" s="1" t="str">
        <f aca="false">_xlfn.CONCAT(H439,I439,J439)</f>
        <v>DAURDE</v>
      </c>
    </row>
    <row r="440" customFormat="false" ht="15" hidden="true" customHeight="false" outlineLevel="0" collapsed="false">
      <c r="B440" s="1" t="s">
        <v>798</v>
      </c>
      <c r="C440" s="1" t="s">
        <v>762</v>
      </c>
      <c r="D440" s="14" t="n">
        <v>46005.6263888889</v>
      </c>
      <c r="E440" s="14" t="n">
        <v>46005.6263888889</v>
      </c>
      <c r="F440" s="14" t="n">
        <v>46007.625</v>
      </c>
      <c r="G440" s="15" t="n">
        <f aca="false">F440-E440</f>
        <v>1.99861111111111</v>
      </c>
      <c r="H440" s="20" t="s">
        <v>248</v>
      </c>
      <c r="J440" s="20" t="s">
        <v>256</v>
      </c>
      <c r="K440" s="1" t="e">
        <f aca="false">_xlfn.xlookup(J440,REF!$D$2:$D$12,REF!$E$2:$E$12)</f>
        <v>#NAME?</v>
      </c>
      <c r="L440" s="1" t="s">
        <v>735</v>
      </c>
      <c r="M440" s="20" t="s">
        <v>258</v>
      </c>
      <c r="N440" s="20" t="s">
        <v>259</v>
      </c>
      <c r="O440" s="1" t="s">
        <v>736</v>
      </c>
      <c r="P440" s="1" t="str">
        <f aca="false">_xlfn.CONCAT(B440,C440,D440,E440,F440)</f>
        <v>CORUMBÁ I - UFV 1U01.I0446005.626388888946005.626388888946007.625</v>
      </c>
      <c r="Q440" s="1" t="str">
        <f aca="false">_xlfn.CONCAT(H440,I440,J440)</f>
        <v>DAURDE</v>
      </c>
    </row>
    <row r="441" customFormat="false" ht="15" hidden="true" customHeight="false" outlineLevel="0" collapsed="false">
      <c r="B441" s="1" t="s">
        <v>798</v>
      </c>
      <c r="C441" s="1" t="s">
        <v>763</v>
      </c>
      <c r="D441" s="14" t="n">
        <v>46005.6263888889</v>
      </c>
      <c r="E441" s="14" t="n">
        <v>46005.6263888889</v>
      </c>
      <c r="F441" s="14" t="n">
        <v>46007.625</v>
      </c>
      <c r="G441" s="15" t="n">
        <f aca="false">F441-E441</f>
        <v>1.99861111111111</v>
      </c>
      <c r="H441" s="20" t="s">
        <v>248</v>
      </c>
      <c r="J441" s="20" t="s">
        <v>256</v>
      </c>
      <c r="K441" s="1" t="e">
        <f aca="false">_xlfn.xlookup(J441,REF!$D$2:$D$12,REF!$E$2:$E$12)</f>
        <v>#NAME?</v>
      </c>
      <c r="L441" s="1" t="s">
        <v>735</v>
      </c>
      <c r="M441" s="20" t="s">
        <v>258</v>
      </c>
      <c r="N441" s="20" t="s">
        <v>259</v>
      </c>
      <c r="O441" s="1" t="s">
        <v>736</v>
      </c>
      <c r="P441" s="1" t="str">
        <f aca="false">_xlfn.CONCAT(B441,C441,D441,E441,F441)</f>
        <v>CORUMBÁ I - UFV 1U01.I0546005.626388888946005.626388888946007.625</v>
      </c>
      <c r="Q441" s="1" t="str">
        <f aca="false">_xlfn.CONCAT(H441,I441,J441)</f>
        <v>DAURDE</v>
      </c>
    </row>
    <row r="442" customFormat="false" ht="15" hidden="true" customHeight="false" outlineLevel="0" collapsed="false">
      <c r="B442" s="1" t="s">
        <v>800</v>
      </c>
      <c r="C442" s="1" t="s">
        <v>269</v>
      </c>
      <c r="D442" s="14" t="n">
        <v>46005.6263888889</v>
      </c>
      <c r="E442" s="14" t="n">
        <v>46005.6263888889</v>
      </c>
      <c r="F442" s="14" t="n">
        <v>46007.625</v>
      </c>
      <c r="G442" s="15" t="n">
        <f aca="false">F442-E442</f>
        <v>1.99861111111111</v>
      </c>
      <c r="H442" s="20" t="s">
        <v>248</v>
      </c>
      <c r="J442" s="20" t="s">
        <v>256</v>
      </c>
      <c r="K442" s="1" t="e">
        <f aca="false">_xlfn.xlookup(J442,REF!$D$2:$D$12,REF!$E$2:$E$12)</f>
        <v>#NAME?</v>
      </c>
      <c r="L442" s="1" t="s">
        <v>735</v>
      </c>
      <c r="M442" s="20" t="s">
        <v>258</v>
      </c>
      <c r="N442" s="20" t="s">
        <v>259</v>
      </c>
      <c r="O442" s="1" t="s">
        <v>736</v>
      </c>
      <c r="P442" s="1" t="str">
        <f aca="false">_xlfn.CONCAT(B442,C442,D442,E442,F442)</f>
        <v>CORUMBÁ I - UFV 2U02.I0246005.626388888946005.626388888946007.625</v>
      </c>
      <c r="Q442" s="1" t="str">
        <f aca="false">_xlfn.CONCAT(H442,I442,J442)</f>
        <v>DAURDE</v>
      </c>
    </row>
    <row r="443" customFormat="false" ht="15" hidden="true" customHeight="false" outlineLevel="0" collapsed="false">
      <c r="B443" s="1" t="s">
        <v>800</v>
      </c>
      <c r="C443" s="1" t="s">
        <v>262</v>
      </c>
      <c r="D443" s="14" t="n">
        <v>46005.6263888889</v>
      </c>
      <c r="E443" s="14" t="n">
        <v>46005.6263888889</v>
      </c>
      <c r="F443" s="14" t="n">
        <v>46007.625</v>
      </c>
      <c r="G443" s="15" t="n">
        <f aca="false">F443-E443</f>
        <v>1.99861111111111</v>
      </c>
      <c r="H443" s="20" t="s">
        <v>248</v>
      </c>
      <c r="J443" s="20" t="s">
        <v>256</v>
      </c>
      <c r="K443" s="1" t="e">
        <f aca="false">_xlfn.xlookup(J443,REF!$D$2:$D$12,REF!$E$2:$E$12)</f>
        <v>#NAME?</v>
      </c>
      <c r="L443" s="1" t="s">
        <v>735</v>
      </c>
      <c r="M443" s="20" t="s">
        <v>258</v>
      </c>
      <c r="N443" s="20" t="s">
        <v>259</v>
      </c>
      <c r="O443" s="1" t="s">
        <v>736</v>
      </c>
      <c r="P443" s="1" t="str">
        <f aca="false">_xlfn.CONCAT(B443,C443,D443,E443,F443)</f>
        <v>CORUMBÁ I - UFV 2U02.I0146005.626388888946005.626388888946007.625</v>
      </c>
      <c r="Q443" s="1" t="str">
        <f aca="false">_xlfn.CONCAT(H443,I443,J443)</f>
        <v>DAURDE</v>
      </c>
    </row>
    <row r="444" customFormat="false" ht="15" hidden="true" customHeight="false" outlineLevel="0" collapsed="false">
      <c r="B444" s="1" t="s">
        <v>800</v>
      </c>
      <c r="C444" s="1" t="s">
        <v>270</v>
      </c>
      <c r="D444" s="14" t="n">
        <v>46005.6263888889</v>
      </c>
      <c r="E444" s="14" t="n">
        <v>46005.6263888889</v>
      </c>
      <c r="F444" s="14" t="n">
        <v>46007.625</v>
      </c>
      <c r="G444" s="15" t="n">
        <f aca="false">F444-E444</f>
        <v>1.99861111111111</v>
      </c>
      <c r="H444" s="20" t="s">
        <v>248</v>
      </c>
      <c r="J444" s="20" t="s">
        <v>256</v>
      </c>
      <c r="K444" s="1" t="e">
        <f aca="false">_xlfn.xlookup(J444,REF!$D$2:$D$12,REF!$E$2:$E$12)</f>
        <v>#NAME?</v>
      </c>
      <c r="L444" s="1" t="s">
        <v>735</v>
      </c>
      <c r="M444" s="20" t="s">
        <v>258</v>
      </c>
      <c r="N444" s="20" t="s">
        <v>259</v>
      </c>
      <c r="O444" s="1" t="s">
        <v>736</v>
      </c>
      <c r="P444" s="1" t="str">
        <f aca="false">_xlfn.CONCAT(B444,C444,D444,E444,F444)</f>
        <v>CORUMBÁ I - UFV 2U02.I0346005.626388888946005.626388888946007.625</v>
      </c>
      <c r="Q444" s="1" t="str">
        <f aca="false">_xlfn.CONCAT(H444,I444,J444)</f>
        <v>DAURDE</v>
      </c>
    </row>
    <row r="445" customFormat="false" ht="15" hidden="true" customHeight="false" outlineLevel="0" collapsed="false">
      <c r="B445" s="1" t="s">
        <v>800</v>
      </c>
      <c r="C445" s="1" t="s">
        <v>272</v>
      </c>
      <c r="D445" s="14" t="n">
        <v>46005.6263888889</v>
      </c>
      <c r="E445" s="14" t="n">
        <v>46005.6263888889</v>
      </c>
      <c r="F445" s="14" t="n">
        <v>46007.625</v>
      </c>
      <c r="G445" s="15" t="n">
        <f aca="false">F445-E445</f>
        <v>1.99861111111111</v>
      </c>
      <c r="H445" s="20" t="s">
        <v>248</v>
      </c>
      <c r="J445" s="20" t="s">
        <v>256</v>
      </c>
      <c r="K445" s="1" t="e">
        <f aca="false">_xlfn.xlookup(J445,REF!$D$2:$D$12,REF!$E$2:$E$12)</f>
        <v>#NAME?</v>
      </c>
      <c r="L445" s="1" t="s">
        <v>735</v>
      </c>
      <c r="M445" s="20" t="s">
        <v>258</v>
      </c>
      <c r="N445" s="20" t="s">
        <v>259</v>
      </c>
      <c r="O445" s="1" t="s">
        <v>736</v>
      </c>
      <c r="P445" s="1" t="str">
        <f aca="false">_xlfn.CONCAT(B445,C445,D445,E445,F445)</f>
        <v>CORUMBÁ I - UFV 2U02.I0546005.626388888946005.626388888946007.625</v>
      </c>
      <c r="Q445" s="1" t="str">
        <f aca="false">_xlfn.CONCAT(H445,I445,J445)</f>
        <v>DAURDE</v>
      </c>
    </row>
    <row r="446" customFormat="false" ht="15" hidden="true" customHeight="false" outlineLevel="0" collapsed="false">
      <c r="B446" s="1" t="s">
        <v>800</v>
      </c>
      <c r="C446" s="1" t="s">
        <v>271</v>
      </c>
      <c r="D446" s="14" t="n">
        <v>46005.6263888889</v>
      </c>
      <c r="E446" s="14" t="n">
        <v>46005.6263888889</v>
      </c>
      <c r="F446" s="14" t="n">
        <v>46007.625</v>
      </c>
      <c r="G446" s="15" t="n">
        <f aca="false">F446-E446</f>
        <v>1.99861111111111</v>
      </c>
      <c r="H446" s="20" t="s">
        <v>248</v>
      </c>
      <c r="J446" s="20" t="s">
        <v>256</v>
      </c>
      <c r="K446" s="1" t="e">
        <f aca="false">_xlfn.xlookup(J446,REF!$D$2:$D$12,REF!$E$2:$E$12)</f>
        <v>#NAME?</v>
      </c>
      <c r="L446" s="1" t="s">
        <v>735</v>
      </c>
      <c r="M446" s="20" t="s">
        <v>258</v>
      </c>
      <c r="N446" s="20" t="s">
        <v>259</v>
      </c>
      <c r="O446" s="1" t="s">
        <v>736</v>
      </c>
      <c r="P446" s="1" t="str">
        <f aca="false">_xlfn.CONCAT(B446,C446,D446,E446,F446)</f>
        <v>CORUMBÁ I - UFV 2U02.I0446005.626388888946005.626388888946007.625</v>
      </c>
      <c r="Q446" s="1" t="str">
        <f aca="false">_xlfn.CONCAT(H446,I446,J446)</f>
        <v>DAURDE</v>
      </c>
    </row>
    <row r="447" customFormat="false" ht="15" hidden="true" customHeight="false" outlineLevel="0" collapsed="false">
      <c r="B447" s="1" t="s">
        <v>801</v>
      </c>
      <c r="C447" s="1" t="s">
        <v>604</v>
      </c>
      <c r="D447" s="14" t="n">
        <v>46005.6263888889</v>
      </c>
      <c r="E447" s="14" t="n">
        <v>46005.6263888889</v>
      </c>
      <c r="F447" s="14" t="n">
        <v>46007.625</v>
      </c>
      <c r="G447" s="15" t="n">
        <f aca="false">F447-E447</f>
        <v>1.99861111111111</v>
      </c>
      <c r="H447" s="20" t="s">
        <v>248</v>
      </c>
      <c r="J447" s="20" t="s">
        <v>256</v>
      </c>
      <c r="K447" s="1" t="e">
        <f aca="false">_xlfn.xlookup(J447,REF!$D$2:$D$12,REF!$E$2:$E$12)</f>
        <v>#NAME?</v>
      </c>
      <c r="L447" s="1" t="s">
        <v>735</v>
      </c>
      <c r="M447" s="20" t="s">
        <v>258</v>
      </c>
      <c r="N447" s="20" t="s">
        <v>259</v>
      </c>
      <c r="O447" s="1" t="s">
        <v>736</v>
      </c>
      <c r="P447" s="1" t="str">
        <f aca="false">_xlfn.CONCAT(B447,C447,D447,E447,F447)</f>
        <v>CORUMBÁ I - UFV 3U03.I0146005.626388888946005.626388888946007.625</v>
      </c>
      <c r="Q447" s="1" t="str">
        <f aca="false">_xlfn.CONCAT(H447,I447,J447)</f>
        <v>DAURDE</v>
      </c>
    </row>
    <row r="448" customFormat="false" ht="15" hidden="true" customHeight="false" outlineLevel="0" collapsed="false">
      <c r="B448" s="1" t="s">
        <v>801</v>
      </c>
      <c r="C448" s="1" t="s">
        <v>499</v>
      </c>
      <c r="D448" s="14" t="n">
        <v>46005.6263888889</v>
      </c>
      <c r="E448" s="14" t="n">
        <v>46005.6263888889</v>
      </c>
      <c r="F448" s="14" t="n">
        <v>46007.625</v>
      </c>
      <c r="G448" s="15" t="n">
        <f aca="false">F448-E448</f>
        <v>1.99861111111111</v>
      </c>
      <c r="H448" s="20" t="s">
        <v>248</v>
      </c>
      <c r="J448" s="20" t="s">
        <v>256</v>
      </c>
      <c r="K448" s="1" t="e">
        <f aca="false">_xlfn.xlookup(J448,REF!$D$2:$D$12,REF!$E$2:$E$12)</f>
        <v>#NAME?</v>
      </c>
      <c r="L448" s="1" t="s">
        <v>735</v>
      </c>
      <c r="M448" s="20" t="s">
        <v>258</v>
      </c>
      <c r="N448" s="20" t="s">
        <v>259</v>
      </c>
      <c r="O448" s="1" t="s">
        <v>736</v>
      </c>
      <c r="P448" s="1" t="str">
        <f aca="false">_xlfn.CONCAT(B448,C448,D448,E448,F448)</f>
        <v>CORUMBÁ I - UFV 3U03.I0346005.626388888946005.626388888946007.625</v>
      </c>
      <c r="Q448" s="1" t="str">
        <f aca="false">_xlfn.CONCAT(H448,I448,J448)</f>
        <v>DAURDE</v>
      </c>
    </row>
    <row r="449" customFormat="false" ht="15" hidden="true" customHeight="false" outlineLevel="0" collapsed="false">
      <c r="B449" s="1" t="s">
        <v>801</v>
      </c>
      <c r="C449" s="1" t="s">
        <v>607</v>
      </c>
      <c r="D449" s="14" t="n">
        <v>46005.6263888889</v>
      </c>
      <c r="E449" s="14" t="n">
        <v>46005.6263888889</v>
      </c>
      <c r="F449" s="14" t="n">
        <v>46007.625</v>
      </c>
      <c r="G449" s="15" t="n">
        <f aca="false">F449-E449</f>
        <v>1.99861111111111</v>
      </c>
      <c r="H449" s="20" t="s">
        <v>248</v>
      </c>
      <c r="J449" s="20" t="s">
        <v>256</v>
      </c>
      <c r="K449" s="1" t="e">
        <f aca="false">_xlfn.xlookup(J449,REF!$D$2:$D$12,REF!$E$2:$E$12)</f>
        <v>#NAME?</v>
      </c>
      <c r="L449" s="1" t="s">
        <v>735</v>
      </c>
      <c r="M449" s="20" t="s">
        <v>258</v>
      </c>
      <c r="N449" s="20" t="s">
        <v>259</v>
      </c>
      <c r="O449" s="1" t="s">
        <v>736</v>
      </c>
      <c r="P449" s="1" t="str">
        <f aca="false">_xlfn.CONCAT(B449,C449,D449,E449,F449)</f>
        <v>CORUMBÁ I - UFV 3U03.I0246005.626388888946005.626388888946007.625</v>
      </c>
      <c r="Q449" s="1" t="str">
        <f aca="false">_xlfn.CONCAT(H449,I449,J449)</f>
        <v>DAURDE</v>
      </c>
    </row>
    <row r="450" customFormat="false" ht="15" hidden="true" customHeight="false" outlineLevel="0" collapsed="false">
      <c r="B450" s="1" t="s">
        <v>802</v>
      </c>
      <c r="C450" s="1" t="s">
        <v>767</v>
      </c>
      <c r="D450" s="14" t="n">
        <v>46005.6263888889</v>
      </c>
      <c r="E450" s="14" t="n">
        <v>46005.6263888889</v>
      </c>
      <c r="F450" s="14" t="n">
        <v>46007.625</v>
      </c>
      <c r="G450" s="15" t="n">
        <f aca="false">F450-E450</f>
        <v>1.99861111111111</v>
      </c>
      <c r="H450" s="20" t="s">
        <v>248</v>
      </c>
      <c r="J450" s="20" t="s">
        <v>256</v>
      </c>
      <c r="K450" s="1" t="e">
        <f aca="false">_xlfn.xlookup(J450,REF!$D$2:$D$12,REF!$E$2:$E$12)</f>
        <v>#NAME?</v>
      </c>
      <c r="L450" s="1" t="s">
        <v>735</v>
      </c>
      <c r="M450" s="20" t="s">
        <v>258</v>
      </c>
      <c r="N450" s="20" t="s">
        <v>259</v>
      </c>
      <c r="O450" s="1" t="s">
        <v>736</v>
      </c>
      <c r="P450" s="1" t="str">
        <f aca="false">_xlfn.CONCAT(B450,C450,D450,E450,F450)</f>
        <v>CORUMBÁ II - UFV 1U01. I0146005.626388888946005.626388888946007.625</v>
      </c>
      <c r="Q450" s="1" t="str">
        <f aca="false">_xlfn.CONCAT(H450,I450,J450)</f>
        <v>DAURDE</v>
      </c>
    </row>
    <row r="451" customFormat="false" ht="15" hidden="true" customHeight="false" outlineLevel="0" collapsed="false">
      <c r="B451" s="1" t="s">
        <v>802</v>
      </c>
      <c r="C451" s="1" t="s">
        <v>280</v>
      </c>
      <c r="D451" s="14" t="n">
        <v>46005.6263888889</v>
      </c>
      <c r="E451" s="14" t="n">
        <v>46005.6263888889</v>
      </c>
      <c r="F451" s="14" t="n">
        <v>46007.625</v>
      </c>
      <c r="G451" s="15" t="n">
        <f aca="false">F451-E451</f>
        <v>1.99861111111111</v>
      </c>
      <c r="H451" s="20" t="s">
        <v>248</v>
      </c>
      <c r="J451" s="20" t="s">
        <v>256</v>
      </c>
      <c r="K451" s="1" t="e">
        <f aca="false">_xlfn.xlookup(J451,REF!$D$2:$D$12,REF!$E$2:$E$12)</f>
        <v>#NAME?</v>
      </c>
      <c r="L451" s="1" t="s">
        <v>735</v>
      </c>
      <c r="M451" s="20" t="s">
        <v>258</v>
      </c>
      <c r="N451" s="20" t="s">
        <v>259</v>
      </c>
      <c r="O451" s="1" t="s">
        <v>736</v>
      </c>
      <c r="P451" s="1" t="str">
        <f aca="false">_xlfn.CONCAT(B451,C451,D451,E451,F451)</f>
        <v>CORUMBÁ II - UFV 1Inverter(MBUS-14)46005.626388888946005.626388888946007.625</v>
      </c>
      <c r="Q451" s="1" t="str">
        <f aca="false">_xlfn.CONCAT(H451,I451,J451)</f>
        <v>DAURDE</v>
      </c>
    </row>
    <row r="452" customFormat="false" ht="15" hidden="true" customHeight="false" outlineLevel="0" collapsed="false">
      <c r="B452" s="1" t="s">
        <v>802</v>
      </c>
      <c r="C452" s="1" t="s">
        <v>690</v>
      </c>
      <c r="D452" s="14" t="n">
        <v>46005.6263888889</v>
      </c>
      <c r="E452" s="14" t="n">
        <v>46005.6263888889</v>
      </c>
      <c r="F452" s="14" t="n">
        <v>46007.625</v>
      </c>
      <c r="G452" s="15" t="n">
        <f aca="false">F452-E452</f>
        <v>1.99861111111111</v>
      </c>
      <c r="H452" s="20" t="s">
        <v>248</v>
      </c>
      <c r="J452" s="20" t="s">
        <v>256</v>
      </c>
      <c r="K452" s="1" t="e">
        <f aca="false">_xlfn.xlookup(J452,REF!$D$2:$D$12,REF!$E$2:$E$12)</f>
        <v>#NAME?</v>
      </c>
      <c r="L452" s="1" t="s">
        <v>735</v>
      </c>
      <c r="M452" s="20" t="s">
        <v>258</v>
      </c>
      <c r="N452" s="20" t="s">
        <v>259</v>
      </c>
      <c r="O452" s="1" t="s">
        <v>736</v>
      </c>
      <c r="P452" s="1" t="str">
        <f aca="false">_xlfn.CONCAT(B452,C452,D452,E452,F452)</f>
        <v>CORUMBÁ II - UFV 1Inverter(MBUS-16)46005.626388888946005.626388888946007.625</v>
      </c>
      <c r="Q452" s="1" t="str">
        <f aca="false">_xlfn.CONCAT(H452,I452,J452)</f>
        <v>DAURDE</v>
      </c>
    </row>
    <row r="453" customFormat="false" ht="15" hidden="true" customHeight="false" outlineLevel="0" collapsed="false">
      <c r="B453" s="1" t="s">
        <v>802</v>
      </c>
      <c r="C453" s="1" t="s">
        <v>768</v>
      </c>
      <c r="D453" s="14" t="n">
        <v>46005.6263888889</v>
      </c>
      <c r="E453" s="14" t="n">
        <v>46005.6263888889</v>
      </c>
      <c r="F453" s="14" t="n">
        <v>46007.625</v>
      </c>
      <c r="G453" s="15" t="n">
        <f aca="false">F453-E453</f>
        <v>1.99861111111111</v>
      </c>
      <c r="H453" s="20" t="s">
        <v>248</v>
      </c>
      <c r="J453" s="20" t="s">
        <v>256</v>
      </c>
      <c r="K453" s="1" t="e">
        <f aca="false">_xlfn.xlookup(J453,REF!$D$2:$D$12,REF!$E$2:$E$12)</f>
        <v>#NAME?</v>
      </c>
      <c r="L453" s="1" t="s">
        <v>735</v>
      </c>
      <c r="M453" s="20" t="s">
        <v>258</v>
      </c>
      <c r="N453" s="20" t="s">
        <v>259</v>
      </c>
      <c r="O453" s="1" t="s">
        <v>736</v>
      </c>
      <c r="P453" s="1" t="str">
        <f aca="false">_xlfn.CONCAT(B453,C453,D453,E453,F453)</f>
        <v>CORUMBÁ II - UFV 1U01. I0246005.626388888946005.626388888946007.625</v>
      </c>
      <c r="Q453" s="1" t="str">
        <f aca="false">_xlfn.CONCAT(H453,I453,J453)</f>
        <v>DAURDE</v>
      </c>
    </row>
    <row r="454" customFormat="false" ht="15" hidden="true" customHeight="false" outlineLevel="0" collapsed="false">
      <c r="B454" s="1" t="s">
        <v>802</v>
      </c>
      <c r="C454" s="1" t="s">
        <v>279</v>
      </c>
      <c r="D454" s="14" t="n">
        <v>46005.6263888889</v>
      </c>
      <c r="E454" s="14" t="n">
        <v>46005.6263888889</v>
      </c>
      <c r="F454" s="14" t="n">
        <v>46007.625</v>
      </c>
      <c r="G454" s="15" t="n">
        <f aca="false">F454-E454</f>
        <v>1.99861111111111</v>
      </c>
      <c r="H454" s="20" t="s">
        <v>248</v>
      </c>
      <c r="J454" s="20" t="s">
        <v>256</v>
      </c>
      <c r="K454" s="1" t="e">
        <f aca="false">_xlfn.xlookup(J454,REF!$D$2:$D$12,REF!$E$2:$E$12)</f>
        <v>#NAME?</v>
      </c>
      <c r="L454" s="1" t="s">
        <v>735</v>
      </c>
      <c r="M454" s="20" t="s">
        <v>258</v>
      </c>
      <c r="N454" s="20" t="s">
        <v>259</v>
      </c>
      <c r="O454" s="1" t="s">
        <v>736</v>
      </c>
      <c r="P454" s="1" t="str">
        <f aca="false">_xlfn.CONCAT(B454,C454,D454,E454,F454)</f>
        <v>CORUMBÁ II - UFV 1Inverter(MBUS-15)46005.626388888946005.626388888946007.625</v>
      </c>
      <c r="Q454" s="1" t="str">
        <f aca="false">_xlfn.CONCAT(H454,I454,J454)</f>
        <v>DAURDE</v>
      </c>
    </row>
    <row r="455" customFormat="false" ht="15" hidden="true" customHeight="false" outlineLevel="0" collapsed="false">
      <c r="B455" s="1" t="s">
        <v>803</v>
      </c>
      <c r="C455" s="1" t="s">
        <v>271</v>
      </c>
      <c r="D455" s="14" t="n">
        <v>46005.6263888889</v>
      </c>
      <c r="E455" s="14" t="n">
        <v>46005.6263888889</v>
      </c>
      <c r="F455" s="14" t="n">
        <v>46007.625</v>
      </c>
      <c r="G455" s="15" t="n">
        <f aca="false">F455-E455</f>
        <v>1.99861111111111</v>
      </c>
      <c r="H455" s="20" t="s">
        <v>248</v>
      </c>
      <c r="J455" s="20" t="s">
        <v>256</v>
      </c>
      <c r="K455" s="1" t="e">
        <f aca="false">_xlfn.xlookup(J455,REF!$D$2:$D$12,REF!$E$2:$E$12)</f>
        <v>#NAME?</v>
      </c>
      <c r="L455" s="1" t="s">
        <v>735</v>
      </c>
      <c r="M455" s="20" t="s">
        <v>258</v>
      </c>
      <c r="N455" s="20" t="s">
        <v>259</v>
      </c>
      <c r="O455" s="1" t="s">
        <v>736</v>
      </c>
      <c r="P455" s="1" t="str">
        <f aca="false">_xlfn.CONCAT(B455,C455,D455,E455,F455)</f>
        <v>CORUMBÁ II - UFV 2U02.I0446005.626388888946005.626388888946007.625</v>
      </c>
      <c r="Q455" s="1" t="str">
        <f aca="false">_xlfn.CONCAT(H455,I455,J455)</f>
        <v>DAURDE</v>
      </c>
    </row>
    <row r="456" customFormat="false" ht="15" hidden="true" customHeight="false" outlineLevel="0" collapsed="false">
      <c r="B456" s="1" t="s">
        <v>803</v>
      </c>
      <c r="C456" s="1" t="s">
        <v>272</v>
      </c>
      <c r="D456" s="14" t="n">
        <v>46005.6263888889</v>
      </c>
      <c r="E456" s="14" t="n">
        <v>46005.6263888889</v>
      </c>
      <c r="F456" s="14" t="n">
        <v>46007.625</v>
      </c>
      <c r="G456" s="15" t="n">
        <f aca="false">F456-E456</f>
        <v>1.99861111111111</v>
      </c>
      <c r="H456" s="20" t="s">
        <v>248</v>
      </c>
      <c r="J456" s="20" t="s">
        <v>256</v>
      </c>
      <c r="K456" s="1" t="e">
        <f aca="false">_xlfn.xlookup(J456,REF!$D$2:$D$12,REF!$E$2:$E$12)</f>
        <v>#NAME?</v>
      </c>
      <c r="L456" s="1" t="s">
        <v>735</v>
      </c>
      <c r="M456" s="20" t="s">
        <v>258</v>
      </c>
      <c r="N456" s="20" t="s">
        <v>259</v>
      </c>
      <c r="O456" s="1" t="s">
        <v>736</v>
      </c>
      <c r="P456" s="1" t="str">
        <f aca="false">_xlfn.CONCAT(B456,C456,D456,E456,F456)</f>
        <v>CORUMBÁ II - UFV 2U02.I0546005.626388888946005.626388888946007.625</v>
      </c>
      <c r="Q456" s="1" t="str">
        <f aca="false">_xlfn.CONCAT(H456,I456,J456)</f>
        <v>DAURDE</v>
      </c>
    </row>
    <row r="457" customFormat="false" ht="15" hidden="true" customHeight="false" outlineLevel="0" collapsed="false">
      <c r="B457" s="1" t="s">
        <v>803</v>
      </c>
      <c r="C457" s="1" t="s">
        <v>270</v>
      </c>
      <c r="D457" s="14" t="n">
        <v>46005.6263888889</v>
      </c>
      <c r="E457" s="14" t="n">
        <v>46005.6263888889</v>
      </c>
      <c r="F457" s="14" t="n">
        <v>46007.625</v>
      </c>
      <c r="G457" s="15" t="n">
        <f aca="false">F457-E457</f>
        <v>1.99861111111111</v>
      </c>
      <c r="H457" s="20" t="s">
        <v>248</v>
      </c>
      <c r="J457" s="20" t="s">
        <v>256</v>
      </c>
      <c r="K457" s="1" t="e">
        <f aca="false">_xlfn.xlookup(J457,REF!$D$2:$D$12,REF!$E$2:$E$12)</f>
        <v>#NAME?</v>
      </c>
      <c r="L457" s="1" t="s">
        <v>735</v>
      </c>
      <c r="M457" s="20" t="s">
        <v>258</v>
      </c>
      <c r="N457" s="20" t="s">
        <v>259</v>
      </c>
      <c r="O457" s="1" t="s">
        <v>736</v>
      </c>
      <c r="P457" s="1" t="str">
        <f aca="false">_xlfn.CONCAT(B457,C457,D457,E457,F457)</f>
        <v>CORUMBÁ II - UFV 2U02.I0346005.626388888946005.626388888946007.625</v>
      </c>
      <c r="Q457" s="1" t="str">
        <f aca="false">_xlfn.CONCAT(H457,I457,J457)</f>
        <v>DAURDE</v>
      </c>
    </row>
    <row r="458" customFormat="false" ht="15" hidden="true" customHeight="false" outlineLevel="0" collapsed="false">
      <c r="B458" s="1" t="s">
        <v>803</v>
      </c>
      <c r="C458" s="1" t="s">
        <v>262</v>
      </c>
      <c r="D458" s="14" t="n">
        <v>46005.6263888889</v>
      </c>
      <c r="E458" s="14" t="n">
        <v>46005.6263888889</v>
      </c>
      <c r="F458" s="14" t="n">
        <v>46007.625</v>
      </c>
      <c r="G458" s="15" t="n">
        <f aca="false">F458-E458</f>
        <v>1.99861111111111</v>
      </c>
      <c r="H458" s="20" t="s">
        <v>248</v>
      </c>
      <c r="J458" s="20" t="s">
        <v>256</v>
      </c>
      <c r="K458" s="1" t="e">
        <f aca="false">_xlfn.xlookup(J458,REF!$D$2:$D$12,REF!$E$2:$E$12)</f>
        <v>#NAME?</v>
      </c>
      <c r="L458" s="1" t="s">
        <v>735</v>
      </c>
      <c r="M458" s="20" t="s">
        <v>258</v>
      </c>
      <c r="N458" s="20" t="s">
        <v>259</v>
      </c>
      <c r="O458" s="1" t="s">
        <v>736</v>
      </c>
      <c r="P458" s="1" t="str">
        <f aca="false">_xlfn.CONCAT(B458,C458,D458,E458,F458)</f>
        <v>CORUMBÁ II - UFV 2U02.I0146005.626388888946005.626388888946007.625</v>
      </c>
      <c r="Q458" s="1" t="str">
        <f aca="false">_xlfn.CONCAT(H458,I458,J458)</f>
        <v>DAURDE</v>
      </c>
    </row>
    <row r="459" customFormat="false" ht="15" hidden="true" customHeight="false" outlineLevel="0" collapsed="false">
      <c r="B459" s="1" t="s">
        <v>803</v>
      </c>
      <c r="C459" s="1" t="s">
        <v>269</v>
      </c>
      <c r="D459" s="14" t="n">
        <v>46005.6263888889</v>
      </c>
      <c r="E459" s="14" t="n">
        <v>46005.6263888889</v>
      </c>
      <c r="F459" s="14" t="n">
        <v>46007.625</v>
      </c>
      <c r="G459" s="15" t="n">
        <f aca="false">F459-E459</f>
        <v>1.99861111111111</v>
      </c>
      <c r="H459" s="20" t="s">
        <v>248</v>
      </c>
      <c r="J459" s="20" t="s">
        <v>256</v>
      </c>
      <c r="K459" s="1" t="e">
        <f aca="false">_xlfn.xlookup(J459,REF!$D$2:$D$12,REF!$E$2:$E$12)</f>
        <v>#NAME?</v>
      </c>
      <c r="L459" s="1" t="s">
        <v>735</v>
      </c>
      <c r="M459" s="20" t="s">
        <v>258</v>
      </c>
      <c r="N459" s="20" t="s">
        <v>259</v>
      </c>
      <c r="O459" s="1" t="s">
        <v>736</v>
      </c>
      <c r="P459" s="1" t="str">
        <f aca="false">_xlfn.CONCAT(B459,C459,D459,E459,F459)</f>
        <v>CORUMBÁ II - UFV 2U02.I0246005.626388888946005.626388888946007.625</v>
      </c>
      <c r="Q459" s="1" t="str">
        <f aca="false">_xlfn.CONCAT(H459,I459,J459)</f>
        <v>DAURDE</v>
      </c>
    </row>
    <row r="460" customFormat="false" ht="15" hidden="true" customHeight="false" outlineLevel="0" collapsed="false">
      <c r="B460" s="1" t="s">
        <v>804</v>
      </c>
      <c r="C460" s="1" t="s">
        <v>499</v>
      </c>
      <c r="D460" s="14" t="n">
        <v>46005.6263888889</v>
      </c>
      <c r="E460" s="14" t="n">
        <v>46005.6263888889</v>
      </c>
      <c r="F460" s="14" t="n">
        <v>46007.625</v>
      </c>
      <c r="G460" s="15" t="n">
        <f aca="false">F460-E460</f>
        <v>1.99861111111111</v>
      </c>
      <c r="H460" s="20" t="s">
        <v>248</v>
      </c>
      <c r="J460" s="20" t="s">
        <v>256</v>
      </c>
      <c r="K460" s="1" t="e">
        <f aca="false">_xlfn.xlookup(J460,REF!$D$2:$D$12,REF!$E$2:$E$12)</f>
        <v>#NAME?</v>
      </c>
      <c r="L460" s="1" t="s">
        <v>735</v>
      </c>
      <c r="M460" s="20" t="s">
        <v>258</v>
      </c>
      <c r="N460" s="20" t="s">
        <v>259</v>
      </c>
      <c r="O460" s="1" t="s">
        <v>736</v>
      </c>
      <c r="P460" s="1" t="str">
        <f aca="false">_xlfn.CONCAT(B460,C460,D460,E460,F460)</f>
        <v>CORUMBÁ II - UFV 3U03.I0346005.626388888946005.626388888946007.625</v>
      </c>
      <c r="Q460" s="1" t="str">
        <f aca="false">_xlfn.CONCAT(H460,I460,J460)</f>
        <v>DAURDE</v>
      </c>
    </row>
    <row r="461" customFormat="false" ht="15" hidden="true" customHeight="false" outlineLevel="0" collapsed="false">
      <c r="B461" s="1" t="s">
        <v>804</v>
      </c>
      <c r="C461" s="1" t="s">
        <v>607</v>
      </c>
      <c r="D461" s="14" t="n">
        <v>46005.6263888889</v>
      </c>
      <c r="E461" s="14" t="n">
        <v>46005.6263888889</v>
      </c>
      <c r="F461" s="14" t="n">
        <v>46007.625</v>
      </c>
      <c r="G461" s="15" t="n">
        <f aca="false">F461-E461</f>
        <v>1.99861111111111</v>
      </c>
      <c r="H461" s="20" t="s">
        <v>248</v>
      </c>
      <c r="J461" s="20" t="s">
        <v>256</v>
      </c>
      <c r="K461" s="1" t="e">
        <f aca="false">_xlfn.xlookup(J461,REF!$D$2:$D$12,REF!$E$2:$E$12)</f>
        <v>#NAME?</v>
      </c>
      <c r="L461" s="1" t="s">
        <v>735</v>
      </c>
      <c r="M461" s="20" t="s">
        <v>258</v>
      </c>
      <c r="N461" s="20" t="s">
        <v>259</v>
      </c>
      <c r="O461" s="1" t="s">
        <v>736</v>
      </c>
      <c r="P461" s="1" t="str">
        <f aca="false">_xlfn.CONCAT(B461,C461,D461,E461,F461)</f>
        <v>CORUMBÁ II - UFV 3U03.I0246005.626388888946005.626388888946007.625</v>
      </c>
      <c r="Q461" s="1" t="str">
        <f aca="false">_xlfn.CONCAT(H461,I461,J461)</f>
        <v>DAURDE</v>
      </c>
    </row>
    <row r="462" customFormat="false" ht="15" hidden="true" customHeight="false" outlineLevel="0" collapsed="false">
      <c r="B462" s="1" t="s">
        <v>804</v>
      </c>
      <c r="C462" s="1" t="s">
        <v>604</v>
      </c>
      <c r="D462" s="14" t="n">
        <v>46005.6263888889</v>
      </c>
      <c r="E462" s="14" t="n">
        <v>46005.6263888889</v>
      </c>
      <c r="F462" s="14" t="n">
        <v>46007.625</v>
      </c>
      <c r="G462" s="15" t="n">
        <f aca="false">F462-E462</f>
        <v>1.99861111111111</v>
      </c>
      <c r="H462" s="20" t="s">
        <v>248</v>
      </c>
      <c r="J462" s="20" t="s">
        <v>256</v>
      </c>
      <c r="K462" s="1" t="e">
        <f aca="false">_xlfn.xlookup(J462,REF!$D$2:$D$12,REF!$E$2:$E$12)</f>
        <v>#NAME?</v>
      </c>
      <c r="L462" s="1" t="s">
        <v>735</v>
      </c>
      <c r="M462" s="20" t="s">
        <v>258</v>
      </c>
      <c r="N462" s="20" t="s">
        <v>259</v>
      </c>
      <c r="O462" s="1" t="s">
        <v>736</v>
      </c>
      <c r="P462" s="1" t="str">
        <f aca="false">_xlfn.CONCAT(B462,C462,D462,E462,F462)</f>
        <v>CORUMBÁ II - UFV 3U03.I0146005.626388888946005.626388888946007.625</v>
      </c>
      <c r="Q462" s="1" t="str">
        <f aca="false">_xlfn.CONCAT(H462,I462,J462)</f>
        <v>DAURDE</v>
      </c>
    </row>
    <row r="463" customFormat="false" ht="15" hidden="true" customHeight="false" outlineLevel="0" collapsed="false">
      <c r="B463" s="1" t="s">
        <v>254</v>
      </c>
      <c r="C463" s="1" t="s">
        <v>255</v>
      </c>
      <c r="D463" s="14" t="n">
        <v>46003.5368055556</v>
      </c>
      <c r="E463" s="14" t="n">
        <v>46003.5368055556</v>
      </c>
      <c r="F463" s="14" t="n">
        <v>46003.5548611111</v>
      </c>
      <c r="G463" s="15" t="n">
        <f aca="false">F463-E463</f>
        <v>0.0180555555555556</v>
      </c>
      <c r="H463" s="1" t="s">
        <v>248</v>
      </c>
      <c r="J463" s="1" t="s">
        <v>256</v>
      </c>
      <c r="K463" s="1" t="e">
        <f aca="false">_xlfn.xlookup(J463,REF!$D$2:$D$12,REF!$E$2:$E$12)</f>
        <v>#NAME?</v>
      </c>
      <c r="L463" s="1" t="s">
        <v>257</v>
      </c>
      <c r="M463" s="1" t="s">
        <v>787</v>
      </c>
      <c r="N463" s="1" t="s">
        <v>379</v>
      </c>
      <c r="O463" s="1" t="s">
        <v>790</v>
      </c>
      <c r="P463" s="1" t="str">
        <f aca="false">_xlfn.CONCAT(B463,C463,D463,E463,F463)</f>
        <v>BC Aracu5.1Inverter(MBUS-1)46003.536805555646003.536805555646003.5548611111</v>
      </c>
      <c r="Q463" s="1" t="str">
        <f aca="false">_xlfn.CONCAT(H463,I463,J463)</f>
        <v>DAURDE</v>
      </c>
    </row>
    <row r="464" customFormat="false" ht="15" hidden="true" customHeight="false" outlineLevel="0" collapsed="false">
      <c r="B464" s="1" t="s">
        <v>307</v>
      </c>
      <c r="C464" s="1" t="s">
        <v>255</v>
      </c>
      <c r="D464" s="14" t="n">
        <v>46003.5368055556</v>
      </c>
      <c r="E464" s="14" t="n">
        <v>46003.5368055556</v>
      </c>
      <c r="F464" s="14" t="n">
        <v>46003.5548611111</v>
      </c>
      <c r="G464" s="15" t="n">
        <f aca="false">F464-E464</f>
        <v>0.0180555555555556</v>
      </c>
      <c r="H464" s="1" t="s">
        <v>248</v>
      </c>
      <c r="J464" s="1" t="s">
        <v>256</v>
      </c>
      <c r="K464" s="1" t="e">
        <f aca="false">_xlfn.xlookup(J464,REF!$D$2:$D$12,REF!$E$2:$E$12)</f>
        <v>#NAME?</v>
      </c>
      <c r="L464" s="1" t="s">
        <v>257</v>
      </c>
      <c r="M464" s="1" t="s">
        <v>787</v>
      </c>
      <c r="N464" s="1" t="s">
        <v>379</v>
      </c>
      <c r="O464" s="1" t="s">
        <v>790</v>
      </c>
      <c r="P464" s="1" t="str">
        <f aca="false">_xlfn.CONCAT(B464,C464,D464,E464,F464)</f>
        <v>BC Aracu5.2Inverter(MBUS-1)46003.536805555646003.536805555646003.5548611111</v>
      </c>
      <c r="Q464" s="1" t="str">
        <f aca="false">_xlfn.CONCAT(H464,I464,J464)</f>
        <v>DAURDE</v>
      </c>
    </row>
    <row r="465" customFormat="false" ht="15" hidden="true" customHeight="false" outlineLevel="0" collapsed="false">
      <c r="B465" s="1" t="s">
        <v>308</v>
      </c>
      <c r="C465" s="1" t="s">
        <v>255</v>
      </c>
      <c r="D465" s="14" t="n">
        <v>46003.5368055556</v>
      </c>
      <c r="E465" s="14" t="n">
        <v>46003.5368055556</v>
      </c>
      <c r="F465" s="14" t="n">
        <v>46003.5548611111</v>
      </c>
      <c r="G465" s="15" t="n">
        <f aca="false">F465-E465</f>
        <v>0.0180555555555556</v>
      </c>
      <c r="H465" s="1" t="s">
        <v>248</v>
      </c>
      <c r="J465" s="1" t="s">
        <v>256</v>
      </c>
      <c r="K465" s="1" t="e">
        <f aca="false">_xlfn.xlookup(J465,REF!$D$2:$D$12,REF!$E$2:$E$12)</f>
        <v>#NAME?</v>
      </c>
      <c r="L465" s="1" t="s">
        <v>257</v>
      </c>
      <c r="M465" s="1" t="s">
        <v>787</v>
      </c>
      <c r="N465" s="1" t="s">
        <v>379</v>
      </c>
      <c r="O465" s="1" t="s">
        <v>790</v>
      </c>
      <c r="P465" s="1" t="str">
        <f aca="false">_xlfn.CONCAT(B465,C465,D465,E465,F465)</f>
        <v>BC Aracu5.3Inverter(MBUS-1)46003.536805555646003.536805555646003.5548611111</v>
      </c>
      <c r="Q465" s="1" t="str">
        <f aca="false">_xlfn.CONCAT(H465,I465,J465)</f>
        <v>DAURDE</v>
      </c>
    </row>
    <row r="466" customFormat="false" ht="15" hidden="true" customHeight="false" outlineLevel="0" collapsed="false">
      <c r="B466" s="1" t="s">
        <v>309</v>
      </c>
      <c r="C466" s="1" t="s">
        <v>255</v>
      </c>
      <c r="D466" s="14" t="n">
        <v>46003.5368055556</v>
      </c>
      <c r="E466" s="14" t="n">
        <v>46003.5368055556</v>
      </c>
      <c r="F466" s="14" t="n">
        <v>46003.5548611111</v>
      </c>
      <c r="G466" s="15" t="n">
        <f aca="false">F466-E466</f>
        <v>0.0180555555555556</v>
      </c>
      <c r="H466" s="1" t="s">
        <v>248</v>
      </c>
      <c r="J466" s="1" t="s">
        <v>256</v>
      </c>
      <c r="K466" s="1" t="e">
        <f aca="false">_xlfn.xlookup(J466,REF!$D$2:$D$12,REF!$E$2:$E$12)</f>
        <v>#NAME?</v>
      </c>
      <c r="L466" s="1" t="s">
        <v>257</v>
      </c>
      <c r="M466" s="1" t="s">
        <v>787</v>
      </c>
      <c r="N466" s="1" t="s">
        <v>379</v>
      </c>
      <c r="O466" s="1" t="s">
        <v>790</v>
      </c>
      <c r="P466" s="1" t="str">
        <f aca="false">_xlfn.CONCAT(B466,C466,D466,E466,F466)</f>
        <v>BC Aracu5.4Inverter(MBUS-1)46003.536805555646003.536805555646003.5548611111</v>
      </c>
      <c r="Q466" s="1" t="str">
        <f aca="false">_xlfn.CONCAT(H466,I466,J466)</f>
        <v>DAURDE</v>
      </c>
    </row>
    <row r="467" customFormat="false" ht="15" hidden="true" customHeight="false" outlineLevel="0" collapsed="false">
      <c r="B467" s="1" t="s">
        <v>310</v>
      </c>
      <c r="C467" s="1" t="s">
        <v>255</v>
      </c>
      <c r="D467" s="14" t="n">
        <v>46003.5368055556</v>
      </c>
      <c r="E467" s="14" t="n">
        <v>46003.5368055556</v>
      </c>
      <c r="F467" s="14" t="n">
        <v>46003.5548611111</v>
      </c>
      <c r="G467" s="15" t="n">
        <f aca="false">F467-E467</f>
        <v>0.0180555555555556</v>
      </c>
      <c r="H467" s="1" t="s">
        <v>248</v>
      </c>
      <c r="J467" s="1" t="s">
        <v>256</v>
      </c>
      <c r="K467" s="1" t="e">
        <f aca="false">_xlfn.xlookup(J467,REF!$D$2:$D$12,REF!$E$2:$E$12)</f>
        <v>#NAME?</v>
      </c>
      <c r="L467" s="1" t="s">
        <v>257</v>
      </c>
      <c r="M467" s="1" t="s">
        <v>787</v>
      </c>
      <c r="N467" s="1" t="s">
        <v>379</v>
      </c>
      <c r="O467" s="1" t="s">
        <v>790</v>
      </c>
      <c r="P467" s="1" t="str">
        <f aca="false">_xlfn.CONCAT(B467,C467,D467,E467,F467)</f>
        <v>BC Aracu5.5Inverter(MBUS-1)46003.536805555646003.536805555646003.5548611111</v>
      </c>
      <c r="Q467" s="1" t="str">
        <f aca="false">_xlfn.CONCAT(H467,I467,J467)</f>
        <v>DAURDE</v>
      </c>
    </row>
    <row r="468" customFormat="false" ht="15" hidden="true" customHeight="false" outlineLevel="0" collapsed="false">
      <c r="B468" s="1" t="s">
        <v>380</v>
      </c>
      <c r="C468" s="1" t="s">
        <v>277</v>
      </c>
      <c r="D468" s="14" t="n">
        <v>46003.5631944445</v>
      </c>
      <c r="E468" s="14" t="n">
        <v>46003.5631944445</v>
      </c>
      <c r="F468" s="14" t="n">
        <v>46003.6076388889</v>
      </c>
      <c r="G468" s="15" t="n">
        <f aca="false">F468-E468</f>
        <v>0.0444444444444444</v>
      </c>
      <c r="H468" s="1" t="s">
        <v>248</v>
      </c>
      <c r="J468" s="1" t="s">
        <v>256</v>
      </c>
      <c r="K468" s="1" t="e">
        <f aca="false">_xlfn.xlookup(J468,REF!$D$2:$D$12,REF!$E$2:$E$12)</f>
        <v>#NAME?</v>
      </c>
      <c r="L468" s="1" t="s">
        <v>636</v>
      </c>
      <c r="M468" s="1" t="s">
        <v>787</v>
      </c>
      <c r="N468" s="1" t="s">
        <v>379</v>
      </c>
      <c r="O468" s="1" t="s">
        <v>790</v>
      </c>
      <c r="P468" s="1" t="str">
        <f aca="false">_xlfn.CONCAT(B468,C468,D468,E468,F468)</f>
        <v>ARAGUATINS 1.1Inverter(MBUS-12)46003.563194444546003.563194444546003.6076388889</v>
      </c>
      <c r="Q468" s="1" t="str">
        <f aca="false">_xlfn.CONCAT(H468,I468,J468)</f>
        <v>DAURDE</v>
      </c>
    </row>
    <row r="469" customFormat="false" ht="15" hidden="true" customHeight="false" outlineLevel="0" collapsed="false">
      <c r="B469" s="1" t="s">
        <v>380</v>
      </c>
      <c r="C469" s="1" t="s">
        <v>247</v>
      </c>
      <c r="D469" s="14" t="n">
        <v>46003.5631944445</v>
      </c>
      <c r="E469" s="14" t="n">
        <v>46003.5631944445</v>
      </c>
      <c r="F469" s="14" t="n">
        <v>46003.6076388889</v>
      </c>
      <c r="G469" s="15" t="n">
        <f aca="false">F469-E469</f>
        <v>0.0444444444444444</v>
      </c>
      <c r="H469" s="1" t="s">
        <v>248</v>
      </c>
      <c r="J469" s="1" t="s">
        <v>256</v>
      </c>
      <c r="K469" s="1" t="e">
        <f aca="false">_xlfn.xlookup(J469,REF!$D$2:$D$12,REF!$E$2:$E$12)</f>
        <v>#NAME?</v>
      </c>
      <c r="L469" s="1" t="s">
        <v>636</v>
      </c>
      <c r="M469" s="1" t="s">
        <v>787</v>
      </c>
      <c r="N469" s="1" t="s">
        <v>379</v>
      </c>
      <c r="O469" s="1" t="s">
        <v>790</v>
      </c>
      <c r="P469" s="1" t="str">
        <f aca="false">_xlfn.CONCAT(B469,C469,D469,E469,F469)</f>
        <v>ARAGUATINS 1.1Inverter(MBUS-13)46003.563194444546003.563194444546003.6076388889</v>
      </c>
      <c r="Q469" s="1" t="str">
        <f aca="false">_xlfn.CONCAT(H469,I469,J469)</f>
        <v>DAURDE</v>
      </c>
    </row>
    <row r="470" customFormat="false" ht="15" hidden="true" customHeight="false" outlineLevel="0" collapsed="false">
      <c r="B470" s="1" t="s">
        <v>380</v>
      </c>
      <c r="C470" s="1" t="s">
        <v>280</v>
      </c>
      <c r="D470" s="14" t="n">
        <v>46003.5631944445</v>
      </c>
      <c r="E470" s="14" t="n">
        <v>46003.5631944445</v>
      </c>
      <c r="F470" s="14" t="n">
        <v>46003.6076388889</v>
      </c>
      <c r="G470" s="15" t="n">
        <f aca="false">F470-E470</f>
        <v>0.0444444444444444</v>
      </c>
      <c r="H470" s="1" t="s">
        <v>248</v>
      </c>
      <c r="J470" s="1" t="s">
        <v>256</v>
      </c>
      <c r="K470" s="1" t="e">
        <f aca="false">_xlfn.xlookup(J470,REF!$D$2:$D$12,REF!$E$2:$E$12)</f>
        <v>#NAME?</v>
      </c>
      <c r="L470" s="1" t="s">
        <v>636</v>
      </c>
      <c r="M470" s="1" t="s">
        <v>787</v>
      </c>
      <c r="N470" s="1" t="s">
        <v>379</v>
      </c>
      <c r="O470" s="1" t="s">
        <v>790</v>
      </c>
      <c r="P470" s="1" t="str">
        <f aca="false">_xlfn.CONCAT(B470,C470,D470,E470,F470)</f>
        <v>ARAGUATINS 1.1Inverter(MBUS-14)46003.563194444546003.563194444546003.6076388889</v>
      </c>
      <c r="Q470" s="1" t="str">
        <f aca="false">_xlfn.CONCAT(H470,I470,J470)</f>
        <v>DAURDE</v>
      </c>
    </row>
    <row r="471" customFormat="false" ht="15" hidden="true" customHeight="false" outlineLevel="0" collapsed="false">
      <c r="B471" s="1" t="s">
        <v>380</v>
      </c>
      <c r="C471" s="1" t="s">
        <v>279</v>
      </c>
      <c r="D471" s="14" t="n">
        <v>46003.5631944445</v>
      </c>
      <c r="E471" s="14" t="n">
        <v>46003.5631944445</v>
      </c>
      <c r="F471" s="14" t="n">
        <v>46003.6076388889</v>
      </c>
      <c r="G471" s="15" t="n">
        <f aca="false">F471-E471</f>
        <v>0.0444444444444444</v>
      </c>
      <c r="H471" s="1" t="s">
        <v>248</v>
      </c>
      <c r="J471" s="1" t="s">
        <v>256</v>
      </c>
      <c r="K471" s="1" t="e">
        <f aca="false">_xlfn.xlookup(J471,REF!$D$2:$D$12,REF!$E$2:$E$12)</f>
        <v>#NAME?</v>
      </c>
      <c r="L471" s="1" t="s">
        <v>636</v>
      </c>
      <c r="M471" s="1" t="s">
        <v>787</v>
      </c>
      <c r="N471" s="1" t="s">
        <v>379</v>
      </c>
      <c r="O471" s="1" t="s">
        <v>790</v>
      </c>
      <c r="P471" s="1" t="str">
        <f aca="false">_xlfn.CONCAT(B471,C471,D471,E471,F471)</f>
        <v>ARAGUATINS 1.1Inverter(MBUS-15)46003.563194444546003.563194444546003.6076388889</v>
      </c>
      <c r="Q471" s="1" t="str">
        <f aca="false">_xlfn.CONCAT(H471,I471,J471)</f>
        <v>DAURDE</v>
      </c>
    </row>
    <row r="472" customFormat="false" ht="15" hidden="true" customHeight="false" outlineLevel="0" collapsed="false">
      <c r="B472" s="1" t="s">
        <v>381</v>
      </c>
      <c r="C472" s="1" t="s">
        <v>277</v>
      </c>
      <c r="D472" s="14" t="n">
        <v>46003.5631944445</v>
      </c>
      <c r="E472" s="14" t="n">
        <v>46003.5631944445</v>
      </c>
      <c r="F472" s="14" t="n">
        <v>46003.6076388889</v>
      </c>
      <c r="G472" s="15" t="n">
        <f aca="false">F472-E472</f>
        <v>0.0444444444444444</v>
      </c>
      <c r="H472" s="1" t="s">
        <v>248</v>
      </c>
      <c r="J472" s="1" t="s">
        <v>256</v>
      </c>
      <c r="K472" s="1" t="e">
        <f aca="false">_xlfn.xlookup(J472,REF!$D$2:$D$12,REF!$E$2:$E$12)</f>
        <v>#NAME?</v>
      </c>
      <c r="L472" s="1" t="s">
        <v>636</v>
      </c>
      <c r="M472" s="1" t="s">
        <v>787</v>
      </c>
      <c r="N472" s="1" t="s">
        <v>379</v>
      </c>
      <c r="O472" s="1" t="s">
        <v>790</v>
      </c>
      <c r="P472" s="1" t="str">
        <f aca="false">_xlfn.CONCAT(B472,C472,D472,E472,F472)</f>
        <v>ARAGUATINS 1.2Inverter(MBUS-12)46003.563194444546003.563194444546003.6076388889</v>
      </c>
      <c r="Q472" s="1" t="str">
        <f aca="false">_xlfn.CONCAT(H472,I472,J472)</f>
        <v>DAURDE</v>
      </c>
    </row>
    <row r="473" customFormat="false" ht="15" hidden="true" customHeight="false" outlineLevel="0" collapsed="false">
      <c r="B473" s="1" t="s">
        <v>381</v>
      </c>
      <c r="C473" s="1" t="s">
        <v>247</v>
      </c>
      <c r="D473" s="14" t="n">
        <v>46003.5631944445</v>
      </c>
      <c r="E473" s="14" t="n">
        <v>46003.5631944445</v>
      </c>
      <c r="F473" s="14" t="n">
        <v>46003.6076388889</v>
      </c>
      <c r="G473" s="15" t="n">
        <f aca="false">F473-E473</f>
        <v>0.0444444444444444</v>
      </c>
      <c r="H473" s="1" t="s">
        <v>248</v>
      </c>
      <c r="J473" s="1" t="s">
        <v>256</v>
      </c>
      <c r="K473" s="1" t="e">
        <f aca="false">_xlfn.xlookup(J473,REF!$D$2:$D$12,REF!$E$2:$E$12)</f>
        <v>#NAME?</v>
      </c>
      <c r="L473" s="1" t="s">
        <v>636</v>
      </c>
      <c r="M473" s="1" t="s">
        <v>787</v>
      </c>
      <c r="N473" s="1" t="s">
        <v>379</v>
      </c>
      <c r="O473" s="1" t="s">
        <v>790</v>
      </c>
      <c r="P473" s="1" t="str">
        <f aca="false">_xlfn.CONCAT(B473,C473,D473,E473,F473)</f>
        <v>ARAGUATINS 1.2Inverter(MBUS-13)46003.563194444546003.563194444546003.6076388889</v>
      </c>
      <c r="Q473" s="1" t="str">
        <f aca="false">_xlfn.CONCAT(H473,I473,J473)</f>
        <v>DAURDE</v>
      </c>
    </row>
    <row r="474" customFormat="false" ht="15" hidden="true" customHeight="false" outlineLevel="0" collapsed="false">
      <c r="B474" s="1" t="s">
        <v>381</v>
      </c>
      <c r="C474" s="1" t="s">
        <v>280</v>
      </c>
      <c r="D474" s="14" t="n">
        <v>46003.5631944445</v>
      </c>
      <c r="E474" s="14" t="n">
        <v>46003.5631944445</v>
      </c>
      <c r="F474" s="14" t="n">
        <v>46003.6076388889</v>
      </c>
      <c r="G474" s="15" t="n">
        <f aca="false">F474-E474</f>
        <v>0.0444444444444444</v>
      </c>
      <c r="H474" s="1" t="s">
        <v>248</v>
      </c>
      <c r="J474" s="1" t="s">
        <v>256</v>
      </c>
      <c r="K474" s="1" t="e">
        <f aca="false">_xlfn.xlookup(J474,REF!$D$2:$D$12,REF!$E$2:$E$12)</f>
        <v>#NAME?</v>
      </c>
      <c r="L474" s="1" t="s">
        <v>636</v>
      </c>
      <c r="M474" s="1" t="s">
        <v>787</v>
      </c>
      <c r="N474" s="1" t="s">
        <v>379</v>
      </c>
      <c r="O474" s="1" t="s">
        <v>790</v>
      </c>
      <c r="P474" s="1" t="str">
        <f aca="false">_xlfn.CONCAT(B474,C474,D474,E474,F474)</f>
        <v>ARAGUATINS 1.2Inverter(MBUS-14)46003.563194444546003.563194444546003.6076388889</v>
      </c>
      <c r="Q474" s="1" t="str">
        <f aca="false">_xlfn.CONCAT(H474,I474,J474)</f>
        <v>DAURDE</v>
      </c>
    </row>
    <row r="475" customFormat="false" ht="15" hidden="true" customHeight="false" outlineLevel="0" collapsed="false">
      <c r="B475" s="1" t="s">
        <v>381</v>
      </c>
      <c r="C475" s="1" t="s">
        <v>279</v>
      </c>
      <c r="D475" s="14" t="n">
        <v>46003.5631944445</v>
      </c>
      <c r="E475" s="14" t="n">
        <v>46003.5631944445</v>
      </c>
      <c r="F475" s="14" t="n">
        <v>46003.6076388889</v>
      </c>
      <c r="G475" s="15" t="n">
        <f aca="false">F475-E475</f>
        <v>0.0444444444444444</v>
      </c>
      <c r="H475" s="1" t="s">
        <v>248</v>
      </c>
      <c r="J475" s="1" t="s">
        <v>256</v>
      </c>
      <c r="K475" s="1" t="e">
        <f aca="false">_xlfn.xlookup(J475,REF!$D$2:$D$12,REF!$E$2:$E$12)</f>
        <v>#NAME?</v>
      </c>
      <c r="L475" s="1" t="s">
        <v>636</v>
      </c>
      <c r="M475" s="1" t="s">
        <v>787</v>
      </c>
      <c r="N475" s="1" t="s">
        <v>379</v>
      </c>
      <c r="O475" s="1" t="s">
        <v>790</v>
      </c>
      <c r="P475" s="1" t="str">
        <f aca="false">_xlfn.CONCAT(B475,C475,D475,E475,F475)</f>
        <v>ARAGUATINS 1.2Inverter(MBUS-15)46003.563194444546003.563194444546003.6076388889</v>
      </c>
      <c r="Q475" s="1" t="str">
        <f aca="false">_xlfn.CONCAT(H475,I475,J475)</f>
        <v>DAURDE</v>
      </c>
    </row>
    <row r="476" customFormat="false" ht="15" hidden="true" customHeight="false" outlineLevel="0" collapsed="false">
      <c r="B476" s="1" t="s">
        <v>382</v>
      </c>
      <c r="C476" s="1" t="s">
        <v>383</v>
      </c>
      <c r="D476" s="14" t="n">
        <v>46003.5631944445</v>
      </c>
      <c r="E476" s="14" t="n">
        <v>46003.5631944445</v>
      </c>
      <c r="F476" s="14" t="n">
        <v>46003.6076388889</v>
      </c>
      <c r="G476" s="15" t="n">
        <f aca="false">F476-E476</f>
        <v>0.0444444444444444</v>
      </c>
      <c r="H476" s="1" t="s">
        <v>248</v>
      </c>
      <c r="J476" s="1" t="s">
        <v>256</v>
      </c>
      <c r="K476" s="1" t="e">
        <f aca="false">_xlfn.xlookup(J476,REF!$D$2:$D$12,REF!$E$2:$E$12)</f>
        <v>#NAME?</v>
      </c>
      <c r="L476" s="1" t="s">
        <v>636</v>
      </c>
      <c r="M476" s="1" t="s">
        <v>787</v>
      </c>
      <c r="N476" s="1" t="s">
        <v>379</v>
      </c>
      <c r="O476" s="1" t="s">
        <v>790</v>
      </c>
      <c r="P476" s="1" t="str">
        <f aca="false">_xlfn.CONCAT(B476,C476,D476,E476,F476)</f>
        <v>ARAGUATINS 1.3Inverter(MBUS-20)46003.563194444546003.563194444546003.6076388889</v>
      </c>
      <c r="Q476" s="1" t="str">
        <f aca="false">_xlfn.CONCAT(H476,I476,J476)</f>
        <v>DAURDE</v>
      </c>
    </row>
    <row r="477" customFormat="false" ht="15" hidden="true" customHeight="false" outlineLevel="0" collapsed="false">
      <c r="B477" s="1" t="s">
        <v>382</v>
      </c>
      <c r="C477" s="1" t="s">
        <v>255</v>
      </c>
      <c r="D477" s="14" t="n">
        <v>46003.5631944445</v>
      </c>
      <c r="E477" s="14" t="n">
        <v>46003.5631944445</v>
      </c>
      <c r="F477" s="14" t="n">
        <v>46003.6076388889</v>
      </c>
      <c r="G477" s="15" t="n">
        <f aca="false">F477-E477</f>
        <v>0.0444444444444444</v>
      </c>
      <c r="H477" s="1" t="s">
        <v>248</v>
      </c>
      <c r="J477" s="1" t="s">
        <v>256</v>
      </c>
      <c r="K477" s="1" t="e">
        <f aca="false">_xlfn.xlookup(J477,REF!$D$2:$D$12,REF!$E$2:$E$12)</f>
        <v>#NAME?</v>
      </c>
      <c r="L477" s="1" t="s">
        <v>636</v>
      </c>
      <c r="M477" s="1" t="s">
        <v>787</v>
      </c>
      <c r="N477" s="1" t="s">
        <v>379</v>
      </c>
      <c r="O477" s="1" t="s">
        <v>790</v>
      </c>
      <c r="P477" s="1" t="str">
        <f aca="false">_xlfn.CONCAT(B477,C477,D477,E477,F477)</f>
        <v>ARAGUATINS 1.3Inverter(MBUS-1)46003.563194444546003.563194444546003.6076388889</v>
      </c>
      <c r="Q477" s="1" t="str">
        <f aca="false">_xlfn.CONCAT(H477,I477,J477)</f>
        <v>DAURDE</v>
      </c>
    </row>
    <row r="478" customFormat="false" ht="15" hidden="true" customHeight="false" outlineLevel="0" collapsed="false">
      <c r="B478" s="1" t="s">
        <v>276</v>
      </c>
      <c r="C478" s="1" t="s">
        <v>277</v>
      </c>
      <c r="D478" s="14" t="n">
        <v>46003.5631944445</v>
      </c>
      <c r="E478" s="14" t="n">
        <v>46003.5631944445</v>
      </c>
      <c r="F478" s="14" t="n">
        <v>46003.6076388889</v>
      </c>
      <c r="G478" s="15" t="n">
        <f aca="false">F478-E478</f>
        <v>0.0444444444444444</v>
      </c>
      <c r="H478" s="1" t="s">
        <v>248</v>
      </c>
      <c r="J478" s="1" t="s">
        <v>256</v>
      </c>
      <c r="K478" s="1" t="e">
        <f aca="false">_xlfn.xlookup(J478,REF!$D$2:$D$12,REF!$E$2:$E$12)</f>
        <v>#NAME?</v>
      </c>
      <c r="L478" s="1" t="s">
        <v>636</v>
      </c>
      <c r="M478" s="1" t="s">
        <v>787</v>
      </c>
      <c r="N478" s="1" t="s">
        <v>379</v>
      </c>
      <c r="O478" s="1" t="s">
        <v>790</v>
      </c>
      <c r="P478" s="1" t="str">
        <f aca="false">_xlfn.CONCAT(B478,C478,D478,E478,F478)</f>
        <v>ARAGUATINS 2.1Inverter(MBUS-12)46003.563194444546003.563194444546003.6076388889</v>
      </c>
      <c r="Q478" s="1" t="str">
        <f aca="false">_xlfn.CONCAT(H478,I478,J478)</f>
        <v>DAURDE</v>
      </c>
    </row>
    <row r="479" customFormat="false" ht="15" hidden="true" customHeight="false" outlineLevel="0" collapsed="false">
      <c r="B479" s="1" t="s">
        <v>276</v>
      </c>
      <c r="C479" s="1" t="s">
        <v>279</v>
      </c>
      <c r="D479" s="14" t="n">
        <v>46003.5631944445</v>
      </c>
      <c r="E479" s="14" t="n">
        <v>46003.5631944445</v>
      </c>
      <c r="F479" s="14" t="n">
        <v>46003.6076388889</v>
      </c>
      <c r="G479" s="15" t="n">
        <f aca="false">F479-E479</f>
        <v>0.0444444444444444</v>
      </c>
      <c r="H479" s="1" t="s">
        <v>248</v>
      </c>
      <c r="J479" s="1" t="s">
        <v>256</v>
      </c>
      <c r="K479" s="1" t="e">
        <f aca="false">_xlfn.xlookup(J479,REF!$D$2:$D$12,REF!$E$2:$E$12)</f>
        <v>#NAME?</v>
      </c>
      <c r="L479" s="1" t="s">
        <v>636</v>
      </c>
      <c r="M479" s="1" t="s">
        <v>787</v>
      </c>
      <c r="N479" s="1" t="s">
        <v>379</v>
      </c>
      <c r="O479" s="1" t="s">
        <v>790</v>
      </c>
      <c r="P479" s="1" t="str">
        <f aca="false">_xlfn.CONCAT(B479,C479,D479,E479,F479)</f>
        <v>ARAGUATINS 2.1Inverter(MBUS-15)46003.563194444546003.563194444546003.6076388889</v>
      </c>
      <c r="Q479" s="1" t="str">
        <f aca="false">_xlfn.CONCAT(H479,I479,J479)</f>
        <v>DAURDE</v>
      </c>
    </row>
    <row r="480" customFormat="false" ht="15" hidden="true" customHeight="false" outlineLevel="0" collapsed="false">
      <c r="B480" s="1" t="s">
        <v>276</v>
      </c>
      <c r="C480" s="1" t="s">
        <v>280</v>
      </c>
      <c r="D480" s="14" t="n">
        <v>46003.5631944445</v>
      </c>
      <c r="E480" s="14" t="n">
        <v>46003.5631944445</v>
      </c>
      <c r="F480" s="14" t="n">
        <v>46003.6076388889</v>
      </c>
      <c r="G480" s="15" t="n">
        <f aca="false">F480-E480</f>
        <v>0.0444444444444444</v>
      </c>
      <c r="H480" s="1" t="s">
        <v>248</v>
      </c>
      <c r="J480" s="1" t="s">
        <v>256</v>
      </c>
      <c r="K480" s="1" t="e">
        <f aca="false">_xlfn.xlookup(J480,REF!$D$2:$D$12,REF!$E$2:$E$12)</f>
        <v>#NAME?</v>
      </c>
      <c r="L480" s="1" t="s">
        <v>636</v>
      </c>
      <c r="M480" s="1" t="s">
        <v>787</v>
      </c>
      <c r="N480" s="1" t="s">
        <v>379</v>
      </c>
      <c r="O480" s="1" t="s">
        <v>790</v>
      </c>
      <c r="P480" s="1" t="str">
        <f aca="false">_xlfn.CONCAT(B480,C480,D480,E480,F480)</f>
        <v>ARAGUATINS 2.1Inverter(MBUS-14)46003.563194444546003.563194444546003.6076388889</v>
      </c>
      <c r="Q480" s="1" t="str">
        <f aca="false">_xlfn.CONCAT(H480,I480,J480)</f>
        <v>DAURDE</v>
      </c>
    </row>
    <row r="481" customFormat="false" ht="15" hidden="true" customHeight="false" outlineLevel="0" collapsed="false">
      <c r="B481" s="1" t="s">
        <v>276</v>
      </c>
      <c r="C481" s="1" t="s">
        <v>255</v>
      </c>
      <c r="D481" s="14" t="n">
        <v>46003.5631944445</v>
      </c>
      <c r="E481" s="14" t="n">
        <v>46003.5631944445</v>
      </c>
      <c r="F481" s="14" t="n">
        <v>46003.6076388889</v>
      </c>
      <c r="G481" s="15" t="n">
        <f aca="false">F481-E481</f>
        <v>0.0444444444444444</v>
      </c>
      <c r="H481" s="1" t="s">
        <v>248</v>
      </c>
      <c r="J481" s="1" t="s">
        <v>256</v>
      </c>
      <c r="K481" s="1" t="e">
        <f aca="false">_xlfn.xlookup(J481,REF!$D$2:$D$12,REF!$E$2:$E$12)</f>
        <v>#NAME?</v>
      </c>
      <c r="L481" s="1" t="s">
        <v>636</v>
      </c>
      <c r="M481" s="1" t="s">
        <v>787</v>
      </c>
      <c r="N481" s="1" t="s">
        <v>379</v>
      </c>
      <c r="O481" s="1" t="s">
        <v>790</v>
      </c>
      <c r="P481" s="1" t="str">
        <f aca="false">_xlfn.CONCAT(B481,C481,D481,E481,F481)</f>
        <v>ARAGUATINS 2.1Inverter(MBUS-1)46003.563194444546003.563194444546003.6076388889</v>
      </c>
      <c r="Q481" s="1" t="str">
        <f aca="false">_xlfn.CONCAT(H481,I481,J481)</f>
        <v>DAURDE</v>
      </c>
    </row>
    <row r="482" customFormat="false" ht="15" hidden="true" customHeight="false" outlineLevel="0" collapsed="false">
      <c r="B482" s="1" t="s">
        <v>386</v>
      </c>
      <c r="C482" s="1" t="s">
        <v>279</v>
      </c>
      <c r="D482" s="14" t="n">
        <v>46003.5631944445</v>
      </c>
      <c r="E482" s="14" t="n">
        <v>46003.5631944445</v>
      </c>
      <c r="F482" s="14" t="n">
        <v>46003.6076388889</v>
      </c>
      <c r="G482" s="15" t="n">
        <f aca="false">F482-E482</f>
        <v>0.0444444444444444</v>
      </c>
      <c r="H482" s="1" t="s">
        <v>248</v>
      </c>
      <c r="J482" s="1" t="s">
        <v>256</v>
      </c>
      <c r="K482" s="1" t="e">
        <f aca="false">_xlfn.xlookup(J482,REF!$D$2:$D$12,REF!$E$2:$E$12)</f>
        <v>#NAME?</v>
      </c>
      <c r="L482" s="1" t="s">
        <v>636</v>
      </c>
      <c r="M482" s="1" t="s">
        <v>787</v>
      </c>
      <c r="N482" s="1" t="s">
        <v>379</v>
      </c>
      <c r="O482" s="1" t="s">
        <v>790</v>
      </c>
      <c r="P482" s="1" t="str">
        <f aca="false">_xlfn.CONCAT(B482,C482,D482,E482,F482)</f>
        <v>ARAGUATINS 2.2Inverter(MBUS-15)46003.563194444546003.563194444546003.6076388889</v>
      </c>
      <c r="Q482" s="1" t="str">
        <f aca="false">_xlfn.CONCAT(H482,I482,J482)</f>
        <v>DAURDE</v>
      </c>
    </row>
    <row r="483" customFormat="false" ht="15" hidden="true" customHeight="false" outlineLevel="0" collapsed="false">
      <c r="B483" s="1" t="s">
        <v>386</v>
      </c>
      <c r="C483" s="1" t="s">
        <v>247</v>
      </c>
      <c r="D483" s="14" t="n">
        <v>46003.5631944445</v>
      </c>
      <c r="E483" s="14" t="n">
        <v>46003.5631944445</v>
      </c>
      <c r="F483" s="14" t="n">
        <v>46003.6076388889</v>
      </c>
      <c r="G483" s="15" t="n">
        <f aca="false">F483-E483</f>
        <v>0.0444444444444444</v>
      </c>
      <c r="H483" s="1" t="s">
        <v>248</v>
      </c>
      <c r="J483" s="1" t="s">
        <v>256</v>
      </c>
      <c r="K483" s="1" t="e">
        <f aca="false">_xlfn.xlookup(J483,REF!$D$2:$D$12,REF!$E$2:$E$12)</f>
        <v>#NAME?</v>
      </c>
      <c r="L483" s="1" t="s">
        <v>636</v>
      </c>
      <c r="M483" s="1" t="s">
        <v>787</v>
      </c>
      <c r="N483" s="1" t="s">
        <v>379</v>
      </c>
      <c r="O483" s="1" t="s">
        <v>790</v>
      </c>
      <c r="P483" s="1" t="str">
        <f aca="false">_xlfn.CONCAT(B483,C483,D483,E483,F483)</f>
        <v>ARAGUATINS 2.2Inverter(MBUS-13)46003.563194444546003.563194444546003.6076388889</v>
      </c>
      <c r="Q483" s="1" t="str">
        <f aca="false">_xlfn.CONCAT(H483,I483,J483)</f>
        <v>DAURDE</v>
      </c>
    </row>
    <row r="484" customFormat="false" ht="15" hidden="true" customHeight="false" outlineLevel="0" collapsed="false">
      <c r="B484" s="1" t="s">
        <v>386</v>
      </c>
      <c r="C484" s="1" t="s">
        <v>280</v>
      </c>
      <c r="D484" s="14" t="n">
        <v>46003.5631944445</v>
      </c>
      <c r="E484" s="14" t="n">
        <v>46003.5631944445</v>
      </c>
      <c r="F484" s="14" t="n">
        <v>46003.6076388889</v>
      </c>
      <c r="G484" s="15" t="n">
        <f aca="false">F484-E484</f>
        <v>0.0444444444444444</v>
      </c>
      <c r="H484" s="1" t="s">
        <v>248</v>
      </c>
      <c r="J484" s="1" t="s">
        <v>256</v>
      </c>
      <c r="K484" s="1" t="e">
        <f aca="false">_xlfn.xlookup(J484,REF!$D$2:$D$12,REF!$E$2:$E$12)</f>
        <v>#NAME?</v>
      </c>
      <c r="L484" s="1" t="s">
        <v>636</v>
      </c>
      <c r="M484" s="1" t="s">
        <v>787</v>
      </c>
      <c r="N484" s="1" t="s">
        <v>379</v>
      </c>
      <c r="O484" s="1" t="s">
        <v>790</v>
      </c>
      <c r="P484" s="1" t="str">
        <f aca="false">_xlfn.CONCAT(B484,C484,D484,E484,F484)</f>
        <v>ARAGUATINS 2.2Inverter(MBUS-14)46003.563194444546003.563194444546003.6076388889</v>
      </c>
      <c r="Q484" s="1" t="str">
        <f aca="false">_xlfn.CONCAT(H484,I484,J484)</f>
        <v>DAURDE</v>
      </c>
    </row>
    <row r="485" customFormat="false" ht="15" hidden="true" customHeight="false" outlineLevel="0" collapsed="false">
      <c r="B485" s="1" t="s">
        <v>386</v>
      </c>
      <c r="C485" s="1" t="s">
        <v>277</v>
      </c>
      <c r="D485" s="14" t="n">
        <v>46003.5631944445</v>
      </c>
      <c r="E485" s="14" t="n">
        <v>46003.5631944445</v>
      </c>
      <c r="F485" s="14" t="n">
        <v>46003.6076388889</v>
      </c>
      <c r="G485" s="15" t="n">
        <f aca="false">F485-E485</f>
        <v>0.0444444444444444</v>
      </c>
      <c r="H485" s="1" t="s">
        <v>248</v>
      </c>
      <c r="J485" s="1" t="s">
        <v>256</v>
      </c>
      <c r="K485" s="1" t="e">
        <f aca="false">_xlfn.xlookup(J485,REF!$D$2:$D$12,REF!$E$2:$E$12)</f>
        <v>#NAME?</v>
      </c>
      <c r="L485" s="1" t="s">
        <v>636</v>
      </c>
      <c r="M485" s="1" t="s">
        <v>787</v>
      </c>
      <c r="N485" s="1" t="s">
        <v>379</v>
      </c>
      <c r="O485" s="1" t="s">
        <v>790</v>
      </c>
      <c r="P485" s="1" t="str">
        <f aca="false">_xlfn.CONCAT(B485,C485,D485,E485,F485)</f>
        <v>ARAGUATINS 2.2Inverter(MBUS-12)46003.563194444546003.563194444546003.6076388889</v>
      </c>
      <c r="Q485" s="1" t="str">
        <f aca="false">_xlfn.CONCAT(H485,I485,J485)</f>
        <v>DAURDE</v>
      </c>
    </row>
    <row r="486" customFormat="false" ht="15" hidden="true" customHeight="false" outlineLevel="0" collapsed="false">
      <c r="B486" s="1" t="s">
        <v>388</v>
      </c>
      <c r="C486" s="1" t="s">
        <v>277</v>
      </c>
      <c r="D486" s="14" t="n">
        <v>46003.5631944445</v>
      </c>
      <c r="E486" s="14" t="n">
        <v>46003.5631944445</v>
      </c>
      <c r="F486" s="14" t="n">
        <v>46003.6076388889</v>
      </c>
      <c r="G486" s="15" t="n">
        <f aca="false">F486-E486</f>
        <v>0.0444444444444444</v>
      </c>
      <c r="H486" s="1" t="s">
        <v>248</v>
      </c>
      <c r="J486" s="1" t="s">
        <v>256</v>
      </c>
      <c r="K486" s="1" t="e">
        <f aca="false">_xlfn.xlookup(J486,REF!$D$2:$D$12,REF!$E$2:$E$12)</f>
        <v>#NAME?</v>
      </c>
      <c r="L486" s="1" t="s">
        <v>636</v>
      </c>
      <c r="M486" s="1" t="s">
        <v>787</v>
      </c>
      <c r="N486" s="1" t="s">
        <v>379</v>
      </c>
      <c r="O486" s="1" t="s">
        <v>790</v>
      </c>
      <c r="P486" s="1" t="str">
        <f aca="false">_xlfn.CONCAT(B486,C486,D486,E486,F486)</f>
        <v>ARAGUATINS 2.3Inverter(MBUS-12)46003.563194444546003.563194444546003.6076388889</v>
      </c>
      <c r="Q486" s="1" t="str">
        <f aca="false">_xlfn.CONCAT(H486,I486,J486)</f>
        <v>DAURDE</v>
      </c>
    </row>
    <row r="487" customFormat="false" ht="15" hidden="true" customHeight="false" outlineLevel="0" collapsed="false">
      <c r="B487" s="1" t="s">
        <v>388</v>
      </c>
      <c r="C487" s="1" t="s">
        <v>247</v>
      </c>
      <c r="D487" s="14" t="n">
        <v>46003.5631944445</v>
      </c>
      <c r="E487" s="14" t="n">
        <v>46003.5631944445</v>
      </c>
      <c r="F487" s="14" t="n">
        <v>46003.6076388889</v>
      </c>
      <c r="G487" s="15" t="n">
        <f aca="false">F487-E487</f>
        <v>0.0444444444444444</v>
      </c>
      <c r="H487" s="1" t="s">
        <v>248</v>
      </c>
      <c r="J487" s="1" t="s">
        <v>256</v>
      </c>
      <c r="K487" s="1" t="e">
        <f aca="false">_xlfn.xlookup(J487,REF!$D$2:$D$12,REF!$E$2:$E$12)</f>
        <v>#NAME?</v>
      </c>
      <c r="L487" s="1" t="s">
        <v>636</v>
      </c>
      <c r="M487" s="1" t="s">
        <v>787</v>
      </c>
      <c r="N487" s="1" t="s">
        <v>379</v>
      </c>
      <c r="O487" s="1" t="s">
        <v>790</v>
      </c>
      <c r="P487" s="1" t="str">
        <f aca="false">_xlfn.CONCAT(B487,C487,D487,E487,F487)</f>
        <v>ARAGUATINS 2.3Inverter(MBUS-13)46003.563194444546003.563194444546003.6076388889</v>
      </c>
      <c r="Q487" s="1" t="str">
        <f aca="false">_xlfn.CONCAT(H487,I487,J487)</f>
        <v>DAURDE</v>
      </c>
    </row>
    <row r="488" customFormat="false" ht="15" hidden="true" customHeight="false" outlineLevel="0" collapsed="false">
      <c r="B488" s="1" t="s">
        <v>805</v>
      </c>
      <c r="C488" s="1" t="s">
        <v>806</v>
      </c>
      <c r="D488" s="14" t="n">
        <v>46003.5069444444</v>
      </c>
      <c r="E488" s="14" t="n">
        <v>46003.5069444444</v>
      </c>
      <c r="F488" s="14" t="n">
        <v>46003.6041666667</v>
      </c>
      <c r="G488" s="15" t="n">
        <f aca="false">F488-E488</f>
        <v>0.0972222222222222</v>
      </c>
      <c r="H488" s="20" t="s">
        <v>248</v>
      </c>
      <c r="J488" s="20" t="s">
        <v>256</v>
      </c>
      <c r="K488" s="1" t="e">
        <f aca="false">_xlfn.xlookup(J488,REF!$D$2:$D$12,REF!$E$2:$E$12)</f>
        <v>#NAME?</v>
      </c>
      <c r="L488" s="1" t="s">
        <v>735</v>
      </c>
      <c r="M488" s="20" t="s">
        <v>258</v>
      </c>
      <c r="N488" s="20" t="s">
        <v>259</v>
      </c>
      <c r="O488" s="1" t="s">
        <v>736</v>
      </c>
      <c r="P488" s="1" t="str">
        <f aca="false">_xlfn.CONCAT(B488,C488,D488,E488,F488)</f>
        <v>Rio Monte ISG75CX(COM2-001)_001_01846003.506944444446003.506944444446003.6041666667</v>
      </c>
      <c r="Q488" s="1" t="str">
        <f aca="false">_xlfn.CONCAT(H488,I488,J488)</f>
        <v>DAURDE</v>
      </c>
    </row>
    <row r="489" customFormat="false" ht="15" hidden="true" customHeight="false" outlineLevel="0" collapsed="false">
      <c r="B489" s="1" t="s">
        <v>807</v>
      </c>
      <c r="C489" s="1" t="s">
        <v>808</v>
      </c>
      <c r="D489" s="14" t="n">
        <v>46003.5069444444</v>
      </c>
      <c r="E489" s="14" t="n">
        <v>46003.5069444444</v>
      </c>
      <c r="F489" s="14" t="n">
        <v>46003.6041666667</v>
      </c>
      <c r="G489" s="15" t="n">
        <f aca="false">F489-E489</f>
        <v>0.0972222222222222</v>
      </c>
      <c r="H489" s="20" t="s">
        <v>248</v>
      </c>
      <c r="J489" s="20" t="s">
        <v>256</v>
      </c>
      <c r="K489" s="1" t="e">
        <f aca="false">_xlfn.xlookup(J489,REF!$D$2:$D$12,REF!$E$2:$E$12)</f>
        <v>#NAME?</v>
      </c>
      <c r="L489" s="1" t="s">
        <v>735</v>
      </c>
      <c r="M489" s="20" t="s">
        <v>258</v>
      </c>
      <c r="N489" s="20" t="s">
        <v>259</v>
      </c>
      <c r="O489" s="1" t="s">
        <v>736</v>
      </c>
      <c r="P489" s="1" t="str">
        <f aca="false">_xlfn.CONCAT(B489,C489,D489,E489,F489)</f>
        <v>Rio Monte IISG40CX(COM2-007)_001_01746003.506944444446003.506944444446003.6041666667</v>
      </c>
      <c r="Q489" s="1" t="str">
        <f aca="false">_xlfn.CONCAT(H489,I489,J489)</f>
        <v>DAURDE</v>
      </c>
    </row>
    <row r="490" customFormat="false" ht="15" hidden="true" customHeight="false" outlineLevel="0" collapsed="false">
      <c r="B490" s="1" t="s">
        <v>807</v>
      </c>
      <c r="C490" s="1" t="s">
        <v>809</v>
      </c>
      <c r="D490" s="14" t="n">
        <v>46003.5069444444</v>
      </c>
      <c r="E490" s="14" t="n">
        <v>46003.5069444444</v>
      </c>
      <c r="F490" s="14" t="n">
        <v>46003.6041666667</v>
      </c>
      <c r="G490" s="15" t="n">
        <f aca="false">F490-E490</f>
        <v>0.0972222222222222</v>
      </c>
      <c r="H490" s="20" t="s">
        <v>248</v>
      </c>
      <c r="J490" s="20" t="s">
        <v>256</v>
      </c>
      <c r="K490" s="1" t="e">
        <f aca="false">_xlfn.xlookup(J490,REF!$D$2:$D$12,REF!$E$2:$E$12)</f>
        <v>#NAME?</v>
      </c>
      <c r="L490" s="1" t="s">
        <v>735</v>
      </c>
      <c r="M490" s="20" t="s">
        <v>258</v>
      </c>
      <c r="N490" s="20" t="s">
        <v>259</v>
      </c>
      <c r="O490" s="1" t="s">
        <v>736</v>
      </c>
      <c r="P490" s="1" t="str">
        <f aca="false">_xlfn.CONCAT(B490,C490,D490,E490,F490)</f>
        <v>Rio Monte IISG60KTL(COM1-002)_001_00546003.506944444446003.506944444446003.6041666667</v>
      </c>
      <c r="Q490" s="1" t="str">
        <f aca="false">_xlfn.CONCAT(H490,I490,J490)</f>
        <v>DAURDE</v>
      </c>
    </row>
    <row r="491" customFormat="false" ht="15" hidden="true" customHeight="false" outlineLevel="0" collapsed="false">
      <c r="B491" s="1" t="s">
        <v>807</v>
      </c>
      <c r="C491" s="1" t="s">
        <v>810</v>
      </c>
      <c r="D491" s="14" t="n">
        <v>46003.5069444444</v>
      </c>
      <c r="E491" s="14" t="n">
        <v>46003.5069444444</v>
      </c>
      <c r="F491" s="14" t="n">
        <v>46003.6041666667</v>
      </c>
      <c r="G491" s="15" t="n">
        <f aca="false">F491-E491</f>
        <v>0.0972222222222222</v>
      </c>
      <c r="H491" s="20" t="s">
        <v>248</v>
      </c>
      <c r="J491" s="20" t="s">
        <v>256</v>
      </c>
      <c r="K491" s="1" t="e">
        <f aca="false">_xlfn.xlookup(J491,REF!$D$2:$D$12,REF!$E$2:$E$12)</f>
        <v>#NAME?</v>
      </c>
      <c r="L491" s="1" t="s">
        <v>735</v>
      </c>
      <c r="M491" s="20" t="s">
        <v>258</v>
      </c>
      <c r="N491" s="20" t="s">
        <v>259</v>
      </c>
      <c r="O491" s="1" t="s">
        <v>736</v>
      </c>
      <c r="P491" s="1" t="str">
        <f aca="false">_xlfn.CONCAT(B491,C491,D491,E491,F491)</f>
        <v>Rio Monte IISG60KTL(COM1-003)_001__01146003.506944444446003.506944444446003.6041666667</v>
      </c>
      <c r="Q491" s="1" t="str">
        <f aca="false">_xlfn.CONCAT(H491,I491,J491)</f>
        <v>DAURDE</v>
      </c>
    </row>
    <row r="492" customFormat="false" ht="15" hidden="true" customHeight="false" outlineLevel="0" collapsed="false">
      <c r="B492" s="1" t="s">
        <v>807</v>
      </c>
      <c r="C492" s="1" t="s">
        <v>811</v>
      </c>
      <c r="D492" s="14" t="n">
        <v>46003.5069444444</v>
      </c>
      <c r="E492" s="14" t="n">
        <v>46003.5069444444</v>
      </c>
      <c r="F492" s="14" t="n">
        <v>46003.6041666667</v>
      </c>
      <c r="G492" s="15" t="n">
        <f aca="false">F492-E492</f>
        <v>0.0972222222222222</v>
      </c>
      <c r="H492" s="20" t="s">
        <v>248</v>
      </c>
      <c r="J492" s="20" t="s">
        <v>256</v>
      </c>
      <c r="K492" s="1" t="e">
        <f aca="false">_xlfn.xlookup(J492,REF!$D$2:$D$12,REF!$E$2:$E$12)</f>
        <v>#NAME?</v>
      </c>
      <c r="L492" s="1" t="s">
        <v>735</v>
      </c>
      <c r="M492" s="20" t="s">
        <v>258</v>
      </c>
      <c r="N492" s="20" t="s">
        <v>259</v>
      </c>
      <c r="O492" s="1" t="s">
        <v>736</v>
      </c>
      <c r="P492" s="1" t="str">
        <f aca="false">_xlfn.CONCAT(B492,C492,D492,E492,F492)</f>
        <v>Rio Monte IISG60KTL(COM1-004)_001_00746003.506944444446003.506944444446003.6041666667</v>
      </c>
      <c r="Q492" s="1" t="str">
        <f aca="false">_xlfn.CONCAT(H492,I492,J492)</f>
        <v>DAURDE</v>
      </c>
    </row>
    <row r="493" customFormat="false" ht="15" hidden="true" customHeight="false" outlineLevel="0" collapsed="false">
      <c r="B493" s="1" t="s">
        <v>807</v>
      </c>
      <c r="C493" s="1" t="s">
        <v>812</v>
      </c>
      <c r="D493" s="14" t="n">
        <v>46003.5069444444</v>
      </c>
      <c r="E493" s="14" t="n">
        <v>46003.5069444444</v>
      </c>
      <c r="F493" s="14" t="n">
        <v>46003.6041666667</v>
      </c>
      <c r="G493" s="15" t="n">
        <f aca="false">F493-E493</f>
        <v>0.0972222222222222</v>
      </c>
      <c r="H493" s="20" t="s">
        <v>248</v>
      </c>
      <c r="J493" s="20" t="s">
        <v>256</v>
      </c>
      <c r="K493" s="1" t="e">
        <f aca="false">_xlfn.xlookup(J493,REF!$D$2:$D$12,REF!$E$2:$E$12)</f>
        <v>#NAME?</v>
      </c>
      <c r="L493" s="1" t="s">
        <v>735</v>
      </c>
      <c r="M493" s="20" t="s">
        <v>258</v>
      </c>
      <c r="N493" s="20" t="s">
        <v>259</v>
      </c>
      <c r="O493" s="1" t="s">
        <v>736</v>
      </c>
      <c r="P493" s="1" t="str">
        <f aca="false">_xlfn.CONCAT(B493,C493,D493,E493,F493)</f>
        <v>Rio Monte IISG60KTL(COM1-005)_001_00946003.506944444446003.506944444446003.6041666667</v>
      </c>
      <c r="Q493" s="1" t="str">
        <f aca="false">_xlfn.CONCAT(H493,I493,J493)</f>
        <v>DAURDE</v>
      </c>
    </row>
    <row r="494" customFormat="false" ht="15" hidden="true" customHeight="false" outlineLevel="0" collapsed="false">
      <c r="B494" s="1" t="s">
        <v>807</v>
      </c>
      <c r="C494" s="1" t="s">
        <v>813</v>
      </c>
      <c r="D494" s="14" t="n">
        <v>46003.5069444444</v>
      </c>
      <c r="E494" s="14" t="n">
        <v>46003.5069444444</v>
      </c>
      <c r="F494" s="14" t="n">
        <v>46003.6041666667</v>
      </c>
      <c r="G494" s="15" t="n">
        <f aca="false">F494-E494</f>
        <v>0.0972222222222222</v>
      </c>
      <c r="H494" s="20" t="s">
        <v>248</v>
      </c>
      <c r="J494" s="20" t="s">
        <v>256</v>
      </c>
      <c r="K494" s="1" t="e">
        <f aca="false">_xlfn.xlookup(J494,REF!$D$2:$D$12,REF!$E$2:$E$12)</f>
        <v>#NAME?</v>
      </c>
      <c r="L494" s="1" t="s">
        <v>735</v>
      </c>
      <c r="M494" s="20" t="s">
        <v>258</v>
      </c>
      <c r="N494" s="20" t="s">
        <v>259</v>
      </c>
      <c r="O494" s="1" t="s">
        <v>736</v>
      </c>
      <c r="P494" s="1" t="str">
        <f aca="false">_xlfn.CONCAT(B494,C494,D494,E494,F494)</f>
        <v>Rio Monte IISG60KTL(COM1-006)_001_00646003.506944444446003.506944444446003.6041666667</v>
      </c>
      <c r="Q494" s="1" t="str">
        <f aca="false">_xlfn.CONCAT(H494,I494,J494)</f>
        <v>DAURDE</v>
      </c>
    </row>
    <row r="495" customFormat="false" ht="15" hidden="true" customHeight="false" outlineLevel="0" collapsed="false">
      <c r="B495" s="1" t="s">
        <v>814</v>
      </c>
      <c r="C495" s="1" t="s">
        <v>543</v>
      </c>
      <c r="D495" s="14" t="n">
        <v>46003.5069444444</v>
      </c>
      <c r="E495" s="14" t="n">
        <v>46003.5069444444</v>
      </c>
      <c r="F495" s="14" t="n">
        <v>46003.5243055556</v>
      </c>
      <c r="G495" s="15" t="n">
        <f aca="false">F495-E495</f>
        <v>0.0173611111111111</v>
      </c>
      <c r="H495" s="20" t="s">
        <v>248</v>
      </c>
      <c r="J495" s="20" t="s">
        <v>256</v>
      </c>
      <c r="K495" s="1" t="e">
        <f aca="false">_xlfn.xlookup(J495,REF!$D$2:$D$12,REF!$E$2:$E$12)</f>
        <v>#NAME?</v>
      </c>
      <c r="L495" s="1" t="s">
        <v>796</v>
      </c>
      <c r="M495" s="20" t="s">
        <v>258</v>
      </c>
      <c r="N495" s="20" t="s">
        <v>379</v>
      </c>
      <c r="O495" s="1" t="s">
        <v>399</v>
      </c>
      <c r="P495" s="1" t="str">
        <f aca="false">_xlfn.CONCAT(B495,C495,D495,E495,F495)</f>
        <v>Caiaponia ISG60KTL(COM1-001)_001_00746003.506944444446003.506944444446003.5243055556</v>
      </c>
      <c r="Q495" s="1" t="str">
        <f aca="false">_xlfn.CONCAT(H495,I495,J495)</f>
        <v>DAURDE</v>
      </c>
    </row>
    <row r="496" customFormat="false" ht="15" hidden="true" customHeight="false" outlineLevel="0" collapsed="false">
      <c r="B496" s="1" t="s">
        <v>814</v>
      </c>
      <c r="C496" s="1" t="s">
        <v>545</v>
      </c>
      <c r="D496" s="14" t="n">
        <v>46003.5069444444</v>
      </c>
      <c r="E496" s="14" t="n">
        <v>46003.5069444444</v>
      </c>
      <c r="F496" s="14" t="n">
        <v>46003.5243055556</v>
      </c>
      <c r="G496" s="15" t="n">
        <f aca="false">F496-E496</f>
        <v>0.0173611111111111</v>
      </c>
      <c r="H496" s="20" t="s">
        <v>248</v>
      </c>
      <c r="J496" s="20" t="s">
        <v>256</v>
      </c>
      <c r="K496" s="1" t="e">
        <f aca="false">_xlfn.xlookup(J496,REF!$D$2:$D$12,REF!$E$2:$E$12)</f>
        <v>#NAME?</v>
      </c>
      <c r="L496" s="1" t="s">
        <v>796</v>
      </c>
      <c r="M496" s="20" t="s">
        <v>258</v>
      </c>
      <c r="N496" s="20" t="s">
        <v>379</v>
      </c>
      <c r="O496" s="1" t="s">
        <v>399</v>
      </c>
      <c r="P496" s="1" t="str">
        <f aca="false">_xlfn.CONCAT(B496,C496,D496,E496,F496)</f>
        <v>Caiaponia ISG60KTL(COM1-002)_001_01046003.506944444446003.506944444446003.5243055556</v>
      </c>
      <c r="Q496" s="1" t="str">
        <f aca="false">_xlfn.CONCAT(H496,I496,J496)</f>
        <v>DAURDE</v>
      </c>
    </row>
    <row r="497" customFormat="false" ht="15" hidden="true" customHeight="false" outlineLevel="0" collapsed="false">
      <c r="B497" s="1" t="s">
        <v>814</v>
      </c>
      <c r="C497" s="1" t="s">
        <v>546</v>
      </c>
      <c r="D497" s="14" t="n">
        <v>46003.5069444444</v>
      </c>
      <c r="E497" s="14" t="n">
        <v>46003.5069444444</v>
      </c>
      <c r="F497" s="14" t="n">
        <v>46003.5243055556</v>
      </c>
      <c r="G497" s="15" t="n">
        <f aca="false">F497-E497</f>
        <v>0.0173611111111111</v>
      </c>
      <c r="H497" s="20" t="s">
        <v>248</v>
      </c>
      <c r="J497" s="20" t="s">
        <v>256</v>
      </c>
      <c r="K497" s="1" t="e">
        <f aca="false">_xlfn.xlookup(J497,REF!$D$2:$D$12,REF!$E$2:$E$12)</f>
        <v>#NAME?</v>
      </c>
      <c r="L497" s="1" t="s">
        <v>796</v>
      </c>
      <c r="M497" s="20" t="s">
        <v>258</v>
      </c>
      <c r="N497" s="20" t="s">
        <v>379</v>
      </c>
      <c r="O497" s="1" t="s">
        <v>399</v>
      </c>
      <c r="P497" s="1" t="str">
        <f aca="false">_xlfn.CONCAT(B497,C497,D497,E497,F497)</f>
        <v>Caiaponia ISG60KTL(COM1-003)_001_01146003.506944444446003.506944444446003.5243055556</v>
      </c>
      <c r="Q497" s="1" t="str">
        <f aca="false">_xlfn.CONCAT(H497,I497,J497)</f>
        <v>DAURDE</v>
      </c>
    </row>
    <row r="498" customFormat="false" ht="15" hidden="true" customHeight="false" outlineLevel="0" collapsed="false">
      <c r="B498" s="1" t="s">
        <v>814</v>
      </c>
      <c r="C498" s="1" t="s">
        <v>547</v>
      </c>
      <c r="D498" s="14" t="n">
        <v>46003.5069444444</v>
      </c>
      <c r="E498" s="14" t="n">
        <v>46003.5069444444</v>
      </c>
      <c r="F498" s="14" t="n">
        <v>46003.5243055556</v>
      </c>
      <c r="G498" s="15" t="n">
        <f aca="false">F498-E498</f>
        <v>0.0173611111111111</v>
      </c>
      <c r="H498" s="20" t="s">
        <v>248</v>
      </c>
      <c r="J498" s="20" t="s">
        <v>256</v>
      </c>
      <c r="K498" s="1" t="e">
        <f aca="false">_xlfn.xlookup(J498,REF!$D$2:$D$12,REF!$E$2:$E$12)</f>
        <v>#NAME?</v>
      </c>
      <c r="L498" s="1" t="s">
        <v>796</v>
      </c>
      <c r="M498" s="20" t="s">
        <v>258</v>
      </c>
      <c r="N498" s="20" t="s">
        <v>379</v>
      </c>
      <c r="O498" s="1" t="s">
        <v>399</v>
      </c>
      <c r="P498" s="1" t="str">
        <f aca="false">_xlfn.CONCAT(B498,C498,D498,E498,F498)</f>
        <v>Caiaponia ISG60KTL(COM1-004)_001_01446003.506944444446003.506944444446003.5243055556</v>
      </c>
      <c r="Q498" s="1" t="str">
        <f aca="false">_xlfn.CONCAT(H498,I498,J498)</f>
        <v>DAURDE</v>
      </c>
    </row>
    <row r="499" customFormat="false" ht="15" hidden="true" customHeight="false" outlineLevel="0" collapsed="false">
      <c r="B499" s="1" t="s">
        <v>814</v>
      </c>
      <c r="C499" s="1" t="s">
        <v>548</v>
      </c>
      <c r="D499" s="14" t="n">
        <v>46003.5069444444</v>
      </c>
      <c r="E499" s="14" t="n">
        <v>46003.5069444444</v>
      </c>
      <c r="F499" s="14" t="n">
        <v>46003.5243055556</v>
      </c>
      <c r="G499" s="15" t="n">
        <f aca="false">F499-E499</f>
        <v>0.0173611111111111</v>
      </c>
      <c r="H499" s="20" t="s">
        <v>248</v>
      </c>
      <c r="J499" s="20" t="s">
        <v>256</v>
      </c>
      <c r="K499" s="1" t="e">
        <f aca="false">_xlfn.xlookup(J499,REF!$D$2:$D$12,REF!$E$2:$E$12)</f>
        <v>#NAME?</v>
      </c>
      <c r="L499" s="1" t="s">
        <v>796</v>
      </c>
      <c r="M499" s="20" t="s">
        <v>258</v>
      </c>
      <c r="N499" s="20" t="s">
        <v>379</v>
      </c>
      <c r="O499" s="1" t="s">
        <v>399</v>
      </c>
      <c r="P499" s="1" t="str">
        <f aca="false">_xlfn.CONCAT(B499,C499,D499,E499,F499)</f>
        <v>Caiaponia ISG60KTL(COM1-005)_001_01746003.506944444446003.506944444446003.5243055556</v>
      </c>
      <c r="Q499" s="1" t="str">
        <f aca="false">_xlfn.CONCAT(H499,I499,J499)</f>
        <v>DAURDE</v>
      </c>
    </row>
    <row r="500" customFormat="false" ht="15" hidden="true" customHeight="false" outlineLevel="0" collapsed="false">
      <c r="B500" s="1" t="s">
        <v>814</v>
      </c>
      <c r="C500" s="1" t="s">
        <v>549</v>
      </c>
      <c r="D500" s="14" t="n">
        <v>46003.5069444444</v>
      </c>
      <c r="E500" s="14" t="n">
        <v>46003.5069444444</v>
      </c>
      <c r="F500" s="14" t="n">
        <v>46003.5243055556</v>
      </c>
      <c r="G500" s="15" t="n">
        <f aca="false">F500-E500</f>
        <v>0.0173611111111111</v>
      </c>
      <c r="H500" s="20" t="s">
        <v>248</v>
      </c>
      <c r="J500" s="20" t="s">
        <v>256</v>
      </c>
      <c r="K500" s="1" t="e">
        <f aca="false">_xlfn.xlookup(J500,REF!$D$2:$D$12,REF!$E$2:$E$12)</f>
        <v>#NAME?</v>
      </c>
      <c r="L500" s="1" t="s">
        <v>796</v>
      </c>
      <c r="M500" s="20" t="s">
        <v>258</v>
      </c>
      <c r="N500" s="20" t="s">
        <v>379</v>
      </c>
      <c r="O500" s="1" t="s">
        <v>399</v>
      </c>
      <c r="P500" s="1" t="str">
        <f aca="false">_xlfn.CONCAT(B500,C500,D500,E500,F500)</f>
        <v>Caiaponia ISG60KTL(COM1-006)_001_01646003.506944444446003.506944444446003.5243055556</v>
      </c>
      <c r="Q500" s="1" t="str">
        <f aca="false">_xlfn.CONCAT(H500,I500,J500)</f>
        <v>DAURDE</v>
      </c>
    </row>
    <row r="501" customFormat="false" ht="15" hidden="true" customHeight="false" outlineLevel="0" collapsed="false">
      <c r="B501" s="1" t="s">
        <v>814</v>
      </c>
      <c r="C501" s="1" t="s">
        <v>550</v>
      </c>
      <c r="D501" s="14" t="n">
        <v>46003.5069444444</v>
      </c>
      <c r="E501" s="14" t="n">
        <v>46003.5069444444</v>
      </c>
      <c r="F501" s="14" t="n">
        <v>46003.5243055556</v>
      </c>
      <c r="G501" s="15" t="n">
        <f aca="false">F501-E501</f>
        <v>0.0173611111111111</v>
      </c>
      <c r="H501" s="20" t="s">
        <v>248</v>
      </c>
      <c r="J501" s="20" t="s">
        <v>256</v>
      </c>
      <c r="K501" s="1" t="e">
        <f aca="false">_xlfn.xlookup(J501,REF!$D$2:$D$12,REF!$E$2:$E$12)</f>
        <v>#NAME?</v>
      </c>
      <c r="L501" s="1" t="s">
        <v>796</v>
      </c>
      <c r="M501" s="20" t="s">
        <v>258</v>
      </c>
      <c r="N501" s="20" t="s">
        <v>379</v>
      </c>
      <c r="O501" s="1" t="s">
        <v>399</v>
      </c>
      <c r="P501" s="1" t="str">
        <f aca="false">_xlfn.CONCAT(B501,C501,D501,E501,F501)</f>
        <v>Caiaponia ISG60KTL(COM1-007)_001_01346003.506944444446003.506944444446003.5243055556</v>
      </c>
      <c r="Q501" s="1" t="str">
        <f aca="false">_xlfn.CONCAT(H501,I501,J501)</f>
        <v>DAURDE</v>
      </c>
    </row>
    <row r="502" customFormat="false" ht="15" hidden="true" customHeight="false" outlineLevel="0" collapsed="false">
      <c r="B502" s="1" t="s">
        <v>814</v>
      </c>
      <c r="C502" s="1" t="s">
        <v>551</v>
      </c>
      <c r="D502" s="14" t="n">
        <v>46003.5069444444</v>
      </c>
      <c r="E502" s="14" t="n">
        <v>46003.5069444444</v>
      </c>
      <c r="F502" s="14" t="n">
        <v>46003.5243055556</v>
      </c>
      <c r="G502" s="15" t="n">
        <f aca="false">F502-E502</f>
        <v>0.0173611111111111</v>
      </c>
      <c r="H502" s="20" t="s">
        <v>248</v>
      </c>
      <c r="J502" s="20" t="s">
        <v>256</v>
      </c>
      <c r="K502" s="1" t="e">
        <f aca="false">_xlfn.xlookup(J502,REF!$D$2:$D$12,REF!$E$2:$E$12)</f>
        <v>#NAME?</v>
      </c>
      <c r="L502" s="1" t="s">
        <v>796</v>
      </c>
      <c r="M502" s="20" t="s">
        <v>258</v>
      </c>
      <c r="N502" s="20" t="s">
        <v>379</v>
      </c>
      <c r="O502" s="1" t="s">
        <v>399</v>
      </c>
      <c r="P502" s="1" t="str">
        <f aca="false">_xlfn.CONCAT(B502,C502,D502,E502,F502)</f>
        <v>Caiaponia ISG60KTL(COM1-008)_001_00146003.506944444446003.506944444446003.5243055556</v>
      </c>
      <c r="Q502" s="1" t="str">
        <f aca="false">_xlfn.CONCAT(H502,I502,J502)</f>
        <v>DAURDE</v>
      </c>
    </row>
    <row r="503" customFormat="false" ht="15" hidden="true" customHeight="false" outlineLevel="0" collapsed="false">
      <c r="B503" s="1" t="s">
        <v>815</v>
      </c>
      <c r="C503" s="1" t="s">
        <v>552</v>
      </c>
      <c r="D503" s="14" t="n">
        <v>46003.5069444444</v>
      </c>
      <c r="E503" s="14" t="n">
        <v>46003.5069444444</v>
      </c>
      <c r="F503" s="14" t="n">
        <v>46003.5243055556</v>
      </c>
      <c r="G503" s="15" t="n">
        <f aca="false">F503-E503</f>
        <v>0.0173611111111111</v>
      </c>
      <c r="H503" s="20" t="s">
        <v>248</v>
      </c>
      <c r="J503" s="20" t="s">
        <v>256</v>
      </c>
      <c r="K503" s="1" t="e">
        <f aca="false">_xlfn.xlookup(J503,REF!$D$2:$D$12,REF!$E$2:$E$12)</f>
        <v>#NAME?</v>
      </c>
      <c r="L503" s="1" t="s">
        <v>796</v>
      </c>
      <c r="M503" s="20" t="s">
        <v>258</v>
      </c>
      <c r="N503" s="20" t="s">
        <v>379</v>
      </c>
      <c r="O503" s="1" t="s">
        <v>399</v>
      </c>
      <c r="P503" s="1" t="str">
        <f aca="false">_xlfn.CONCAT(B503,C503,D503,E503,F503)</f>
        <v>Caiaponia IISG60KTL(COM1-009)46003.506944444446003.506944444446003.5243055556</v>
      </c>
      <c r="Q503" s="1" t="str">
        <f aca="false">_xlfn.CONCAT(H503,I503,J503)</f>
        <v>DAURDE</v>
      </c>
    </row>
    <row r="504" customFormat="false" ht="15" hidden="true" customHeight="false" outlineLevel="0" collapsed="false">
      <c r="B504" s="1" t="s">
        <v>815</v>
      </c>
      <c r="C504" s="1" t="s">
        <v>553</v>
      </c>
      <c r="D504" s="14" t="n">
        <v>46003.5069444444</v>
      </c>
      <c r="E504" s="14" t="n">
        <v>46003.5069444444</v>
      </c>
      <c r="F504" s="14" t="n">
        <v>46003.5243055556</v>
      </c>
      <c r="G504" s="15" t="n">
        <f aca="false">F504-E504</f>
        <v>0.0173611111111111</v>
      </c>
      <c r="H504" s="20" t="s">
        <v>248</v>
      </c>
      <c r="J504" s="20" t="s">
        <v>256</v>
      </c>
      <c r="K504" s="1" t="e">
        <f aca="false">_xlfn.xlookup(J504,REF!$D$2:$D$12,REF!$E$2:$E$12)</f>
        <v>#NAME?</v>
      </c>
      <c r="L504" s="1" t="s">
        <v>796</v>
      </c>
      <c r="M504" s="20" t="s">
        <v>258</v>
      </c>
      <c r="N504" s="20" t="s">
        <v>379</v>
      </c>
      <c r="O504" s="1" t="s">
        <v>399</v>
      </c>
      <c r="P504" s="1" t="str">
        <f aca="false">_xlfn.CONCAT(B504,C504,D504,E504,F504)</f>
        <v>Caiaponia IISG60KTL(COM1-010)46003.506944444446003.506944444446003.5243055556</v>
      </c>
      <c r="Q504" s="1" t="str">
        <f aca="false">_xlfn.CONCAT(H504,I504,J504)</f>
        <v>DAURDE</v>
      </c>
    </row>
    <row r="505" customFormat="false" ht="15" hidden="true" customHeight="false" outlineLevel="0" collapsed="false">
      <c r="B505" s="1" t="s">
        <v>815</v>
      </c>
      <c r="C505" s="1" t="s">
        <v>554</v>
      </c>
      <c r="D505" s="14" t="n">
        <v>46003.5069444444</v>
      </c>
      <c r="E505" s="14" t="n">
        <v>46003.5069444444</v>
      </c>
      <c r="F505" s="14" t="n">
        <v>46003.5243055556</v>
      </c>
      <c r="G505" s="15" t="n">
        <f aca="false">F505-E505</f>
        <v>0.0173611111111111</v>
      </c>
      <c r="H505" s="20" t="s">
        <v>248</v>
      </c>
      <c r="J505" s="20" t="s">
        <v>256</v>
      </c>
      <c r="K505" s="1" t="e">
        <f aca="false">_xlfn.xlookup(J505,REF!$D$2:$D$12,REF!$E$2:$E$12)</f>
        <v>#NAME?</v>
      </c>
      <c r="L505" s="1" t="s">
        <v>796</v>
      </c>
      <c r="M505" s="20" t="s">
        <v>258</v>
      </c>
      <c r="N505" s="20" t="s">
        <v>379</v>
      </c>
      <c r="O505" s="1" t="s">
        <v>399</v>
      </c>
      <c r="P505" s="1" t="str">
        <f aca="false">_xlfn.CONCAT(B505,C505,D505,E505,F505)</f>
        <v>Caiaponia IISG60KTL(COM1-011)46003.506944444446003.506944444446003.5243055556</v>
      </c>
      <c r="Q505" s="1" t="str">
        <f aca="false">_xlfn.CONCAT(H505,I505,J505)</f>
        <v>DAURDE</v>
      </c>
    </row>
    <row r="506" customFormat="false" ht="15" hidden="true" customHeight="false" outlineLevel="0" collapsed="false">
      <c r="B506" s="1" t="s">
        <v>815</v>
      </c>
      <c r="C506" s="1" t="s">
        <v>555</v>
      </c>
      <c r="D506" s="14" t="n">
        <v>46003.5069444444</v>
      </c>
      <c r="E506" s="14" t="n">
        <v>46003.5069444444</v>
      </c>
      <c r="F506" s="14" t="n">
        <v>46003.5243055556</v>
      </c>
      <c r="G506" s="15" t="n">
        <f aca="false">F506-E506</f>
        <v>0.0173611111111111</v>
      </c>
      <c r="H506" s="20" t="s">
        <v>248</v>
      </c>
      <c r="J506" s="20" t="s">
        <v>256</v>
      </c>
      <c r="K506" s="1" t="e">
        <f aca="false">_xlfn.xlookup(J506,REF!$D$2:$D$12,REF!$E$2:$E$12)</f>
        <v>#NAME?</v>
      </c>
      <c r="L506" s="1" t="s">
        <v>796</v>
      </c>
      <c r="M506" s="20" t="s">
        <v>258</v>
      </c>
      <c r="N506" s="20" t="s">
        <v>379</v>
      </c>
      <c r="O506" s="1" t="s">
        <v>399</v>
      </c>
      <c r="P506" s="1" t="str">
        <f aca="false">_xlfn.CONCAT(B506,C506,D506,E506,F506)</f>
        <v>Caiaponia IISG60KTL(COM1-012)46003.506944444446003.506944444446003.5243055556</v>
      </c>
      <c r="Q506" s="1" t="str">
        <f aca="false">_xlfn.CONCAT(H506,I506,J506)</f>
        <v>DAURDE</v>
      </c>
    </row>
    <row r="507" customFormat="false" ht="15" hidden="true" customHeight="false" outlineLevel="0" collapsed="false">
      <c r="B507" s="1" t="s">
        <v>815</v>
      </c>
      <c r="C507" s="1" t="s">
        <v>556</v>
      </c>
      <c r="D507" s="14" t="n">
        <v>46003.5069444444</v>
      </c>
      <c r="E507" s="14" t="n">
        <v>46003.5069444444</v>
      </c>
      <c r="F507" s="14" t="n">
        <v>46003.5243055556</v>
      </c>
      <c r="G507" s="15" t="n">
        <f aca="false">F507-E507</f>
        <v>0.0173611111111111</v>
      </c>
      <c r="H507" s="20" t="s">
        <v>248</v>
      </c>
      <c r="J507" s="20" t="s">
        <v>256</v>
      </c>
      <c r="K507" s="1" t="e">
        <f aca="false">_xlfn.xlookup(J507,REF!$D$2:$D$12,REF!$E$2:$E$12)</f>
        <v>#NAME?</v>
      </c>
      <c r="L507" s="1" t="s">
        <v>796</v>
      </c>
      <c r="M507" s="20" t="s">
        <v>258</v>
      </c>
      <c r="N507" s="20" t="s">
        <v>379</v>
      </c>
      <c r="O507" s="1" t="s">
        <v>399</v>
      </c>
      <c r="P507" s="1" t="str">
        <f aca="false">_xlfn.CONCAT(B507,C507,D507,E507,F507)</f>
        <v>Caiaponia IISG60KTL(COM1-013)46003.506944444446003.506944444446003.5243055556</v>
      </c>
      <c r="Q507" s="1" t="str">
        <f aca="false">_xlfn.CONCAT(H507,I507,J507)</f>
        <v>DAURDE</v>
      </c>
    </row>
    <row r="508" customFormat="false" ht="15" hidden="true" customHeight="false" outlineLevel="0" collapsed="false">
      <c r="B508" s="1" t="s">
        <v>815</v>
      </c>
      <c r="C508" s="1" t="s">
        <v>557</v>
      </c>
      <c r="D508" s="14" t="n">
        <v>46003.5069444444</v>
      </c>
      <c r="E508" s="14" t="n">
        <v>46003.5069444444</v>
      </c>
      <c r="F508" s="14" t="n">
        <v>46003.5243055556</v>
      </c>
      <c r="G508" s="15" t="n">
        <f aca="false">F508-E508</f>
        <v>0.0173611111111111</v>
      </c>
      <c r="H508" s="20" t="s">
        <v>248</v>
      </c>
      <c r="J508" s="20" t="s">
        <v>256</v>
      </c>
      <c r="K508" s="1" t="e">
        <f aca="false">_xlfn.xlookup(J508,REF!$D$2:$D$12,REF!$E$2:$E$12)</f>
        <v>#NAME?</v>
      </c>
      <c r="L508" s="1" t="s">
        <v>796</v>
      </c>
      <c r="M508" s="20" t="s">
        <v>258</v>
      </c>
      <c r="N508" s="20" t="s">
        <v>379</v>
      </c>
      <c r="O508" s="1" t="s">
        <v>399</v>
      </c>
      <c r="P508" s="1" t="str">
        <f aca="false">_xlfn.CONCAT(B508,C508,D508,E508,F508)</f>
        <v>Caiaponia IISG60KTL(COM1-014)46003.506944444446003.506944444446003.5243055556</v>
      </c>
      <c r="Q508" s="1" t="str">
        <f aca="false">_xlfn.CONCAT(H508,I508,J508)</f>
        <v>DAURDE</v>
      </c>
    </row>
    <row r="509" customFormat="false" ht="15" hidden="true" customHeight="false" outlineLevel="0" collapsed="false">
      <c r="B509" s="1" t="s">
        <v>815</v>
      </c>
      <c r="C509" s="1" t="s">
        <v>558</v>
      </c>
      <c r="D509" s="14" t="n">
        <v>46003.5069444444</v>
      </c>
      <c r="E509" s="14" t="n">
        <v>46003.5069444444</v>
      </c>
      <c r="F509" s="14" t="n">
        <v>46003.5243055556</v>
      </c>
      <c r="G509" s="15" t="n">
        <f aca="false">F509-E509</f>
        <v>0.0173611111111111</v>
      </c>
      <c r="H509" s="20" t="s">
        <v>248</v>
      </c>
      <c r="J509" s="20" t="s">
        <v>256</v>
      </c>
      <c r="K509" s="1" t="e">
        <f aca="false">_xlfn.xlookup(J509,REF!$D$2:$D$12,REF!$E$2:$E$12)</f>
        <v>#NAME?</v>
      </c>
      <c r="L509" s="1" t="s">
        <v>796</v>
      </c>
      <c r="M509" s="20" t="s">
        <v>258</v>
      </c>
      <c r="N509" s="20" t="s">
        <v>379</v>
      </c>
      <c r="O509" s="1" t="s">
        <v>399</v>
      </c>
      <c r="P509" s="1" t="str">
        <f aca="false">_xlfn.CONCAT(B509,C509,D509,E509,F509)</f>
        <v>Caiaponia IISG60KTL(COM1-015)46003.506944444446003.506944444446003.5243055556</v>
      </c>
      <c r="Q509" s="1" t="str">
        <f aca="false">_xlfn.CONCAT(H509,I509,J509)</f>
        <v>DAURDE</v>
      </c>
    </row>
    <row r="510" customFormat="false" ht="15" hidden="true" customHeight="false" outlineLevel="0" collapsed="false">
      <c r="B510" s="1" t="s">
        <v>622</v>
      </c>
      <c r="C510" s="1" t="s">
        <v>280</v>
      </c>
      <c r="D510" s="14" t="n">
        <v>46003.1708333333</v>
      </c>
      <c r="E510" s="14" t="n">
        <v>46003.1708333333</v>
      </c>
      <c r="F510" s="14" t="n">
        <v>46003.3097222222</v>
      </c>
      <c r="G510" s="15" t="n">
        <f aca="false">F510-E510</f>
        <v>0.138888888888889</v>
      </c>
      <c r="H510" s="1" t="s">
        <v>248</v>
      </c>
      <c r="J510" s="1" t="s">
        <v>256</v>
      </c>
      <c r="K510" s="1" t="e">
        <f aca="false">_xlfn.xlookup(J510,REF!$D$2:$D$12,REF!$E$2:$E$12)</f>
        <v>#NAME?</v>
      </c>
      <c r="L510" s="1" t="s">
        <v>257</v>
      </c>
      <c r="M510" s="1" t="s">
        <v>787</v>
      </c>
      <c r="N510" s="1" t="s">
        <v>379</v>
      </c>
      <c r="O510" s="1" t="s">
        <v>790</v>
      </c>
      <c r="P510" s="1" t="str">
        <f aca="false">_xlfn.CONCAT(B510,C510,D510,E510,F510)</f>
        <v>BC Formoso2.2Inverter(MBUS-14)46003.170833333346003.170833333346003.3097222222</v>
      </c>
      <c r="Q510" s="1" t="str">
        <f aca="false">_xlfn.CONCAT(H510,I510,J510)</f>
        <v>DAURDE</v>
      </c>
    </row>
    <row r="511" customFormat="false" ht="15" hidden="true" customHeight="false" outlineLevel="0" collapsed="false">
      <c r="B511" s="1" t="s">
        <v>622</v>
      </c>
      <c r="C511" s="1" t="s">
        <v>247</v>
      </c>
      <c r="D511" s="14" t="n">
        <v>46003.1708333333</v>
      </c>
      <c r="E511" s="14" t="n">
        <v>46003.1708333333</v>
      </c>
      <c r="F511" s="14" t="n">
        <v>46003.3097222222</v>
      </c>
      <c r="G511" s="15" t="n">
        <f aca="false">F511-E511</f>
        <v>0.138888888888889</v>
      </c>
      <c r="H511" s="1" t="s">
        <v>248</v>
      </c>
      <c r="J511" s="1" t="s">
        <v>256</v>
      </c>
      <c r="K511" s="1" t="e">
        <f aca="false">_xlfn.xlookup(J511,REF!$D$2:$D$12,REF!$E$2:$E$12)</f>
        <v>#NAME?</v>
      </c>
      <c r="L511" s="1" t="s">
        <v>257</v>
      </c>
      <c r="M511" s="1" t="s">
        <v>787</v>
      </c>
      <c r="N511" s="1" t="s">
        <v>379</v>
      </c>
      <c r="O511" s="1" t="s">
        <v>790</v>
      </c>
      <c r="P511" s="1" t="str">
        <f aca="false">_xlfn.CONCAT(B511,C511,D511,E511,F511)</f>
        <v>BC Formoso2.2Inverter(MBUS-13)46003.170833333346003.170833333346003.3097222222</v>
      </c>
      <c r="Q511" s="1" t="str">
        <f aca="false">_xlfn.CONCAT(H511,I511,J511)</f>
        <v>DAURDE</v>
      </c>
    </row>
    <row r="512" customFormat="false" ht="15" hidden="true" customHeight="false" outlineLevel="0" collapsed="false">
      <c r="B512" s="1" t="s">
        <v>622</v>
      </c>
      <c r="C512" s="1" t="s">
        <v>277</v>
      </c>
      <c r="D512" s="14" t="n">
        <v>46003.1708333333</v>
      </c>
      <c r="E512" s="14" t="n">
        <v>46003.1708333333</v>
      </c>
      <c r="F512" s="14" t="n">
        <v>46003.3097222222</v>
      </c>
      <c r="G512" s="15" t="n">
        <f aca="false">F512-E512</f>
        <v>0.138888888888889</v>
      </c>
      <c r="H512" s="1" t="s">
        <v>248</v>
      </c>
      <c r="J512" s="1" t="s">
        <v>256</v>
      </c>
      <c r="K512" s="1" t="e">
        <f aca="false">_xlfn.xlookup(J512,REF!$D$2:$D$12,REF!$E$2:$E$12)</f>
        <v>#NAME?</v>
      </c>
      <c r="L512" s="1" t="s">
        <v>257</v>
      </c>
      <c r="M512" s="1" t="s">
        <v>787</v>
      </c>
      <c r="N512" s="1" t="s">
        <v>379</v>
      </c>
      <c r="O512" s="1" t="s">
        <v>790</v>
      </c>
      <c r="P512" s="1" t="str">
        <f aca="false">_xlfn.CONCAT(B512,C512,D512,E512,F512)</f>
        <v>BC Formoso2.2Inverter(MBUS-12)46003.170833333346003.170833333346003.3097222222</v>
      </c>
      <c r="Q512" s="1" t="str">
        <f aca="false">_xlfn.CONCAT(H512,I512,J512)</f>
        <v>DAURDE</v>
      </c>
    </row>
    <row r="513" customFormat="false" ht="15" hidden="true" customHeight="false" outlineLevel="0" collapsed="false">
      <c r="B513" s="1" t="s">
        <v>622</v>
      </c>
      <c r="C513" s="1" t="s">
        <v>255</v>
      </c>
      <c r="D513" s="14" t="n">
        <v>46003.1708333333</v>
      </c>
      <c r="E513" s="14" t="n">
        <v>46003.1708333333</v>
      </c>
      <c r="F513" s="14" t="n">
        <v>46003.3097222222</v>
      </c>
      <c r="G513" s="15" t="n">
        <f aca="false">F513-E513</f>
        <v>0.138888888888889</v>
      </c>
      <c r="H513" s="1" t="s">
        <v>248</v>
      </c>
      <c r="J513" s="1" t="s">
        <v>256</v>
      </c>
      <c r="K513" s="1" t="e">
        <f aca="false">_xlfn.xlookup(J513,REF!$D$2:$D$12,REF!$E$2:$E$12)</f>
        <v>#NAME?</v>
      </c>
      <c r="L513" s="1" t="s">
        <v>257</v>
      </c>
      <c r="M513" s="1" t="s">
        <v>787</v>
      </c>
      <c r="N513" s="1" t="s">
        <v>379</v>
      </c>
      <c r="O513" s="1" t="s">
        <v>790</v>
      </c>
      <c r="P513" s="1" t="str">
        <f aca="false">_xlfn.CONCAT(B513,C513,D513,E513,F513)</f>
        <v>BC Formoso2.2Inverter(MBUS-1)46003.170833333346003.170833333346003.3097222222</v>
      </c>
      <c r="Q513" s="1" t="str">
        <f aca="false">_xlfn.CONCAT(H513,I513,J513)</f>
        <v>DAURDE</v>
      </c>
    </row>
    <row r="514" customFormat="false" ht="15" hidden="true" customHeight="false" outlineLevel="0" collapsed="false">
      <c r="B514" s="1" t="s">
        <v>805</v>
      </c>
      <c r="C514" s="1" t="s">
        <v>806</v>
      </c>
      <c r="D514" s="14" t="n">
        <v>46002.2569444444</v>
      </c>
      <c r="E514" s="14" t="n">
        <v>46002.2569444444</v>
      </c>
      <c r="F514" s="14" t="n">
        <v>46002.5104166667</v>
      </c>
      <c r="G514" s="15" t="n">
        <f aca="false">F514-E514</f>
        <v>0.253472222222222</v>
      </c>
      <c r="H514" s="20" t="s">
        <v>248</v>
      </c>
      <c r="J514" s="20" t="s">
        <v>256</v>
      </c>
      <c r="K514" s="1" t="e">
        <f aca="false">_xlfn.xlookup(J514,REF!$D$2:$D$12,REF!$E$2:$E$12)</f>
        <v>#NAME?</v>
      </c>
      <c r="L514" s="1" t="s">
        <v>735</v>
      </c>
      <c r="M514" s="20" t="s">
        <v>258</v>
      </c>
      <c r="N514" s="20" t="s">
        <v>259</v>
      </c>
      <c r="O514" s="1" t="s">
        <v>736</v>
      </c>
      <c r="P514" s="1" t="str">
        <f aca="false">_xlfn.CONCAT(B514,C514,D514,E514,F514)</f>
        <v>Rio Monte ISG75CX(COM2-001)_001_01846002.256944444446002.256944444446002.5104166667</v>
      </c>
      <c r="Q514" s="1" t="str">
        <f aca="false">_xlfn.CONCAT(H514,I514,J514)</f>
        <v>DAURDE</v>
      </c>
    </row>
    <row r="515" customFormat="false" ht="15" hidden="true" customHeight="false" outlineLevel="0" collapsed="false">
      <c r="B515" s="1" t="s">
        <v>807</v>
      </c>
      <c r="C515" s="1" t="s">
        <v>808</v>
      </c>
      <c r="D515" s="14" t="n">
        <v>46002.2569444444</v>
      </c>
      <c r="E515" s="14" t="n">
        <v>46002.2569444444</v>
      </c>
      <c r="F515" s="14" t="n">
        <v>46002.5104166667</v>
      </c>
      <c r="G515" s="15" t="n">
        <f aca="false">F515-E515</f>
        <v>0.253472222222222</v>
      </c>
      <c r="H515" s="20" t="s">
        <v>248</v>
      </c>
      <c r="J515" s="20" t="s">
        <v>256</v>
      </c>
      <c r="K515" s="1" t="e">
        <f aca="false">_xlfn.xlookup(J515,REF!$D$2:$D$12,REF!$E$2:$E$12)</f>
        <v>#NAME?</v>
      </c>
      <c r="L515" s="1" t="s">
        <v>735</v>
      </c>
      <c r="M515" s="20" t="s">
        <v>258</v>
      </c>
      <c r="N515" s="20" t="s">
        <v>259</v>
      </c>
      <c r="O515" s="1" t="s">
        <v>736</v>
      </c>
      <c r="P515" s="1" t="str">
        <f aca="false">_xlfn.CONCAT(B515,C515,D515,E515,F515)</f>
        <v>Rio Monte IISG40CX(COM2-007)_001_01746002.256944444446002.256944444446002.5104166667</v>
      </c>
      <c r="Q515" s="1" t="str">
        <f aca="false">_xlfn.CONCAT(H515,I515,J515)</f>
        <v>DAURDE</v>
      </c>
    </row>
    <row r="516" customFormat="false" ht="15" hidden="true" customHeight="false" outlineLevel="0" collapsed="false">
      <c r="B516" s="1" t="s">
        <v>807</v>
      </c>
      <c r="C516" s="1" t="s">
        <v>809</v>
      </c>
      <c r="D516" s="14" t="n">
        <v>46002.2569444444</v>
      </c>
      <c r="E516" s="14" t="n">
        <v>46002.2569444444</v>
      </c>
      <c r="F516" s="14" t="n">
        <v>46002.5104166667</v>
      </c>
      <c r="G516" s="15" t="n">
        <f aca="false">F516-E516</f>
        <v>0.253472222222222</v>
      </c>
      <c r="H516" s="20" t="s">
        <v>248</v>
      </c>
      <c r="J516" s="20" t="s">
        <v>256</v>
      </c>
      <c r="K516" s="1" t="e">
        <f aca="false">_xlfn.xlookup(J516,REF!$D$2:$D$12,REF!$E$2:$E$12)</f>
        <v>#NAME?</v>
      </c>
      <c r="L516" s="1" t="s">
        <v>735</v>
      </c>
      <c r="M516" s="20" t="s">
        <v>258</v>
      </c>
      <c r="N516" s="20" t="s">
        <v>259</v>
      </c>
      <c r="O516" s="1" t="s">
        <v>736</v>
      </c>
      <c r="P516" s="1" t="str">
        <f aca="false">_xlfn.CONCAT(B516,C516,D516,E516,F516)</f>
        <v>Rio Monte IISG60KTL(COM1-002)_001_00546002.256944444446002.256944444446002.5104166667</v>
      </c>
      <c r="Q516" s="1" t="str">
        <f aca="false">_xlfn.CONCAT(H516,I516,J516)</f>
        <v>DAURDE</v>
      </c>
    </row>
    <row r="517" customFormat="false" ht="15" hidden="true" customHeight="false" outlineLevel="0" collapsed="false">
      <c r="B517" s="1" t="s">
        <v>807</v>
      </c>
      <c r="C517" s="1" t="s">
        <v>810</v>
      </c>
      <c r="D517" s="14" t="n">
        <v>46002.2569444444</v>
      </c>
      <c r="E517" s="14" t="n">
        <v>46002.2569444444</v>
      </c>
      <c r="F517" s="14" t="n">
        <v>46002.5104166667</v>
      </c>
      <c r="G517" s="15" t="n">
        <f aca="false">F517-E517</f>
        <v>0.253472222222222</v>
      </c>
      <c r="H517" s="20" t="s">
        <v>248</v>
      </c>
      <c r="J517" s="20" t="s">
        <v>256</v>
      </c>
      <c r="K517" s="1" t="e">
        <f aca="false">_xlfn.xlookup(J517,REF!$D$2:$D$12,REF!$E$2:$E$12)</f>
        <v>#NAME?</v>
      </c>
      <c r="L517" s="1" t="s">
        <v>735</v>
      </c>
      <c r="M517" s="20" t="s">
        <v>258</v>
      </c>
      <c r="N517" s="20" t="s">
        <v>259</v>
      </c>
      <c r="O517" s="1" t="s">
        <v>736</v>
      </c>
      <c r="P517" s="1" t="str">
        <f aca="false">_xlfn.CONCAT(B517,C517,D517,E517,F517)</f>
        <v>Rio Monte IISG60KTL(COM1-003)_001__01146002.256944444446002.256944444446002.5104166667</v>
      </c>
      <c r="Q517" s="1" t="str">
        <f aca="false">_xlfn.CONCAT(H517,I517,J517)</f>
        <v>DAURDE</v>
      </c>
    </row>
    <row r="518" customFormat="false" ht="15" hidden="true" customHeight="false" outlineLevel="0" collapsed="false">
      <c r="B518" s="1" t="s">
        <v>807</v>
      </c>
      <c r="C518" s="1" t="s">
        <v>811</v>
      </c>
      <c r="D518" s="14" t="n">
        <v>46002.2569444444</v>
      </c>
      <c r="E518" s="14" t="n">
        <v>46002.2569444444</v>
      </c>
      <c r="F518" s="14" t="n">
        <v>46002.5104166667</v>
      </c>
      <c r="G518" s="15" t="n">
        <f aca="false">F518-E518</f>
        <v>0.253472222222222</v>
      </c>
      <c r="H518" s="20" t="s">
        <v>248</v>
      </c>
      <c r="J518" s="20" t="s">
        <v>256</v>
      </c>
      <c r="K518" s="1" t="e">
        <f aca="false">_xlfn.xlookup(J518,REF!$D$2:$D$12,REF!$E$2:$E$12)</f>
        <v>#NAME?</v>
      </c>
      <c r="L518" s="1" t="s">
        <v>735</v>
      </c>
      <c r="M518" s="20" t="s">
        <v>258</v>
      </c>
      <c r="N518" s="20" t="s">
        <v>259</v>
      </c>
      <c r="O518" s="1" t="s">
        <v>736</v>
      </c>
      <c r="P518" s="1" t="str">
        <f aca="false">_xlfn.CONCAT(B518,C518,D518,E518,F518)</f>
        <v>Rio Monte IISG60KTL(COM1-004)_001_00746002.256944444446002.256944444446002.5104166667</v>
      </c>
      <c r="Q518" s="1" t="str">
        <f aca="false">_xlfn.CONCAT(H518,I518,J518)</f>
        <v>DAURDE</v>
      </c>
    </row>
    <row r="519" customFormat="false" ht="15" hidden="true" customHeight="false" outlineLevel="0" collapsed="false">
      <c r="B519" s="1" t="s">
        <v>807</v>
      </c>
      <c r="C519" s="1" t="s">
        <v>812</v>
      </c>
      <c r="D519" s="14" t="n">
        <v>46002.2569444444</v>
      </c>
      <c r="E519" s="14" t="n">
        <v>46002.2569444444</v>
      </c>
      <c r="F519" s="14" t="n">
        <v>46002.5104166667</v>
      </c>
      <c r="G519" s="15" t="n">
        <f aca="false">F519-E519</f>
        <v>0.253472222222222</v>
      </c>
      <c r="H519" s="20" t="s">
        <v>248</v>
      </c>
      <c r="J519" s="20" t="s">
        <v>256</v>
      </c>
      <c r="K519" s="1" t="e">
        <f aca="false">_xlfn.xlookup(J519,REF!$D$2:$D$12,REF!$E$2:$E$12)</f>
        <v>#NAME?</v>
      </c>
      <c r="L519" s="1" t="s">
        <v>735</v>
      </c>
      <c r="M519" s="20" t="s">
        <v>258</v>
      </c>
      <c r="N519" s="20" t="s">
        <v>259</v>
      </c>
      <c r="O519" s="1" t="s">
        <v>736</v>
      </c>
      <c r="P519" s="1" t="str">
        <f aca="false">_xlfn.CONCAT(B519,C519,D519,E519,F519)</f>
        <v>Rio Monte IISG60KTL(COM1-005)_001_00946002.256944444446002.256944444446002.5104166667</v>
      </c>
      <c r="Q519" s="1" t="str">
        <f aca="false">_xlfn.CONCAT(H519,I519,J519)</f>
        <v>DAURDE</v>
      </c>
    </row>
    <row r="520" customFormat="false" ht="15" hidden="true" customHeight="false" outlineLevel="0" collapsed="false">
      <c r="B520" s="1" t="s">
        <v>807</v>
      </c>
      <c r="C520" s="1" t="s">
        <v>813</v>
      </c>
      <c r="D520" s="14" t="n">
        <v>46002.2569444444</v>
      </c>
      <c r="E520" s="14" t="n">
        <v>46002.2569444444</v>
      </c>
      <c r="F520" s="14" t="n">
        <v>46002.5104166667</v>
      </c>
      <c r="G520" s="15" t="n">
        <f aca="false">F520-E520</f>
        <v>0.253472222222222</v>
      </c>
      <c r="H520" s="20" t="s">
        <v>248</v>
      </c>
      <c r="J520" s="20" t="s">
        <v>256</v>
      </c>
      <c r="K520" s="1" t="e">
        <f aca="false">_xlfn.xlookup(J520,REF!$D$2:$D$12,REF!$E$2:$E$12)</f>
        <v>#NAME?</v>
      </c>
      <c r="L520" s="1" t="s">
        <v>735</v>
      </c>
      <c r="M520" s="20" t="s">
        <v>258</v>
      </c>
      <c r="N520" s="20" t="s">
        <v>259</v>
      </c>
      <c r="O520" s="1" t="s">
        <v>736</v>
      </c>
      <c r="P520" s="1" t="str">
        <f aca="false">_xlfn.CONCAT(B520,C520,D520,E520,F520)</f>
        <v>Rio Monte IISG60KTL(COM1-006)_001_00646002.256944444446002.256944444446002.5104166667</v>
      </c>
      <c r="Q520" s="1" t="str">
        <f aca="false">_xlfn.CONCAT(H520,I520,J520)</f>
        <v>DAURDE</v>
      </c>
    </row>
    <row r="521" customFormat="false" ht="15" hidden="true" customHeight="false" outlineLevel="0" collapsed="false">
      <c r="B521" s="1" t="s">
        <v>816</v>
      </c>
      <c r="C521" s="1" t="s">
        <v>817</v>
      </c>
      <c r="D521" s="14" t="n">
        <v>46002.2569444444</v>
      </c>
      <c r="E521" s="14" t="n">
        <v>46002.2569444444</v>
      </c>
      <c r="F521" s="14" t="n">
        <v>46002.5104166667</v>
      </c>
      <c r="G521" s="15" t="n">
        <f aca="false">F521-E521</f>
        <v>0.253472222222222</v>
      </c>
      <c r="H521" s="20" t="s">
        <v>248</v>
      </c>
      <c r="J521" s="20" t="s">
        <v>256</v>
      </c>
      <c r="K521" s="1" t="e">
        <f aca="false">_xlfn.xlookup(J521,REF!$D$2:$D$12,REF!$E$2:$E$12)</f>
        <v>#NAME?</v>
      </c>
      <c r="L521" s="1" t="s">
        <v>735</v>
      </c>
      <c r="M521" s="20" t="s">
        <v>258</v>
      </c>
      <c r="N521" s="20" t="s">
        <v>259</v>
      </c>
      <c r="O521" s="1" t="s">
        <v>736</v>
      </c>
      <c r="P521" s="1" t="str">
        <f aca="false">_xlfn.CONCAT(B521,C521,D521,E521,F521)</f>
        <v>Rio Monte IIISG60KTL(COM1-008)_001_01646002.256944444446002.256944444446002.5104166667</v>
      </c>
      <c r="Q521" s="1" t="str">
        <f aca="false">_xlfn.CONCAT(H521,I521,J521)</f>
        <v>DAURDE</v>
      </c>
    </row>
    <row r="522" customFormat="false" ht="15" hidden="true" customHeight="false" outlineLevel="0" collapsed="false">
      <c r="B522" s="1" t="s">
        <v>816</v>
      </c>
      <c r="C522" s="1" t="s">
        <v>818</v>
      </c>
      <c r="D522" s="14" t="n">
        <v>46002.2569444444</v>
      </c>
      <c r="E522" s="14" t="n">
        <v>46002.2569444444</v>
      </c>
      <c r="F522" s="14" t="n">
        <v>46002.5104166667</v>
      </c>
      <c r="G522" s="15" t="n">
        <f aca="false">F522-E522</f>
        <v>0.253472222222222</v>
      </c>
      <c r="H522" s="20" t="s">
        <v>248</v>
      </c>
      <c r="J522" s="20" t="s">
        <v>256</v>
      </c>
      <c r="K522" s="1" t="e">
        <f aca="false">_xlfn.xlookup(J522,REF!$D$2:$D$12,REF!$E$2:$E$12)</f>
        <v>#NAME?</v>
      </c>
      <c r="L522" s="1" t="s">
        <v>735</v>
      </c>
      <c r="M522" s="20" t="s">
        <v>258</v>
      </c>
      <c r="N522" s="20" t="s">
        <v>259</v>
      </c>
      <c r="O522" s="1" t="s">
        <v>736</v>
      </c>
      <c r="P522" s="1" t="str">
        <f aca="false">_xlfn.CONCAT(B522,C522,D522,E522,F522)</f>
        <v>Rio Monte IIISG60KTL(COM1-009)_001_01046002.256944444446002.256944444446002.5104166667</v>
      </c>
      <c r="Q522" s="1" t="str">
        <f aca="false">_xlfn.CONCAT(H522,I522,J522)</f>
        <v>DAURDE</v>
      </c>
    </row>
    <row r="523" customFormat="false" ht="15" hidden="true" customHeight="false" outlineLevel="0" collapsed="false">
      <c r="B523" s="1" t="s">
        <v>816</v>
      </c>
      <c r="C523" s="1" t="s">
        <v>819</v>
      </c>
      <c r="D523" s="14" t="n">
        <v>46002.2569444444</v>
      </c>
      <c r="E523" s="14" t="n">
        <v>46002.2569444444</v>
      </c>
      <c r="F523" s="14" t="n">
        <v>46002.5104166667</v>
      </c>
      <c r="G523" s="15" t="n">
        <f aca="false">F523-E523</f>
        <v>0.253472222222222</v>
      </c>
      <c r="H523" s="20" t="s">
        <v>248</v>
      </c>
      <c r="J523" s="20" t="s">
        <v>256</v>
      </c>
      <c r="K523" s="1" t="e">
        <f aca="false">_xlfn.xlookup(J523,REF!$D$2:$D$12,REF!$E$2:$E$12)</f>
        <v>#NAME?</v>
      </c>
      <c r="L523" s="1" t="s">
        <v>735</v>
      </c>
      <c r="M523" s="20" t="s">
        <v>258</v>
      </c>
      <c r="N523" s="20" t="s">
        <v>259</v>
      </c>
      <c r="O523" s="1" t="s">
        <v>736</v>
      </c>
      <c r="P523" s="1" t="str">
        <f aca="false">_xlfn.CONCAT(B523,C523,D523,E523,F523)</f>
        <v>Rio Monte IIISG60KTL(COM1-010)_001_01246002.256944444446002.256944444446002.5104166667</v>
      </c>
      <c r="Q523" s="1" t="str">
        <f aca="false">_xlfn.CONCAT(H523,I523,J523)</f>
        <v>DAURDE</v>
      </c>
    </row>
    <row r="524" customFormat="false" ht="15" hidden="true" customHeight="false" outlineLevel="0" collapsed="false">
      <c r="B524" s="1" t="s">
        <v>816</v>
      </c>
      <c r="C524" s="1" t="s">
        <v>820</v>
      </c>
      <c r="D524" s="14" t="n">
        <v>46002.2569444444</v>
      </c>
      <c r="E524" s="14" t="n">
        <v>46002.2569444444</v>
      </c>
      <c r="F524" s="14" t="n">
        <v>46002.5104166667</v>
      </c>
      <c r="G524" s="15" t="n">
        <f aca="false">F524-E524</f>
        <v>0.253472222222222</v>
      </c>
      <c r="H524" s="20" t="s">
        <v>248</v>
      </c>
      <c r="J524" s="20" t="s">
        <v>256</v>
      </c>
      <c r="K524" s="1" t="e">
        <f aca="false">_xlfn.xlookup(J524,REF!$D$2:$D$12,REF!$E$2:$E$12)</f>
        <v>#NAME?</v>
      </c>
      <c r="L524" s="1" t="s">
        <v>735</v>
      </c>
      <c r="M524" s="20" t="s">
        <v>258</v>
      </c>
      <c r="N524" s="20" t="s">
        <v>259</v>
      </c>
      <c r="O524" s="1" t="s">
        <v>736</v>
      </c>
      <c r="P524" s="1" t="str">
        <f aca="false">_xlfn.CONCAT(B524,C524,D524,E524,F524)</f>
        <v>Rio Monte IIISG60KTL(COM1-011)_001_00246002.256944444446002.256944444446002.5104166667</v>
      </c>
      <c r="Q524" s="1" t="str">
        <f aca="false">_xlfn.CONCAT(H524,I524,J524)</f>
        <v>DAURDE</v>
      </c>
    </row>
    <row r="525" customFormat="false" ht="15" hidden="true" customHeight="false" outlineLevel="0" collapsed="false">
      <c r="B525" s="1" t="s">
        <v>816</v>
      </c>
      <c r="C525" s="1" t="s">
        <v>821</v>
      </c>
      <c r="D525" s="14" t="n">
        <v>46002.2569444444</v>
      </c>
      <c r="E525" s="14" t="n">
        <v>46002.2569444444</v>
      </c>
      <c r="F525" s="14" t="n">
        <v>46002.5104166667</v>
      </c>
      <c r="G525" s="15" t="n">
        <f aca="false">F525-E525</f>
        <v>0.253472222222222</v>
      </c>
      <c r="H525" s="20" t="s">
        <v>248</v>
      </c>
      <c r="J525" s="20" t="s">
        <v>256</v>
      </c>
      <c r="K525" s="1" t="e">
        <f aca="false">_xlfn.xlookup(J525,REF!$D$2:$D$12,REF!$E$2:$E$12)</f>
        <v>#NAME?</v>
      </c>
      <c r="L525" s="1" t="s">
        <v>735</v>
      </c>
      <c r="M525" s="20" t="s">
        <v>258</v>
      </c>
      <c r="N525" s="20" t="s">
        <v>259</v>
      </c>
      <c r="O525" s="1" t="s">
        <v>736</v>
      </c>
      <c r="P525" s="1" t="str">
        <f aca="false">_xlfn.CONCAT(B525,C525,D525,E525,F525)</f>
        <v>Rio Monte IIISG60KTL(COM1-012)_001_01546002.256944444446002.256944444446002.5104166667</v>
      </c>
      <c r="Q525" s="1" t="str">
        <f aca="false">_xlfn.CONCAT(H525,I525,J525)</f>
        <v>DAURDE</v>
      </c>
    </row>
    <row r="526" customFormat="false" ht="15" hidden="true" customHeight="false" outlineLevel="0" collapsed="false">
      <c r="B526" s="1" t="s">
        <v>816</v>
      </c>
      <c r="C526" s="1" t="s">
        <v>822</v>
      </c>
      <c r="D526" s="14" t="n">
        <v>46002.2569444444</v>
      </c>
      <c r="E526" s="14" t="n">
        <v>46002.2569444444</v>
      </c>
      <c r="F526" s="14" t="n">
        <v>46002.5104166667</v>
      </c>
      <c r="G526" s="15" t="n">
        <f aca="false">F526-E526</f>
        <v>0.253472222222222</v>
      </c>
      <c r="H526" s="20" t="s">
        <v>248</v>
      </c>
      <c r="J526" s="20" t="s">
        <v>256</v>
      </c>
      <c r="K526" s="1" t="e">
        <f aca="false">_xlfn.xlookup(J526,REF!$D$2:$D$12,REF!$E$2:$E$12)</f>
        <v>#NAME?</v>
      </c>
      <c r="L526" s="1" t="s">
        <v>735</v>
      </c>
      <c r="M526" s="20" t="s">
        <v>258</v>
      </c>
      <c r="N526" s="20" t="s">
        <v>259</v>
      </c>
      <c r="O526" s="1" t="s">
        <v>736</v>
      </c>
      <c r="P526" s="1" t="str">
        <f aca="false">_xlfn.CONCAT(B526,C526,D526,E526,F526)</f>
        <v>Rio Monte IIISG60KTL(COM1-013)_001_00346002.256944444446002.256944444446002.5104166667</v>
      </c>
      <c r="Q526" s="1" t="str">
        <f aca="false">_xlfn.CONCAT(H526,I526,J526)</f>
        <v>DAURDE</v>
      </c>
    </row>
    <row r="527" customFormat="false" ht="15" hidden="true" customHeight="false" outlineLevel="0" collapsed="false">
      <c r="B527" s="1" t="s">
        <v>816</v>
      </c>
      <c r="C527" s="1" t="s">
        <v>823</v>
      </c>
      <c r="D527" s="14" t="n">
        <v>46002.2569444444</v>
      </c>
      <c r="E527" s="14" t="n">
        <v>46002.2569444444</v>
      </c>
      <c r="F527" s="14" t="n">
        <v>46002.5104166667</v>
      </c>
      <c r="G527" s="15" t="n">
        <f aca="false">F527-E527</f>
        <v>0.253472222222222</v>
      </c>
      <c r="H527" s="20" t="s">
        <v>248</v>
      </c>
      <c r="J527" s="20" t="s">
        <v>256</v>
      </c>
      <c r="K527" s="1" t="e">
        <f aca="false">_xlfn.xlookup(J527,REF!$D$2:$D$12,REF!$E$2:$E$12)</f>
        <v>#NAME?</v>
      </c>
      <c r="L527" s="1" t="s">
        <v>735</v>
      </c>
      <c r="M527" s="20" t="s">
        <v>258</v>
      </c>
      <c r="N527" s="20" t="s">
        <v>259</v>
      </c>
      <c r="O527" s="1" t="s">
        <v>736</v>
      </c>
      <c r="P527" s="1" t="str">
        <f aca="false">_xlfn.CONCAT(B527,C527,D527,E527,F527)</f>
        <v>Rio Monte IIISG60KTL(COM1-014)_001_00446002.256944444446002.256944444446002.5104166667</v>
      </c>
      <c r="Q527" s="1" t="str">
        <f aca="false">_xlfn.CONCAT(H527,I527,J527)</f>
        <v>DAURDE</v>
      </c>
    </row>
    <row r="528" customFormat="false" ht="15" hidden="true" customHeight="false" outlineLevel="0" collapsed="false">
      <c r="B528" s="1" t="s">
        <v>816</v>
      </c>
      <c r="C528" s="1" t="s">
        <v>824</v>
      </c>
      <c r="D528" s="14" t="n">
        <v>46002.2569444444</v>
      </c>
      <c r="E528" s="14" t="n">
        <v>46002.2569444444</v>
      </c>
      <c r="F528" s="14" t="n">
        <v>46002.5104166667</v>
      </c>
      <c r="G528" s="15" t="n">
        <f aca="false">F528-E528</f>
        <v>0.253472222222222</v>
      </c>
      <c r="H528" s="20" t="s">
        <v>248</v>
      </c>
      <c r="J528" s="20" t="s">
        <v>256</v>
      </c>
      <c r="K528" s="1" t="e">
        <f aca="false">_xlfn.xlookup(J528,REF!$D$2:$D$12,REF!$E$2:$E$12)</f>
        <v>#NAME?</v>
      </c>
      <c r="L528" s="1" t="s">
        <v>735</v>
      </c>
      <c r="M528" s="20" t="s">
        <v>258</v>
      </c>
      <c r="N528" s="20" t="s">
        <v>259</v>
      </c>
      <c r="O528" s="1" t="s">
        <v>736</v>
      </c>
      <c r="P528" s="1" t="str">
        <f aca="false">_xlfn.CONCAT(B528,C528,D528,E528,F528)</f>
        <v>Rio Monte IIISG60KTL(COM1-015)_001_01346002.256944444446002.256944444446002.5104166667</v>
      </c>
      <c r="Q528" s="1" t="str">
        <f aca="false">_xlfn.CONCAT(H528,I528,J528)</f>
        <v>DAURDE</v>
      </c>
    </row>
    <row r="529" customFormat="false" ht="15" hidden="true" customHeight="false" outlineLevel="0" collapsed="false">
      <c r="B529" s="1" t="s">
        <v>816</v>
      </c>
      <c r="C529" s="1" t="s">
        <v>825</v>
      </c>
      <c r="D529" s="14" t="n">
        <v>46002.2569444444</v>
      </c>
      <c r="E529" s="14" t="n">
        <v>46002.2569444444</v>
      </c>
      <c r="F529" s="14" t="n">
        <v>46002.5104166667</v>
      </c>
      <c r="G529" s="15" t="n">
        <f aca="false">F529-E529</f>
        <v>0.253472222222222</v>
      </c>
      <c r="H529" s="20" t="s">
        <v>248</v>
      </c>
      <c r="J529" s="20" t="s">
        <v>256</v>
      </c>
      <c r="K529" s="1" t="e">
        <f aca="false">_xlfn.xlookup(J529,REF!$D$2:$D$12,REF!$E$2:$E$12)</f>
        <v>#NAME?</v>
      </c>
      <c r="L529" s="1" t="s">
        <v>735</v>
      </c>
      <c r="M529" s="20" t="s">
        <v>258</v>
      </c>
      <c r="N529" s="20" t="s">
        <v>259</v>
      </c>
      <c r="O529" s="1" t="s">
        <v>736</v>
      </c>
      <c r="P529" s="1" t="str">
        <f aca="false">_xlfn.CONCAT(B529,C529,D529,E529,F529)</f>
        <v>Rio Monte IIISG60KTL(COM1-016)_001_01446002.256944444446002.256944444446002.5104166667</v>
      </c>
      <c r="Q529" s="1" t="str">
        <f aca="false">_xlfn.CONCAT(H529,I529,J529)</f>
        <v>DAURDE</v>
      </c>
    </row>
    <row r="530" customFormat="false" ht="15" hidden="true" customHeight="false" outlineLevel="0" collapsed="false">
      <c r="B530" s="1" t="s">
        <v>816</v>
      </c>
      <c r="C530" s="1" t="s">
        <v>826</v>
      </c>
      <c r="D530" s="14" t="n">
        <v>46002.2569444444</v>
      </c>
      <c r="E530" s="14" t="n">
        <v>46002.2569444444</v>
      </c>
      <c r="F530" s="14" t="n">
        <v>46002.5104166667</v>
      </c>
      <c r="G530" s="15" t="n">
        <f aca="false">F530-E530</f>
        <v>0.253472222222222</v>
      </c>
      <c r="H530" s="20" t="s">
        <v>248</v>
      </c>
      <c r="J530" s="20" t="s">
        <v>256</v>
      </c>
      <c r="K530" s="1" t="e">
        <f aca="false">_xlfn.xlookup(J530,REF!$D$2:$D$12,REF!$E$2:$E$12)</f>
        <v>#NAME?</v>
      </c>
      <c r="L530" s="1" t="s">
        <v>735</v>
      </c>
      <c r="M530" s="20" t="s">
        <v>258</v>
      </c>
      <c r="N530" s="20" t="s">
        <v>259</v>
      </c>
      <c r="O530" s="1" t="s">
        <v>736</v>
      </c>
      <c r="P530" s="1" t="str">
        <f aca="false">_xlfn.CONCAT(B530,C530,D530,E530,F530)</f>
        <v>Rio Monte IIISG60KTL(COM1-017)_001_00846002.256944444446002.256944444446002.5104166667</v>
      </c>
      <c r="Q530" s="1" t="str">
        <f aca="false">_xlfn.CONCAT(H530,I530,J530)</f>
        <v>DAURDE</v>
      </c>
    </row>
    <row r="531" customFormat="false" ht="15" hidden="true" customHeight="false" outlineLevel="0" collapsed="false">
      <c r="B531" s="1" t="s">
        <v>798</v>
      </c>
      <c r="C531" s="1" t="s">
        <v>799</v>
      </c>
      <c r="D531" s="14" t="n">
        <v>46001.2541666667</v>
      </c>
      <c r="E531" s="14" t="n">
        <v>46001.2541666667</v>
      </c>
      <c r="F531" s="14" t="n">
        <v>46001.3041666667</v>
      </c>
      <c r="G531" s="15" t="n">
        <f aca="false">F531-E531</f>
        <v>0.05</v>
      </c>
      <c r="H531" s="20" t="s">
        <v>248</v>
      </c>
      <c r="J531" s="20" t="s">
        <v>256</v>
      </c>
      <c r="K531" s="1" t="e">
        <f aca="false">_xlfn.xlookup(J531,REF!$D$2:$D$12,REF!$E$2:$E$12)</f>
        <v>#NAME?</v>
      </c>
      <c r="L531" s="1" t="s">
        <v>686</v>
      </c>
      <c r="M531" s="20" t="s">
        <v>258</v>
      </c>
      <c r="N531" s="20" t="s">
        <v>259</v>
      </c>
      <c r="O531" s="1" t="s">
        <v>760</v>
      </c>
      <c r="P531" s="1" t="str">
        <f aca="false">_xlfn.CONCAT(B531,C531,D531,E531,F531)</f>
        <v>CORUMBÁ I - UFV 1U01.I0146001.254166666746001.254166666746001.3041666667</v>
      </c>
      <c r="Q531" s="1" t="str">
        <f aca="false">_xlfn.CONCAT(H531,I531,J531)</f>
        <v>DAURDE</v>
      </c>
    </row>
    <row r="532" customFormat="false" ht="15" hidden="true" customHeight="false" outlineLevel="0" collapsed="false">
      <c r="B532" s="1" t="s">
        <v>798</v>
      </c>
      <c r="C532" s="1" t="s">
        <v>759</v>
      </c>
      <c r="D532" s="14" t="n">
        <v>46001.2541666667</v>
      </c>
      <c r="E532" s="14" t="n">
        <v>46001.2541666667</v>
      </c>
      <c r="F532" s="14" t="n">
        <v>46001.3041666667</v>
      </c>
      <c r="G532" s="15" t="n">
        <f aca="false">F532-E532</f>
        <v>0.05</v>
      </c>
      <c r="H532" s="20" t="s">
        <v>248</v>
      </c>
      <c r="J532" s="20" t="s">
        <v>256</v>
      </c>
      <c r="K532" s="1" t="e">
        <f aca="false">_xlfn.xlookup(J532,REF!$D$2:$D$12,REF!$E$2:$E$12)</f>
        <v>#NAME?</v>
      </c>
      <c r="L532" s="1" t="s">
        <v>686</v>
      </c>
      <c r="M532" s="20" t="s">
        <v>258</v>
      </c>
      <c r="N532" s="20" t="s">
        <v>259</v>
      </c>
      <c r="O532" s="1" t="s">
        <v>760</v>
      </c>
      <c r="P532" s="1" t="str">
        <f aca="false">_xlfn.CONCAT(B532,C532,D532,E532,F532)</f>
        <v>CORUMBÁ I - UFV 1U01.I0246001.254166666746001.254166666746001.3041666667</v>
      </c>
      <c r="Q532" s="1" t="str">
        <f aca="false">_xlfn.CONCAT(H532,I532,J532)</f>
        <v>DAURDE</v>
      </c>
    </row>
    <row r="533" customFormat="false" ht="15" hidden="true" customHeight="false" outlineLevel="0" collapsed="false">
      <c r="B533" s="1" t="s">
        <v>798</v>
      </c>
      <c r="C533" s="1" t="s">
        <v>761</v>
      </c>
      <c r="D533" s="14" t="n">
        <v>46001.2541666667</v>
      </c>
      <c r="E533" s="14" t="n">
        <v>46001.2541666667</v>
      </c>
      <c r="F533" s="14" t="n">
        <v>46001.3041666667</v>
      </c>
      <c r="G533" s="15" t="n">
        <f aca="false">F533-E533</f>
        <v>0.05</v>
      </c>
      <c r="H533" s="20" t="s">
        <v>248</v>
      </c>
      <c r="J533" s="20" t="s">
        <v>256</v>
      </c>
      <c r="K533" s="1" t="e">
        <f aca="false">_xlfn.xlookup(J533,REF!$D$2:$D$12,REF!$E$2:$E$12)</f>
        <v>#NAME?</v>
      </c>
      <c r="L533" s="1" t="s">
        <v>686</v>
      </c>
      <c r="M533" s="20" t="s">
        <v>258</v>
      </c>
      <c r="N533" s="20" t="s">
        <v>259</v>
      </c>
      <c r="O533" s="1" t="s">
        <v>760</v>
      </c>
      <c r="P533" s="1" t="str">
        <f aca="false">_xlfn.CONCAT(B533,C533,D533,E533,F533)</f>
        <v>CORUMBÁ I - UFV 1U01.I0346001.254166666746001.254166666746001.3041666667</v>
      </c>
      <c r="Q533" s="1" t="str">
        <f aca="false">_xlfn.CONCAT(H533,I533,J533)</f>
        <v>DAURDE</v>
      </c>
    </row>
    <row r="534" customFormat="false" ht="15" hidden="true" customHeight="false" outlineLevel="0" collapsed="false">
      <c r="B534" s="1" t="s">
        <v>798</v>
      </c>
      <c r="C534" s="1" t="s">
        <v>762</v>
      </c>
      <c r="D534" s="14" t="n">
        <v>46001.2541666667</v>
      </c>
      <c r="E534" s="14" t="n">
        <v>46001.2541666667</v>
      </c>
      <c r="F534" s="14" t="n">
        <v>46001.3041666667</v>
      </c>
      <c r="G534" s="15" t="n">
        <f aca="false">F534-E534</f>
        <v>0.05</v>
      </c>
      <c r="H534" s="20" t="s">
        <v>248</v>
      </c>
      <c r="J534" s="20" t="s">
        <v>256</v>
      </c>
      <c r="K534" s="1" t="e">
        <f aca="false">_xlfn.xlookup(J534,REF!$D$2:$D$12,REF!$E$2:$E$12)</f>
        <v>#NAME?</v>
      </c>
      <c r="L534" s="1" t="s">
        <v>686</v>
      </c>
      <c r="M534" s="20" t="s">
        <v>258</v>
      </c>
      <c r="N534" s="20" t="s">
        <v>259</v>
      </c>
      <c r="O534" s="1" t="s">
        <v>760</v>
      </c>
      <c r="P534" s="1" t="str">
        <f aca="false">_xlfn.CONCAT(B534,C534,D534,E534,F534)</f>
        <v>CORUMBÁ I - UFV 1U01.I0446001.254166666746001.254166666746001.3041666667</v>
      </c>
      <c r="Q534" s="1" t="str">
        <f aca="false">_xlfn.CONCAT(H534,I534,J534)</f>
        <v>DAURDE</v>
      </c>
    </row>
    <row r="535" customFormat="false" ht="15" hidden="true" customHeight="false" outlineLevel="0" collapsed="false">
      <c r="B535" s="1" t="s">
        <v>798</v>
      </c>
      <c r="C535" s="1" t="s">
        <v>763</v>
      </c>
      <c r="D535" s="14" t="n">
        <v>46001.2541666667</v>
      </c>
      <c r="E535" s="14" t="n">
        <v>46001.2541666667</v>
      </c>
      <c r="F535" s="14" t="n">
        <v>46001.3041666667</v>
      </c>
      <c r="G535" s="15" t="n">
        <f aca="false">F535-E535</f>
        <v>0.05</v>
      </c>
      <c r="H535" s="20" t="s">
        <v>248</v>
      </c>
      <c r="J535" s="20" t="s">
        <v>256</v>
      </c>
      <c r="K535" s="1" t="e">
        <f aca="false">_xlfn.xlookup(J535,REF!$D$2:$D$12,REF!$E$2:$E$12)</f>
        <v>#NAME?</v>
      </c>
      <c r="L535" s="1" t="s">
        <v>686</v>
      </c>
      <c r="M535" s="20" t="s">
        <v>258</v>
      </c>
      <c r="N535" s="20" t="s">
        <v>259</v>
      </c>
      <c r="O535" s="1" t="s">
        <v>760</v>
      </c>
      <c r="P535" s="1" t="str">
        <f aca="false">_xlfn.CONCAT(B535,C535,D535,E535,F535)</f>
        <v>CORUMBÁ I - UFV 1U01.I0546001.254166666746001.254166666746001.3041666667</v>
      </c>
      <c r="Q535" s="1" t="str">
        <f aca="false">_xlfn.CONCAT(H535,I535,J535)</f>
        <v>DAURDE</v>
      </c>
    </row>
    <row r="536" customFormat="false" ht="15" hidden="true" customHeight="false" outlineLevel="0" collapsed="false">
      <c r="B536" s="1" t="s">
        <v>800</v>
      </c>
      <c r="C536" s="1" t="s">
        <v>269</v>
      </c>
      <c r="D536" s="14" t="n">
        <v>46001.2541666667</v>
      </c>
      <c r="E536" s="14" t="n">
        <v>46001.2541666667</v>
      </c>
      <c r="F536" s="14" t="n">
        <v>46001.3041666667</v>
      </c>
      <c r="G536" s="15" t="n">
        <f aca="false">F536-E536</f>
        <v>0.05</v>
      </c>
      <c r="H536" s="20" t="s">
        <v>248</v>
      </c>
      <c r="J536" s="20" t="s">
        <v>256</v>
      </c>
      <c r="K536" s="1" t="e">
        <f aca="false">_xlfn.xlookup(J536,REF!$D$2:$D$12,REF!$E$2:$E$12)</f>
        <v>#NAME?</v>
      </c>
      <c r="L536" s="1" t="s">
        <v>686</v>
      </c>
      <c r="M536" s="20" t="s">
        <v>258</v>
      </c>
      <c r="N536" s="20" t="s">
        <v>259</v>
      </c>
      <c r="O536" s="1" t="s">
        <v>760</v>
      </c>
      <c r="P536" s="1" t="str">
        <f aca="false">_xlfn.CONCAT(B536,C536,D536,E536,F536)</f>
        <v>CORUMBÁ I - UFV 2U02.I0246001.254166666746001.254166666746001.3041666667</v>
      </c>
      <c r="Q536" s="1" t="str">
        <f aca="false">_xlfn.CONCAT(H536,I536,J536)</f>
        <v>DAURDE</v>
      </c>
    </row>
    <row r="537" customFormat="false" ht="15" hidden="true" customHeight="false" outlineLevel="0" collapsed="false">
      <c r="B537" s="1" t="s">
        <v>800</v>
      </c>
      <c r="C537" s="1" t="s">
        <v>262</v>
      </c>
      <c r="D537" s="14" t="n">
        <v>46001.2541666667</v>
      </c>
      <c r="E537" s="14" t="n">
        <v>46001.2541666667</v>
      </c>
      <c r="F537" s="14" t="n">
        <v>46001.3041666667</v>
      </c>
      <c r="G537" s="15" t="n">
        <f aca="false">F537-E537</f>
        <v>0.05</v>
      </c>
      <c r="H537" s="20" t="s">
        <v>248</v>
      </c>
      <c r="J537" s="20" t="s">
        <v>256</v>
      </c>
      <c r="K537" s="1" t="e">
        <f aca="false">_xlfn.xlookup(J537,REF!$D$2:$D$12,REF!$E$2:$E$12)</f>
        <v>#NAME?</v>
      </c>
      <c r="L537" s="1" t="s">
        <v>686</v>
      </c>
      <c r="M537" s="20" t="s">
        <v>258</v>
      </c>
      <c r="N537" s="20" t="s">
        <v>259</v>
      </c>
      <c r="O537" s="1" t="s">
        <v>760</v>
      </c>
      <c r="P537" s="1" t="str">
        <f aca="false">_xlfn.CONCAT(B537,C537,D537,E537,F537)</f>
        <v>CORUMBÁ I - UFV 2U02.I0146001.254166666746001.254166666746001.3041666667</v>
      </c>
      <c r="Q537" s="1" t="str">
        <f aca="false">_xlfn.CONCAT(H537,I537,J537)</f>
        <v>DAURDE</v>
      </c>
    </row>
    <row r="538" customFormat="false" ht="15" hidden="true" customHeight="false" outlineLevel="0" collapsed="false">
      <c r="B538" s="1" t="s">
        <v>800</v>
      </c>
      <c r="C538" s="1" t="s">
        <v>270</v>
      </c>
      <c r="D538" s="14" t="n">
        <v>46001.2541666667</v>
      </c>
      <c r="E538" s="14" t="n">
        <v>46001.2541666667</v>
      </c>
      <c r="F538" s="14" t="n">
        <v>46001.3041666667</v>
      </c>
      <c r="G538" s="15" t="n">
        <f aca="false">F538-E538</f>
        <v>0.05</v>
      </c>
      <c r="H538" s="20" t="s">
        <v>248</v>
      </c>
      <c r="J538" s="20" t="s">
        <v>256</v>
      </c>
      <c r="K538" s="1" t="e">
        <f aca="false">_xlfn.xlookup(J538,REF!$D$2:$D$12,REF!$E$2:$E$12)</f>
        <v>#NAME?</v>
      </c>
      <c r="L538" s="1" t="s">
        <v>686</v>
      </c>
      <c r="M538" s="20" t="s">
        <v>258</v>
      </c>
      <c r="N538" s="20" t="s">
        <v>259</v>
      </c>
      <c r="O538" s="1" t="s">
        <v>760</v>
      </c>
      <c r="P538" s="1" t="str">
        <f aca="false">_xlfn.CONCAT(B538,C538,D538,E538,F538)</f>
        <v>CORUMBÁ I - UFV 2U02.I0346001.254166666746001.254166666746001.3041666667</v>
      </c>
      <c r="Q538" s="1" t="str">
        <f aca="false">_xlfn.CONCAT(H538,I538,J538)</f>
        <v>DAURDE</v>
      </c>
    </row>
    <row r="539" customFormat="false" ht="15" hidden="true" customHeight="false" outlineLevel="0" collapsed="false">
      <c r="B539" s="1" t="s">
        <v>800</v>
      </c>
      <c r="C539" s="1" t="s">
        <v>272</v>
      </c>
      <c r="D539" s="14" t="n">
        <v>46001.2541666667</v>
      </c>
      <c r="E539" s="14" t="n">
        <v>46001.2541666667</v>
      </c>
      <c r="F539" s="14" t="n">
        <v>46001.3041666667</v>
      </c>
      <c r="G539" s="15" t="n">
        <f aca="false">F539-E539</f>
        <v>0.05</v>
      </c>
      <c r="H539" s="20" t="s">
        <v>248</v>
      </c>
      <c r="J539" s="20" t="s">
        <v>256</v>
      </c>
      <c r="K539" s="1" t="e">
        <f aca="false">_xlfn.xlookup(J539,REF!$D$2:$D$12,REF!$E$2:$E$12)</f>
        <v>#NAME?</v>
      </c>
      <c r="L539" s="1" t="s">
        <v>686</v>
      </c>
      <c r="M539" s="20" t="s">
        <v>258</v>
      </c>
      <c r="N539" s="20" t="s">
        <v>259</v>
      </c>
      <c r="O539" s="1" t="s">
        <v>760</v>
      </c>
      <c r="P539" s="1" t="str">
        <f aca="false">_xlfn.CONCAT(B539,C539,D539,E539,F539)</f>
        <v>CORUMBÁ I - UFV 2U02.I0546001.254166666746001.254166666746001.3041666667</v>
      </c>
      <c r="Q539" s="1" t="str">
        <f aca="false">_xlfn.CONCAT(H539,I539,J539)</f>
        <v>DAURDE</v>
      </c>
    </row>
    <row r="540" customFormat="false" ht="15" hidden="true" customHeight="false" outlineLevel="0" collapsed="false">
      <c r="B540" s="1" t="s">
        <v>800</v>
      </c>
      <c r="C540" s="1" t="s">
        <v>271</v>
      </c>
      <c r="D540" s="14" t="n">
        <v>46001.2541666667</v>
      </c>
      <c r="E540" s="14" t="n">
        <v>46001.2541666667</v>
      </c>
      <c r="F540" s="14" t="n">
        <v>46001.3041666667</v>
      </c>
      <c r="G540" s="15" t="n">
        <f aca="false">F540-E540</f>
        <v>0.05</v>
      </c>
      <c r="H540" s="20" t="s">
        <v>248</v>
      </c>
      <c r="J540" s="20" t="s">
        <v>256</v>
      </c>
      <c r="K540" s="1" t="e">
        <f aca="false">_xlfn.xlookup(J540,REF!$D$2:$D$12,REF!$E$2:$E$12)</f>
        <v>#NAME?</v>
      </c>
      <c r="L540" s="1" t="s">
        <v>686</v>
      </c>
      <c r="M540" s="20" t="s">
        <v>258</v>
      </c>
      <c r="N540" s="20" t="s">
        <v>259</v>
      </c>
      <c r="O540" s="1" t="s">
        <v>760</v>
      </c>
      <c r="P540" s="1" t="str">
        <f aca="false">_xlfn.CONCAT(B540,C540,D540,E540,F540)</f>
        <v>CORUMBÁ I - UFV 2U02.I0446001.254166666746001.254166666746001.3041666667</v>
      </c>
      <c r="Q540" s="1" t="str">
        <f aca="false">_xlfn.CONCAT(H540,I540,J540)</f>
        <v>DAURDE</v>
      </c>
    </row>
    <row r="541" customFormat="false" ht="15" hidden="true" customHeight="false" outlineLevel="0" collapsed="false">
      <c r="B541" s="1" t="s">
        <v>801</v>
      </c>
      <c r="C541" s="1" t="s">
        <v>604</v>
      </c>
      <c r="D541" s="14" t="n">
        <v>46001.2541666667</v>
      </c>
      <c r="E541" s="14" t="n">
        <v>46001.2541666667</v>
      </c>
      <c r="F541" s="14" t="n">
        <v>46001.3041666667</v>
      </c>
      <c r="G541" s="15" t="n">
        <f aca="false">F541-E541</f>
        <v>0.05</v>
      </c>
      <c r="H541" s="20" t="s">
        <v>248</v>
      </c>
      <c r="J541" s="20" t="s">
        <v>256</v>
      </c>
      <c r="K541" s="1" t="e">
        <f aca="false">_xlfn.xlookup(J541,REF!$D$2:$D$12,REF!$E$2:$E$12)</f>
        <v>#NAME?</v>
      </c>
      <c r="L541" s="1" t="s">
        <v>686</v>
      </c>
      <c r="M541" s="20" t="s">
        <v>258</v>
      </c>
      <c r="N541" s="20" t="s">
        <v>259</v>
      </c>
      <c r="O541" s="1" t="s">
        <v>760</v>
      </c>
      <c r="P541" s="1" t="str">
        <f aca="false">_xlfn.CONCAT(B541,C541,D541,E541,F541)</f>
        <v>CORUMBÁ I - UFV 3U03.I0146001.254166666746001.254166666746001.3041666667</v>
      </c>
      <c r="Q541" s="1" t="str">
        <f aca="false">_xlfn.CONCAT(H541,I541,J541)</f>
        <v>DAURDE</v>
      </c>
    </row>
    <row r="542" customFormat="false" ht="15" hidden="true" customHeight="false" outlineLevel="0" collapsed="false">
      <c r="B542" s="1" t="s">
        <v>801</v>
      </c>
      <c r="C542" s="1" t="s">
        <v>499</v>
      </c>
      <c r="D542" s="14" t="n">
        <v>46001.2541666667</v>
      </c>
      <c r="E542" s="14" t="n">
        <v>46001.2541666667</v>
      </c>
      <c r="F542" s="14" t="n">
        <v>46001.3041666667</v>
      </c>
      <c r="G542" s="15" t="n">
        <f aca="false">F542-E542</f>
        <v>0.05</v>
      </c>
      <c r="H542" s="20" t="s">
        <v>248</v>
      </c>
      <c r="J542" s="20" t="s">
        <v>256</v>
      </c>
      <c r="K542" s="1" t="e">
        <f aca="false">_xlfn.xlookup(J542,REF!$D$2:$D$12,REF!$E$2:$E$12)</f>
        <v>#NAME?</v>
      </c>
      <c r="L542" s="1" t="s">
        <v>686</v>
      </c>
      <c r="M542" s="20" t="s">
        <v>258</v>
      </c>
      <c r="N542" s="20" t="s">
        <v>259</v>
      </c>
      <c r="O542" s="1" t="s">
        <v>760</v>
      </c>
      <c r="P542" s="1" t="str">
        <f aca="false">_xlfn.CONCAT(B542,C542,D542,E542,F542)</f>
        <v>CORUMBÁ I - UFV 3U03.I0346001.254166666746001.254166666746001.3041666667</v>
      </c>
      <c r="Q542" s="1" t="str">
        <f aca="false">_xlfn.CONCAT(H542,I542,J542)</f>
        <v>DAURDE</v>
      </c>
    </row>
    <row r="543" customFormat="false" ht="15" hidden="true" customHeight="false" outlineLevel="0" collapsed="false">
      <c r="B543" s="1" t="s">
        <v>801</v>
      </c>
      <c r="C543" s="1" t="s">
        <v>607</v>
      </c>
      <c r="D543" s="14" t="n">
        <v>46001.2541666667</v>
      </c>
      <c r="E543" s="14" t="n">
        <v>46001.2541666667</v>
      </c>
      <c r="F543" s="14" t="n">
        <v>46001.3041666667</v>
      </c>
      <c r="G543" s="15" t="n">
        <f aca="false">F543-E543</f>
        <v>0.05</v>
      </c>
      <c r="H543" s="20" t="s">
        <v>248</v>
      </c>
      <c r="J543" s="20" t="s">
        <v>256</v>
      </c>
      <c r="K543" s="1" t="e">
        <f aca="false">_xlfn.xlookup(J543,REF!$D$2:$D$12,REF!$E$2:$E$12)</f>
        <v>#NAME?</v>
      </c>
      <c r="L543" s="1" t="s">
        <v>686</v>
      </c>
      <c r="M543" s="20" t="s">
        <v>258</v>
      </c>
      <c r="N543" s="20" t="s">
        <v>259</v>
      </c>
      <c r="O543" s="1" t="s">
        <v>760</v>
      </c>
      <c r="P543" s="1" t="str">
        <f aca="false">_xlfn.CONCAT(B543,C543,D543,E543,F543)</f>
        <v>CORUMBÁ I - UFV 3U03.I0246001.254166666746001.254166666746001.3041666667</v>
      </c>
      <c r="Q543" s="1" t="str">
        <f aca="false">_xlfn.CONCAT(H543,I543,J543)</f>
        <v>DAURDE</v>
      </c>
    </row>
    <row r="544" customFormat="false" ht="15" hidden="true" customHeight="false" outlineLevel="0" collapsed="false">
      <c r="B544" s="1" t="s">
        <v>802</v>
      </c>
      <c r="C544" s="1" t="s">
        <v>767</v>
      </c>
      <c r="D544" s="14" t="n">
        <v>46001.2541666667</v>
      </c>
      <c r="E544" s="14" t="n">
        <v>46001.2541666667</v>
      </c>
      <c r="F544" s="14" t="n">
        <v>46001.3041666667</v>
      </c>
      <c r="G544" s="15" t="n">
        <f aca="false">F544-E544</f>
        <v>0.05</v>
      </c>
      <c r="H544" s="20" t="s">
        <v>248</v>
      </c>
      <c r="J544" s="20" t="s">
        <v>256</v>
      </c>
      <c r="K544" s="1" t="e">
        <f aca="false">_xlfn.xlookup(J544,REF!$D$2:$D$12,REF!$E$2:$E$12)</f>
        <v>#NAME?</v>
      </c>
      <c r="L544" s="1" t="s">
        <v>686</v>
      </c>
      <c r="M544" s="20" t="s">
        <v>258</v>
      </c>
      <c r="N544" s="20" t="s">
        <v>259</v>
      </c>
      <c r="O544" s="1" t="s">
        <v>760</v>
      </c>
      <c r="P544" s="1" t="str">
        <f aca="false">_xlfn.CONCAT(B544,C544,D544,E544,F544)</f>
        <v>CORUMBÁ II - UFV 1U01. I0146001.254166666746001.254166666746001.3041666667</v>
      </c>
      <c r="Q544" s="1" t="str">
        <f aca="false">_xlfn.CONCAT(H544,I544,J544)</f>
        <v>DAURDE</v>
      </c>
    </row>
    <row r="545" customFormat="false" ht="15" hidden="true" customHeight="false" outlineLevel="0" collapsed="false">
      <c r="B545" s="1" t="s">
        <v>802</v>
      </c>
      <c r="C545" s="1" t="s">
        <v>280</v>
      </c>
      <c r="D545" s="14" t="n">
        <v>46001.2541666667</v>
      </c>
      <c r="E545" s="14" t="n">
        <v>46001.2541666667</v>
      </c>
      <c r="F545" s="14" t="n">
        <v>46001.3041666667</v>
      </c>
      <c r="G545" s="15" t="n">
        <f aca="false">F545-E545</f>
        <v>0.05</v>
      </c>
      <c r="H545" s="20" t="s">
        <v>248</v>
      </c>
      <c r="J545" s="20" t="s">
        <v>256</v>
      </c>
      <c r="K545" s="1" t="e">
        <f aca="false">_xlfn.xlookup(J545,REF!$D$2:$D$12,REF!$E$2:$E$12)</f>
        <v>#NAME?</v>
      </c>
      <c r="L545" s="1" t="s">
        <v>686</v>
      </c>
      <c r="M545" s="20" t="s">
        <v>258</v>
      </c>
      <c r="N545" s="20" t="s">
        <v>259</v>
      </c>
      <c r="O545" s="1" t="s">
        <v>760</v>
      </c>
      <c r="P545" s="1" t="str">
        <f aca="false">_xlfn.CONCAT(B545,C545,D545,E545,F545)</f>
        <v>CORUMBÁ II - UFV 1Inverter(MBUS-14)46001.254166666746001.254166666746001.3041666667</v>
      </c>
      <c r="Q545" s="1" t="str">
        <f aca="false">_xlfn.CONCAT(H545,I545,J545)</f>
        <v>DAURDE</v>
      </c>
    </row>
    <row r="546" customFormat="false" ht="15" hidden="true" customHeight="false" outlineLevel="0" collapsed="false">
      <c r="B546" s="1" t="s">
        <v>802</v>
      </c>
      <c r="C546" s="1" t="s">
        <v>690</v>
      </c>
      <c r="D546" s="14" t="n">
        <v>46001.2541666667</v>
      </c>
      <c r="E546" s="14" t="n">
        <v>46001.2541666667</v>
      </c>
      <c r="F546" s="14" t="n">
        <v>46001.3041666667</v>
      </c>
      <c r="G546" s="15" t="n">
        <f aca="false">F546-E546</f>
        <v>0.05</v>
      </c>
      <c r="H546" s="20" t="s">
        <v>248</v>
      </c>
      <c r="J546" s="20" t="s">
        <v>256</v>
      </c>
      <c r="K546" s="1" t="e">
        <f aca="false">_xlfn.xlookup(J546,REF!$D$2:$D$12,REF!$E$2:$E$12)</f>
        <v>#NAME?</v>
      </c>
      <c r="L546" s="1" t="s">
        <v>686</v>
      </c>
      <c r="M546" s="20" t="s">
        <v>258</v>
      </c>
      <c r="N546" s="20" t="s">
        <v>259</v>
      </c>
      <c r="O546" s="1" t="s">
        <v>760</v>
      </c>
      <c r="P546" s="1" t="str">
        <f aca="false">_xlfn.CONCAT(B546,C546,D546,E546,F546)</f>
        <v>CORUMBÁ II - UFV 1Inverter(MBUS-16)46001.254166666746001.254166666746001.3041666667</v>
      </c>
      <c r="Q546" s="1" t="str">
        <f aca="false">_xlfn.CONCAT(H546,I546,J546)</f>
        <v>DAURDE</v>
      </c>
    </row>
    <row r="547" customFormat="false" ht="15" hidden="true" customHeight="false" outlineLevel="0" collapsed="false">
      <c r="B547" s="1" t="s">
        <v>802</v>
      </c>
      <c r="C547" s="1" t="s">
        <v>768</v>
      </c>
      <c r="D547" s="14" t="n">
        <v>46001.2541666667</v>
      </c>
      <c r="E547" s="14" t="n">
        <v>46001.2541666667</v>
      </c>
      <c r="F547" s="14" t="n">
        <v>46001.3041666667</v>
      </c>
      <c r="G547" s="15" t="n">
        <f aca="false">F547-E547</f>
        <v>0.05</v>
      </c>
      <c r="H547" s="20" t="s">
        <v>248</v>
      </c>
      <c r="J547" s="20" t="s">
        <v>256</v>
      </c>
      <c r="K547" s="1" t="e">
        <f aca="false">_xlfn.xlookup(J547,REF!$D$2:$D$12,REF!$E$2:$E$12)</f>
        <v>#NAME?</v>
      </c>
      <c r="L547" s="1" t="s">
        <v>686</v>
      </c>
      <c r="M547" s="20" t="s">
        <v>258</v>
      </c>
      <c r="N547" s="20" t="s">
        <v>259</v>
      </c>
      <c r="O547" s="1" t="s">
        <v>760</v>
      </c>
      <c r="P547" s="1" t="str">
        <f aca="false">_xlfn.CONCAT(B547,C547,D547,E547,F547)</f>
        <v>CORUMBÁ II - UFV 1U01. I0246001.254166666746001.254166666746001.3041666667</v>
      </c>
      <c r="Q547" s="1" t="str">
        <f aca="false">_xlfn.CONCAT(H547,I547,J547)</f>
        <v>DAURDE</v>
      </c>
    </row>
    <row r="548" customFormat="false" ht="15" hidden="true" customHeight="false" outlineLevel="0" collapsed="false">
      <c r="B548" s="1" t="s">
        <v>802</v>
      </c>
      <c r="C548" s="1" t="s">
        <v>279</v>
      </c>
      <c r="D548" s="14" t="n">
        <v>46001.2541666667</v>
      </c>
      <c r="E548" s="14" t="n">
        <v>46001.2541666667</v>
      </c>
      <c r="F548" s="14" t="n">
        <v>46001.3041666667</v>
      </c>
      <c r="G548" s="15" t="n">
        <f aca="false">F548-E548</f>
        <v>0.05</v>
      </c>
      <c r="H548" s="20" t="s">
        <v>248</v>
      </c>
      <c r="J548" s="20" t="s">
        <v>256</v>
      </c>
      <c r="K548" s="1" t="e">
        <f aca="false">_xlfn.xlookup(J548,REF!$D$2:$D$12,REF!$E$2:$E$12)</f>
        <v>#NAME?</v>
      </c>
      <c r="L548" s="1" t="s">
        <v>686</v>
      </c>
      <c r="M548" s="20" t="s">
        <v>258</v>
      </c>
      <c r="N548" s="20" t="s">
        <v>259</v>
      </c>
      <c r="O548" s="1" t="s">
        <v>760</v>
      </c>
      <c r="P548" s="1" t="str">
        <f aca="false">_xlfn.CONCAT(B548,C548,D548,E548,F548)</f>
        <v>CORUMBÁ II - UFV 1Inverter(MBUS-15)46001.254166666746001.254166666746001.3041666667</v>
      </c>
      <c r="Q548" s="1" t="str">
        <f aca="false">_xlfn.CONCAT(H548,I548,J548)</f>
        <v>DAURDE</v>
      </c>
    </row>
    <row r="549" customFormat="false" ht="15" hidden="true" customHeight="false" outlineLevel="0" collapsed="false">
      <c r="B549" s="1" t="s">
        <v>803</v>
      </c>
      <c r="C549" s="1" t="s">
        <v>271</v>
      </c>
      <c r="D549" s="14" t="n">
        <v>46001.2541666667</v>
      </c>
      <c r="E549" s="14" t="n">
        <v>46001.2541666667</v>
      </c>
      <c r="F549" s="14" t="n">
        <v>46001.3041666667</v>
      </c>
      <c r="G549" s="15" t="n">
        <f aca="false">F549-E549</f>
        <v>0.05</v>
      </c>
      <c r="H549" s="20" t="s">
        <v>248</v>
      </c>
      <c r="J549" s="20" t="s">
        <v>256</v>
      </c>
      <c r="K549" s="1" t="e">
        <f aca="false">_xlfn.xlookup(J549,REF!$D$2:$D$12,REF!$E$2:$E$12)</f>
        <v>#NAME?</v>
      </c>
      <c r="L549" s="1" t="s">
        <v>686</v>
      </c>
      <c r="M549" s="20" t="s">
        <v>258</v>
      </c>
      <c r="N549" s="20" t="s">
        <v>259</v>
      </c>
      <c r="O549" s="1" t="s">
        <v>760</v>
      </c>
      <c r="P549" s="1" t="str">
        <f aca="false">_xlfn.CONCAT(B549,C549,D549,E549,F549)</f>
        <v>CORUMBÁ II - UFV 2U02.I0446001.254166666746001.254166666746001.3041666667</v>
      </c>
      <c r="Q549" s="1" t="str">
        <f aca="false">_xlfn.CONCAT(H549,I549,J549)</f>
        <v>DAURDE</v>
      </c>
    </row>
    <row r="550" customFormat="false" ht="15" hidden="true" customHeight="false" outlineLevel="0" collapsed="false">
      <c r="B550" s="1" t="s">
        <v>803</v>
      </c>
      <c r="C550" s="1" t="s">
        <v>272</v>
      </c>
      <c r="D550" s="14" t="n">
        <v>46001.2541666667</v>
      </c>
      <c r="E550" s="14" t="n">
        <v>46001.2541666667</v>
      </c>
      <c r="F550" s="14" t="n">
        <v>46001.3041666667</v>
      </c>
      <c r="G550" s="15" t="n">
        <f aca="false">F550-E550</f>
        <v>0.05</v>
      </c>
      <c r="H550" s="20" t="s">
        <v>248</v>
      </c>
      <c r="J550" s="20" t="s">
        <v>256</v>
      </c>
      <c r="K550" s="1" t="e">
        <f aca="false">_xlfn.xlookup(J550,REF!$D$2:$D$12,REF!$E$2:$E$12)</f>
        <v>#NAME?</v>
      </c>
      <c r="L550" s="1" t="s">
        <v>686</v>
      </c>
      <c r="M550" s="20" t="s">
        <v>258</v>
      </c>
      <c r="N550" s="20" t="s">
        <v>259</v>
      </c>
      <c r="O550" s="1" t="s">
        <v>760</v>
      </c>
      <c r="P550" s="1" t="str">
        <f aca="false">_xlfn.CONCAT(B550,C550,D550,E550,F550)</f>
        <v>CORUMBÁ II - UFV 2U02.I0546001.254166666746001.254166666746001.3041666667</v>
      </c>
      <c r="Q550" s="1" t="str">
        <f aca="false">_xlfn.CONCAT(H550,I550,J550)</f>
        <v>DAURDE</v>
      </c>
    </row>
    <row r="551" customFormat="false" ht="15" hidden="true" customHeight="false" outlineLevel="0" collapsed="false">
      <c r="B551" s="1" t="s">
        <v>803</v>
      </c>
      <c r="C551" s="1" t="s">
        <v>270</v>
      </c>
      <c r="D551" s="14" t="n">
        <v>46001.2541666667</v>
      </c>
      <c r="E551" s="14" t="n">
        <v>46001.2541666667</v>
      </c>
      <c r="F551" s="14" t="n">
        <v>46001.3041666667</v>
      </c>
      <c r="G551" s="15" t="n">
        <f aca="false">F551-E551</f>
        <v>0.05</v>
      </c>
      <c r="H551" s="20" t="s">
        <v>248</v>
      </c>
      <c r="J551" s="20" t="s">
        <v>256</v>
      </c>
      <c r="K551" s="1" t="e">
        <f aca="false">_xlfn.xlookup(J551,REF!$D$2:$D$12,REF!$E$2:$E$12)</f>
        <v>#NAME?</v>
      </c>
      <c r="L551" s="1" t="s">
        <v>686</v>
      </c>
      <c r="M551" s="20" t="s">
        <v>258</v>
      </c>
      <c r="N551" s="20" t="s">
        <v>259</v>
      </c>
      <c r="O551" s="1" t="s">
        <v>760</v>
      </c>
      <c r="P551" s="1" t="str">
        <f aca="false">_xlfn.CONCAT(B551,C551,D551,E551,F551)</f>
        <v>CORUMBÁ II - UFV 2U02.I0346001.254166666746001.254166666746001.3041666667</v>
      </c>
      <c r="Q551" s="1" t="str">
        <f aca="false">_xlfn.CONCAT(H551,I551,J551)</f>
        <v>DAURDE</v>
      </c>
    </row>
    <row r="552" customFormat="false" ht="15" hidden="true" customHeight="false" outlineLevel="0" collapsed="false">
      <c r="B552" s="1" t="s">
        <v>803</v>
      </c>
      <c r="C552" s="1" t="s">
        <v>262</v>
      </c>
      <c r="D552" s="14" t="n">
        <v>46001.2541666667</v>
      </c>
      <c r="E552" s="14" t="n">
        <v>46001.2541666667</v>
      </c>
      <c r="F552" s="14" t="n">
        <v>46001.3041666667</v>
      </c>
      <c r="G552" s="15" t="n">
        <f aca="false">F552-E552</f>
        <v>0.05</v>
      </c>
      <c r="H552" s="20" t="s">
        <v>248</v>
      </c>
      <c r="J552" s="20" t="s">
        <v>256</v>
      </c>
      <c r="K552" s="1" t="e">
        <f aca="false">_xlfn.xlookup(J552,REF!$D$2:$D$12,REF!$E$2:$E$12)</f>
        <v>#NAME?</v>
      </c>
      <c r="L552" s="1" t="s">
        <v>686</v>
      </c>
      <c r="M552" s="20" t="s">
        <v>258</v>
      </c>
      <c r="N552" s="20" t="s">
        <v>259</v>
      </c>
      <c r="O552" s="1" t="s">
        <v>760</v>
      </c>
      <c r="P552" s="1" t="str">
        <f aca="false">_xlfn.CONCAT(B552,C552,D552,E552,F552)</f>
        <v>CORUMBÁ II - UFV 2U02.I0146001.254166666746001.254166666746001.3041666667</v>
      </c>
      <c r="Q552" s="1" t="str">
        <f aca="false">_xlfn.CONCAT(H552,I552,J552)</f>
        <v>DAURDE</v>
      </c>
    </row>
    <row r="553" customFormat="false" ht="15" hidden="true" customHeight="false" outlineLevel="0" collapsed="false">
      <c r="B553" s="1" t="s">
        <v>803</v>
      </c>
      <c r="C553" s="1" t="s">
        <v>269</v>
      </c>
      <c r="D553" s="14" t="n">
        <v>46001.2541666667</v>
      </c>
      <c r="E553" s="14" t="n">
        <v>46001.2541666667</v>
      </c>
      <c r="F553" s="14" t="n">
        <v>46001.3041666667</v>
      </c>
      <c r="G553" s="15" t="n">
        <f aca="false">F553-E553</f>
        <v>0.05</v>
      </c>
      <c r="H553" s="20" t="s">
        <v>248</v>
      </c>
      <c r="J553" s="20" t="s">
        <v>256</v>
      </c>
      <c r="K553" s="1" t="e">
        <f aca="false">_xlfn.xlookup(J553,REF!$D$2:$D$12,REF!$E$2:$E$12)</f>
        <v>#NAME?</v>
      </c>
      <c r="L553" s="1" t="s">
        <v>686</v>
      </c>
      <c r="M553" s="20" t="s">
        <v>258</v>
      </c>
      <c r="N553" s="20" t="s">
        <v>259</v>
      </c>
      <c r="O553" s="1" t="s">
        <v>760</v>
      </c>
      <c r="P553" s="1" t="str">
        <f aca="false">_xlfn.CONCAT(B553,C553,D553,E553,F553)</f>
        <v>CORUMBÁ II - UFV 2U02.I0246001.254166666746001.254166666746001.3041666667</v>
      </c>
      <c r="Q553" s="1" t="str">
        <f aca="false">_xlfn.CONCAT(H553,I553,J553)</f>
        <v>DAURDE</v>
      </c>
    </row>
    <row r="554" customFormat="false" ht="15" hidden="true" customHeight="false" outlineLevel="0" collapsed="false">
      <c r="B554" s="1" t="s">
        <v>804</v>
      </c>
      <c r="C554" s="1" t="s">
        <v>499</v>
      </c>
      <c r="D554" s="14" t="n">
        <v>46001.2541666667</v>
      </c>
      <c r="E554" s="14" t="n">
        <v>46001.2541666667</v>
      </c>
      <c r="F554" s="14" t="n">
        <v>46001.3041666667</v>
      </c>
      <c r="G554" s="15" t="n">
        <f aca="false">F554-E554</f>
        <v>0.05</v>
      </c>
      <c r="H554" s="20" t="s">
        <v>248</v>
      </c>
      <c r="J554" s="20" t="s">
        <v>256</v>
      </c>
      <c r="K554" s="1" t="e">
        <f aca="false">_xlfn.xlookup(J554,REF!$D$2:$D$12,REF!$E$2:$E$12)</f>
        <v>#NAME?</v>
      </c>
      <c r="L554" s="1" t="s">
        <v>686</v>
      </c>
      <c r="M554" s="20" t="s">
        <v>258</v>
      </c>
      <c r="N554" s="20" t="s">
        <v>259</v>
      </c>
      <c r="O554" s="1" t="s">
        <v>760</v>
      </c>
      <c r="P554" s="1" t="str">
        <f aca="false">_xlfn.CONCAT(B554,C554,D554,E554,F554)</f>
        <v>CORUMBÁ II - UFV 3U03.I0346001.254166666746001.254166666746001.3041666667</v>
      </c>
      <c r="Q554" s="1" t="str">
        <f aca="false">_xlfn.CONCAT(H554,I554,J554)</f>
        <v>DAURDE</v>
      </c>
    </row>
    <row r="555" customFormat="false" ht="15" hidden="true" customHeight="false" outlineLevel="0" collapsed="false">
      <c r="B555" s="1" t="s">
        <v>804</v>
      </c>
      <c r="C555" s="1" t="s">
        <v>607</v>
      </c>
      <c r="D555" s="14" t="n">
        <v>46001.2541666667</v>
      </c>
      <c r="E555" s="14" t="n">
        <v>46001.2541666667</v>
      </c>
      <c r="F555" s="14" t="n">
        <v>46001.3041666667</v>
      </c>
      <c r="G555" s="15" t="n">
        <f aca="false">F555-E555</f>
        <v>0.05</v>
      </c>
      <c r="H555" s="20" t="s">
        <v>248</v>
      </c>
      <c r="J555" s="20" t="s">
        <v>256</v>
      </c>
      <c r="K555" s="1" t="e">
        <f aca="false">_xlfn.xlookup(J555,REF!$D$2:$D$12,REF!$E$2:$E$12)</f>
        <v>#NAME?</v>
      </c>
      <c r="L555" s="1" t="s">
        <v>686</v>
      </c>
      <c r="M555" s="20" t="s">
        <v>258</v>
      </c>
      <c r="N555" s="20" t="s">
        <v>259</v>
      </c>
      <c r="O555" s="1" t="s">
        <v>760</v>
      </c>
      <c r="P555" s="1" t="str">
        <f aca="false">_xlfn.CONCAT(B555,C555,D555,E555,F555)</f>
        <v>CORUMBÁ II - UFV 3U03.I0246001.254166666746001.254166666746001.3041666667</v>
      </c>
      <c r="Q555" s="1" t="str">
        <f aca="false">_xlfn.CONCAT(H555,I555,J555)</f>
        <v>DAURDE</v>
      </c>
    </row>
    <row r="556" customFormat="false" ht="15" hidden="true" customHeight="false" outlineLevel="0" collapsed="false">
      <c r="B556" s="1" t="s">
        <v>804</v>
      </c>
      <c r="C556" s="1" t="s">
        <v>604</v>
      </c>
      <c r="D556" s="14" t="n">
        <v>46001.2541666667</v>
      </c>
      <c r="E556" s="14" t="n">
        <v>46001.2541666667</v>
      </c>
      <c r="F556" s="14" t="n">
        <v>46001.3041666667</v>
      </c>
      <c r="G556" s="15" t="n">
        <f aca="false">F556-E556</f>
        <v>0.05</v>
      </c>
      <c r="H556" s="20" t="s">
        <v>248</v>
      </c>
      <c r="J556" s="20" t="s">
        <v>256</v>
      </c>
      <c r="K556" s="1" t="e">
        <f aca="false">_xlfn.xlookup(J556,REF!$D$2:$D$12,REF!$E$2:$E$12)</f>
        <v>#NAME?</v>
      </c>
      <c r="L556" s="1" t="s">
        <v>686</v>
      </c>
      <c r="M556" s="20" t="s">
        <v>258</v>
      </c>
      <c r="N556" s="20" t="s">
        <v>259</v>
      </c>
      <c r="O556" s="1" t="s">
        <v>760</v>
      </c>
      <c r="P556" s="1" t="str">
        <f aca="false">_xlfn.CONCAT(B556,C556,D556,E556,F556)</f>
        <v>CORUMBÁ II - UFV 3U03.I0146001.254166666746001.254166666746001.3041666667</v>
      </c>
      <c r="Q556" s="1" t="str">
        <f aca="false">_xlfn.CONCAT(H556,I556,J556)</f>
        <v>DAURDE</v>
      </c>
    </row>
    <row r="557" customFormat="false" ht="15" hidden="true" customHeight="false" outlineLevel="0" collapsed="false">
      <c r="B557" s="1" t="s">
        <v>816</v>
      </c>
      <c r="C557" s="1" t="s">
        <v>817</v>
      </c>
      <c r="D557" s="14" t="n">
        <v>46000.5090277778</v>
      </c>
      <c r="E557" s="14" t="n">
        <v>46000.5090277778</v>
      </c>
      <c r="F557" s="14" t="n">
        <v>46000.6270833333</v>
      </c>
      <c r="G557" s="15" t="n">
        <f aca="false">F557-E557</f>
        <v>0.118055555555556</v>
      </c>
      <c r="H557" s="20" t="s">
        <v>248</v>
      </c>
      <c r="J557" s="20" t="s">
        <v>256</v>
      </c>
      <c r="K557" s="1" t="e">
        <f aca="false">_xlfn.xlookup(J557,REF!$D$2:$D$12,REF!$E$2:$E$12)</f>
        <v>#NAME?</v>
      </c>
      <c r="L557" s="1" t="s">
        <v>686</v>
      </c>
      <c r="M557" s="20" t="s">
        <v>258</v>
      </c>
      <c r="N557" s="20" t="s">
        <v>259</v>
      </c>
      <c r="O557" s="1" t="s">
        <v>760</v>
      </c>
      <c r="P557" s="1" t="str">
        <f aca="false">_xlfn.CONCAT(B557,C557,D557,E557,F557)</f>
        <v>Rio Monte IIISG60KTL(COM1-008)_001_01646000.509027777846000.509027777846000.6270833333</v>
      </c>
      <c r="Q557" s="1" t="str">
        <f aca="false">_xlfn.CONCAT(H557,I557,J557)</f>
        <v>DAURDE</v>
      </c>
    </row>
    <row r="558" customFormat="false" ht="15" hidden="true" customHeight="false" outlineLevel="0" collapsed="false">
      <c r="B558" s="1" t="s">
        <v>816</v>
      </c>
      <c r="C558" s="1" t="s">
        <v>818</v>
      </c>
      <c r="D558" s="14" t="n">
        <v>46000.5090277778</v>
      </c>
      <c r="E558" s="14" t="n">
        <v>46000.5090277778</v>
      </c>
      <c r="F558" s="14" t="n">
        <v>46000.6270833333</v>
      </c>
      <c r="G558" s="15" t="n">
        <f aca="false">F558-E558</f>
        <v>0.118055555555556</v>
      </c>
      <c r="H558" s="20" t="s">
        <v>248</v>
      </c>
      <c r="J558" s="20" t="s">
        <v>256</v>
      </c>
      <c r="K558" s="1" t="e">
        <f aca="false">_xlfn.xlookup(J558,REF!$D$2:$D$12,REF!$E$2:$E$12)</f>
        <v>#NAME?</v>
      </c>
      <c r="L558" s="1" t="s">
        <v>686</v>
      </c>
      <c r="M558" s="20" t="s">
        <v>258</v>
      </c>
      <c r="N558" s="20" t="s">
        <v>259</v>
      </c>
      <c r="O558" s="1" t="s">
        <v>760</v>
      </c>
      <c r="P558" s="1" t="str">
        <f aca="false">_xlfn.CONCAT(B558,C558,D558,E558,F558)</f>
        <v>Rio Monte IIISG60KTL(COM1-009)_001_01046000.509027777846000.509027777846000.6270833333</v>
      </c>
      <c r="Q558" s="1" t="str">
        <f aca="false">_xlfn.CONCAT(H558,I558,J558)</f>
        <v>DAURDE</v>
      </c>
    </row>
    <row r="559" customFormat="false" ht="15" hidden="true" customHeight="false" outlineLevel="0" collapsed="false">
      <c r="B559" s="1" t="s">
        <v>816</v>
      </c>
      <c r="C559" s="1" t="s">
        <v>819</v>
      </c>
      <c r="D559" s="14" t="n">
        <v>46000.5090277778</v>
      </c>
      <c r="E559" s="14" t="n">
        <v>46000.5090277778</v>
      </c>
      <c r="F559" s="14" t="n">
        <v>46000.6270833333</v>
      </c>
      <c r="G559" s="15" t="n">
        <f aca="false">F559-E559</f>
        <v>0.118055555555556</v>
      </c>
      <c r="H559" s="20" t="s">
        <v>248</v>
      </c>
      <c r="J559" s="20" t="s">
        <v>256</v>
      </c>
      <c r="K559" s="1" t="e">
        <f aca="false">_xlfn.xlookup(J559,REF!$D$2:$D$12,REF!$E$2:$E$12)</f>
        <v>#NAME?</v>
      </c>
      <c r="L559" s="1" t="s">
        <v>686</v>
      </c>
      <c r="M559" s="20" t="s">
        <v>258</v>
      </c>
      <c r="N559" s="20" t="s">
        <v>259</v>
      </c>
      <c r="O559" s="1" t="s">
        <v>760</v>
      </c>
      <c r="P559" s="1" t="str">
        <f aca="false">_xlfn.CONCAT(B559,C559,D559,E559,F559)</f>
        <v>Rio Monte IIISG60KTL(COM1-010)_001_01246000.509027777846000.509027777846000.6270833333</v>
      </c>
      <c r="Q559" s="1" t="str">
        <f aca="false">_xlfn.CONCAT(H559,I559,J559)</f>
        <v>DAURDE</v>
      </c>
    </row>
    <row r="560" customFormat="false" ht="15" hidden="true" customHeight="false" outlineLevel="0" collapsed="false">
      <c r="B560" s="1" t="s">
        <v>816</v>
      </c>
      <c r="C560" s="1" t="s">
        <v>820</v>
      </c>
      <c r="D560" s="14" t="n">
        <v>46000.5090277778</v>
      </c>
      <c r="E560" s="14" t="n">
        <v>46000.5090277778</v>
      </c>
      <c r="F560" s="14" t="n">
        <v>46000.6270833333</v>
      </c>
      <c r="G560" s="15" t="n">
        <f aca="false">F560-E560</f>
        <v>0.118055555555556</v>
      </c>
      <c r="H560" s="20" t="s">
        <v>248</v>
      </c>
      <c r="J560" s="20" t="s">
        <v>256</v>
      </c>
      <c r="K560" s="1" t="e">
        <f aca="false">_xlfn.xlookup(J560,REF!$D$2:$D$12,REF!$E$2:$E$12)</f>
        <v>#NAME?</v>
      </c>
      <c r="L560" s="1" t="s">
        <v>686</v>
      </c>
      <c r="M560" s="20" t="s">
        <v>258</v>
      </c>
      <c r="N560" s="20" t="s">
        <v>259</v>
      </c>
      <c r="O560" s="1" t="s">
        <v>760</v>
      </c>
      <c r="P560" s="1" t="str">
        <f aca="false">_xlfn.CONCAT(B560,C560,D560,E560,F560)</f>
        <v>Rio Monte IIISG60KTL(COM1-011)_001_00246000.509027777846000.509027777846000.6270833333</v>
      </c>
      <c r="Q560" s="1" t="str">
        <f aca="false">_xlfn.CONCAT(H560,I560,J560)</f>
        <v>DAURDE</v>
      </c>
    </row>
    <row r="561" customFormat="false" ht="15" hidden="true" customHeight="false" outlineLevel="0" collapsed="false">
      <c r="B561" s="1" t="s">
        <v>816</v>
      </c>
      <c r="C561" s="1" t="s">
        <v>821</v>
      </c>
      <c r="D561" s="14" t="n">
        <v>46000.5090277778</v>
      </c>
      <c r="E561" s="14" t="n">
        <v>46000.5090277778</v>
      </c>
      <c r="F561" s="14" t="n">
        <v>46000.6270833333</v>
      </c>
      <c r="G561" s="15" t="n">
        <f aca="false">F561-E561</f>
        <v>0.118055555555556</v>
      </c>
      <c r="H561" s="20" t="s">
        <v>248</v>
      </c>
      <c r="J561" s="20" t="s">
        <v>256</v>
      </c>
      <c r="K561" s="1" t="e">
        <f aca="false">_xlfn.xlookup(J561,REF!$D$2:$D$12,REF!$E$2:$E$12)</f>
        <v>#NAME?</v>
      </c>
      <c r="L561" s="1" t="s">
        <v>686</v>
      </c>
      <c r="M561" s="20" t="s">
        <v>258</v>
      </c>
      <c r="N561" s="20" t="s">
        <v>259</v>
      </c>
      <c r="O561" s="1" t="s">
        <v>760</v>
      </c>
      <c r="P561" s="1" t="str">
        <f aca="false">_xlfn.CONCAT(B561,C561,D561,E561,F561)</f>
        <v>Rio Monte IIISG60KTL(COM1-012)_001_01546000.509027777846000.509027777846000.6270833333</v>
      </c>
      <c r="Q561" s="1" t="str">
        <f aca="false">_xlfn.CONCAT(H561,I561,J561)</f>
        <v>DAURDE</v>
      </c>
    </row>
    <row r="562" customFormat="false" ht="15" hidden="true" customHeight="false" outlineLevel="0" collapsed="false">
      <c r="B562" s="1" t="s">
        <v>816</v>
      </c>
      <c r="C562" s="1" t="s">
        <v>822</v>
      </c>
      <c r="D562" s="14" t="n">
        <v>46000.5090277778</v>
      </c>
      <c r="E562" s="14" t="n">
        <v>46000.5090277778</v>
      </c>
      <c r="F562" s="14" t="n">
        <v>46000.6270833333</v>
      </c>
      <c r="G562" s="15" t="n">
        <f aca="false">F562-E562</f>
        <v>0.118055555555556</v>
      </c>
      <c r="H562" s="20" t="s">
        <v>248</v>
      </c>
      <c r="J562" s="20" t="s">
        <v>256</v>
      </c>
      <c r="K562" s="1" t="e">
        <f aca="false">_xlfn.xlookup(J562,REF!$D$2:$D$12,REF!$E$2:$E$12)</f>
        <v>#NAME?</v>
      </c>
      <c r="L562" s="1" t="s">
        <v>686</v>
      </c>
      <c r="M562" s="20" t="s">
        <v>258</v>
      </c>
      <c r="N562" s="20" t="s">
        <v>259</v>
      </c>
      <c r="O562" s="1" t="s">
        <v>760</v>
      </c>
      <c r="P562" s="1" t="str">
        <f aca="false">_xlfn.CONCAT(B562,C562,D562,E562,F562)</f>
        <v>Rio Monte IIISG60KTL(COM1-013)_001_00346000.509027777846000.509027777846000.6270833333</v>
      </c>
      <c r="Q562" s="1" t="str">
        <f aca="false">_xlfn.CONCAT(H562,I562,J562)</f>
        <v>DAURDE</v>
      </c>
    </row>
    <row r="563" customFormat="false" ht="15" hidden="true" customHeight="false" outlineLevel="0" collapsed="false">
      <c r="B563" s="1" t="s">
        <v>816</v>
      </c>
      <c r="C563" s="1" t="s">
        <v>823</v>
      </c>
      <c r="D563" s="14" t="n">
        <v>46000.5090277778</v>
      </c>
      <c r="E563" s="14" t="n">
        <v>46000.5090277778</v>
      </c>
      <c r="F563" s="14" t="n">
        <v>46000.6270833333</v>
      </c>
      <c r="G563" s="15" t="n">
        <f aca="false">F563-E563</f>
        <v>0.118055555555556</v>
      </c>
      <c r="H563" s="20" t="s">
        <v>248</v>
      </c>
      <c r="J563" s="20" t="s">
        <v>256</v>
      </c>
      <c r="K563" s="1" t="e">
        <f aca="false">_xlfn.xlookup(J563,REF!$D$2:$D$12,REF!$E$2:$E$12)</f>
        <v>#NAME?</v>
      </c>
      <c r="L563" s="1" t="s">
        <v>686</v>
      </c>
      <c r="M563" s="20" t="s">
        <v>258</v>
      </c>
      <c r="N563" s="20" t="s">
        <v>259</v>
      </c>
      <c r="O563" s="1" t="s">
        <v>760</v>
      </c>
      <c r="P563" s="1" t="str">
        <f aca="false">_xlfn.CONCAT(B563,C563,D563,E563,F563)</f>
        <v>Rio Monte IIISG60KTL(COM1-014)_001_00446000.509027777846000.509027777846000.6270833333</v>
      </c>
      <c r="Q563" s="1" t="str">
        <f aca="false">_xlfn.CONCAT(H563,I563,J563)</f>
        <v>DAURDE</v>
      </c>
    </row>
    <row r="564" customFormat="false" ht="15" hidden="true" customHeight="false" outlineLevel="0" collapsed="false">
      <c r="B564" s="1" t="s">
        <v>816</v>
      </c>
      <c r="C564" s="1" t="s">
        <v>824</v>
      </c>
      <c r="D564" s="14" t="n">
        <v>46000.5090277778</v>
      </c>
      <c r="E564" s="14" t="n">
        <v>46000.5090277778</v>
      </c>
      <c r="F564" s="14" t="n">
        <v>46000.6270833333</v>
      </c>
      <c r="G564" s="15" t="n">
        <f aca="false">F564-E564</f>
        <v>0.118055555555556</v>
      </c>
      <c r="H564" s="20" t="s">
        <v>248</v>
      </c>
      <c r="J564" s="20" t="s">
        <v>256</v>
      </c>
      <c r="K564" s="1" t="e">
        <f aca="false">_xlfn.xlookup(J564,REF!$D$2:$D$12,REF!$E$2:$E$12)</f>
        <v>#NAME?</v>
      </c>
      <c r="L564" s="1" t="s">
        <v>686</v>
      </c>
      <c r="M564" s="20" t="s">
        <v>258</v>
      </c>
      <c r="N564" s="20" t="s">
        <v>259</v>
      </c>
      <c r="O564" s="1" t="s">
        <v>760</v>
      </c>
      <c r="P564" s="1" t="str">
        <f aca="false">_xlfn.CONCAT(B564,C564,D564,E564,F564)</f>
        <v>Rio Monte IIISG60KTL(COM1-015)_001_01346000.509027777846000.509027777846000.6270833333</v>
      </c>
      <c r="Q564" s="1" t="str">
        <f aca="false">_xlfn.CONCAT(H564,I564,J564)</f>
        <v>DAURDE</v>
      </c>
    </row>
    <row r="565" customFormat="false" ht="15" hidden="true" customHeight="false" outlineLevel="0" collapsed="false">
      <c r="B565" s="1" t="s">
        <v>816</v>
      </c>
      <c r="C565" s="1" t="s">
        <v>825</v>
      </c>
      <c r="D565" s="14" t="n">
        <v>46000.5090277778</v>
      </c>
      <c r="E565" s="14" t="n">
        <v>46000.5090277778</v>
      </c>
      <c r="F565" s="14" t="n">
        <v>46000.6270833333</v>
      </c>
      <c r="G565" s="15" t="n">
        <f aca="false">F565-E565</f>
        <v>0.118055555555556</v>
      </c>
      <c r="H565" s="20" t="s">
        <v>248</v>
      </c>
      <c r="J565" s="20" t="s">
        <v>256</v>
      </c>
      <c r="K565" s="1" t="e">
        <f aca="false">_xlfn.xlookup(J565,REF!$D$2:$D$12,REF!$E$2:$E$12)</f>
        <v>#NAME?</v>
      </c>
      <c r="L565" s="1" t="s">
        <v>686</v>
      </c>
      <c r="M565" s="20" t="s">
        <v>258</v>
      </c>
      <c r="N565" s="20" t="s">
        <v>259</v>
      </c>
      <c r="O565" s="1" t="s">
        <v>760</v>
      </c>
      <c r="P565" s="1" t="str">
        <f aca="false">_xlfn.CONCAT(B565,C565,D565,E565,F565)</f>
        <v>Rio Monte IIISG60KTL(COM1-016)_001_01446000.509027777846000.509027777846000.6270833333</v>
      </c>
      <c r="Q565" s="1" t="str">
        <f aca="false">_xlfn.CONCAT(H565,I565,J565)</f>
        <v>DAURDE</v>
      </c>
    </row>
    <row r="566" customFormat="false" ht="15" hidden="true" customHeight="false" outlineLevel="0" collapsed="false">
      <c r="B566" s="1" t="s">
        <v>816</v>
      </c>
      <c r="C566" s="1" t="s">
        <v>826</v>
      </c>
      <c r="D566" s="14" t="n">
        <v>46000.5090277778</v>
      </c>
      <c r="E566" s="14" t="n">
        <v>46000.5090277778</v>
      </c>
      <c r="F566" s="14" t="n">
        <v>46000.6270833333</v>
      </c>
      <c r="G566" s="15" t="n">
        <f aca="false">F566-E566</f>
        <v>0.118055555555556</v>
      </c>
      <c r="H566" s="20" t="s">
        <v>248</v>
      </c>
      <c r="J566" s="20" t="s">
        <v>256</v>
      </c>
      <c r="K566" s="1" t="e">
        <f aca="false">_xlfn.xlookup(J566,REF!$D$2:$D$12,REF!$E$2:$E$12)</f>
        <v>#NAME?</v>
      </c>
      <c r="L566" s="1" t="s">
        <v>686</v>
      </c>
      <c r="M566" s="20" t="s">
        <v>258</v>
      </c>
      <c r="N566" s="20" t="s">
        <v>259</v>
      </c>
      <c r="O566" s="1" t="s">
        <v>760</v>
      </c>
      <c r="P566" s="1" t="str">
        <f aca="false">_xlfn.CONCAT(B566,C566,D566,E566,F566)</f>
        <v>Rio Monte IIISG60KTL(COM1-017)_001_00846000.509027777846000.509027777846000.6270833333</v>
      </c>
      <c r="Q566" s="1" t="str">
        <f aca="false">_xlfn.CONCAT(H566,I566,J566)</f>
        <v>DAURDE</v>
      </c>
    </row>
    <row r="567" customFormat="false" ht="15" hidden="true" customHeight="false" outlineLevel="0" collapsed="false">
      <c r="B567" s="1" t="s">
        <v>814</v>
      </c>
      <c r="C567" s="1" t="s">
        <v>543</v>
      </c>
      <c r="D567" s="14" t="n">
        <v>46002.0006944445</v>
      </c>
      <c r="E567" s="14" t="n">
        <v>46002.0006944445</v>
      </c>
      <c r="F567" s="14" t="n">
        <v>46002.3125</v>
      </c>
      <c r="G567" s="15" t="n">
        <f aca="false">F567-E567</f>
        <v>0.311805555555556</v>
      </c>
      <c r="H567" s="20" t="s">
        <v>248</v>
      </c>
      <c r="J567" s="20" t="s">
        <v>256</v>
      </c>
      <c r="K567" s="1" t="e">
        <f aca="false">_xlfn.xlookup(J567,REF!$D$2:$D$12,REF!$E$2:$E$12)</f>
        <v>#NAME?</v>
      </c>
      <c r="L567" s="1" t="s">
        <v>827</v>
      </c>
      <c r="M567" s="20" t="s">
        <v>258</v>
      </c>
      <c r="N567" s="20" t="s">
        <v>379</v>
      </c>
      <c r="O567" s="1" t="s">
        <v>399</v>
      </c>
      <c r="P567" s="1" t="str">
        <f aca="false">_xlfn.CONCAT(B567,C567,D567,E567,F567)</f>
        <v>Caiaponia ISG60KTL(COM1-001)_001_00746002.000694444546002.000694444546002.3125</v>
      </c>
      <c r="Q567" s="1" t="str">
        <f aca="false">_xlfn.CONCAT(H567,I567,J567)</f>
        <v>DAURDE</v>
      </c>
    </row>
    <row r="568" customFormat="false" ht="15" hidden="true" customHeight="false" outlineLevel="0" collapsed="false">
      <c r="B568" s="1" t="s">
        <v>814</v>
      </c>
      <c r="C568" s="1" t="s">
        <v>545</v>
      </c>
      <c r="D568" s="14" t="n">
        <v>46002.0006944445</v>
      </c>
      <c r="E568" s="14" t="n">
        <v>46002.0006944445</v>
      </c>
      <c r="F568" s="14" t="n">
        <v>46002.3125</v>
      </c>
      <c r="G568" s="15" t="n">
        <f aca="false">F568-E568</f>
        <v>0.311805555555556</v>
      </c>
      <c r="H568" s="20" t="s">
        <v>248</v>
      </c>
      <c r="J568" s="20" t="s">
        <v>256</v>
      </c>
      <c r="K568" s="1" t="e">
        <f aca="false">_xlfn.xlookup(J568,REF!$D$2:$D$12,REF!$E$2:$E$12)</f>
        <v>#NAME?</v>
      </c>
      <c r="L568" s="1" t="s">
        <v>827</v>
      </c>
      <c r="M568" s="20" t="s">
        <v>258</v>
      </c>
      <c r="N568" s="20" t="s">
        <v>379</v>
      </c>
      <c r="O568" s="1" t="s">
        <v>399</v>
      </c>
      <c r="P568" s="1" t="str">
        <f aca="false">_xlfn.CONCAT(B568,C568,D568,E568,F568)</f>
        <v>Caiaponia ISG60KTL(COM1-002)_001_01046002.000694444546002.000694444546002.3125</v>
      </c>
      <c r="Q568" s="1" t="str">
        <f aca="false">_xlfn.CONCAT(H568,I568,J568)</f>
        <v>DAURDE</v>
      </c>
    </row>
    <row r="569" customFormat="false" ht="15" hidden="true" customHeight="false" outlineLevel="0" collapsed="false">
      <c r="B569" s="1" t="s">
        <v>814</v>
      </c>
      <c r="C569" s="1" t="s">
        <v>546</v>
      </c>
      <c r="D569" s="14" t="n">
        <v>46002.0006944445</v>
      </c>
      <c r="E569" s="14" t="n">
        <v>46002.0006944445</v>
      </c>
      <c r="F569" s="14" t="n">
        <v>46002.3125</v>
      </c>
      <c r="G569" s="15" t="n">
        <f aca="false">F569-E569</f>
        <v>0.311805555555556</v>
      </c>
      <c r="H569" s="20" t="s">
        <v>248</v>
      </c>
      <c r="J569" s="20" t="s">
        <v>256</v>
      </c>
      <c r="K569" s="1" t="e">
        <f aca="false">_xlfn.xlookup(J569,REF!$D$2:$D$12,REF!$E$2:$E$12)</f>
        <v>#NAME?</v>
      </c>
      <c r="L569" s="1" t="s">
        <v>827</v>
      </c>
      <c r="M569" s="20" t="s">
        <v>258</v>
      </c>
      <c r="N569" s="20" t="s">
        <v>379</v>
      </c>
      <c r="O569" s="1" t="s">
        <v>399</v>
      </c>
      <c r="P569" s="1" t="str">
        <f aca="false">_xlfn.CONCAT(B569,C569,D569,E569,F569)</f>
        <v>Caiaponia ISG60KTL(COM1-003)_001_01146002.000694444546002.000694444546002.3125</v>
      </c>
      <c r="Q569" s="1" t="str">
        <f aca="false">_xlfn.CONCAT(H569,I569,J569)</f>
        <v>DAURDE</v>
      </c>
    </row>
    <row r="570" customFormat="false" ht="15" hidden="true" customHeight="false" outlineLevel="0" collapsed="false">
      <c r="B570" s="1" t="s">
        <v>814</v>
      </c>
      <c r="C570" s="1" t="s">
        <v>547</v>
      </c>
      <c r="D570" s="14" t="n">
        <v>46002.0006944445</v>
      </c>
      <c r="E570" s="14" t="n">
        <v>46002.0006944445</v>
      </c>
      <c r="F570" s="14" t="n">
        <v>46002.3125</v>
      </c>
      <c r="G570" s="15" t="n">
        <f aca="false">F570-E570</f>
        <v>0.311805555555556</v>
      </c>
      <c r="H570" s="20" t="s">
        <v>248</v>
      </c>
      <c r="J570" s="20" t="s">
        <v>256</v>
      </c>
      <c r="K570" s="1" t="e">
        <f aca="false">_xlfn.xlookup(J570,REF!$D$2:$D$12,REF!$E$2:$E$12)</f>
        <v>#NAME?</v>
      </c>
      <c r="L570" s="1" t="s">
        <v>827</v>
      </c>
      <c r="M570" s="20" t="s">
        <v>258</v>
      </c>
      <c r="N570" s="20" t="s">
        <v>379</v>
      </c>
      <c r="O570" s="1" t="s">
        <v>399</v>
      </c>
      <c r="P570" s="1" t="str">
        <f aca="false">_xlfn.CONCAT(B570,C570,D570,E570,F570)</f>
        <v>Caiaponia ISG60KTL(COM1-004)_001_01446002.000694444546002.000694444546002.3125</v>
      </c>
      <c r="Q570" s="1" t="str">
        <f aca="false">_xlfn.CONCAT(H570,I570,J570)</f>
        <v>DAURDE</v>
      </c>
    </row>
    <row r="571" customFormat="false" ht="15" hidden="true" customHeight="false" outlineLevel="0" collapsed="false">
      <c r="B571" s="1" t="s">
        <v>814</v>
      </c>
      <c r="C571" s="1" t="s">
        <v>548</v>
      </c>
      <c r="D571" s="14" t="n">
        <v>46002.0006944445</v>
      </c>
      <c r="E571" s="14" t="n">
        <v>46002.0006944445</v>
      </c>
      <c r="F571" s="14" t="n">
        <v>46002.3125</v>
      </c>
      <c r="G571" s="15" t="n">
        <f aca="false">F571-E571</f>
        <v>0.311805555555556</v>
      </c>
      <c r="H571" s="20" t="s">
        <v>248</v>
      </c>
      <c r="J571" s="20" t="s">
        <v>256</v>
      </c>
      <c r="K571" s="1" t="e">
        <f aca="false">_xlfn.xlookup(J571,REF!$D$2:$D$12,REF!$E$2:$E$12)</f>
        <v>#NAME?</v>
      </c>
      <c r="L571" s="1" t="s">
        <v>827</v>
      </c>
      <c r="M571" s="20" t="s">
        <v>258</v>
      </c>
      <c r="N571" s="20" t="s">
        <v>379</v>
      </c>
      <c r="O571" s="1" t="s">
        <v>399</v>
      </c>
      <c r="P571" s="1" t="str">
        <f aca="false">_xlfn.CONCAT(B571,C571,D571,E571,F571)</f>
        <v>Caiaponia ISG60KTL(COM1-005)_001_01746002.000694444546002.000694444546002.3125</v>
      </c>
      <c r="Q571" s="1" t="str">
        <f aca="false">_xlfn.CONCAT(H571,I571,J571)</f>
        <v>DAURDE</v>
      </c>
    </row>
    <row r="572" customFormat="false" ht="15" hidden="true" customHeight="false" outlineLevel="0" collapsed="false">
      <c r="B572" s="1" t="s">
        <v>814</v>
      </c>
      <c r="C572" s="1" t="s">
        <v>549</v>
      </c>
      <c r="D572" s="14" t="n">
        <v>46002.0006944445</v>
      </c>
      <c r="E572" s="14" t="n">
        <v>46002.0006944445</v>
      </c>
      <c r="F572" s="14" t="n">
        <v>46002.3125</v>
      </c>
      <c r="G572" s="15" t="n">
        <f aca="false">F572-E572</f>
        <v>0.311805555555556</v>
      </c>
      <c r="H572" s="20" t="s">
        <v>248</v>
      </c>
      <c r="J572" s="20" t="s">
        <v>256</v>
      </c>
      <c r="K572" s="1" t="e">
        <f aca="false">_xlfn.xlookup(J572,REF!$D$2:$D$12,REF!$E$2:$E$12)</f>
        <v>#NAME?</v>
      </c>
      <c r="L572" s="1" t="s">
        <v>827</v>
      </c>
      <c r="M572" s="20" t="s">
        <v>258</v>
      </c>
      <c r="N572" s="20" t="s">
        <v>379</v>
      </c>
      <c r="O572" s="1" t="s">
        <v>399</v>
      </c>
      <c r="P572" s="1" t="str">
        <f aca="false">_xlfn.CONCAT(B572,C572,D572,E572,F572)</f>
        <v>Caiaponia ISG60KTL(COM1-006)_001_01646002.000694444546002.000694444546002.3125</v>
      </c>
      <c r="Q572" s="1" t="str">
        <f aca="false">_xlfn.CONCAT(H572,I572,J572)</f>
        <v>DAURDE</v>
      </c>
    </row>
    <row r="573" customFormat="false" ht="15" hidden="true" customHeight="false" outlineLevel="0" collapsed="false">
      <c r="B573" s="1" t="s">
        <v>814</v>
      </c>
      <c r="C573" s="1" t="s">
        <v>550</v>
      </c>
      <c r="D573" s="14" t="n">
        <v>46002.0006944445</v>
      </c>
      <c r="E573" s="14" t="n">
        <v>46002.0006944445</v>
      </c>
      <c r="F573" s="14" t="n">
        <v>46002.3125</v>
      </c>
      <c r="G573" s="15" t="n">
        <f aca="false">F573-E573</f>
        <v>0.311805555555556</v>
      </c>
      <c r="H573" s="20" t="s">
        <v>248</v>
      </c>
      <c r="J573" s="20" t="s">
        <v>256</v>
      </c>
      <c r="K573" s="1" t="e">
        <f aca="false">_xlfn.xlookup(J573,REF!$D$2:$D$12,REF!$E$2:$E$12)</f>
        <v>#NAME?</v>
      </c>
      <c r="L573" s="1" t="s">
        <v>827</v>
      </c>
      <c r="M573" s="20" t="s">
        <v>258</v>
      </c>
      <c r="N573" s="20" t="s">
        <v>379</v>
      </c>
      <c r="O573" s="1" t="s">
        <v>399</v>
      </c>
      <c r="P573" s="1" t="str">
        <f aca="false">_xlfn.CONCAT(B573,C573,D573,E573,F573)</f>
        <v>Caiaponia ISG60KTL(COM1-007)_001_01346002.000694444546002.000694444546002.3125</v>
      </c>
      <c r="Q573" s="1" t="str">
        <f aca="false">_xlfn.CONCAT(H573,I573,J573)</f>
        <v>DAURDE</v>
      </c>
    </row>
    <row r="574" customFormat="false" ht="15" hidden="true" customHeight="false" outlineLevel="0" collapsed="false">
      <c r="B574" s="1" t="s">
        <v>814</v>
      </c>
      <c r="C574" s="1" t="s">
        <v>551</v>
      </c>
      <c r="D574" s="14" t="n">
        <v>46002.0006944445</v>
      </c>
      <c r="E574" s="14" t="n">
        <v>46002.0006944445</v>
      </c>
      <c r="F574" s="14" t="n">
        <v>46002.3125</v>
      </c>
      <c r="G574" s="15" t="n">
        <f aca="false">F574-E574</f>
        <v>0.311805555555556</v>
      </c>
      <c r="H574" s="20" t="s">
        <v>248</v>
      </c>
      <c r="J574" s="20" t="s">
        <v>256</v>
      </c>
      <c r="K574" s="1" t="e">
        <f aca="false">_xlfn.xlookup(J574,REF!$D$2:$D$12,REF!$E$2:$E$12)</f>
        <v>#NAME?</v>
      </c>
      <c r="L574" s="1" t="s">
        <v>827</v>
      </c>
      <c r="M574" s="20" t="s">
        <v>258</v>
      </c>
      <c r="N574" s="20" t="s">
        <v>379</v>
      </c>
      <c r="O574" s="1" t="s">
        <v>399</v>
      </c>
      <c r="P574" s="1" t="str">
        <f aca="false">_xlfn.CONCAT(B574,C574,D574,E574,F574)</f>
        <v>Caiaponia ISG60KTL(COM1-008)_001_00146002.000694444546002.000694444546002.3125</v>
      </c>
      <c r="Q574" s="1" t="str">
        <f aca="false">_xlfn.CONCAT(H574,I574,J574)</f>
        <v>DAURDE</v>
      </c>
    </row>
    <row r="575" customFormat="false" ht="15" hidden="true" customHeight="false" outlineLevel="0" collapsed="false">
      <c r="B575" s="1" t="s">
        <v>815</v>
      </c>
      <c r="C575" s="1" t="s">
        <v>552</v>
      </c>
      <c r="D575" s="14" t="n">
        <v>46002.0006944445</v>
      </c>
      <c r="E575" s="14" t="n">
        <v>46002.0006944445</v>
      </c>
      <c r="F575" s="14" t="n">
        <v>46002.3125</v>
      </c>
      <c r="G575" s="15" t="n">
        <f aca="false">F575-E575</f>
        <v>0.311805555555556</v>
      </c>
      <c r="H575" s="20" t="s">
        <v>248</v>
      </c>
      <c r="J575" s="20" t="s">
        <v>256</v>
      </c>
      <c r="K575" s="1" t="e">
        <f aca="false">_xlfn.xlookup(J575,REF!$D$2:$D$12,REF!$E$2:$E$12)</f>
        <v>#NAME?</v>
      </c>
      <c r="L575" s="1" t="s">
        <v>827</v>
      </c>
      <c r="M575" s="20" t="s">
        <v>258</v>
      </c>
      <c r="N575" s="20" t="s">
        <v>379</v>
      </c>
      <c r="O575" s="1" t="s">
        <v>399</v>
      </c>
      <c r="P575" s="1" t="str">
        <f aca="false">_xlfn.CONCAT(B575,C575,D575,E575,F575)</f>
        <v>Caiaponia IISG60KTL(COM1-009)46002.000694444546002.000694444546002.3125</v>
      </c>
      <c r="Q575" s="1" t="str">
        <f aca="false">_xlfn.CONCAT(H575,I575,J575)</f>
        <v>DAURDE</v>
      </c>
    </row>
    <row r="576" customFormat="false" ht="15" hidden="true" customHeight="false" outlineLevel="0" collapsed="false">
      <c r="B576" s="1" t="s">
        <v>815</v>
      </c>
      <c r="C576" s="1" t="s">
        <v>553</v>
      </c>
      <c r="D576" s="14" t="n">
        <v>46002.0006944445</v>
      </c>
      <c r="E576" s="14" t="n">
        <v>46002.0006944445</v>
      </c>
      <c r="F576" s="14" t="n">
        <v>46002.3125</v>
      </c>
      <c r="G576" s="15" t="n">
        <f aca="false">F576-E576</f>
        <v>0.311805555555556</v>
      </c>
      <c r="H576" s="20" t="s">
        <v>248</v>
      </c>
      <c r="J576" s="20" t="s">
        <v>256</v>
      </c>
      <c r="K576" s="1" t="e">
        <f aca="false">_xlfn.xlookup(J576,REF!$D$2:$D$12,REF!$E$2:$E$12)</f>
        <v>#NAME?</v>
      </c>
      <c r="L576" s="1" t="s">
        <v>827</v>
      </c>
      <c r="M576" s="20" t="s">
        <v>258</v>
      </c>
      <c r="N576" s="20" t="s">
        <v>379</v>
      </c>
      <c r="O576" s="1" t="s">
        <v>399</v>
      </c>
      <c r="P576" s="1" t="str">
        <f aca="false">_xlfn.CONCAT(B576,C576,D576,E576,F576)</f>
        <v>Caiaponia IISG60KTL(COM1-010)46002.000694444546002.000694444546002.3125</v>
      </c>
      <c r="Q576" s="1" t="str">
        <f aca="false">_xlfn.CONCAT(H576,I576,J576)</f>
        <v>DAURDE</v>
      </c>
    </row>
    <row r="577" customFormat="false" ht="15" hidden="true" customHeight="false" outlineLevel="0" collapsed="false">
      <c r="B577" s="1" t="s">
        <v>815</v>
      </c>
      <c r="C577" s="1" t="s">
        <v>554</v>
      </c>
      <c r="D577" s="14" t="n">
        <v>46002.0006944445</v>
      </c>
      <c r="E577" s="14" t="n">
        <v>46002.0006944445</v>
      </c>
      <c r="F577" s="14" t="n">
        <v>46002.3125</v>
      </c>
      <c r="G577" s="15" t="n">
        <f aca="false">F577-E577</f>
        <v>0.311805555555556</v>
      </c>
      <c r="H577" s="20" t="s">
        <v>248</v>
      </c>
      <c r="J577" s="20" t="s">
        <v>256</v>
      </c>
      <c r="K577" s="1" t="e">
        <f aca="false">_xlfn.xlookup(J577,REF!$D$2:$D$12,REF!$E$2:$E$12)</f>
        <v>#NAME?</v>
      </c>
      <c r="L577" s="1" t="s">
        <v>827</v>
      </c>
      <c r="M577" s="20" t="s">
        <v>258</v>
      </c>
      <c r="N577" s="20" t="s">
        <v>379</v>
      </c>
      <c r="O577" s="1" t="s">
        <v>399</v>
      </c>
      <c r="P577" s="1" t="str">
        <f aca="false">_xlfn.CONCAT(B577,C577,D577,E577,F577)</f>
        <v>Caiaponia IISG60KTL(COM1-011)46002.000694444546002.000694444546002.3125</v>
      </c>
      <c r="Q577" s="1" t="str">
        <f aca="false">_xlfn.CONCAT(H577,I577,J577)</f>
        <v>DAURDE</v>
      </c>
    </row>
    <row r="578" customFormat="false" ht="15" hidden="true" customHeight="false" outlineLevel="0" collapsed="false">
      <c r="B578" s="1" t="s">
        <v>815</v>
      </c>
      <c r="C578" s="1" t="s">
        <v>555</v>
      </c>
      <c r="D578" s="14" t="n">
        <v>46002.0006944445</v>
      </c>
      <c r="E578" s="14" t="n">
        <v>46002.0006944445</v>
      </c>
      <c r="F578" s="14" t="n">
        <v>46002.3125</v>
      </c>
      <c r="G578" s="15" t="n">
        <f aca="false">F578-E578</f>
        <v>0.311805555555556</v>
      </c>
      <c r="H578" s="20" t="s">
        <v>248</v>
      </c>
      <c r="J578" s="20" t="s">
        <v>256</v>
      </c>
      <c r="K578" s="1" t="e">
        <f aca="false">_xlfn.xlookup(J578,REF!$D$2:$D$12,REF!$E$2:$E$12)</f>
        <v>#NAME?</v>
      </c>
      <c r="L578" s="1" t="s">
        <v>827</v>
      </c>
      <c r="M578" s="20" t="s">
        <v>258</v>
      </c>
      <c r="N578" s="20" t="s">
        <v>379</v>
      </c>
      <c r="O578" s="1" t="s">
        <v>399</v>
      </c>
      <c r="P578" s="1" t="str">
        <f aca="false">_xlfn.CONCAT(B578,C578,D578,E578,F578)</f>
        <v>Caiaponia IISG60KTL(COM1-012)46002.000694444546002.000694444546002.3125</v>
      </c>
      <c r="Q578" s="1" t="str">
        <f aca="false">_xlfn.CONCAT(H578,I578,J578)</f>
        <v>DAURDE</v>
      </c>
    </row>
    <row r="579" customFormat="false" ht="15" hidden="true" customHeight="false" outlineLevel="0" collapsed="false">
      <c r="B579" s="1" t="s">
        <v>815</v>
      </c>
      <c r="C579" s="1" t="s">
        <v>556</v>
      </c>
      <c r="D579" s="14" t="n">
        <v>46002.0006944445</v>
      </c>
      <c r="E579" s="14" t="n">
        <v>46002.0006944445</v>
      </c>
      <c r="F579" s="14" t="n">
        <v>46002.3125</v>
      </c>
      <c r="G579" s="15" t="n">
        <f aca="false">F579-E579</f>
        <v>0.311805555555556</v>
      </c>
      <c r="H579" s="20" t="s">
        <v>248</v>
      </c>
      <c r="J579" s="20" t="s">
        <v>256</v>
      </c>
      <c r="K579" s="1" t="e">
        <f aca="false">_xlfn.xlookup(J579,REF!$D$2:$D$12,REF!$E$2:$E$12)</f>
        <v>#NAME?</v>
      </c>
      <c r="L579" s="1" t="s">
        <v>827</v>
      </c>
      <c r="M579" s="20" t="s">
        <v>258</v>
      </c>
      <c r="N579" s="20" t="s">
        <v>379</v>
      </c>
      <c r="O579" s="1" t="s">
        <v>399</v>
      </c>
      <c r="P579" s="1" t="str">
        <f aca="false">_xlfn.CONCAT(B579,C579,D579,E579,F579)</f>
        <v>Caiaponia IISG60KTL(COM1-013)46002.000694444546002.000694444546002.3125</v>
      </c>
      <c r="Q579" s="1" t="str">
        <f aca="false">_xlfn.CONCAT(H579,I579,J579)</f>
        <v>DAURDE</v>
      </c>
    </row>
    <row r="580" customFormat="false" ht="15" hidden="true" customHeight="false" outlineLevel="0" collapsed="false">
      <c r="B580" s="1" t="s">
        <v>815</v>
      </c>
      <c r="C580" s="1" t="s">
        <v>557</v>
      </c>
      <c r="D580" s="14" t="n">
        <v>46002.0006944445</v>
      </c>
      <c r="E580" s="14" t="n">
        <v>46002.0006944445</v>
      </c>
      <c r="F580" s="14" t="n">
        <v>46002.3125</v>
      </c>
      <c r="G580" s="15" t="n">
        <f aca="false">F580-E580</f>
        <v>0.311805555555556</v>
      </c>
      <c r="H580" s="20" t="s">
        <v>248</v>
      </c>
      <c r="J580" s="20" t="s">
        <v>256</v>
      </c>
      <c r="K580" s="1" t="e">
        <f aca="false">_xlfn.xlookup(J580,REF!$D$2:$D$12,REF!$E$2:$E$12)</f>
        <v>#NAME?</v>
      </c>
      <c r="L580" s="1" t="s">
        <v>827</v>
      </c>
      <c r="M580" s="20" t="s">
        <v>258</v>
      </c>
      <c r="N580" s="20" t="s">
        <v>379</v>
      </c>
      <c r="O580" s="1" t="s">
        <v>399</v>
      </c>
      <c r="P580" s="1" t="str">
        <f aca="false">_xlfn.CONCAT(B580,C580,D580,E580,F580)</f>
        <v>Caiaponia IISG60KTL(COM1-014)46002.000694444546002.000694444546002.3125</v>
      </c>
      <c r="Q580" s="1" t="str">
        <f aca="false">_xlfn.CONCAT(H580,I580,J580)</f>
        <v>DAURDE</v>
      </c>
    </row>
    <row r="581" customFormat="false" ht="15" hidden="true" customHeight="false" outlineLevel="0" collapsed="false">
      <c r="B581" s="1" t="s">
        <v>815</v>
      </c>
      <c r="C581" s="1" t="s">
        <v>558</v>
      </c>
      <c r="D581" s="14" t="n">
        <v>46002.0006944445</v>
      </c>
      <c r="E581" s="14" t="n">
        <v>46002.0006944445</v>
      </c>
      <c r="F581" s="14" t="n">
        <v>46002.3125</v>
      </c>
      <c r="G581" s="15" t="n">
        <f aca="false">F581-E581</f>
        <v>0.311805555555556</v>
      </c>
      <c r="H581" s="20" t="s">
        <v>248</v>
      </c>
      <c r="J581" s="20" t="s">
        <v>256</v>
      </c>
      <c r="K581" s="1" t="e">
        <f aca="false">_xlfn.xlookup(J581,REF!$D$2:$D$12,REF!$E$2:$E$12)</f>
        <v>#NAME?</v>
      </c>
      <c r="L581" s="1" t="s">
        <v>827</v>
      </c>
      <c r="M581" s="20" t="s">
        <v>258</v>
      </c>
      <c r="N581" s="20" t="s">
        <v>379</v>
      </c>
      <c r="O581" s="1" t="s">
        <v>399</v>
      </c>
      <c r="P581" s="1" t="str">
        <f aca="false">_xlfn.CONCAT(B581,C581,D581,E581,F581)</f>
        <v>Caiaponia IISG60KTL(COM1-015)46002.000694444546002.000694444546002.3125</v>
      </c>
      <c r="Q581" s="1" t="str">
        <f aca="false">_xlfn.CONCAT(H581,I581,J581)</f>
        <v>DAURDE</v>
      </c>
    </row>
    <row r="582" customFormat="false" ht="15" hidden="true" customHeight="false" outlineLevel="0" collapsed="false">
      <c r="B582" s="1" t="s">
        <v>828</v>
      </c>
      <c r="C582" s="1" t="s">
        <v>559</v>
      </c>
      <c r="D582" s="14" t="n">
        <v>46002.0006944445</v>
      </c>
      <c r="E582" s="14" t="n">
        <v>46002.0006944445</v>
      </c>
      <c r="F582" s="14" t="n">
        <v>46002.3125</v>
      </c>
      <c r="G582" s="15" t="n">
        <f aca="false">F582-E582</f>
        <v>0.311805555555556</v>
      </c>
      <c r="H582" s="20" t="s">
        <v>248</v>
      </c>
      <c r="J582" s="20" t="s">
        <v>256</v>
      </c>
      <c r="K582" s="1" t="e">
        <f aca="false">_xlfn.xlookup(J582,REF!$D$2:$D$12,REF!$E$2:$E$12)</f>
        <v>#NAME?</v>
      </c>
      <c r="L582" s="1" t="s">
        <v>827</v>
      </c>
      <c r="M582" s="20" t="s">
        <v>258</v>
      </c>
      <c r="N582" s="20" t="s">
        <v>379</v>
      </c>
      <c r="O582" s="1" t="s">
        <v>399</v>
      </c>
      <c r="P582" s="1" t="str">
        <f aca="false">_xlfn.CONCAT(B582,C582,D582,E582,F582)</f>
        <v>Caiaponia IIISG60KTL(COM3-016)_001_00946002.000694444546002.000694444546002.3125</v>
      </c>
      <c r="Q582" s="1" t="str">
        <f aca="false">_xlfn.CONCAT(H582,I582,J582)</f>
        <v>DAURDE</v>
      </c>
    </row>
    <row r="583" customFormat="false" ht="15" hidden="true" customHeight="false" outlineLevel="0" collapsed="false">
      <c r="B583" s="1" t="s">
        <v>828</v>
      </c>
      <c r="C583" s="1" t="s">
        <v>560</v>
      </c>
      <c r="D583" s="14" t="n">
        <v>46002.0006944445</v>
      </c>
      <c r="E583" s="14" t="n">
        <v>46002.0006944445</v>
      </c>
      <c r="F583" s="14" t="n">
        <v>46002.3125</v>
      </c>
      <c r="G583" s="15" t="n">
        <f aca="false">F583-E583</f>
        <v>0.311805555555556</v>
      </c>
      <c r="H583" s="20" t="s">
        <v>248</v>
      </c>
      <c r="J583" s="20" t="s">
        <v>256</v>
      </c>
      <c r="K583" s="1" t="e">
        <f aca="false">_xlfn.xlookup(J583,REF!$D$2:$D$12,REF!$E$2:$E$12)</f>
        <v>#NAME?</v>
      </c>
      <c r="L583" s="1" t="s">
        <v>827</v>
      </c>
      <c r="M583" s="20" t="s">
        <v>258</v>
      </c>
      <c r="N583" s="20" t="s">
        <v>379</v>
      </c>
      <c r="O583" s="1" t="s">
        <v>399</v>
      </c>
      <c r="P583" s="1" t="str">
        <f aca="false">_xlfn.CONCAT(B583,C583,D583,E583,F583)</f>
        <v>Caiaponia IIISG60KTL(COM3-017)_001_01246002.000694444546002.000694444546002.3125</v>
      </c>
      <c r="Q583" s="1" t="str">
        <f aca="false">_xlfn.CONCAT(H583,I583,J583)</f>
        <v>DAURDE</v>
      </c>
    </row>
    <row r="584" customFormat="false" ht="15" hidden="true" customHeight="false" outlineLevel="0" collapsed="false">
      <c r="B584" s="1" t="s">
        <v>828</v>
      </c>
      <c r="C584" s="1" t="s">
        <v>561</v>
      </c>
      <c r="D584" s="14" t="n">
        <v>46002.0006944445</v>
      </c>
      <c r="E584" s="14" t="n">
        <v>46002.0006944445</v>
      </c>
      <c r="F584" s="14" t="n">
        <v>46002.3125</v>
      </c>
      <c r="G584" s="15" t="n">
        <f aca="false">F584-E584</f>
        <v>0.311805555555556</v>
      </c>
      <c r="H584" s="20" t="s">
        <v>248</v>
      </c>
      <c r="J584" s="20" t="s">
        <v>256</v>
      </c>
      <c r="K584" s="1" t="e">
        <f aca="false">_xlfn.xlookup(J584,REF!$D$2:$D$12,REF!$E$2:$E$12)</f>
        <v>#NAME?</v>
      </c>
      <c r="L584" s="1" t="s">
        <v>827</v>
      </c>
      <c r="M584" s="20" t="s">
        <v>258</v>
      </c>
      <c r="N584" s="20" t="s">
        <v>379</v>
      </c>
      <c r="O584" s="1" t="s">
        <v>399</v>
      </c>
      <c r="P584" s="1" t="str">
        <f aca="false">_xlfn.CONCAT(B584,C584,D584,E584,F584)</f>
        <v>Caiaponia IIISG60KTL(COM3-018)_001_00846002.000694444546002.000694444546002.3125</v>
      </c>
      <c r="Q584" s="1" t="str">
        <f aca="false">_xlfn.CONCAT(H584,I584,J584)</f>
        <v>DAURDE</v>
      </c>
    </row>
    <row r="585" customFormat="false" ht="15" hidden="true" customHeight="false" outlineLevel="0" collapsed="false">
      <c r="B585" s="1" t="s">
        <v>828</v>
      </c>
      <c r="C585" s="1" t="s">
        <v>562</v>
      </c>
      <c r="D585" s="14" t="n">
        <v>46002.0006944445</v>
      </c>
      <c r="E585" s="14" t="n">
        <v>46002.0006944445</v>
      </c>
      <c r="F585" s="14" t="n">
        <v>46002.3125</v>
      </c>
      <c r="G585" s="15" t="n">
        <f aca="false">F585-E585</f>
        <v>0.311805555555556</v>
      </c>
      <c r="H585" s="20" t="s">
        <v>248</v>
      </c>
      <c r="J585" s="20" t="s">
        <v>256</v>
      </c>
      <c r="K585" s="1" t="e">
        <f aca="false">_xlfn.xlookup(J585,REF!$D$2:$D$12,REF!$E$2:$E$12)</f>
        <v>#NAME?</v>
      </c>
      <c r="L585" s="1" t="s">
        <v>827</v>
      </c>
      <c r="M585" s="20" t="s">
        <v>258</v>
      </c>
      <c r="N585" s="20" t="s">
        <v>379</v>
      </c>
      <c r="O585" s="1" t="s">
        <v>399</v>
      </c>
      <c r="P585" s="1" t="str">
        <f aca="false">_xlfn.CONCAT(B585,C585,D585,E585,F585)</f>
        <v>Caiaponia IIISG60KTL(COM3-019)_001_01946002.000694444546002.000694444546002.3125</v>
      </c>
      <c r="Q585" s="1" t="str">
        <f aca="false">_xlfn.CONCAT(H585,I585,J585)</f>
        <v>DAURDE</v>
      </c>
    </row>
    <row r="586" customFormat="false" ht="15" hidden="true" customHeight="false" outlineLevel="0" collapsed="false">
      <c r="B586" s="1" t="s">
        <v>828</v>
      </c>
      <c r="C586" s="1" t="s">
        <v>563</v>
      </c>
      <c r="D586" s="14" t="n">
        <v>46002.0006944445</v>
      </c>
      <c r="E586" s="14" t="n">
        <v>46002.0006944445</v>
      </c>
      <c r="F586" s="14" t="n">
        <v>46002.3125</v>
      </c>
      <c r="G586" s="15" t="n">
        <f aca="false">F586-E586</f>
        <v>0.311805555555556</v>
      </c>
      <c r="H586" s="20" t="s">
        <v>248</v>
      </c>
      <c r="J586" s="20" t="s">
        <v>256</v>
      </c>
      <c r="K586" s="1" t="e">
        <f aca="false">_xlfn.xlookup(J586,REF!$D$2:$D$12,REF!$E$2:$E$12)</f>
        <v>#NAME?</v>
      </c>
      <c r="L586" s="1" t="s">
        <v>827</v>
      </c>
      <c r="M586" s="20" t="s">
        <v>258</v>
      </c>
      <c r="N586" s="20" t="s">
        <v>379</v>
      </c>
      <c r="O586" s="1" t="s">
        <v>399</v>
      </c>
      <c r="P586" s="1" t="str">
        <f aca="false">_xlfn.CONCAT(B586,C586,D586,E586,F586)</f>
        <v>Caiaponia IIISG60KTL(COM3-020)_001_02046002.000694444546002.000694444546002.3125</v>
      </c>
      <c r="Q586" s="1" t="str">
        <f aca="false">_xlfn.CONCAT(H586,I586,J586)</f>
        <v>DAURDE</v>
      </c>
    </row>
    <row r="587" customFormat="false" ht="15" hidden="true" customHeight="false" outlineLevel="0" collapsed="false">
      <c r="B587" s="1" t="s">
        <v>829</v>
      </c>
      <c r="C587" s="1" t="s">
        <v>564</v>
      </c>
      <c r="D587" s="14" t="n">
        <v>46002.0006944445</v>
      </c>
      <c r="E587" s="14" t="n">
        <v>46002.0006944445</v>
      </c>
      <c r="F587" s="14" t="n">
        <v>46002.3125</v>
      </c>
      <c r="G587" s="15" t="n">
        <f aca="false">F587-E587</f>
        <v>0.311805555555556</v>
      </c>
      <c r="H587" s="20" t="s">
        <v>248</v>
      </c>
      <c r="J587" s="20" t="s">
        <v>256</v>
      </c>
      <c r="K587" s="1" t="e">
        <f aca="false">_xlfn.xlookup(J587,REF!$D$2:$D$12,REF!$E$2:$E$12)</f>
        <v>#NAME?</v>
      </c>
      <c r="L587" s="1" t="s">
        <v>827</v>
      </c>
      <c r="M587" s="20" t="s">
        <v>258</v>
      </c>
      <c r="N587" s="20" t="s">
        <v>379</v>
      </c>
      <c r="O587" s="1" t="s">
        <v>399</v>
      </c>
      <c r="P587" s="1" t="str">
        <f aca="false">_xlfn.CONCAT(B587,C587,D587,E587,F587)</f>
        <v>Caiaponia IVSG60KTL(COM2-026)46002.000694444546002.000694444546002.3125</v>
      </c>
      <c r="Q587" s="1" t="str">
        <f aca="false">_xlfn.CONCAT(H587,I587,J587)</f>
        <v>DAURDE</v>
      </c>
    </row>
    <row r="588" customFormat="false" ht="15" hidden="true" customHeight="false" outlineLevel="0" collapsed="false">
      <c r="B588" s="1" t="s">
        <v>829</v>
      </c>
      <c r="C588" s="1" t="s">
        <v>565</v>
      </c>
      <c r="D588" s="14" t="n">
        <v>46002.0006944445</v>
      </c>
      <c r="E588" s="14" t="n">
        <v>46002.0006944445</v>
      </c>
      <c r="F588" s="14" t="n">
        <v>46002.3125</v>
      </c>
      <c r="G588" s="15" t="n">
        <f aca="false">F588-E588</f>
        <v>0.311805555555556</v>
      </c>
      <c r="H588" s="20" t="s">
        <v>248</v>
      </c>
      <c r="J588" s="20" t="s">
        <v>256</v>
      </c>
      <c r="K588" s="1" t="e">
        <f aca="false">_xlfn.xlookup(J588,REF!$D$2:$D$12,REF!$E$2:$E$12)</f>
        <v>#NAME?</v>
      </c>
      <c r="L588" s="1" t="s">
        <v>827</v>
      </c>
      <c r="M588" s="20" t="s">
        <v>258</v>
      </c>
      <c r="N588" s="20" t="s">
        <v>379</v>
      </c>
      <c r="O588" s="1" t="s">
        <v>399</v>
      </c>
      <c r="P588" s="1" t="str">
        <f aca="false">_xlfn.CONCAT(B588,C588,D588,E588,F588)</f>
        <v>Caiaponia IVSG60KTL(COM2-027)46002.000694444546002.000694444546002.3125</v>
      </c>
      <c r="Q588" s="1" t="str">
        <f aca="false">_xlfn.CONCAT(H588,I588,J588)</f>
        <v>DAURDE</v>
      </c>
    </row>
    <row r="589" customFormat="false" ht="15" hidden="true" customHeight="false" outlineLevel="0" collapsed="false">
      <c r="B589" s="1" t="s">
        <v>829</v>
      </c>
      <c r="C589" s="1" t="s">
        <v>566</v>
      </c>
      <c r="D589" s="14" t="n">
        <v>46002.0006944445</v>
      </c>
      <c r="E589" s="14" t="n">
        <v>46002.0006944445</v>
      </c>
      <c r="F589" s="14" t="n">
        <v>46002.3125</v>
      </c>
      <c r="G589" s="15" t="n">
        <f aca="false">F589-E589</f>
        <v>0.311805555555556</v>
      </c>
      <c r="H589" s="20" t="s">
        <v>248</v>
      </c>
      <c r="J589" s="20" t="s">
        <v>256</v>
      </c>
      <c r="K589" s="1" t="e">
        <f aca="false">_xlfn.xlookup(J589,REF!$D$2:$D$12,REF!$E$2:$E$12)</f>
        <v>#NAME?</v>
      </c>
      <c r="L589" s="1" t="s">
        <v>827</v>
      </c>
      <c r="M589" s="20" t="s">
        <v>258</v>
      </c>
      <c r="N589" s="20" t="s">
        <v>379</v>
      </c>
      <c r="O589" s="1" t="s">
        <v>399</v>
      </c>
      <c r="P589" s="1" t="str">
        <f aca="false">_xlfn.CONCAT(B589,C589,D589,E589,F589)</f>
        <v>Caiaponia IVSG60KTL(COM2-028)46002.000694444546002.000694444546002.3125</v>
      </c>
      <c r="Q589" s="1" t="str">
        <f aca="false">_xlfn.CONCAT(H589,I589,J589)</f>
        <v>DAURDE</v>
      </c>
    </row>
    <row r="590" customFormat="false" ht="15" hidden="true" customHeight="false" outlineLevel="0" collapsed="false">
      <c r="B590" s="1" t="s">
        <v>829</v>
      </c>
      <c r="C590" s="1" t="s">
        <v>567</v>
      </c>
      <c r="D590" s="14" t="n">
        <v>46002.0006944445</v>
      </c>
      <c r="E590" s="14" t="n">
        <v>46002.0006944445</v>
      </c>
      <c r="F590" s="14" t="n">
        <v>46002.3125</v>
      </c>
      <c r="G590" s="15" t="n">
        <f aca="false">F590-E590</f>
        <v>0.311805555555556</v>
      </c>
      <c r="H590" s="20" t="s">
        <v>248</v>
      </c>
      <c r="J590" s="20" t="s">
        <v>256</v>
      </c>
      <c r="K590" s="1" t="e">
        <f aca="false">_xlfn.xlookup(J590,REF!$D$2:$D$12,REF!$E$2:$E$12)</f>
        <v>#NAME?</v>
      </c>
      <c r="L590" s="1" t="s">
        <v>827</v>
      </c>
      <c r="M590" s="20" t="s">
        <v>258</v>
      </c>
      <c r="N590" s="20" t="s">
        <v>379</v>
      </c>
      <c r="O590" s="1" t="s">
        <v>399</v>
      </c>
      <c r="P590" s="1" t="str">
        <f aca="false">_xlfn.CONCAT(B590,C590,D590,E590,F590)</f>
        <v>Caiaponia IVSG60KTL(COM2-029)46002.000694444546002.000694444546002.3125</v>
      </c>
      <c r="Q590" s="1" t="str">
        <f aca="false">_xlfn.CONCAT(H590,I590,J590)</f>
        <v>DAURDE</v>
      </c>
    </row>
    <row r="591" customFormat="false" ht="15" hidden="true" customHeight="false" outlineLevel="0" collapsed="false">
      <c r="B591" s="1" t="s">
        <v>830</v>
      </c>
      <c r="C591" s="1" t="s">
        <v>568</v>
      </c>
      <c r="D591" s="14" t="n">
        <v>46002.0006944445</v>
      </c>
      <c r="E591" s="14" t="n">
        <v>46002.0006944445</v>
      </c>
      <c r="F591" s="14" t="n">
        <v>46002.3125</v>
      </c>
      <c r="G591" s="15" t="n">
        <f aca="false">F591-E591</f>
        <v>0.311805555555556</v>
      </c>
      <c r="H591" s="20" t="s">
        <v>248</v>
      </c>
      <c r="J591" s="20" t="s">
        <v>256</v>
      </c>
      <c r="K591" s="1" t="e">
        <f aca="false">_xlfn.xlookup(J591,REF!$D$2:$D$12,REF!$E$2:$E$12)</f>
        <v>#NAME?</v>
      </c>
      <c r="L591" s="1" t="s">
        <v>827</v>
      </c>
      <c r="M591" s="20" t="s">
        <v>258</v>
      </c>
      <c r="N591" s="20" t="s">
        <v>379</v>
      </c>
      <c r="O591" s="1" t="s">
        <v>399</v>
      </c>
      <c r="P591" s="1" t="str">
        <f aca="false">_xlfn.CONCAT(B591,C591,D591,E591,F591)</f>
        <v>Caiaponia VSG50CX(COM1-021)46002.000694444546002.000694444546002.3125</v>
      </c>
      <c r="Q591" s="1" t="str">
        <f aca="false">_xlfn.CONCAT(H591,I591,J591)</f>
        <v>DAURDE</v>
      </c>
    </row>
    <row r="592" customFormat="false" ht="15" hidden="true" customHeight="false" outlineLevel="0" collapsed="false">
      <c r="B592" s="1" t="s">
        <v>830</v>
      </c>
      <c r="C592" s="1" t="s">
        <v>569</v>
      </c>
      <c r="D592" s="14" t="n">
        <v>46002.0006944445</v>
      </c>
      <c r="E592" s="14" t="n">
        <v>46002.0006944445</v>
      </c>
      <c r="F592" s="14" t="n">
        <v>46002.3125</v>
      </c>
      <c r="G592" s="15" t="n">
        <f aca="false">F592-E592</f>
        <v>0.311805555555556</v>
      </c>
      <c r="H592" s="20" t="s">
        <v>248</v>
      </c>
      <c r="J592" s="20" t="s">
        <v>256</v>
      </c>
      <c r="K592" s="1" t="e">
        <f aca="false">_xlfn.xlookup(J592,REF!$D$2:$D$12,REF!$E$2:$E$12)</f>
        <v>#NAME?</v>
      </c>
      <c r="L592" s="1" t="s">
        <v>827</v>
      </c>
      <c r="M592" s="20" t="s">
        <v>258</v>
      </c>
      <c r="N592" s="20" t="s">
        <v>379</v>
      </c>
      <c r="O592" s="1" t="s">
        <v>399</v>
      </c>
      <c r="P592" s="1" t="str">
        <f aca="false">_xlfn.CONCAT(B592,C592,D592,E592,F592)</f>
        <v>Caiaponia VSG50CX(COM1-022)46002.000694444546002.000694444546002.3125</v>
      </c>
      <c r="Q592" s="1" t="str">
        <f aca="false">_xlfn.CONCAT(H592,I592,J592)</f>
        <v>DAURDE</v>
      </c>
    </row>
    <row r="593" customFormat="false" ht="15" hidden="true" customHeight="false" outlineLevel="0" collapsed="false">
      <c r="B593" s="1" t="s">
        <v>830</v>
      </c>
      <c r="C593" s="1" t="s">
        <v>570</v>
      </c>
      <c r="D593" s="14" t="n">
        <v>46002.0006944445</v>
      </c>
      <c r="E593" s="14" t="n">
        <v>46002.0006944445</v>
      </c>
      <c r="F593" s="14" t="n">
        <v>46002.3125</v>
      </c>
      <c r="G593" s="15" t="n">
        <f aca="false">F593-E593</f>
        <v>0.311805555555556</v>
      </c>
      <c r="H593" s="20" t="s">
        <v>248</v>
      </c>
      <c r="J593" s="20" t="s">
        <v>256</v>
      </c>
      <c r="K593" s="1" t="e">
        <f aca="false">_xlfn.xlookup(J593,REF!$D$2:$D$12,REF!$E$2:$E$12)</f>
        <v>#NAME?</v>
      </c>
      <c r="L593" s="1" t="s">
        <v>827</v>
      </c>
      <c r="M593" s="20" t="s">
        <v>258</v>
      </c>
      <c r="N593" s="20" t="s">
        <v>379</v>
      </c>
      <c r="O593" s="1" t="s">
        <v>399</v>
      </c>
      <c r="P593" s="1" t="str">
        <f aca="false">_xlfn.CONCAT(B593,C593,D593,E593,F593)</f>
        <v>Caiaponia VSG50CX(COM1-023)46002.000694444546002.000694444546002.3125</v>
      </c>
      <c r="Q593" s="1" t="str">
        <f aca="false">_xlfn.CONCAT(H593,I593,J593)</f>
        <v>DAURDE</v>
      </c>
    </row>
    <row r="594" customFormat="false" ht="15" hidden="true" customHeight="false" outlineLevel="0" collapsed="false">
      <c r="B594" s="1" t="s">
        <v>830</v>
      </c>
      <c r="C594" s="1" t="s">
        <v>571</v>
      </c>
      <c r="D594" s="14" t="n">
        <v>46002.0006944445</v>
      </c>
      <c r="E594" s="14" t="n">
        <v>46002.0006944445</v>
      </c>
      <c r="F594" s="14" t="n">
        <v>46002.3125</v>
      </c>
      <c r="G594" s="15" t="n">
        <f aca="false">F594-E594</f>
        <v>0.311805555555556</v>
      </c>
      <c r="H594" s="20" t="s">
        <v>248</v>
      </c>
      <c r="J594" s="20" t="s">
        <v>256</v>
      </c>
      <c r="K594" s="1" t="e">
        <f aca="false">_xlfn.xlookup(J594,REF!$D$2:$D$12,REF!$E$2:$E$12)</f>
        <v>#NAME?</v>
      </c>
      <c r="L594" s="1" t="s">
        <v>827</v>
      </c>
      <c r="M594" s="20" t="s">
        <v>258</v>
      </c>
      <c r="N594" s="20" t="s">
        <v>379</v>
      </c>
      <c r="O594" s="1" t="s">
        <v>399</v>
      </c>
      <c r="P594" s="1" t="str">
        <f aca="false">_xlfn.CONCAT(B594,C594,D594,E594,F594)</f>
        <v>Caiaponia VSG50CX(COM1-024)46002.000694444546002.000694444546002.3125</v>
      </c>
      <c r="Q594" s="1" t="str">
        <f aca="false">_xlfn.CONCAT(H594,I594,J594)</f>
        <v>DAURDE</v>
      </c>
    </row>
    <row r="595" customFormat="false" ht="15" hidden="true" customHeight="false" outlineLevel="0" collapsed="false">
      <c r="B595" s="1" t="s">
        <v>830</v>
      </c>
      <c r="C595" s="1" t="s">
        <v>572</v>
      </c>
      <c r="D595" s="14" t="n">
        <v>46002.0006944445</v>
      </c>
      <c r="E595" s="14" t="n">
        <v>46002.0006944445</v>
      </c>
      <c r="F595" s="14" t="n">
        <v>46002.3125</v>
      </c>
      <c r="G595" s="15" t="n">
        <f aca="false">F595-E595</f>
        <v>0.311805555555556</v>
      </c>
      <c r="H595" s="20" t="s">
        <v>248</v>
      </c>
      <c r="J595" s="20" t="s">
        <v>256</v>
      </c>
      <c r="K595" s="1" t="e">
        <f aca="false">_xlfn.xlookup(J595,REF!$D$2:$D$12,REF!$E$2:$E$12)</f>
        <v>#NAME?</v>
      </c>
      <c r="L595" s="1" t="s">
        <v>827</v>
      </c>
      <c r="M595" s="20" t="s">
        <v>258</v>
      </c>
      <c r="N595" s="20" t="s">
        <v>379</v>
      </c>
      <c r="O595" s="1" t="s">
        <v>399</v>
      </c>
      <c r="P595" s="1" t="str">
        <f aca="false">_xlfn.CONCAT(B595,C595,D595,E595,F595)</f>
        <v>Caiaponia VSG50CX(COM1-025)46002.000694444546002.000694444546002.3125</v>
      </c>
      <c r="Q595" s="1" t="str">
        <f aca="false">_xlfn.CONCAT(H595,I595,J595)</f>
        <v>DAURDE</v>
      </c>
    </row>
    <row r="596" customFormat="false" ht="15" hidden="true" customHeight="false" outlineLevel="0" collapsed="false">
      <c r="B596" s="1" t="s">
        <v>831</v>
      </c>
      <c r="C596" s="1" t="s">
        <v>394</v>
      </c>
      <c r="D596" s="14" t="n">
        <v>46002.0006944445</v>
      </c>
      <c r="E596" s="14" t="n">
        <v>46002.0006944445</v>
      </c>
      <c r="F596" s="14" t="n">
        <v>46002.3125</v>
      </c>
      <c r="G596" s="15" t="n">
        <f aca="false">F596-E596</f>
        <v>0.311805555555556</v>
      </c>
      <c r="H596" s="20" t="s">
        <v>248</v>
      </c>
      <c r="J596" s="20" t="s">
        <v>256</v>
      </c>
      <c r="K596" s="1" t="e">
        <f aca="false">_xlfn.xlookup(J596,REF!$D$2:$D$12,REF!$E$2:$E$12)</f>
        <v>#NAME?</v>
      </c>
      <c r="L596" s="1" t="s">
        <v>827</v>
      </c>
      <c r="M596" s="20" t="s">
        <v>258</v>
      </c>
      <c r="N596" s="20" t="s">
        <v>379</v>
      </c>
      <c r="O596" s="1" t="s">
        <v>399</v>
      </c>
      <c r="P596" s="1" t="str">
        <f aca="false">_xlfn.CONCAT(B596,C596,D596,E596,F596)</f>
        <v>UFV CAIAPONIA II - UC 1215KTL-H3(MBUS-14)46002.000694444546002.000694444546002.3125</v>
      </c>
      <c r="Q596" s="1" t="str">
        <f aca="false">_xlfn.CONCAT(H596,I596,J596)</f>
        <v>DAURDE</v>
      </c>
    </row>
    <row r="597" customFormat="false" ht="15" hidden="true" customHeight="false" outlineLevel="0" collapsed="false">
      <c r="B597" s="1" t="s">
        <v>831</v>
      </c>
      <c r="C597" s="1" t="s">
        <v>397</v>
      </c>
      <c r="D597" s="14" t="n">
        <v>46002.0006944445</v>
      </c>
      <c r="E597" s="14" t="n">
        <v>46002.0006944445</v>
      </c>
      <c r="F597" s="14" t="n">
        <v>46002.3125</v>
      </c>
      <c r="G597" s="15" t="n">
        <f aca="false">F597-E597</f>
        <v>0.311805555555556</v>
      </c>
      <c r="H597" s="20" t="s">
        <v>248</v>
      </c>
      <c r="J597" s="20" t="s">
        <v>256</v>
      </c>
      <c r="K597" s="1" t="e">
        <f aca="false">_xlfn.xlookup(J597,REF!$D$2:$D$12,REF!$E$2:$E$12)</f>
        <v>#NAME?</v>
      </c>
      <c r="L597" s="1" t="s">
        <v>827</v>
      </c>
      <c r="M597" s="20" t="s">
        <v>258</v>
      </c>
      <c r="N597" s="20" t="s">
        <v>379</v>
      </c>
      <c r="O597" s="1" t="s">
        <v>399</v>
      </c>
      <c r="P597" s="1" t="str">
        <f aca="false">_xlfn.CONCAT(B597,C597,D597,E597,F597)</f>
        <v>UFV CAIAPONIA II - UC 1215KTL-H3(MBUS-13)46002.000694444546002.000694444546002.3125</v>
      </c>
      <c r="Q597" s="1" t="str">
        <f aca="false">_xlfn.CONCAT(H597,I597,J597)</f>
        <v>DAURDE</v>
      </c>
    </row>
    <row r="598" customFormat="false" ht="15" hidden="true" customHeight="false" outlineLevel="0" collapsed="false">
      <c r="B598" s="1" t="s">
        <v>831</v>
      </c>
      <c r="C598" s="1" t="s">
        <v>396</v>
      </c>
      <c r="D598" s="14" t="n">
        <v>46002.0006944445</v>
      </c>
      <c r="E598" s="14" t="n">
        <v>46002.0006944445</v>
      </c>
      <c r="F598" s="14" t="n">
        <v>46002.3125</v>
      </c>
      <c r="G598" s="15" t="n">
        <f aca="false">F598-E598</f>
        <v>0.311805555555556</v>
      </c>
      <c r="H598" s="20" t="s">
        <v>248</v>
      </c>
      <c r="J598" s="20" t="s">
        <v>256</v>
      </c>
      <c r="K598" s="1" t="e">
        <f aca="false">_xlfn.xlookup(J598,REF!$D$2:$D$12,REF!$E$2:$E$12)</f>
        <v>#NAME?</v>
      </c>
      <c r="L598" s="1" t="s">
        <v>827</v>
      </c>
      <c r="M598" s="20" t="s">
        <v>258</v>
      </c>
      <c r="N598" s="20" t="s">
        <v>379</v>
      </c>
      <c r="O598" s="1" t="s">
        <v>399</v>
      </c>
      <c r="P598" s="1" t="str">
        <f aca="false">_xlfn.CONCAT(B598,C598,D598,E598,F598)</f>
        <v>UFV CAIAPONIA II - UC 1215KTL-H3(MBUS-12)46002.000694444546002.000694444546002.3125</v>
      </c>
      <c r="Q598" s="1" t="str">
        <f aca="false">_xlfn.CONCAT(H598,I598,J598)</f>
        <v>DAURDE</v>
      </c>
    </row>
    <row r="599" customFormat="false" ht="15" hidden="true" customHeight="false" outlineLevel="0" collapsed="false">
      <c r="B599" s="1" t="s">
        <v>831</v>
      </c>
      <c r="C599" s="1" t="s">
        <v>395</v>
      </c>
      <c r="D599" s="14" t="n">
        <v>46002.0006944445</v>
      </c>
      <c r="E599" s="14" t="n">
        <v>46002.0006944445</v>
      </c>
      <c r="F599" s="14" t="n">
        <v>46002.3125</v>
      </c>
      <c r="G599" s="15" t="n">
        <f aca="false">F599-E599</f>
        <v>0.311805555555556</v>
      </c>
      <c r="H599" s="20" t="s">
        <v>248</v>
      </c>
      <c r="J599" s="20" t="s">
        <v>256</v>
      </c>
      <c r="K599" s="1" t="e">
        <f aca="false">_xlfn.xlookup(J599,REF!$D$2:$D$12,REF!$E$2:$E$12)</f>
        <v>#NAME?</v>
      </c>
      <c r="L599" s="1" t="s">
        <v>827</v>
      </c>
      <c r="M599" s="20" t="s">
        <v>258</v>
      </c>
      <c r="N599" s="20" t="s">
        <v>379</v>
      </c>
      <c r="O599" s="1" t="s">
        <v>399</v>
      </c>
      <c r="P599" s="1" t="str">
        <f aca="false">_xlfn.CONCAT(B599,C599,D599,E599,F599)</f>
        <v>UFV CAIAPONIA II - UC 1215KTL-H3(MBUS-15)46002.000694444546002.000694444546002.3125</v>
      </c>
      <c r="Q599" s="1" t="str">
        <f aca="false">_xlfn.CONCAT(H599,I599,J599)</f>
        <v>DAURDE</v>
      </c>
    </row>
    <row r="600" customFormat="false" ht="15" hidden="true" customHeight="false" outlineLevel="0" collapsed="false">
      <c r="B600" s="1" t="s">
        <v>831</v>
      </c>
      <c r="C600" s="1" t="s">
        <v>391</v>
      </c>
      <c r="D600" s="14" t="n">
        <v>46002.0006944445</v>
      </c>
      <c r="E600" s="14" t="n">
        <v>46002.0006944445</v>
      </c>
      <c r="F600" s="14" t="n">
        <v>46002.3125</v>
      </c>
      <c r="G600" s="15" t="n">
        <f aca="false">F600-E600</f>
        <v>0.311805555555556</v>
      </c>
      <c r="H600" s="20" t="s">
        <v>248</v>
      </c>
      <c r="J600" s="20" t="s">
        <v>256</v>
      </c>
      <c r="K600" s="1" t="e">
        <f aca="false">_xlfn.xlookup(J600,REF!$D$2:$D$12,REF!$E$2:$E$12)</f>
        <v>#NAME?</v>
      </c>
      <c r="L600" s="1" t="s">
        <v>827</v>
      </c>
      <c r="M600" s="20" t="s">
        <v>258</v>
      </c>
      <c r="N600" s="20" t="s">
        <v>379</v>
      </c>
      <c r="O600" s="1" t="s">
        <v>399</v>
      </c>
      <c r="P600" s="1" t="str">
        <f aca="false">_xlfn.CONCAT(B600,C600,D600,E600,F600)</f>
        <v>UFV CAIAPONIA II - UC 1215KTL-H3(MBUS-16)46002.000694444546002.000694444546002.3125</v>
      </c>
      <c r="Q600" s="1" t="str">
        <f aca="false">_xlfn.CONCAT(H600,I600,J600)</f>
        <v>DAURDE</v>
      </c>
    </row>
    <row r="601" customFormat="false" ht="15" hidden="true" customHeight="false" outlineLevel="0" collapsed="false">
      <c r="B601" s="1" t="s">
        <v>832</v>
      </c>
      <c r="C601" s="1" t="s">
        <v>394</v>
      </c>
      <c r="D601" s="14" t="n">
        <v>46002.0006944445</v>
      </c>
      <c r="E601" s="14" t="n">
        <v>46002.0006944445</v>
      </c>
      <c r="F601" s="14" t="n">
        <v>46002.3125</v>
      </c>
      <c r="G601" s="15" t="n">
        <f aca="false">F601-E601</f>
        <v>0.311805555555556</v>
      </c>
      <c r="H601" s="20" t="s">
        <v>248</v>
      </c>
      <c r="J601" s="20" t="s">
        <v>256</v>
      </c>
      <c r="K601" s="1" t="e">
        <f aca="false">_xlfn.xlookup(J601,REF!$D$2:$D$12,REF!$E$2:$E$12)</f>
        <v>#NAME?</v>
      </c>
      <c r="L601" s="1" t="s">
        <v>827</v>
      </c>
      <c r="M601" s="20" t="s">
        <v>258</v>
      </c>
      <c r="N601" s="20" t="s">
        <v>379</v>
      </c>
      <c r="O601" s="1" t="s">
        <v>399</v>
      </c>
      <c r="P601" s="1" t="str">
        <f aca="false">_xlfn.CONCAT(B601,C601,D601,E601,F601)</f>
        <v>UFV CAIAPONIA II - UC 2215KTL-H3(MBUS-14)46002.000694444546002.000694444546002.3125</v>
      </c>
      <c r="Q601" s="1" t="str">
        <f aca="false">_xlfn.CONCAT(H601,I601,J601)</f>
        <v>DAURDE</v>
      </c>
    </row>
    <row r="602" customFormat="false" ht="15" hidden="true" customHeight="false" outlineLevel="0" collapsed="false">
      <c r="B602" s="1" t="s">
        <v>832</v>
      </c>
      <c r="C602" s="1" t="s">
        <v>395</v>
      </c>
      <c r="D602" s="14" t="n">
        <v>46002.0006944445</v>
      </c>
      <c r="E602" s="14" t="n">
        <v>46002.0006944445</v>
      </c>
      <c r="F602" s="14" t="n">
        <v>46002.3125</v>
      </c>
      <c r="G602" s="15" t="n">
        <f aca="false">F602-E602</f>
        <v>0.311805555555556</v>
      </c>
      <c r="H602" s="20" t="s">
        <v>248</v>
      </c>
      <c r="J602" s="20" t="s">
        <v>256</v>
      </c>
      <c r="K602" s="1" t="e">
        <f aca="false">_xlfn.xlookup(J602,REF!$D$2:$D$12,REF!$E$2:$E$12)</f>
        <v>#NAME?</v>
      </c>
      <c r="L602" s="1" t="s">
        <v>827</v>
      </c>
      <c r="M602" s="20" t="s">
        <v>258</v>
      </c>
      <c r="N602" s="20" t="s">
        <v>379</v>
      </c>
      <c r="O602" s="1" t="s">
        <v>399</v>
      </c>
      <c r="P602" s="1" t="str">
        <f aca="false">_xlfn.CONCAT(B602,C602,D602,E602,F602)</f>
        <v>UFV CAIAPONIA II - UC 2215KTL-H3(MBUS-15)46002.000694444546002.000694444546002.3125</v>
      </c>
      <c r="Q602" s="1" t="str">
        <f aca="false">_xlfn.CONCAT(H602,I602,J602)</f>
        <v>DAURDE</v>
      </c>
    </row>
    <row r="603" customFormat="false" ht="15" hidden="true" customHeight="false" outlineLevel="0" collapsed="false">
      <c r="B603" s="1" t="s">
        <v>832</v>
      </c>
      <c r="C603" s="1" t="s">
        <v>396</v>
      </c>
      <c r="D603" s="14" t="n">
        <v>46002.0006944445</v>
      </c>
      <c r="E603" s="14" t="n">
        <v>46002.0006944445</v>
      </c>
      <c r="F603" s="14" t="n">
        <v>46002.3125</v>
      </c>
      <c r="G603" s="15" t="n">
        <f aca="false">F603-E603</f>
        <v>0.311805555555556</v>
      </c>
      <c r="H603" s="20" t="s">
        <v>248</v>
      </c>
      <c r="J603" s="20" t="s">
        <v>256</v>
      </c>
      <c r="K603" s="1" t="e">
        <f aca="false">_xlfn.xlookup(J603,REF!$D$2:$D$12,REF!$E$2:$E$12)</f>
        <v>#NAME?</v>
      </c>
      <c r="L603" s="1" t="s">
        <v>827</v>
      </c>
      <c r="M603" s="20" t="s">
        <v>258</v>
      </c>
      <c r="N603" s="20" t="s">
        <v>379</v>
      </c>
      <c r="O603" s="1" t="s">
        <v>399</v>
      </c>
      <c r="P603" s="1" t="str">
        <f aca="false">_xlfn.CONCAT(B603,C603,D603,E603,F603)</f>
        <v>UFV CAIAPONIA II - UC 2215KTL-H3(MBUS-12)46002.000694444546002.000694444546002.3125</v>
      </c>
      <c r="Q603" s="1" t="str">
        <f aca="false">_xlfn.CONCAT(H603,I603,J603)</f>
        <v>DAURDE</v>
      </c>
    </row>
    <row r="604" customFormat="false" ht="15" hidden="true" customHeight="false" outlineLevel="0" collapsed="false">
      <c r="B604" s="1" t="s">
        <v>832</v>
      </c>
      <c r="C604" s="1" t="s">
        <v>397</v>
      </c>
      <c r="D604" s="14" t="n">
        <v>46002.0006944445</v>
      </c>
      <c r="E604" s="14" t="n">
        <v>46002.0006944445</v>
      </c>
      <c r="F604" s="14" t="n">
        <v>46002.3125</v>
      </c>
      <c r="G604" s="15" t="n">
        <f aca="false">F604-E604</f>
        <v>0.311805555555556</v>
      </c>
      <c r="H604" s="20" t="s">
        <v>248</v>
      </c>
      <c r="J604" s="20" t="s">
        <v>256</v>
      </c>
      <c r="K604" s="1" t="e">
        <f aca="false">_xlfn.xlookup(J604,REF!$D$2:$D$12,REF!$E$2:$E$12)</f>
        <v>#NAME?</v>
      </c>
      <c r="L604" s="1" t="s">
        <v>827</v>
      </c>
      <c r="M604" s="20" t="s">
        <v>258</v>
      </c>
      <c r="N604" s="20" t="s">
        <v>379</v>
      </c>
      <c r="O604" s="1" t="s">
        <v>399</v>
      </c>
      <c r="P604" s="1" t="str">
        <f aca="false">_xlfn.CONCAT(B604,C604,D604,E604,F604)</f>
        <v>UFV CAIAPONIA II - UC 2215KTL-H3(MBUS-13)46002.000694444546002.000694444546002.3125</v>
      </c>
      <c r="Q604" s="1" t="str">
        <f aca="false">_xlfn.CONCAT(H604,I604,J604)</f>
        <v>DAURDE</v>
      </c>
    </row>
    <row r="605" customFormat="false" ht="15" hidden="true" customHeight="false" outlineLevel="0" collapsed="false">
      <c r="B605" s="1" t="s">
        <v>832</v>
      </c>
      <c r="C605" s="1" t="s">
        <v>391</v>
      </c>
      <c r="D605" s="14" t="n">
        <v>46002.0006944445</v>
      </c>
      <c r="E605" s="14" t="n">
        <v>46002.0006944445</v>
      </c>
      <c r="F605" s="14" t="n">
        <v>46002.3125</v>
      </c>
      <c r="G605" s="15" t="n">
        <f aca="false">F605-E605</f>
        <v>0.311805555555556</v>
      </c>
      <c r="H605" s="20" t="s">
        <v>248</v>
      </c>
      <c r="J605" s="20" t="s">
        <v>256</v>
      </c>
      <c r="K605" s="1" t="e">
        <f aca="false">_xlfn.xlookup(J605,REF!$D$2:$D$12,REF!$E$2:$E$12)</f>
        <v>#NAME?</v>
      </c>
      <c r="L605" s="1" t="s">
        <v>827</v>
      </c>
      <c r="M605" s="20" t="s">
        <v>258</v>
      </c>
      <c r="N605" s="20" t="s">
        <v>379</v>
      </c>
      <c r="O605" s="1" t="s">
        <v>399</v>
      </c>
      <c r="P605" s="1" t="str">
        <f aca="false">_xlfn.CONCAT(B605,C605,D605,E605,F605)</f>
        <v>UFV CAIAPONIA II - UC 2215KTL-H3(MBUS-16)46002.000694444546002.000694444546002.3125</v>
      </c>
      <c r="Q605" s="1" t="str">
        <f aca="false">_xlfn.CONCAT(H605,I605,J605)</f>
        <v>DAURDE</v>
      </c>
    </row>
    <row r="606" customFormat="false" ht="15" hidden="true" customHeight="false" outlineLevel="0" collapsed="false">
      <c r="B606" s="1" t="s">
        <v>833</v>
      </c>
      <c r="C606" s="1" t="s">
        <v>394</v>
      </c>
      <c r="D606" s="14" t="n">
        <v>46002.0006944445</v>
      </c>
      <c r="E606" s="14" t="n">
        <v>46002.0006944445</v>
      </c>
      <c r="F606" s="14" t="n">
        <v>46002.3125</v>
      </c>
      <c r="G606" s="15" t="n">
        <f aca="false">F606-E606</f>
        <v>0.311805555555556</v>
      </c>
      <c r="H606" s="20" t="s">
        <v>248</v>
      </c>
      <c r="J606" s="20" t="s">
        <v>256</v>
      </c>
      <c r="K606" s="1" t="e">
        <f aca="false">_xlfn.xlookup(J606,REF!$D$2:$D$12,REF!$E$2:$E$12)</f>
        <v>#NAME?</v>
      </c>
      <c r="L606" s="1" t="s">
        <v>827</v>
      </c>
      <c r="M606" s="20" t="s">
        <v>258</v>
      </c>
      <c r="N606" s="20" t="s">
        <v>379</v>
      </c>
      <c r="O606" s="1" t="s">
        <v>399</v>
      </c>
      <c r="P606" s="1" t="str">
        <f aca="false">_xlfn.CONCAT(B606,C606,D606,E606,F606)</f>
        <v>UFV CAIAPONIA II - UC 3215KTL-H3(MBUS-14)46002.000694444546002.000694444546002.3125</v>
      </c>
      <c r="Q606" s="1" t="str">
        <f aca="false">_xlfn.CONCAT(H606,I606,J606)</f>
        <v>DAURDE</v>
      </c>
    </row>
    <row r="607" customFormat="false" ht="15" hidden="true" customHeight="false" outlineLevel="0" collapsed="false">
      <c r="B607" s="1" t="s">
        <v>833</v>
      </c>
      <c r="C607" s="1" t="s">
        <v>395</v>
      </c>
      <c r="D607" s="14" t="n">
        <v>46002.0006944445</v>
      </c>
      <c r="E607" s="14" t="n">
        <v>46002.0006944445</v>
      </c>
      <c r="F607" s="14" t="n">
        <v>46002.3125</v>
      </c>
      <c r="G607" s="15" t="n">
        <f aca="false">F607-E607</f>
        <v>0.311805555555556</v>
      </c>
      <c r="H607" s="20" t="s">
        <v>248</v>
      </c>
      <c r="J607" s="20" t="s">
        <v>256</v>
      </c>
      <c r="K607" s="1" t="e">
        <f aca="false">_xlfn.xlookup(J607,REF!$D$2:$D$12,REF!$E$2:$E$12)</f>
        <v>#NAME?</v>
      </c>
      <c r="L607" s="1" t="s">
        <v>827</v>
      </c>
      <c r="M607" s="20" t="s">
        <v>258</v>
      </c>
      <c r="N607" s="20" t="s">
        <v>379</v>
      </c>
      <c r="O607" s="1" t="s">
        <v>399</v>
      </c>
      <c r="P607" s="1" t="str">
        <f aca="false">_xlfn.CONCAT(B607,C607,D607,E607,F607)</f>
        <v>UFV CAIAPONIA II - UC 3215KTL-H3(MBUS-15)46002.000694444546002.000694444546002.3125</v>
      </c>
      <c r="Q607" s="1" t="str">
        <f aca="false">_xlfn.CONCAT(H607,I607,J607)</f>
        <v>DAURDE</v>
      </c>
    </row>
    <row r="608" customFormat="false" ht="15" hidden="true" customHeight="false" outlineLevel="0" collapsed="false">
      <c r="B608" s="1" t="s">
        <v>833</v>
      </c>
      <c r="C608" s="1" t="s">
        <v>396</v>
      </c>
      <c r="D608" s="14" t="n">
        <v>46002.0006944445</v>
      </c>
      <c r="E608" s="14" t="n">
        <v>46002.0006944445</v>
      </c>
      <c r="F608" s="14" t="n">
        <v>46002.3125</v>
      </c>
      <c r="G608" s="15" t="n">
        <f aca="false">F608-E608</f>
        <v>0.311805555555556</v>
      </c>
      <c r="H608" s="20" t="s">
        <v>248</v>
      </c>
      <c r="J608" s="20" t="s">
        <v>256</v>
      </c>
      <c r="K608" s="1" t="e">
        <f aca="false">_xlfn.xlookup(J608,REF!$D$2:$D$12,REF!$E$2:$E$12)</f>
        <v>#NAME?</v>
      </c>
      <c r="L608" s="1" t="s">
        <v>827</v>
      </c>
      <c r="M608" s="20" t="s">
        <v>258</v>
      </c>
      <c r="N608" s="20" t="s">
        <v>379</v>
      </c>
      <c r="O608" s="1" t="s">
        <v>399</v>
      </c>
      <c r="P608" s="1" t="str">
        <f aca="false">_xlfn.CONCAT(B608,C608,D608,E608,F608)</f>
        <v>UFV CAIAPONIA II - UC 3215KTL-H3(MBUS-12)46002.000694444546002.000694444546002.3125</v>
      </c>
      <c r="Q608" s="1" t="str">
        <f aca="false">_xlfn.CONCAT(H608,I608,J608)</f>
        <v>DAURDE</v>
      </c>
    </row>
    <row r="609" customFormat="false" ht="15" hidden="true" customHeight="false" outlineLevel="0" collapsed="false">
      <c r="B609" s="1" t="s">
        <v>833</v>
      </c>
      <c r="C609" s="1" t="s">
        <v>397</v>
      </c>
      <c r="D609" s="14" t="n">
        <v>46002.0006944445</v>
      </c>
      <c r="E609" s="14" t="n">
        <v>46002.0006944445</v>
      </c>
      <c r="F609" s="14" t="n">
        <v>46002.3125</v>
      </c>
      <c r="G609" s="15" t="n">
        <f aca="false">F609-E609</f>
        <v>0.311805555555556</v>
      </c>
      <c r="H609" s="20" t="s">
        <v>248</v>
      </c>
      <c r="J609" s="20" t="s">
        <v>256</v>
      </c>
      <c r="K609" s="1" t="e">
        <f aca="false">_xlfn.xlookup(J609,REF!$D$2:$D$12,REF!$E$2:$E$12)</f>
        <v>#NAME?</v>
      </c>
      <c r="L609" s="1" t="s">
        <v>827</v>
      </c>
      <c r="M609" s="20" t="s">
        <v>258</v>
      </c>
      <c r="N609" s="20" t="s">
        <v>379</v>
      </c>
      <c r="O609" s="1" t="s">
        <v>399</v>
      </c>
      <c r="P609" s="1" t="str">
        <f aca="false">_xlfn.CONCAT(B609,C609,D609,E609,F609)</f>
        <v>UFV CAIAPONIA II - UC 3215KTL-H3(MBUS-13)46002.000694444546002.000694444546002.3125</v>
      </c>
      <c r="Q609" s="1" t="str">
        <f aca="false">_xlfn.CONCAT(H609,I609,J609)</f>
        <v>DAURDE</v>
      </c>
    </row>
    <row r="610" customFormat="false" ht="15" hidden="true" customHeight="false" outlineLevel="0" collapsed="false">
      <c r="B610" s="1" t="s">
        <v>833</v>
      </c>
      <c r="C610" s="1" t="s">
        <v>391</v>
      </c>
      <c r="D610" s="14" t="n">
        <v>46002.0006944445</v>
      </c>
      <c r="E610" s="14" t="n">
        <v>46002.0006944445</v>
      </c>
      <c r="F610" s="14" t="n">
        <v>46002.3125</v>
      </c>
      <c r="G610" s="15" t="n">
        <f aca="false">F610-E610</f>
        <v>0.311805555555556</v>
      </c>
      <c r="H610" s="20" t="s">
        <v>248</v>
      </c>
      <c r="J610" s="20" t="s">
        <v>256</v>
      </c>
      <c r="K610" s="1" t="e">
        <f aca="false">_xlfn.xlookup(J610,REF!$D$2:$D$12,REF!$E$2:$E$12)</f>
        <v>#NAME?</v>
      </c>
      <c r="L610" s="1" t="s">
        <v>827</v>
      </c>
      <c r="M610" s="20" t="s">
        <v>258</v>
      </c>
      <c r="N610" s="20" t="s">
        <v>379</v>
      </c>
      <c r="O610" s="1" t="s">
        <v>399</v>
      </c>
      <c r="P610" s="1" t="str">
        <f aca="false">_xlfn.CONCAT(B610,C610,D610,E610,F610)</f>
        <v>UFV CAIAPONIA II - UC 3215KTL-H3(MBUS-16)46002.000694444546002.000694444546002.3125</v>
      </c>
      <c r="Q610" s="1" t="str">
        <f aca="false">_xlfn.CONCAT(H610,I610,J610)</f>
        <v>DAURDE</v>
      </c>
    </row>
    <row r="611" customFormat="false" ht="15" hidden="true" customHeight="false" outlineLevel="0" collapsed="false">
      <c r="B611" s="1" t="s">
        <v>380</v>
      </c>
      <c r="C611" s="1" t="s">
        <v>277</v>
      </c>
      <c r="D611" s="14" t="n">
        <v>46002.9076388889</v>
      </c>
      <c r="E611" s="14" t="n">
        <v>46002.9076388889</v>
      </c>
      <c r="F611" s="14" t="n">
        <v>46002.9416666667</v>
      </c>
      <c r="G611" s="15" t="n">
        <f aca="false">F611-E611</f>
        <v>0.0340277777777778</v>
      </c>
      <c r="H611" s="20" t="s">
        <v>248</v>
      </c>
      <c r="J611" s="20" t="s">
        <v>256</v>
      </c>
      <c r="K611" s="1" t="e">
        <f aca="false">_xlfn.xlookup(J611,REF!$D$2:$D$12,REF!$E$2:$E$12)</f>
        <v>#NAME?</v>
      </c>
      <c r="L611" s="1" t="s">
        <v>834</v>
      </c>
      <c r="M611" s="20" t="s">
        <v>258</v>
      </c>
      <c r="N611" s="20" t="s">
        <v>379</v>
      </c>
      <c r="O611" s="1" t="s">
        <v>399</v>
      </c>
      <c r="P611" s="1" t="str">
        <f aca="false">_xlfn.CONCAT(B611,C611,D611,E611,F611)</f>
        <v>ARAGUATINS 1.1Inverter(MBUS-12)46002.907638888946002.907638888946002.9416666667</v>
      </c>
      <c r="Q611" s="1" t="str">
        <f aca="false">_xlfn.CONCAT(H611,I611,J611)</f>
        <v>DAURDE</v>
      </c>
    </row>
    <row r="612" customFormat="false" ht="15" hidden="true" customHeight="false" outlineLevel="0" collapsed="false">
      <c r="B612" s="1" t="s">
        <v>380</v>
      </c>
      <c r="C612" s="1" t="s">
        <v>247</v>
      </c>
      <c r="D612" s="14" t="n">
        <v>46002.9076388889</v>
      </c>
      <c r="E612" s="14" t="n">
        <v>46002.9076388889</v>
      </c>
      <c r="F612" s="14" t="n">
        <v>46002.9416666667</v>
      </c>
      <c r="G612" s="15" t="n">
        <f aca="false">F612-E612</f>
        <v>0.0340277777777778</v>
      </c>
      <c r="H612" s="20" t="s">
        <v>248</v>
      </c>
      <c r="J612" s="20" t="s">
        <v>256</v>
      </c>
      <c r="K612" s="1" t="e">
        <f aca="false">_xlfn.xlookup(J612,REF!$D$2:$D$12,REF!$E$2:$E$12)</f>
        <v>#NAME?</v>
      </c>
      <c r="L612" s="1" t="s">
        <v>834</v>
      </c>
      <c r="M612" s="20" t="s">
        <v>258</v>
      </c>
      <c r="N612" s="20" t="s">
        <v>379</v>
      </c>
      <c r="O612" s="1" t="s">
        <v>399</v>
      </c>
      <c r="P612" s="1" t="str">
        <f aca="false">_xlfn.CONCAT(B612,C612,D612,E612,F612)</f>
        <v>ARAGUATINS 1.1Inverter(MBUS-13)46002.907638888946002.907638888946002.9416666667</v>
      </c>
      <c r="Q612" s="1" t="str">
        <f aca="false">_xlfn.CONCAT(H612,I612,J612)</f>
        <v>DAURDE</v>
      </c>
    </row>
    <row r="613" customFormat="false" ht="15" hidden="true" customHeight="false" outlineLevel="0" collapsed="false">
      <c r="B613" s="1" t="s">
        <v>380</v>
      </c>
      <c r="C613" s="1" t="s">
        <v>280</v>
      </c>
      <c r="D613" s="14" t="n">
        <v>46002.9076388889</v>
      </c>
      <c r="E613" s="14" t="n">
        <v>46002.9076388889</v>
      </c>
      <c r="F613" s="14" t="n">
        <v>46002.9416666667</v>
      </c>
      <c r="G613" s="15" t="n">
        <f aca="false">F613-E613</f>
        <v>0.0340277777777778</v>
      </c>
      <c r="H613" s="20" t="s">
        <v>248</v>
      </c>
      <c r="J613" s="20" t="s">
        <v>256</v>
      </c>
      <c r="K613" s="1" t="e">
        <f aca="false">_xlfn.xlookup(J613,REF!$D$2:$D$12,REF!$E$2:$E$12)</f>
        <v>#NAME?</v>
      </c>
      <c r="L613" s="1" t="s">
        <v>834</v>
      </c>
      <c r="M613" s="20" t="s">
        <v>258</v>
      </c>
      <c r="N613" s="20" t="s">
        <v>379</v>
      </c>
      <c r="O613" s="1" t="s">
        <v>399</v>
      </c>
      <c r="P613" s="1" t="str">
        <f aca="false">_xlfn.CONCAT(B613,C613,D613,E613,F613)</f>
        <v>ARAGUATINS 1.1Inverter(MBUS-14)46002.907638888946002.907638888946002.9416666667</v>
      </c>
      <c r="Q613" s="1" t="str">
        <f aca="false">_xlfn.CONCAT(H613,I613,J613)</f>
        <v>DAURDE</v>
      </c>
    </row>
    <row r="614" customFormat="false" ht="15" hidden="true" customHeight="false" outlineLevel="0" collapsed="false">
      <c r="B614" s="1" t="s">
        <v>380</v>
      </c>
      <c r="C614" s="1" t="s">
        <v>279</v>
      </c>
      <c r="D614" s="14" t="n">
        <v>46002.9076388889</v>
      </c>
      <c r="E614" s="14" t="n">
        <v>46002.9076388889</v>
      </c>
      <c r="F614" s="14" t="n">
        <v>46002.9416666667</v>
      </c>
      <c r="G614" s="15" t="n">
        <f aca="false">F614-E614</f>
        <v>0.0340277777777778</v>
      </c>
      <c r="H614" s="20" t="s">
        <v>248</v>
      </c>
      <c r="J614" s="20" t="s">
        <v>256</v>
      </c>
      <c r="K614" s="1" t="e">
        <f aca="false">_xlfn.xlookup(J614,REF!$D$2:$D$12,REF!$E$2:$E$12)</f>
        <v>#NAME?</v>
      </c>
      <c r="L614" s="1" t="s">
        <v>834</v>
      </c>
      <c r="M614" s="20" t="s">
        <v>258</v>
      </c>
      <c r="N614" s="20" t="s">
        <v>379</v>
      </c>
      <c r="O614" s="1" t="s">
        <v>399</v>
      </c>
      <c r="P614" s="1" t="str">
        <f aca="false">_xlfn.CONCAT(B614,C614,D614,E614,F614)</f>
        <v>ARAGUATINS 1.1Inverter(MBUS-15)46002.907638888946002.907638888946002.9416666667</v>
      </c>
      <c r="Q614" s="1" t="str">
        <f aca="false">_xlfn.CONCAT(H614,I614,J614)</f>
        <v>DAURDE</v>
      </c>
    </row>
    <row r="615" customFormat="false" ht="15" hidden="true" customHeight="false" outlineLevel="0" collapsed="false">
      <c r="B615" s="1" t="s">
        <v>380</v>
      </c>
      <c r="C615" s="1" t="s">
        <v>277</v>
      </c>
      <c r="D615" s="14" t="n">
        <v>46003.9826388889</v>
      </c>
      <c r="E615" s="14" t="n">
        <v>46003.9826388889</v>
      </c>
      <c r="F615" s="14" t="n">
        <v>46004.0034722222</v>
      </c>
      <c r="G615" s="15" t="n">
        <f aca="false">F615-E615</f>
        <v>0.0208333333333333</v>
      </c>
      <c r="H615" s="20" t="s">
        <v>248</v>
      </c>
      <c r="J615" s="20" t="s">
        <v>256</v>
      </c>
      <c r="K615" s="1" t="e">
        <f aca="false">_xlfn.xlookup(J615,REF!$D$2:$D$12,REF!$E$2:$E$12)</f>
        <v>#NAME?</v>
      </c>
      <c r="L615" s="1" t="s">
        <v>835</v>
      </c>
      <c r="M615" s="20" t="s">
        <v>258</v>
      </c>
      <c r="N615" s="20" t="s">
        <v>379</v>
      </c>
      <c r="O615" s="1" t="s">
        <v>399</v>
      </c>
      <c r="P615" s="1" t="str">
        <f aca="false">_xlfn.CONCAT(B615,C615,D615,E615,F615)</f>
        <v>ARAGUATINS 1.1Inverter(MBUS-12)46003.982638888946003.982638888946004.0034722222</v>
      </c>
      <c r="Q615" s="1" t="str">
        <f aca="false">_xlfn.CONCAT(H615,I615,J615)</f>
        <v>DAURDE</v>
      </c>
    </row>
    <row r="616" customFormat="false" ht="15" hidden="true" customHeight="false" outlineLevel="0" collapsed="false">
      <c r="B616" s="1" t="s">
        <v>380</v>
      </c>
      <c r="C616" s="1" t="s">
        <v>247</v>
      </c>
      <c r="D616" s="14" t="n">
        <v>46003.9826388889</v>
      </c>
      <c r="E616" s="14" t="n">
        <v>46003.9826388889</v>
      </c>
      <c r="F616" s="14" t="n">
        <v>46004.0034722222</v>
      </c>
      <c r="G616" s="15" t="n">
        <f aca="false">F616-E616</f>
        <v>0.0208333333333333</v>
      </c>
      <c r="H616" s="20" t="s">
        <v>248</v>
      </c>
      <c r="J616" s="20" t="s">
        <v>256</v>
      </c>
      <c r="K616" s="1" t="e">
        <f aca="false">_xlfn.xlookup(J616,REF!$D$2:$D$12,REF!$E$2:$E$12)</f>
        <v>#NAME?</v>
      </c>
      <c r="L616" s="1" t="s">
        <v>835</v>
      </c>
      <c r="M616" s="20" t="s">
        <v>258</v>
      </c>
      <c r="N616" s="20" t="s">
        <v>379</v>
      </c>
      <c r="O616" s="1" t="s">
        <v>399</v>
      </c>
      <c r="P616" s="1" t="str">
        <f aca="false">_xlfn.CONCAT(B616,C616,D616,E616,F616)</f>
        <v>ARAGUATINS 1.1Inverter(MBUS-13)46003.982638888946003.982638888946004.0034722222</v>
      </c>
      <c r="Q616" s="1" t="str">
        <f aca="false">_xlfn.CONCAT(H616,I616,J616)</f>
        <v>DAURDE</v>
      </c>
    </row>
    <row r="617" customFormat="false" ht="15" hidden="true" customHeight="false" outlineLevel="0" collapsed="false">
      <c r="B617" s="1" t="s">
        <v>380</v>
      </c>
      <c r="C617" s="1" t="s">
        <v>280</v>
      </c>
      <c r="D617" s="14" t="n">
        <v>46003.9826388889</v>
      </c>
      <c r="E617" s="14" t="n">
        <v>46003.9826388889</v>
      </c>
      <c r="F617" s="14" t="n">
        <v>46004.0034722222</v>
      </c>
      <c r="G617" s="15" t="n">
        <f aca="false">F617-E617</f>
        <v>0.0208333333333333</v>
      </c>
      <c r="H617" s="20" t="s">
        <v>248</v>
      </c>
      <c r="J617" s="20" t="s">
        <v>256</v>
      </c>
      <c r="K617" s="1" t="e">
        <f aca="false">_xlfn.xlookup(J617,REF!$D$2:$D$12,REF!$E$2:$E$12)</f>
        <v>#NAME?</v>
      </c>
      <c r="L617" s="1" t="s">
        <v>835</v>
      </c>
      <c r="M617" s="20" t="s">
        <v>258</v>
      </c>
      <c r="N617" s="20" t="s">
        <v>379</v>
      </c>
      <c r="O617" s="1" t="s">
        <v>399</v>
      </c>
      <c r="P617" s="1" t="str">
        <f aca="false">_xlfn.CONCAT(B617,C617,D617,E617,F617)</f>
        <v>ARAGUATINS 1.1Inverter(MBUS-14)46003.982638888946003.982638888946004.0034722222</v>
      </c>
      <c r="Q617" s="1" t="str">
        <f aca="false">_xlfn.CONCAT(H617,I617,J617)</f>
        <v>DAURDE</v>
      </c>
    </row>
    <row r="618" customFormat="false" ht="15" hidden="true" customHeight="false" outlineLevel="0" collapsed="false">
      <c r="B618" s="1" t="s">
        <v>380</v>
      </c>
      <c r="C618" s="1" t="s">
        <v>279</v>
      </c>
      <c r="D618" s="14" t="n">
        <v>46003.9826388889</v>
      </c>
      <c r="E618" s="14" t="n">
        <v>46003.9826388889</v>
      </c>
      <c r="F618" s="14" t="n">
        <v>46004.0034722222</v>
      </c>
      <c r="G618" s="15" t="n">
        <f aca="false">F618-E618</f>
        <v>0.0208333333333333</v>
      </c>
      <c r="H618" s="20" t="s">
        <v>248</v>
      </c>
      <c r="J618" s="20" t="s">
        <v>256</v>
      </c>
      <c r="K618" s="1" t="e">
        <f aca="false">_xlfn.xlookup(J618,REF!$D$2:$D$12,REF!$E$2:$E$12)</f>
        <v>#NAME?</v>
      </c>
      <c r="L618" s="1" t="s">
        <v>835</v>
      </c>
      <c r="M618" s="20" t="s">
        <v>258</v>
      </c>
      <c r="N618" s="20" t="s">
        <v>379</v>
      </c>
      <c r="O618" s="1" t="s">
        <v>399</v>
      </c>
      <c r="P618" s="1" t="str">
        <f aca="false">_xlfn.CONCAT(B618,C618,D618,E618,F618)</f>
        <v>ARAGUATINS 1.1Inverter(MBUS-15)46003.982638888946003.982638888946004.0034722222</v>
      </c>
      <c r="Q618" s="1" t="str">
        <f aca="false">_xlfn.CONCAT(H618,I618,J618)</f>
        <v>DAURDE</v>
      </c>
    </row>
    <row r="619" customFormat="false" ht="15" hidden="true" customHeight="false" outlineLevel="0" collapsed="false">
      <c r="B619" s="1" t="s">
        <v>381</v>
      </c>
      <c r="C619" s="1" t="s">
        <v>277</v>
      </c>
      <c r="D619" s="14" t="n">
        <v>46003.9826388889</v>
      </c>
      <c r="E619" s="14" t="n">
        <v>46003.9826388889</v>
      </c>
      <c r="F619" s="14" t="n">
        <v>46004.0034722222</v>
      </c>
      <c r="G619" s="15" t="n">
        <f aca="false">F619-E619</f>
        <v>0.0208333333333333</v>
      </c>
      <c r="H619" s="20" t="s">
        <v>248</v>
      </c>
      <c r="J619" s="20" t="s">
        <v>256</v>
      </c>
      <c r="K619" s="1" t="e">
        <f aca="false">_xlfn.xlookup(J619,REF!$D$2:$D$12,REF!$E$2:$E$12)</f>
        <v>#NAME?</v>
      </c>
      <c r="L619" s="1" t="s">
        <v>835</v>
      </c>
      <c r="M619" s="20" t="s">
        <v>258</v>
      </c>
      <c r="N619" s="20" t="s">
        <v>379</v>
      </c>
      <c r="O619" s="1" t="s">
        <v>399</v>
      </c>
      <c r="P619" s="1" t="str">
        <f aca="false">_xlfn.CONCAT(B619,C619,D619,E619,F619)</f>
        <v>ARAGUATINS 1.2Inverter(MBUS-12)46003.982638888946003.982638888946004.0034722222</v>
      </c>
      <c r="Q619" s="1" t="str">
        <f aca="false">_xlfn.CONCAT(H619,I619,J619)</f>
        <v>DAURDE</v>
      </c>
    </row>
    <row r="620" customFormat="false" ht="15" hidden="true" customHeight="false" outlineLevel="0" collapsed="false">
      <c r="B620" s="1" t="s">
        <v>381</v>
      </c>
      <c r="C620" s="1" t="s">
        <v>247</v>
      </c>
      <c r="D620" s="14" t="n">
        <v>46003.9826388889</v>
      </c>
      <c r="E620" s="14" t="n">
        <v>46003.9826388889</v>
      </c>
      <c r="F620" s="14" t="n">
        <v>46004.0034722222</v>
      </c>
      <c r="G620" s="15" t="n">
        <f aca="false">F620-E620</f>
        <v>0.0208333333333333</v>
      </c>
      <c r="H620" s="20" t="s">
        <v>248</v>
      </c>
      <c r="J620" s="20" t="s">
        <v>256</v>
      </c>
      <c r="K620" s="1" t="e">
        <f aca="false">_xlfn.xlookup(J620,REF!$D$2:$D$12,REF!$E$2:$E$12)</f>
        <v>#NAME?</v>
      </c>
      <c r="L620" s="1" t="s">
        <v>835</v>
      </c>
      <c r="M620" s="20" t="s">
        <v>258</v>
      </c>
      <c r="N620" s="20" t="s">
        <v>379</v>
      </c>
      <c r="O620" s="1" t="s">
        <v>399</v>
      </c>
      <c r="P620" s="1" t="str">
        <f aca="false">_xlfn.CONCAT(B620,C620,D620,E620,F620)</f>
        <v>ARAGUATINS 1.2Inverter(MBUS-13)46003.982638888946003.982638888946004.0034722222</v>
      </c>
      <c r="Q620" s="1" t="str">
        <f aca="false">_xlfn.CONCAT(H620,I620,J620)</f>
        <v>DAURDE</v>
      </c>
    </row>
    <row r="621" customFormat="false" ht="15" hidden="true" customHeight="false" outlineLevel="0" collapsed="false">
      <c r="B621" s="1" t="s">
        <v>381</v>
      </c>
      <c r="C621" s="1" t="s">
        <v>280</v>
      </c>
      <c r="D621" s="14" t="n">
        <v>46003.9826388889</v>
      </c>
      <c r="E621" s="14" t="n">
        <v>46003.9826388889</v>
      </c>
      <c r="F621" s="14" t="n">
        <v>46004.0034722222</v>
      </c>
      <c r="G621" s="15" t="n">
        <f aca="false">F621-E621</f>
        <v>0.0208333333333333</v>
      </c>
      <c r="H621" s="20" t="s">
        <v>248</v>
      </c>
      <c r="J621" s="20" t="s">
        <v>256</v>
      </c>
      <c r="K621" s="1" t="e">
        <f aca="false">_xlfn.xlookup(J621,REF!$D$2:$D$12,REF!$E$2:$E$12)</f>
        <v>#NAME?</v>
      </c>
      <c r="L621" s="1" t="s">
        <v>835</v>
      </c>
      <c r="M621" s="20" t="s">
        <v>258</v>
      </c>
      <c r="N621" s="20" t="s">
        <v>379</v>
      </c>
      <c r="O621" s="1" t="s">
        <v>399</v>
      </c>
      <c r="P621" s="1" t="str">
        <f aca="false">_xlfn.CONCAT(B621,C621,D621,E621,F621)</f>
        <v>ARAGUATINS 1.2Inverter(MBUS-14)46003.982638888946003.982638888946004.0034722222</v>
      </c>
      <c r="Q621" s="1" t="str">
        <f aca="false">_xlfn.CONCAT(H621,I621,J621)</f>
        <v>DAURDE</v>
      </c>
    </row>
    <row r="622" customFormat="false" ht="15" hidden="true" customHeight="false" outlineLevel="0" collapsed="false">
      <c r="B622" s="1" t="s">
        <v>381</v>
      </c>
      <c r="C622" s="1" t="s">
        <v>279</v>
      </c>
      <c r="D622" s="14" t="n">
        <v>46003.9826388889</v>
      </c>
      <c r="E622" s="14" t="n">
        <v>46003.9826388889</v>
      </c>
      <c r="F622" s="14" t="n">
        <v>46004.0034722222</v>
      </c>
      <c r="G622" s="15" t="n">
        <f aca="false">F622-E622</f>
        <v>0.0208333333333333</v>
      </c>
      <c r="H622" s="20" t="s">
        <v>248</v>
      </c>
      <c r="J622" s="20" t="s">
        <v>256</v>
      </c>
      <c r="K622" s="1" t="e">
        <f aca="false">_xlfn.xlookup(J622,REF!$D$2:$D$12,REF!$E$2:$E$12)</f>
        <v>#NAME?</v>
      </c>
      <c r="L622" s="1" t="s">
        <v>835</v>
      </c>
      <c r="M622" s="20" t="s">
        <v>258</v>
      </c>
      <c r="N622" s="20" t="s">
        <v>379</v>
      </c>
      <c r="O622" s="1" t="s">
        <v>399</v>
      </c>
      <c r="P622" s="1" t="str">
        <f aca="false">_xlfn.CONCAT(B622,C622,D622,E622,F622)</f>
        <v>ARAGUATINS 1.2Inverter(MBUS-15)46003.982638888946003.982638888946004.0034722222</v>
      </c>
      <c r="Q622" s="1" t="str">
        <f aca="false">_xlfn.CONCAT(H622,I622,J622)</f>
        <v>DAURDE</v>
      </c>
    </row>
    <row r="623" customFormat="false" ht="15" hidden="true" customHeight="false" outlineLevel="0" collapsed="false">
      <c r="B623" s="1" t="s">
        <v>382</v>
      </c>
      <c r="C623" s="1" t="s">
        <v>383</v>
      </c>
      <c r="D623" s="14" t="n">
        <v>46003.9826388889</v>
      </c>
      <c r="E623" s="14" t="n">
        <v>46003.9826388889</v>
      </c>
      <c r="F623" s="14" t="n">
        <v>46004.0034722222</v>
      </c>
      <c r="G623" s="15" t="n">
        <f aca="false">F623-E623</f>
        <v>0.0208333333333333</v>
      </c>
      <c r="H623" s="20" t="s">
        <v>248</v>
      </c>
      <c r="J623" s="20" t="s">
        <v>256</v>
      </c>
      <c r="K623" s="1" t="e">
        <f aca="false">_xlfn.xlookup(J623,REF!$D$2:$D$12,REF!$E$2:$E$12)</f>
        <v>#NAME?</v>
      </c>
      <c r="L623" s="1" t="s">
        <v>835</v>
      </c>
      <c r="M623" s="20" t="s">
        <v>258</v>
      </c>
      <c r="N623" s="20" t="s">
        <v>379</v>
      </c>
      <c r="O623" s="1" t="s">
        <v>399</v>
      </c>
      <c r="P623" s="1" t="str">
        <f aca="false">_xlfn.CONCAT(B623,C623,D623,E623,F623)</f>
        <v>ARAGUATINS 1.3Inverter(MBUS-20)46003.982638888946003.982638888946004.0034722222</v>
      </c>
      <c r="Q623" s="1" t="str">
        <f aca="false">_xlfn.CONCAT(H623,I623,J623)</f>
        <v>DAURDE</v>
      </c>
    </row>
    <row r="624" customFormat="false" ht="15" hidden="true" customHeight="false" outlineLevel="0" collapsed="false">
      <c r="B624" s="1" t="s">
        <v>382</v>
      </c>
      <c r="C624" s="1" t="s">
        <v>255</v>
      </c>
      <c r="D624" s="14" t="n">
        <v>46003.9826388889</v>
      </c>
      <c r="E624" s="14" t="n">
        <v>46003.9826388889</v>
      </c>
      <c r="F624" s="14" t="n">
        <v>46004.0034722222</v>
      </c>
      <c r="G624" s="15" t="n">
        <f aca="false">F624-E624</f>
        <v>0.0208333333333333</v>
      </c>
      <c r="H624" s="20" t="s">
        <v>248</v>
      </c>
      <c r="J624" s="20" t="s">
        <v>256</v>
      </c>
      <c r="K624" s="1" t="e">
        <f aca="false">_xlfn.xlookup(J624,REF!$D$2:$D$12,REF!$E$2:$E$12)</f>
        <v>#NAME?</v>
      </c>
      <c r="L624" s="1" t="s">
        <v>835</v>
      </c>
      <c r="M624" s="20" t="s">
        <v>258</v>
      </c>
      <c r="N624" s="20" t="s">
        <v>379</v>
      </c>
      <c r="O624" s="1" t="s">
        <v>399</v>
      </c>
      <c r="P624" s="1" t="str">
        <f aca="false">_xlfn.CONCAT(B624,C624,D624,E624,F624)</f>
        <v>ARAGUATINS 1.3Inverter(MBUS-1)46003.982638888946003.982638888946004.0034722222</v>
      </c>
      <c r="Q624" s="1" t="str">
        <f aca="false">_xlfn.CONCAT(H624,I624,J624)</f>
        <v>DAURDE</v>
      </c>
    </row>
    <row r="625" customFormat="false" ht="15" hidden="true" customHeight="false" outlineLevel="0" collapsed="false">
      <c r="B625" s="1" t="s">
        <v>276</v>
      </c>
      <c r="C625" s="1" t="s">
        <v>277</v>
      </c>
      <c r="D625" s="14" t="n">
        <v>46003.9826388889</v>
      </c>
      <c r="E625" s="14" t="n">
        <v>46003.9826388889</v>
      </c>
      <c r="F625" s="14" t="n">
        <v>46004.0034722222</v>
      </c>
      <c r="G625" s="15" t="n">
        <f aca="false">F625-E625</f>
        <v>0.0208333333333333</v>
      </c>
      <c r="H625" s="20" t="s">
        <v>248</v>
      </c>
      <c r="J625" s="20" t="s">
        <v>256</v>
      </c>
      <c r="K625" s="1" t="e">
        <f aca="false">_xlfn.xlookup(J625,REF!$D$2:$D$12,REF!$E$2:$E$12)</f>
        <v>#NAME?</v>
      </c>
      <c r="L625" s="1" t="s">
        <v>835</v>
      </c>
      <c r="M625" s="20" t="s">
        <v>258</v>
      </c>
      <c r="N625" s="20" t="s">
        <v>379</v>
      </c>
      <c r="O625" s="1" t="s">
        <v>399</v>
      </c>
      <c r="P625" s="1" t="str">
        <f aca="false">_xlfn.CONCAT(B625,C625,D625,E625,F625)</f>
        <v>ARAGUATINS 2.1Inverter(MBUS-12)46003.982638888946003.982638888946004.0034722222</v>
      </c>
      <c r="Q625" s="1" t="str">
        <f aca="false">_xlfn.CONCAT(H625,I625,J625)</f>
        <v>DAURDE</v>
      </c>
    </row>
    <row r="626" customFormat="false" ht="15" hidden="true" customHeight="false" outlineLevel="0" collapsed="false">
      <c r="B626" s="1" t="s">
        <v>276</v>
      </c>
      <c r="C626" s="1" t="s">
        <v>279</v>
      </c>
      <c r="D626" s="14" t="n">
        <v>46003.9826388889</v>
      </c>
      <c r="E626" s="14" t="n">
        <v>46003.9826388889</v>
      </c>
      <c r="F626" s="14" t="n">
        <v>46004.0034722222</v>
      </c>
      <c r="G626" s="15" t="n">
        <f aca="false">F626-E626</f>
        <v>0.0208333333333333</v>
      </c>
      <c r="H626" s="20" t="s">
        <v>248</v>
      </c>
      <c r="J626" s="20" t="s">
        <v>256</v>
      </c>
      <c r="K626" s="1" t="e">
        <f aca="false">_xlfn.xlookup(J626,REF!$D$2:$D$12,REF!$E$2:$E$12)</f>
        <v>#NAME?</v>
      </c>
      <c r="L626" s="1" t="s">
        <v>835</v>
      </c>
      <c r="M626" s="20" t="s">
        <v>258</v>
      </c>
      <c r="N626" s="20" t="s">
        <v>379</v>
      </c>
      <c r="O626" s="1" t="s">
        <v>399</v>
      </c>
      <c r="P626" s="1" t="str">
        <f aca="false">_xlfn.CONCAT(B626,C626,D626,E626,F626)</f>
        <v>ARAGUATINS 2.1Inverter(MBUS-15)46003.982638888946003.982638888946004.0034722222</v>
      </c>
      <c r="Q626" s="1" t="str">
        <f aca="false">_xlfn.CONCAT(H626,I626,J626)</f>
        <v>DAURDE</v>
      </c>
    </row>
    <row r="627" customFormat="false" ht="15" hidden="true" customHeight="false" outlineLevel="0" collapsed="false">
      <c r="B627" s="1" t="s">
        <v>276</v>
      </c>
      <c r="C627" s="1" t="s">
        <v>280</v>
      </c>
      <c r="D627" s="14" t="n">
        <v>46003.9826388889</v>
      </c>
      <c r="E627" s="14" t="n">
        <v>46003.9826388889</v>
      </c>
      <c r="F627" s="14" t="n">
        <v>46004.0034722222</v>
      </c>
      <c r="G627" s="15" t="n">
        <f aca="false">F627-E627</f>
        <v>0.0208333333333333</v>
      </c>
      <c r="H627" s="20" t="s">
        <v>248</v>
      </c>
      <c r="J627" s="20" t="s">
        <v>256</v>
      </c>
      <c r="K627" s="1" t="e">
        <f aca="false">_xlfn.xlookup(J627,REF!$D$2:$D$12,REF!$E$2:$E$12)</f>
        <v>#NAME?</v>
      </c>
      <c r="L627" s="1" t="s">
        <v>835</v>
      </c>
      <c r="M627" s="20" t="s">
        <v>258</v>
      </c>
      <c r="N627" s="20" t="s">
        <v>379</v>
      </c>
      <c r="O627" s="1" t="s">
        <v>399</v>
      </c>
      <c r="P627" s="1" t="str">
        <f aca="false">_xlfn.CONCAT(B627,C627,D627,E627,F627)</f>
        <v>ARAGUATINS 2.1Inverter(MBUS-14)46003.982638888946003.982638888946004.0034722222</v>
      </c>
      <c r="Q627" s="1" t="str">
        <f aca="false">_xlfn.CONCAT(H627,I627,J627)</f>
        <v>DAURDE</v>
      </c>
    </row>
    <row r="628" customFormat="false" ht="15" hidden="true" customHeight="false" outlineLevel="0" collapsed="false">
      <c r="B628" s="1" t="s">
        <v>276</v>
      </c>
      <c r="C628" s="1" t="s">
        <v>255</v>
      </c>
      <c r="D628" s="14" t="n">
        <v>46003.9826388889</v>
      </c>
      <c r="E628" s="14" t="n">
        <v>46003.9826388889</v>
      </c>
      <c r="F628" s="14" t="n">
        <v>46004.0034722222</v>
      </c>
      <c r="G628" s="15" t="n">
        <f aca="false">F628-E628</f>
        <v>0.0208333333333333</v>
      </c>
      <c r="H628" s="20" t="s">
        <v>248</v>
      </c>
      <c r="J628" s="20" t="s">
        <v>256</v>
      </c>
      <c r="K628" s="1" t="e">
        <f aca="false">_xlfn.xlookup(J628,REF!$D$2:$D$12,REF!$E$2:$E$12)</f>
        <v>#NAME?</v>
      </c>
      <c r="L628" s="1" t="s">
        <v>835</v>
      </c>
      <c r="M628" s="20" t="s">
        <v>258</v>
      </c>
      <c r="N628" s="20" t="s">
        <v>379</v>
      </c>
      <c r="O628" s="1" t="s">
        <v>399</v>
      </c>
      <c r="P628" s="1" t="str">
        <f aca="false">_xlfn.CONCAT(B628,C628,D628,E628,F628)</f>
        <v>ARAGUATINS 2.1Inverter(MBUS-1)46003.982638888946003.982638888946004.0034722222</v>
      </c>
      <c r="Q628" s="1" t="str">
        <f aca="false">_xlfn.CONCAT(H628,I628,J628)</f>
        <v>DAURDE</v>
      </c>
    </row>
    <row r="629" customFormat="false" ht="15" hidden="true" customHeight="false" outlineLevel="0" collapsed="false">
      <c r="B629" s="1" t="s">
        <v>386</v>
      </c>
      <c r="C629" s="1" t="s">
        <v>279</v>
      </c>
      <c r="D629" s="14" t="n">
        <v>46003.9826388889</v>
      </c>
      <c r="E629" s="14" t="n">
        <v>46003.9826388889</v>
      </c>
      <c r="F629" s="14" t="n">
        <v>46004.0034722222</v>
      </c>
      <c r="G629" s="15" t="n">
        <f aca="false">F629-E629</f>
        <v>0.0208333333333333</v>
      </c>
      <c r="H629" s="20" t="s">
        <v>248</v>
      </c>
      <c r="J629" s="20" t="s">
        <v>256</v>
      </c>
      <c r="K629" s="1" t="e">
        <f aca="false">_xlfn.xlookup(J629,REF!$D$2:$D$12,REF!$E$2:$E$12)</f>
        <v>#NAME?</v>
      </c>
      <c r="L629" s="1" t="s">
        <v>835</v>
      </c>
      <c r="M629" s="20" t="s">
        <v>258</v>
      </c>
      <c r="N629" s="20" t="s">
        <v>379</v>
      </c>
      <c r="O629" s="1" t="s">
        <v>399</v>
      </c>
      <c r="P629" s="1" t="str">
        <f aca="false">_xlfn.CONCAT(B629,C629,D629,E629,F629)</f>
        <v>ARAGUATINS 2.2Inverter(MBUS-15)46003.982638888946003.982638888946004.0034722222</v>
      </c>
      <c r="Q629" s="1" t="str">
        <f aca="false">_xlfn.CONCAT(H629,I629,J629)</f>
        <v>DAURDE</v>
      </c>
    </row>
    <row r="630" customFormat="false" ht="15" hidden="true" customHeight="false" outlineLevel="0" collapsed="false">
      <c r="B630" s="1" t="s">
        <v>386</v>
      </c>
      <c r="C630" s="1" t="s">
        <v>247</v>
      </c>
      <c r="D630" s="14" t="n">
        <v>46003.9826388889</v>
      </c>
      <c r="E630" s="14" t="n">
        <v>46003.9826388889</v>
      </c>
      <c r="F630" s="14" t="n">
        <v>46004.0034722222</v>
      </c>
      <c r="G630" s="15" t="n">
        <f aca="false">F630-E630</f>
        <v>0.0208333333333333</v>
      </c>
      <c r="H630" s="20" t="s">
        <v>248</v>
      </c>
      <c r="J630" s="20" t="s">
        <v>256</v>
      </c>
      <c r="K630" s="1" t="e">
        <f aca="false">_xlfn.xlookup(J630,REF!$D$2:$D$12,REF!$E$2:$E$12)</f>
        <v>#NAME?</v>
      </c>
      <c r="L630" s="1" t="s">
        <v>835</v>
      </c>
      <c r="M630" s="20" t="s">
        <v>258</v>
      </c>
      <c r="N630" s="20" t="s">
        <v>379</v>
      </c>
      <c r="O630" s="1" t="s">
        <v>399</v>
      </c>
      <c r="P630" s="1" t="str">
        <f aca="false">_xlfn.CONCAT(B630,C630,D630,E630,F630)</f>
        <v>ARAGUATINS 2.2Inverter(MBUS-13)46003.982638888946003.982638888946004.0034722222</v>
      </c>
      <c r="Q630" s="1" t="str">
        <f aca="false">_xlfn.CONCAT(H630,I630,J630)</f>
        <v>DAURDE</v>
      </c>
    </row>
    <row r="631" customFormat="false" ht="15" hidden="true" customHeight="false" outlineLevel="0" collapsed="false">
      <c r="B631" s="1" t="s">
        <v>386</v>
      </c>
      <c r="C631" s="1" t="s">
        <v>280</v>
      </c>
      <c r="D631" s="14" t="n">
        <v>46003.9826388889</v>
      </c>
      <c r="E631" s="14" t="n">
        <v>46003.9826388889</v>
      </c>
      <c r="F631" s="14" t="n">
        <v>46004.0034722222</v>
      </c>
      <c r="G631" s="15" t="n">
        <f aca="false">F631-E631</f>
        <v>0.0208333333333333</v>
      </c>
      <c r="H631" s="20" t="s">
        <v>248</v>
      </c>
      <c r="J631" s="20" t="s">
        <v>256</v>
      </c>
      <c r="K631" s="1" t="e">
        <f aca="false">_xlfn.xlookup(J631,REF!$D$2:$D$12,REF!$E$2:$E$12)</f>
        <v>#NAME?</v>
      </c>
      <c r="L631" s="1" t="s">
        <v>835</v>
      </c>
      <c r="M631" s="20" t="s">
        <v>258</v>
      </c>
      <c r="N631" s="20" t="s">
        <v>379</v>
      </c>
      <c r="O631" s="1" t="s">
        <v>399</v>
      </c>
      <c r="P631" s="1" t="str">
        <f aca="false">_xlfn.CONCAT(B631,C631,D631,E631,F631)</f>
        <v>ARAGUATINS 2.2Inverter(MBUS-14)46003.982638888946003.982638888946004.0034722222</v>
      </c>
      <c r="Q631" s="1" t="str">
        <f aca="false">_xlfn.CONCAT(H631,I631,J631)</f>
        <v>DAURDE</v>
      </c>
    </row>
    <row r="632" customFormat="false" ht="15" hidden="true" customHeight="false" outlineLevel="0" collapsed="false">
      <c r="B632" s="1" t="s">
        <v>386</v>
      </c>
      <c r="C632" s="1" t="s">
        <v>277</v>
      </c>
      <c r="D632" s="14" t="n">
        <v>46003.9826388889</v>
      </c>
      <c r="E632" s="14" t="n">
        <v>46003.9826388889</v>
      </c>
      <c r="F632" s="14" t="n">
        <v>46004.0034722222</v>
      </c>
      <c r="G632" s="15" t="n">
        <f aca="false">F632-E632</f>
        <v>0.0208333333333333</v>
      </c>
      <c r="H632" s="20" t="s">
        <v>248</v>
      </c>
      <c r="J632" s="20" t="s">
        <v>256</v>
      </c>
      <c r="K632" s="1" t="e">
        <f aca="false">_xlfn.xlookup(J632,REF!$D$2:$D$12,REF!$E$2:$E$12)</f>
        <v>#NAME?</v>
      </c>
      <c r="L632" s="1" t="s">
        <v>835</v>
      </c>
      <c r="M632" s="20" t="s">
        <v>258</v>
      </c>
      <c r="N632" s="20" t="s">
        <v>379</v>
      </c>
      <c r="O632" s="1" t="s">
        <v>399</v>
      </c>
      <c r="P632" s="1" t="str">
        <f aca="false">_xlfn.CONCAT(B632,C632,D632,E632,F632)</f>
        <v>ARAGUATINS 2.2Inverter(MBUS-12)46003.982638888946003.982638888946004.0034722222</v>
      </c>
      <c r="Q632" s="1" t="str">
        <f aca="false">_xlfn.CONCAT(H632,I632,J632)</f>
        <v>DAURDE</v>
      </c>
    </row>
    <row r="633" customFormat="false" ht="15" hidden="true" customHeight="false" outlineLevel="0" collapsed="false">
      <c r="B633" s="1" t="s">
        <v>388</v>
      </c>
      <c r="C633" s="1" t="s">
        <v>277</v>
      </c>
      <c r="D633" s="14" t="n">
        <v>46003.9826388889</v>
      </c>
      <c r="E633" s="14" t="n">
        <v>46003.9826388889</v>
      </c>
      <c r="F633" s="14" t="n">
        <v>46004.0034722222</v>
      </c>
      <c r="G633" s="15" t="n">
        <f aca="false">F633-E633</f>
        <v>0.0208333333333333</v>
      </c>
      <c r="H633" s="20" t="s">
        <v>248</v>
      </c>
      <c r="J633" s="20" t="s">
        <v>256</v>
      </c>
      <c r="K633" s="1" t="e">
        <f aca="false">_xlfn.xlookup(J633,REF!$D$2:$D$12,REF!$E$2:$E$12)</f>
        <v>#NAME?</v>
      </c>
      <c r="L633" s="1" t="s">
        <v>835</v>
      </c>
      <c r="M633" s="20" t="s">
        <v>258</v>
      </c>
      <c r="N633" s="20" t="s">
        <v>379</v>
      </c>
      <c r="O633" s="1" t="s">
        <v>399</v>
      </c>
      <c r="P633" s="1" t="str">
        <f aca="false">_xlfn.CONCAT(B633,C633,D633,E633,F633)</f>
        <v>ARAGUATINS 2.3Inverter(MBUS-12)46003.982638888946003.982638888946004.0034722222</v>
      </c>
      <c r="Q633" s="1" t="str">
        <f aca="false">_xlfn.CONCAT(H633,I633,J633)</f>
        <v>DAURDE</v>
      </c>
    </row>
    <row r="634" customFormat="false" ht="15" hidden="true" customHeight="false" outlineLevel="0" collapsed="false">
      <c r="B634" s="1" t="s">
        <v>388</v>
      </c>
      <c r="C634" s="1" t="s">
        <v>247</v>
      </c>
      <c r="D634" s="14" t="n">
        <v>46003.9826388889</v>
      </c>
      <c r="E634" s="14" t="n">
        <v>46003.9826388889</v>
      </c>
      <c r="F634" s="14" t="n">
        <v>46004.0034722222</v>
      </c>
      <c r="G634" s="15" t="n">
        <f aca="false">F634-E634</f>
        <v>0.0208333333333333</v>
      </c>
      <c r="H634" s="20" t="s">
        <v>248</v>
      </c>
      <c r="J634" s="20" t="s">
        <v>256</v>
      </c>
      <c r="K634" s="1" t="e">
        <f aca="false">_xlfn.xlookup(J634,REF!$D$2:$D$12,REF!$E$2:$E$12)</f>
        <v>#NAME?</v>
      </c>
      <c r="L634" s="1" t="s">
        <v>835</v>
      </c>
      <c r="M634" s="20" t="s">
        <v>258</v>
      </c>
      <c r="N634" s="20" t="s">
        <v>379</v>
      </c>
      <c r="O634" s="1" t="s">
        <v>399</v>
      </c>
      <c r="P634" s="1" t="str">
        <f aca="false">_xlfn.CONCAT(B634,C634,D634,E634,F634)</f>
        <v>ARAGUATINS 2.3Inverter(MBUS-13)46003.982638888946003.982638888946004.0034722222</v>
      </c>
      <c r="Q634" s="1" t="str">
        <f aca="false">_xlfn.CONCAT(H634,I634,J634)</f>
        <v>DAURDE</v>
      </c>
    </row>
    <row r="635" customFormat="false" ht="15" hidden="true" customHeight="false" outlineLevel="0" collapsed="false">
      <c r="B635" s="1" t="s">
        <v>792</v>
      </c>
      <c r="C635" s="1" t="s">
        <v>312</v>
      </c>
      <c r="D635" s="14" t="n">
        <v>46008.4861111111</v>
      </c>
      <c r="E635" s="14" t="n">
        <v>46008.4861111111</v>
      </c>
      <c r="F635" s="14" t="n">
        <v>46008.5034722222</v>
      </c>
      <c r="G635" s="15" t="n">
        <f aca="false">F635-E635</f>
        <v>0.0173611111111111</v>
      </c>
      <c r="H635" s="20" t="s">
        <v>248</v>
      </c>
      <c r="J635" s="20" t="s">
        <v>256</v>
      </c>
      <c r="K635" s="1" t="e">
        <f aca="false">_xlfn.xlookup(J635,REF!$D$2:$D$12,REF!$E$2:$E$12)</f>
        <v>#NAME?</v>
      </c>
      <c r="L635" s="1" t="s">
        <v>257</v>
      </c>
      <c r="M635" s="20" t="s">
        <v>258</v>
      </c>
      <c r="N635" s="20" t="s">
        <v>379</v>
      </c>
      <c r="O635" s="1" t="s">
        <v>399</v>
      </c>
      <c r="P635" s="1" t="str">
        <f aca="false">_xlfn.CONCAT(B635,C635,D635,E635,F635)</f>
        <v>Araçu IVSG75CX(COM1-018)_001_01846008.486111111146008.486111111146008.5034722222</v>
      </c>
      <c r="Q635" s="1" t="str">
        <f aca="false">_xlfn.CONCAT(H635,I635,J635)</f>
        <v>DAURDE</v>
      </c>
    </row>
    <row r="636" customFormat="false" ht="15" hidden="true" customHeight="false" outlineLevel="0" collapsed="false">
      <c r="B636" s="1" t="s">
        <v>792</v>
      </c>
      <c r="C636" s="1" t="s">
        <v>317</v>
      </c>
      <c r="D636" s="14" t="n">
        <v>46008.4861111111</v>
      </c>
      <c r="E636" s="14" t="n">
        <v>46008.4861111111</v>
      </c>
      <c r="F636" s="14" t="n">
        <v>46008.5034722222</v>
      </c>
      <c r="G636" s="15" t="n">
        <f aca="false">F636-E636</f>
        <v>0.0173611111111111</v>
      </c>
      <c r="H636" s="20" t="s">
        <v>248</v>
      </c>
      <c r="J636" s="20" t="s">
        <v>256</v>
      </c>
      <c r="K636" s="1" t="e">
        <f aca="false">_xlfn.xlookup(J636,REF!$D$2:$D$12,REF!$E$2:$E$12)</f>
        <v>#NAME?</v>
      </c>
      <c r="L636" s="1" t="s">
        <v>257</v>
      </c>
      <c r="M636" s="20" t="s">
        <v>258</v>
      </c>
      <c r="N636" s="20" t="s">
        <v>379</v>
      </c>
      <c r="O636" s="1" t="s">
        <v>399</v>
      </c>
      <c r="P636" s="1" t="str">
        <f aca="false">_xlfn.CONCAT(B636,C636,D636,E636,F636)</f>
        <v>Araçu IVSG75CX(COM1-019)_001_01946008.486111111146008.486111111146008.5034722222</v>
      </c>
      <c r="Q636" s="1" t="str">
        <f aca="false">_xlfn.CONCAT(H636,I636,J636)</f>
        <v>DAURDE</v>
      </c>
    </row>
    <row r="637" customFormat="false" ht="15" hidden="true" customHeight="false" outlineLevel="0" collapsed="false">
      <c r="B637" s="1" t="s">
        <v>792</v>
      </c>
      <c r="C637" s="1" t="s">
        <v>318</v>
      </c>
      <c r="D637" s="14" t="n">
        <v>46008.4861111111</v>
      </c>
      <c r="E637" s="14" t="n">
        <v>46008.4861111111</v>
      </c>
      <c r="F637" s="14" t="n">
        <v>46008.5034722222</v>
      </c>
      <c r="G637" s="15" t="n">
        <f aca="false">F637-E637</f>
        <v>0.0173611111111111</v>
      </c>
      <c r="H637" s="20" t="s">
        <v>248</v>
      </c>
      <c r="J637" s="20" t="s">
        <v>256</v>
      </c>
      <c r="K637" s="1" t="e">
        <f aca="false">_xlfn.xlookup(J637,REF!$D$2:$D$12,REF!$E$2:$E$12)</f>
        <v>#NAME?</v>
      </c>
      <c r="L637" s="1" t="s">
        <v>257</v>
      </c>
      <c r="M637" s="20" t="s">
        <v>258</v>
      </c>
      <c r="N637" s="20" t="s">
        <v>379</v>
      </c>
      <c r="O637" s="1" t="s">
        <v>399</v>
      </c>
      <c r="P637" s="1" t="str">
        <f aca="false">_xlfn.CONCAT(B637,C637,D637,E637,F637)</f>
        <v>Araçu IVSG75CX(COM1-020)_001_02046008.486111111146008.486111111146008.5034722222</v>
      </c>
      <c r="Q637" s="1" t="str">
        <f aca="false">_xlfn.CONCAT(H637,I637,J637)</f>
        <v>DAURDE</v>
      </c>
    </row>
    <row r="638" customFormat="false" ht="15" hidden="true" customHeight="false" outlineLevel="0" collapsed="false">
      <c r="B638" s="1" t="s">
        <v>792</v>
      </c>
      <c r="C638" s="1" t="s">
        <v>319</v>
      </c>
      <c r="D638" s="14" t="n">
        <v>46008.4861111111</v>
      </c>
      <c r="E638" s="14" t="n">
        <v>46008.4861111111</v>
      </c>
      <c r="F638" s="14" t="n">
        <v>46008.5034722222</v>
      </c>
      <c r="G638" s="15" t="n">
        <f aca="false">F638-E638</f>
        <v>0.0173611111111111</v>
      </c>
      <c r="H638" s="20" t="s">
        <v>248</v>
      </c>
      <c r="J638" s="20" t="s">
        <v>256</v>
      </c>
      <c r="K638" s="1" t="e">
        <f aca="false">_xlfn.xlookup(J638,REF!$D$2:$D$12,REF!$E$2:$E$12)</f>
        <v>#NAME?</v>
      </c>
      <c r="L638" s="1" t="s">
        <v>257</v>
      </c>
      <c r="M638" s="20" t="s">
        <v>258</v>
      </c>
      <c r="N638" s="20" t="s">
        <v>379</v>
      </c>
      <c r="O638" s="1" t="s">
        <v>399</v>
      </c>
      <c r="P638" s="1" t="str">
        <f aca="false">_xlfn.CONCAT(B638,C638,D638,E638,F638)</f>
        <v>Araçu IVSG75CX(COM1-021)_001_02146008.486111111146008.486111111146008.5034722222</v>
      </c>
      <c r="Q638" s="1" t="str">
        <f aca="false">_xlfn.CONCAT(H638,I638,J638)</f>
        <v>DAURDE</v>
      </c>
    </row>
    <row r="639" customFormat="false" ht="15" hidden="true" customHeight="false" outlineLevel="0" collapsed="false">
      <c r="B639" s="1" t="s">
        <v>330</v>
      </c>
      <c r="C639" s="1" t="s">
        <v>277</v>
      </c>
      <c r="D639" s="14" t="n">
        <v>46009.3645833333</v>
      </c>
      <c r="E639" s="14" t="n">
        <v>46009.3645833333</v>
      </c>
      <c r="F639" s="14" t="n">
        <v>46009.3895833333</v>
      </c>
      <c r="G639" s="15" t="n">
        <f aca="false">F639-E639</f>
        <v>0.025</v>
      </c>
      <c r="H639" s="20" t="s">
        <v>248</v>
      </c>
      <c r="J639" s="20" t="s">
        <v>256</v>
      </c>
      <c r="K639" s="1" t="e">
        <f aca="false">_xlfn.xlookup(J639,REF!$D$2:$D$12,REF!$E$2:$E$12)</f>
        <v>#NAME?</v>
      </c>
      <c r="L639" s="1" t="s">
        <v>735</v>
      </c>
      <c r="M639" s="20" t="s">
        <v>258</v>
      </c>
      <c r="N639" s="20" t="s">
        <v>259</v>
      </c>
      <c r="O639" s="1" t="s">
        <v>736</v>
      </c>
      <c r="P639" s="1" t="str">
        <f aca="false">_xlfn.CONCAT(B639,C639,D639,E639,F639)</f>
        <v>BC Formoso2.1Inverter(MBUS-12)46009.364583333346009.364583333346009.3895833333</v>
      </c>
      <c r="Q639" s="1" t="str">
        <f aca="false">_xlfn.CONCAT(H639,I639,J639)</f>
        <v>DAURDE</v>
      </c>
    </row>
    <row r="640" customFormat="false" ht="15" hidden="true" customHeight="false" outlineLevel="0" collapsed="false">
      <c r="B640" s="1" t="s">
        <v>330</v>
      </c>
      <c r="C640" s="1" t="s">
        <v>280</v>
      </c>
      <c r="D640" s="14" t="n">
        <v>46009.3645833333</v>
      </c>
      <c r="E640" s="14" t="n">
        <v>46009.3645833333</v>
      </c>
      <c r="F640" s="14" t="n">
        <v>46009.3895833333</v>
      </c>
      <c r="G640" s="15" t="n">
        <f aca="false">F640-E640</f>
        <v>0.025</v>
      </c>
      <c r="H640" s="20" t="s">
        <v>248</v>
      </c>
      <c r="J640" s="20" t="s">
        <v>256</v>
      </c>
      <c r="K640" s="1" t="e">
        <f aca="false">_xlfn.xlookup(J640,REF!$D$2:$D$12,REF!$E$2:$E$12)</f>
        <v>#NAME?</v>
      </c>
      <c r="L640" s="1" t="s">
        <v>735</v>
      </c>
      <c r="M640" s="20" t="s">
        <v>258</v>
      </c>
      <c r="N640" s="20" t="s">
        <v>259</v>
      </c>
      <c r="O640" s="1" t="s">
        <v>736</v>
      </c>
      <c r="P640" s="1" t="str">
        <f aca="false">_xlfn.CONCAT(B640,C640,D640,E640,F640)</f>
        <v>BC Formoso2.1Inverter(MBUS-14)46009.364583333346009.364583333346009.3895833333</v>
      </c>
      <c r="Q640" s="1" t="str">
        <f aca="false">_xlfn.CONCAT(H640,I640,J640)</f>
        <v>DAURDE</v>
      </c>
    </row>
    <row r="641" customFormat="false" ht="15" hidden="true" customHeight="false" outlineLevel="0" collapsed="false">
      <c r="B641" s="1" t="s">
        <v>330</v>
      </c>
      <c r="C641" s="1" t="s">
        <v>247</v>
      </c>
      <c r="D641" s="14" t="n">
        <v>46009.3645833333</v>
      </c>
      <c r="E641" s="14" t="n">
        <v>46009.3645833333</v>
      </c>
      <c r="F641" s="14" t="n">
        <v>46009.3895833333</v>
      </c>
      <c r="G641" s="15" t="n">
        <f aca="false">F641-E641</f>
        <v>0.025</v>
      </c>
      <c r="H641" s="20" t="s">
        <v>248</v>
      </c>
      <c r="J641" s="20" t="s">
        <v>256</v>
      </c>
      <c r="K641" s="1" t="e">
        <f aca="false">_xlfn.xlookup(J641,REF!$D$2:$D$12,REF!$E$2:$E$12)</f>
        <v>#NAME?</v>
      </c>
      <c r="L641" s="1" t="s">
        <v>735</v>
      </c>
      <c r="M641" s="20" t="s">
        <v>258</v>
      </c>
      <c r="N641" s="20" t="s">
        <v>259</v>
      </c>
      <c r="O641" s="1" t="s">
        <v>736</v>
      </c>
      <c r="P641" s="1" t="str">
        <f aca="false">_xlfn.CONCAT(B641,C641,D641,E641,F641)</f>
        <v>BC Formoso2.1Inverter(MBUS-13)46009.364583333346009.364583333346009.3895833333</v>
      </c>
      <c r="Q641" s="1" t="str">
        <f aca="false">_xlfn.CONCAT(H641,I641,J641)</f>
        <v>DAURDE</v>
      </c>
    </row>
    <row r="642" customFormat="false" ht="15" hidden="true" customHeight="false" outlineLevel="0" collapsed="false">
      <c r="B642" s="1" t="s">
        <v>330</v>
      </c>
      <c r="C642" s="1" t="s">
        <v>255</v>
      </c>
      <c r="D642" s="14" t="n">
        <v>46009.3645833333</v>
      </c>
      <c r="E642" s="14" t="n">
        <v>46009.3645833333</v>
      </c>
      <c r="F642" s="14" t="n">
        <v>46009.3895833333</v>
      </c>
      <c r="G642" s="15" t="n">
        <f aca="false">F642-E642</f>
        <v>0.025</v>
      </c>
      <c r="H642" s="20" t="s">
        <v>248</v>
      </c>
      <c r="J642" s="20" t="s">
        <v>256</v>
      </c>
      <c r="K642" s="1" t="e">
        <f aca="false">_xlfn.xlookup(J642,REF!$D$2:$D$12,REF!$E$2:$E$12)</f>
        <v>#NAME?</v>
      </c>
      <c r="L642" s="1" t="s">
        <v>735</v>
      </c>
      <c r="M642" s="20" t="s">
        <v>258</v>
      </c>
      <c r="N642" s="20" t="s">
        <v>259</v>
      </c>
      <c r="O642" s="1" t="s">
        <v>736</v>
      </c>
      <c r="P642" s="1" t="str">
        <f aca="false">_xlfn.CONCAT(B642,C642,D642,E642,F642)</f>
        <v>BC Formoso2.1Inverter(MBUS-1)46009.364583333346009.364583333346009.3895833333</v>
      </c>
      <c r="Q642" s="1" t="str">
        <f aca="false">_xlfn.CONCAT(H642,I642,J642)</f>
        <v>DAURDE</v>
      </c>
    </row>
    <row r="643" customFormat="false" ht="15" hidden="true" customHeight="false" outlineLevel="0" collapsed="false">
      <c r="B643" s="1" t="s">
        <v>622</v>
      </c>
      <c r="C643" s="1" t="s">
        <v>280</v>
      </c>
      <c r="D643" s="14" t="n">
        <v>46009.3645833333</v>
      </c>
      <c r="E643" s="14" t="n">
        <v>46009.3645833333</v>
      </c>
      <c r="F643" s="14" t="n">
        <v>46009.3895833333</v>
      </c>
      <c r="G643" s="15" t="n">
        <f aca="false">F643-E643</f>
        <v>0.025</v>
      </c>
      <c r="H643" s="20" t="s">
        <v>248</v>
      </c>
      <c r="J643" s="20" t="s">
        <v>256</v>
      </c>
      <c r="K643" s="1" t="e">
        <f aca="false">_xlfn.xlookup(J643,REF!$D$2:$D$12,REF!$E$2:$E$12)</f>
        <v>#NAME?</v>
      </c>
      <c r="L643" s="1" t="s">
        <v>735</v>
      </c>
      <c r="M643" s="20" t="s">
        <v>258</v>
      </c>
      <c r="N643" s="20" t="s">
        <v>259</v>
      </c>
      <c r="O643" s="1" t="s">
        <v>736</v>
      </c>
      <c r="P643" s="1" t="str">
        <f aca="false">_xlfn.CONCAT(B643,C643,D643,E643,F643)</f>
        <v>BC Formoso2.2Inverter(MBUS-14)46009.364583333346009.364583333346009.3895833333</v>
      </c>
      <c r="Q643" s="1" t="str">
        <f aca="false">_xlfn.CONCAT(H643,I643,J643)</f>
        <v>DAURDE</v>
      </c>
    </row>
    <row r="644" customFormat="false" ht="15" hidden="true" customHeight="false" outlineLevel="0" collapsed="false">
      <c r="B644" s="1" t="s">
        <v>622</v>
      </c>
      <c r="C644" s="1" t="s">
        <v>247</v>
      </c>
      <c r="D644" s="14" t="n">
        <v>46009.3645833333</v>
      </c>
      <c r="E644" s="14" t="n">
        <v>46009.3645833333</v>
      </c>
      <c r="F644" s="14" t="n">
        <v>46009.3895833333</v>
      </c>
      <c r="G644" s="15" t="n">
        <f aca="false">F644-E644</f>
        <v>0.025</v>
      </c>
      <c r="H644" s="20" t="s">
        <v>248</v>
      </c>
      <c r="J644" s="20" t="s">
        <v>256</v>
      </c>
      <c r="K644" s="1" t="e">
        <f aca="false">_xlfn.xlookup(J644,REF!$D$2:$D$12,REF!$E$2:$E$12)</f>
        <v>#NAME?</v>
      </c>
      <c r="L644" s="1" t="s">
        <v>735</v>
      </c>
      <c r="M644" s="20" t="s">
        <v>258</v>
      </c>
      <c r="N644" s="20" t="s">
        <v>259</v>
      </c>
      <c r="O644" s="1" t="s">
        <v>736</v>
      </c>
      <c r="P644" s="1" t="str">
        <f aca="false">_xlfn.CONCAT(B644,C644,D644,E644,F644)</f>
        <v>BC Formoso2.2Inverter(MBUS-13)46009.364583333346009.364583333346009.3895833333</v>
      </c>
      <c r="Q644" s="1" t="str">
        <f aca="false">_xlfn.CONCAT(H644,I644,J644)</f>
        <v>DAURDE</v>
      </c>
    </row>
    <row r="645" customFormat="false" ht="15" hidden="true" customHeight="false" outlineLevel="0" collapsed="false">
      <c r="B645" s="1" t="s">
        <v>622</v>
      </c>
      <c r="C645" s="1" t="s">
        <v>277</v>
      </c>
      <c r="D645" s="14" t="n">
        <v>46009.3645833333</v>
      </c>
      <c r="E645" s="14" t="n">
        <v>46009.3645833333</v>
      </c>
      <c r="F645" s="14" t="n">
        <v>46009.3895833333</v>
      </c>
      <c r="G645" s="15" t="n">
        <f aca="false">F645-E645</f>
        <v>0.025</v>
      </c>
      <c r="H645" s="20" t="s">
        <v>248</v>
      </c>
      <c r="J645" s="20" t="s">
        <v>256</v>
      </c>
      <c r="K645" s="1" t="e">
        <f aca="false">_xlfn.xlookup(J645,REF!$D$2:$D$12,REF!$E$2:$E$12)</f>
        <v>#NAME?</v>
      </c>
      <c r="L645" s="1" t="s">
        <v>735</v>
      </c>
      <c r="M645" s="20" t="s">
        <v>258</v>
      </c>
      <c r="N645" s="20" t="s">
        <v>259</v>
      </c>
      <c r="O645" s="1" t="s">
        <v>736</v>
      </c>
      <c r="P645" s="1" t="str">
        <f aca="false">_xlfn.CONCAT(B645,C645,D645,E645,F645)</f>
        <v>BC Formoso2.2Inverter(MBUS-12)46009.364583333346009.364583333346009.3895833333</v>
      </c>
      <c r="Q645" s="1" t="str">
        <f aca="false">_xlfn.CONCAT(H645,I645,J645)</f>
        <v>DAURDE</v>
      </c>
    </row>
    <row r="646" customFormat="false" ht="15" hidden="true" customHeight="false" outlineLevel="0" collapsed="false">
      <c r="B646" s="1" t="s">
        <v>622</v>
      </c>
      <c r="C646" s="1" t="s">
        <v>255</v>
      </c>
      <c r="D646" s="14" t="n">
        <v>46009.3645833333</v>
      </c>
      <c r="E646" s="14" t="n">
        <v>46009.3645833333</v>
      </c>
      <c r="F646" s="14" t="n">
        <v>46009.3895833333</v>
      </c>
      <c r="G646" s="15" t="n">
        <f aca="false">F646-E646</f>
        <v>0.025</v>
      </c>
      <c r="H646" s="20" t="s">
        <v>248</v>
      </c>
      <c r="J646" s="20" t="s">
        <v>256</v>
      </c>
      <c r="K646" s="1" t="e">
        <f aca="false">_xlfn.xlookup(J646,REF!$D$2:$D$12,REF!$E$2:$E$12)</f>
        <v>#NAME?</v>
      </c>
      <c r="L646" s="1" t="s">
        <v>735</v>
      </c>
      <c r="M646" s="20" t="s">
        <v>258</v>
      </c>
      <c r="N646" s="20" t="s">
        <v>259</v>
      </c>
      <c r="O646" s="1" t="s">
        <v>736</v>
      </c>
      <c r="P646" s="1" t="str">
        <f aca="false">_xlfn.CONCAT(B646,C646,D646,E646,F646)</f>
        <v>BC Formoso2.2Inverter(MBUS-1)46009.364583333346009.364583333346009.3895833333</v>
      </c>
      <c r="Q646" s="1" t="str">
        <f aca="false">_xlfn.CONCAT(H646,I646,J646)</f>
        <v>DAURDE</v>
      </c>
    </row>
    <row r="647" customFormat="false" ht="15" hidden="true" customHeight="false" outlineLevel="0" collapsed="false">
      <c r="B647" s="1" t="s">
        <v>332</v>
      </c>
      <c r="C647" s="1" t="s">
        <v>247</v>
      </c>
      <c r="D647" s="14" t="n">
        <v>46009.3645833333</v>
      </c>
      <c r="E647" s="14" t="n">
        <v>46009.3645833333</v>
      </c>
      <c r="F647" s="14" t="n">
        <v>46009.3895833333</v>
      </c>
      <c r="G647" s="15" t="n">
        <f aca="false">F647-E647</f>
        <v>0.025</v>
      </c>
      <c r="H647" s="20" t="s">
        <v>248</v>
      </c>
      <c r="J647" s="20" t="s">
        <v>256</v>
      </c>
      <c r="K647" s="1" t="e">
        <f aca="false">_xlfn.xlookup(J647,REF!$D$2:$D$12,REF!$E$2:$E$12)</f>
        <v>#NAME?</v>
      </c>
      <c r="L647" s="1" t="s">
        <v>735</v>
      </c>
      <c r="M647" s="20" t="s">
        <v>258</v>
      </c>
      <c r="N647" s="20" t="s">
        <v>259</v>
      </c>
      <c r="O647" s="1" t="s">
        <v>736</v>
      </c>
      <c r="P647" s="1" t="str">
        <f aca="false">_xlfn.CONCAT(B647,C647,D647,E647,F647)</f>
        <v>BC Formoso2.3Inverter(MBUS-13)46009.364583333346009.364583333346009.3895833333</v>
      </c>
      <c r="Q647" s="1" t="str">
        <f aca="false">_xlfn.CONCAT(H647,I647,J647)</f>
        <v>DAURDE</v>
      </c>
    </row>
    <row r="648" customFormat="false" ht="15" hidden="true" customHeight="false" outlineLevel="0" collapsed="false">
      <c r="B648" s="1" t="s">
        <v>332</v>
      </c>
      <c r="C648" s="1" t="s">
        <v>277</v>
      </c>
      <c r="D648" s="14" t="n">
        <v>46009.3645833333</v>
      </c>
      <c r="E648" s="14" t="n">
        <v>46009.3645833333</v>
      </c>
      <c r="F648" s="14" t="n">
        <v>46009.3895833333</v>
      </c>
      <c r="G648" s="15" t="n">
        <f aca="false">F648-E648</f>
        <v>0.025</v>
      </c>
      <c r="H648" s="20" t="s">
        <v>248</v>
      </c>
      <c r="J648" s="20" t="s">
        <v>256</v>
      </c>
      <c r="K648" s="1" t="e">
        <f aca="false">_xlfn.xlookup(J648,REF!$D$2:$D$12,REF!$E$2:$E$12)</f>
        <v>#NAME?</v>
      </c>
      <c r="L648" s="1" t="s">
        <v>735</v>
      </c>
      <c r="M648" s="20" t="s">
        <v>258</v>
      </c>
      <c r="N648" s="20" t="s">
        <v>259</v>
      </c>
      <c r="O648" s="1" t="s">
        <v>736</v>
      </c>
      <c r="P648" s="1" t="str">
        <f aca="false">_xlfn.CONCAT(B648,C648,D648,E648,F648)</f>
        <v>BC Formoso2.3Inverter(MBUS-12)46009.364583333346009.364583333346009.3895833333</v>
      </c>
      <c r="Q648" s="1" t="str">
        <f aca="false">_xlfn.CONCAT(H648,I648,J648)</f>
        <v>DAURDE</v>
      </c>
    </row>
    <row r="649" customFormat="false" ht="15" hidden="true" customHeight="false" outlineLevel="0" collapsed="false">
      <c r="B649" s="1" t="s">
        <v>330</v>
      </c>
      <c r="C649" s="1" t="s">
        <v>277</v>
      </c>
      <c r="D649" s="14" t="n">
        <v>46009.875</v>
      </c>
      <c r="E649" s="14" t="n">
        <v>46009.875</v>
      </c>
      <c r="F649" s="14" t="n">
        <v>46010.3055555556</v>
      </c>
      <c r="G649" s="15" t="n">
        <f aca="false">F649-E649</f>
        <v>0.430555555555556</v>
      </c>
      <c r="H649" s="20" t="s">
        <v>248</v>
      </c>
      <c r="J649" s="20" t="s">
        <v>256</v>
      </c>
      <c r="K649" s="1" t="e">
        <f aca="false">_xlfn.xlookup(J649,REF!$D$2:$D$12,REF!$E$2:$E$12)</f>
        <v>#NAME?</v>
      </c>
      <c r="L649" s="1" t="s">
        <v>796</v>
      </c>
      <c r="M649" s="20" t="s">
        <v>258</v>
      </c>
      <c r="N649" s="20" t="s">
        <v>259</v>
      </c>
      <c r="O649" s="1" t="s">
        <v>736</v>
      </c>
      <c r="P649" s="1" t="str">
        <f aca="false">_xlfn.CONCAT(B649,C649,D649,E649,F649)</f>
        <v>BC Formoso2.1Inverter(MBUS-12)46009.87546009.87546010.3055555556</v>
      </c>
      <c r="Q649" s="1" t="str">
        <f aca="false">_xlfn.CONCAT(H649,I649,J649)</f>
        <v>DAURDE</v>
      </c>
    </row>
    <row r="650" customFormat="false" ht="15" hidden="true" customHeight="false" outlineLevel="0" collapsed="false">
      <c r="B650" s="1" t="s">
        <v>330</v>
      </c>
      <c r="C650" s="1" t="s">
        <v>280</v>
      </c>
      <c r="D650" s="14" t="n">
        <v>46009.875</v>
      </c>
      <c r="E650" s="14" t="n">
        <v>46009.875</v>
      </c>
      <c r="F650" s="14" t="n">
        <v>46010.3055555556</v>
      </c>
      <c r="G650" s="15" t="n">
        <f aca="false">F650-E650</f>
        <v>0.430555555555556</v>
      </c>
      <c r="H650" s="20" t="s">
        <v>248</v>
      </c>
      <c r="J650" s="20" t="s">
        <v>256</v>
      </c>
      <c r="K650" s="1" t="e">
        <f aca="false">_xlfn.xlookup(J650,REF!$D$2:$D$12,REF!$E$2:$E$12)</f>
        <v>#NAME?</v>
      </c>
      <c r="L650" s="1" t="s">
        <v>796</v>
      </c>
      <c r="M650" s="20" t="s">
        <v>258</v>
      </c>
      <c r="N650" s="20" t="s">
        <v>259</v>
      </c>
      <c r="O650" s="1" t="s">
        <v>736</v>
      </c>
      <c r="P650" s="1" t="str">
        <f aca="false">_xlfn.CONCAT(B650,C650,D650,E650,F650)</f>
        <v>BC Formoso2.1Inverter(MBUS-14)46009.87546009.87546010.3055555556</v>
      </c>
      <c r="Q650" s="1" t="str">
        <f aca="false">_xlfn.CONCAT(H650,I650,J650)</f>
        <v>DAURDE</v>
      </c>
    </row>
    <row r="651" customFormat="false" ht="15" hidden="true" customHeight="false" outlineLevel="0" collapsed="false">
      <c r="B651" s="1" t="s">
        <v>330</v>
      </c>
      <c r="C651" s="1" t="s">
        <v>247</v>
      </c>
      <c r="D651" s="14" t="n">
        <v>46009.875</v>
      </c>
      <c r="E651" s="14" t="n">
        <v>46009.875</v>
      </c>
      <c r="F651" s="14" t="n">
        <v>46010.3055555556</v>
      </c>
      <c r="G651" s="15" t="n">
        <f aca="false">F651-E651</f>
        <v>0.430555555555556</v>
      </c>
      <c r="H651" s="20" t="s">
        <v>248</v>
      </c>
      <c r="J651" s="20" t="s">
        <v>256</v>
      </c>
      <c r="K651" s="1" t="e">
        <f aca="false">_xlfn.xlookup(J651,REF!$D$2:$D$12,REF!$E$2:$E$12)</f>
        <v>#NAME?</v>
      </c>
      <c r="L651" s="1" t="s">
        <v>796</v>
      </c>
      <c r="M651" s="20" t="s">
        <v>258</v>
      </c>
      <c r="N651" s="20" t="s">
        <v>259</v>
      </c>
      <c r="O651" s="1" t="s">
        <v>736</v>
      </c>
      <c r="P651" s="1" t="str">
        <f aca="false">_xlfn.CONCAT(B651,C651,D651,E651,F651)</f>
        <v>BC Formoso2.1Inverter(MBUS-13)46009.87546009.87546010.3055555556</v>
      </c>
      <c r="Q651" s="1" t="str">
        <f aca="false">_xlfn.CONCAT(H651,I651,J651)</f>
        <v>DAURDE</v>
      </c>
    </row>
    <row r="652" customFormat="false" ht="15" hidden="true" customHeight="false" outlineLevel="0" collapsed="false">
      <c r="B652" s="1" t="s">
        <v>330</v>
      </c>
      <c r="C652" s="1" t="s">
        <v>255</v>
      </c>
      <c r="D652" s="14" t="n">
        <v>46009.875</v>
      </c>
      <c r="E652" s="14" t="n">
        <v>46009.875</v>
      </c>
      <c r="F652" s="14" t="n">
        <v>46010.3055555556</v>
      </c>
      <c r="G652" s="15" t="n">
        <f aca="false">F652-E652</f>
        <v>0.430555555555556</v>
      </c>
      <c r="H652" s="20" t="s">
        <v>248</v>
      </c>
      <c r="J652" s="20" t="s">
        <v>256</v>
      </c>
      <c r="K652" s="1" t="e">
        <f aca="false">_xlfn.xlookup(J652,REF!$D$2:$D$12,REF!$E$2:$E$12)</f>
        <v>#NAME?</v>
      </c>
      <c r="L652" s="1" t="s">
        <v>796</v>
      </c>
      <c r="M652" s="20" t="s">
        <v>258</v>
      </c>
      <c r="N652" s="20" t="s">
        <v>259</v>
      </c>
      <c r="O652" s="1" t="s">
        <v>736</v>
      </c>
      <c r="P652" s="1" t="str">
        <f aca="false">_xlfn.CONCAT(B652,C652,D652,E652,F652)</f>
        <v>BC Formoso2.1Inverter(MBUS-1)46009.87546009.87546010.3055555556</v>
      </c>
      <c r="Q652" s="1" t="str">
        <f aca="false">_xlfn.CONCAT(H652,I652,J652)</f>
        <v>DAURDE</v>
      </c>
    </row>
    <row r="653" customFormat="false" ht="15" hidden="true" customHeight="false" outlineLevel="0" collapsed="false">
      <c r="B653" s="1" t="s">
        <v>622</v>
      </c>
      <c r="C653" s="1" t="s">
        <v>280</v>
      </c>
      <c r="D653" s="14" t="n">
        <v>46009.875</v>
      </c>
      <c r="E653" s="14" t="n">
        <v>46009.875</v>
      </c>
      <c r="F653" s="14" t="n">
        <v>46010.3055555556</v>
      </c>
      <c r="G653" s="15" t="n">
        <f aca="false">F653-E653</f>
        <v>0.430555555555556</v>
      </c>
      <c r="H653" s="20" t="s">
        <v>248</v>
      </c>
      <c r="J653" s="20" t="s">
        <v>256</v>
      </c>
      <c r="K653" s="1" t="e">
        <f aca="false">_xlfn.xlookup(J653,REF!$D$2:$D$12,REF!$E$2:$E$12)</f>
        <v>#NAME?</v>
      </c>
      <c r="L653" s="1" t="s">
        <v>796</v>
      </c>
      <c r="M653" s="20" t="s">
        <v>258</v>
      </c>
      <c r="N653" s="20" t="s">
        <v>259</v>
      </c>
      <c r="O653" s="1" t="s">
        <v>736</v>
      </c>
      <c r="P653" s="1" t="str">
        <f aca="false">_xlfn.CONCAT(B653,C653,D653,E653,F653)</f>
        <v>BC Formoso2.2Inverter(MBUS-14)46009.87546009.87546010.3055555556</v>
      </c>
      <c r="Q653" s="1" t="str">
        <f aca="false">_xlfn.CONCAT(H653,I653,J653)</f>
        <v>DAURDE</v>
      </c>
    </row>
    <row r="654" customFormat="false" ht="15" hidden="true" customHeight="false" outlineLevel="0" collapsed="false">
      <c r="B654" s="1" t="s">
        <v>622</v>
      </c>
      <c r="C654" s="1" t="s">
        <v>247</v>
      </c>
      <c r="D654" s="14" t="n">
        <v>46009.875</v>
      </c>
      <c r="E654" s="14" t="n">
        <v>46009.875</v>
      </c>
      <c r="F654" s="14" t="n">
        <v>46010.3055555556</v>
      </c>
      <c r="G654" s="15" t="n">
        <f aca="false">F654-E654</f>
        <v>0.430555555555556</v>
      </c>
      <c r="H654" s="20" t="s">
        <v>248</v>
      </c>
      <c r="J654" s="20" t="s">
        <v>256</v>
      </c>
      <c r="K654" s="1" t="e">
        <f aca="false">_xlfn.xlookup(J654,REF!$D$2:$D$12,REF!$E$2:$E$12)</f>
        <v>#NAME?</v>
      </c>
      <c r="L654" s="1" t="s">
        <v>796</v>
      </c>
      <c r="M654" s="20" t="s">
        <v>258</v>
      </c>
      <c r="N654" s="20" t="s">
        <v>259</v>
      </c>
      <c r="O654" s="1" t="s">
        <v>736</v>
      </c>
      <c r="P654" s="1" t="str">
        <f aca="false">_xlfn.CONCAT(B654,C654,D654,E654,F654)</f>
        <v>BC Formoso2.2Inverter(MBUS-13)46009.87546009.87546010.3055555556</v>
      </c>
      <c r="Q654" s="1" t="str">
        <f aca="false">_xlfn.CONCAT(H654,I654,J654)</f>
        <v>DAURDE</v>
      </c>
    </row>
    <row r="655" customFormat="false" ht="15" hidden="true" customHeight="false" outlineLevel="0" collapsed="false">
      <c r="B655" s="1" t="s">
        <v>622</v>
      </c>
      <c r="C655" s="1" t="s">
        <v>277</v>
      </c>
      <c r="D655" s="14" t="n">
        <v>46009.875</v>
      </c>
      <c r="E655" s="14" t="n">
        <v>46009.875</v>
      </c>
      <c r="F655" s="14" t="n">
        <v>46010.3055555556</v>
      </c>
      <c r="G655" s="15" t="n">
        <f aca="false">F655-E655</f>
        <v>0.430555555555556</v>
      </c>
      <c r="H655" s="20" t="s">
        <v>248</v>
      </c>
      <c r="J655" s="20" t="s">
        <v>256</v>
      </c>
      <c r="K655" s="1" t="e">
        <f aca="false">_xlfn.xlookup(J655,REF!$D$2:$D$12,REF!$E$2:$E$12)</f>
        <v>#NAME?</v>
      </c>
      <c r="L655" s="1" t="s">
        <v>796</v>
      </c>
      <c r="M655" s="20" t="s">
        <v>258</v>
      </c>
      <c r="N655" s="20" t="s">
        <v>259</v>
      </c>
      <c r="O655" s="1" t="s">
        <v>736</v>
      </c>
      <c r="P655" s="1" t="str">
        <f aca="false">_xlfn.CONCAT(B655,C655,D655,E655,F655)</f>
        <v>BC Formoso2.2Inverter(MBUS-12)46009.87546009.87546010.3055555556</v>
      </c>
      <c r="Q655" s="1" t="str">
        <f aca="false">_xlfn.CONCAT(H655,I655,J655)</f>
        <v>DAURDE</v>
      </c>
    </row>
    <row r="656" customFormat="false" ht="15" hidden="true" customHeight="false" outlineLevel="0" collapsed="false">
      <c r="B656" s="1" t="s">
        <v>622</v>
      </c>
      <c r="C656" s="1" t="s">
        <v>255</v>
      </c>
      <c r="D656" s="14" t="n">
        <v>46009.875</v>
      </c>
      <c r="E656" s="14" t="n">
        <v>46009.875</v>
      </c>
      <c r="F656" s="14" t="n">
        <v>46010.3055555556</v>
      </c>
      <c r="G656" s="15" t="n">
        <f aca="false">F656-E656</f>
        <v>0.430555555555556</v>
      </c>
      <c r="H656" s="20" t="s">
        <v>248</v>
      </c>
      <c r="J656" s="20" t="s">
        <v>256</v>
      </c>
      <c r="K656" s="1" t="e">
        <f aca="false">_xlfn.xlookup(J656,REF!$D$2:$D$12,REF!$E$2:$E$12)</f>
        <v>#NAME?</v>
      </c>
      <c r="L656" s="1" t="s">
        <v>796</v>
      </c>
      <c r="M656" s="20" t="s">
        <v>258</v>
      </c>
      <c r="N656" s="20" t="s">
        <v>259</v>
      </c>
      <c r="O656" s="1" t="s">
        <v>736</v>
      </c>
      <c r="P656" s="1" t="str">
        <f aca="false">_xlfn.CONCAT(B656,C656,D656,E656,F656)</f>
        <v>BC Formoso2.2Inverter(MBUS-1)46009.87546009.87546010.3055555556</v>
      </c>
      <c r="Q656" s="1" t="str">
        <f aca="false">_xlfn.CONCAT(H656,I656,J656)</f>
        <v>DAURDE</v>
      </c>
    </row>
    <row r="657" customFormat="false" ht="15" hidden="true" customHeight="false" outlineLevel="0" collapsed="false">
      <c r="B657" s="1" t="s">
        <v>332</v>
      </c>
      <c r="C657" s="1" t="s">
        <v>247</v>
      </c>
      <c r="D657" s="14" t="n">
        <v>46009.875</v>
      </c>
      <c r="E657" s="14" t="n">
        <v>46009.875</v>
      </c>
      <c r="F657" s="14" t="n">
        <v>46010.3055555556</v>
      </c>
      <c r="G657" s="15" t="n">
        <f aca="false">F657-E657</f>
        <v>0.430555555555556</v>
      </c>
      <c r="H657" s="20" t="s">
        <v>248</v>
      </c>
      <c r="J657" s="20" t="s">
        <v>256</v>
      </c>
      <c r="K657" s="1" t="e">
        <f aca="false">_xlfn.xlookup(J657,REF!$D$2:$D$12,REF!$E$2:$E$12)</f>
        <v>#NAME?</v>
      </c>
      <c r="L657" s="1" t="s">
        <v>796</v>
      </c>
      <c r="M657" s="20" t="s">
        <v>258</v>
      </c>
      <c r="N657" s="20" t="s">
        <v>259</v>
      </c>
      <c r="O657" s="1" t="s">
        <v>736</v>
      </c>
      <c r="P657" s="1" t="str">
        <f aca="false">_xlfn.CONCAT(B657,C657,D657,E657,F657)</f>
        <v>BC Formoso2.3Inverter(MBUS-13)46009.87546009.87546010.3055555556</v>
      </c>
      <c r="Q657" s="1" t="str">
        <f aca="false">_xlfn.CONCAT(H657,I657,J657)</f>
        <v>DAURDE</v>
      </c>
    </row>
    <row r="658" customFormat="false" ht="15" hidden="true" customHeight="false" outlineLevel="0" collapsed="false">
      <c r="B658" s="1" t="s">
        <v>332</v>
      </c>
      <c r="C658" s="1" t="s">
        <v>277</v>
      </c>
      <c r="D658" s="14" t="n">
        <v>46009.875</v>
      </c>
      <c r="E658" s="14" t="n">
        <v>46009.875</v>
      </c>
      <c r="F658" s="14" t="n">
        <v>46010.3055555556</v>
      </c>
      <c r="G658" s="15" t="n">
        <f aca="false">F658-E658</f>
        <v>0.430555555555556</v>
      </c>
      <c r="H658" s="20" t="s">
        <v>248</v>
      </c>
      <c r="J658" s="20" t="s">
        <v>256</v>
      </c>
      <c r="K658" s="1" t="e">
        <f aca="false">_xlfn.xlookup(J658,REF!$D$2:$D$12,REF!$E$2:$E$12)</f>
        <v>#NAME?</v>
      </c>
      <c r="L658" s="1" t="s">
        <v>796</v>
      </c>
      <c r="M658" s="20" t="s">
        <v>258</v>
      </c>
      <c r="N658" s="20" t="s">
        <v>259</v>
      </c>
      <c r="O658" s="1" t="s">
        <v>736</v>
      </c>
      <c r="P658" s="1" t="str">
        <f aca="false">_xlfn.CONCAT(B658,C658,D658,E658,F658)</f>
        <v>BC Formoso2.3Inverter(MBUS-12)46009.87546009.87546010.3055555556</v>
      </c>
      <c r="Q658" s="1" t="str">
        <f aca="false">_xlfn.CONCAT(H658,I658,J658)</f>
        <v>DAURDE</v>
      </c>
    </row>
    <row r="659" customFormat="false" ht="15" hidden="true" customHeight="false" outlineLevel="0" collapsed="false">
      <c r="B659" s="1" t="s">
        <v>380</v>
      </c>
      <c r="C659" s="1" t="s">
        <v>277</v>
      </c>
      <c r="D659" s="14" t="n">
        <v>46010.6555555556</v>
      </c>
      <c r="E659" s="14" t="n">
        <v>46010.6555555556</v>
      </c>
      <c r="F659" s="14" t="n">
        <v>46010.6868055556</v>
      </c>
      <c r="G659" s="15" t="n">
        <f aca="false">F659-E659</f>
        <v>0.03125</v>
      </c>
      <c r="H659" s="20" t="s">
        <v>248</v>
      </c>
      <c r="J659" s="20" t="s">
        <v>256</v>
      </c>
      <c r="K659" s="1" t="e">
        <f aca="false">_xlfn.xlookup(J659,REF!$D$2:$D$12,REF!$E$2:$E$12)</f>
        <v>#NAME?</v>
      </c>
      <c r="L659" s="1" t="s">
        <v>836</v>
      </c>
      <c r="M659" s="20" t="s">
        <v>258</v>
      </c>
      <c r="N659" s="20" t="s">
        <v>259</v>
      </c>
      <c r="O659" s="1" t="s">
        <v>736</v>
      </c>
      <c r="P659" s="1" t="str">
        <f aca="false">_xlfn.CONCAT(B659,C659,D659,E659,F659)</f>
        <v>ARAGUATINS 1.1Inverter(MBUS-12)46010.655555555646010.655555555646010.6868055556</v>
      </c>
      <c r="Q659" s="1" t="str">
        <f aca="false">_xlfn.CONCAT(H659,I659,J659)</f>
        <v>DAURDE</v>
      </c>
    </row>
    <row r="660" customFormat="false" ht="15" hidden="true" customHeight="false" outlineLevel="0" collapsed="false">
      <c r="B660" s="1" t="s">
        <v>380</v>
      </c>
      <c r="C660" s="1" t="s">
        <v>247</v>
      </c>
      <c r="D660" s="14" t="n">
        <v>46010.6555555556</v>
      </c>
      <c r="E660" s="14" t="n">
        <v>46010.6555555556</v>
      </c>
      <c r="F660" s="14" t="n">
        <v>46010.6868055556</v>
      </c>
      <c r="G660" s="15" t="n">
        <f aca="false">F660-E660</f>
        <v>0.03125</v>
      </c>
      <c r="H660" s="20" t="s">
        <v>248</v>
      </c>
      <c r="J660" s="20" t="s">
        <v>256</v>
      </c>
      <c r="K660" s="1" t="e">
        <f aca="false">_xlfn.xlookup(J660,REF!$D$2:$D$12,REF!$E$2:$E$12)</f>
        <v>#NAME?</v>
      </c>
      <c r="L660" s="1" t="s">
        <v>836</v>
      </c>
      <c r="M660" s="20" t="s">
        <v>258</v>
      </c>
      <c r="N660" s="20" t="s">
        <v>259</v>
      </c>
      <c r="O660" s="1" t="s">
        <v>736</v>
      </c>
      <c r="P660" s="1" t="str">
        <f aca="false">_xlfn.CONCAT(B660,C660,D660,E660,F660)</f>
        <v>ARAGUATINS 1.1Inverter(MBUS-13)46010.655555555646010.655555555646010.6868055556</v>
      </c>
      <c r="Q660" s="1" t="str">
        <f aca="false">_xlfn.CONCAT(H660,I660,J660)</f>
        <v>DAURDE</v>
      </c>
    </row>
    <row r="661" customFormat="false" ht="15" hidden="true" customHeight="false" outlineLevel="0" collapsed="false">
      <c r="B661" s="1" t="s">
        <v>380</v>
      </c>
      <c r="C661" s="1" t="s">
        <v>280</v>
      </c>
      <c r="D661" s="14" t="n">
        <v>46010.6555555556</v>
      </c>
      <c r="E661" s="14" t="n">
        <v>46010.6555555556</v>
      </c>
      <c r="F661" s="14" t="n">
        <v>46010.6868055556</v>
      </c>
      <c r="G661" s="15" t="n">
        <f aca="false">F661-E661</f>
        <v>0.03125</v>
      </c>
      <c r="H661" s="20" t="s">
        <v>248</v>
      </c>
      <c r="J661" s="20" t="s">
        <v>256</v>
      </c>
      <c r="K661" s="1" t="e">
        <f aca="false">_xlfn.xlookup(J661,REF!$D$2:$D$12,REF!$E$2:$E$12)</f>
        <v>#NAME?</v>
      </c>
      <c r="L661" s="1" t="s">
        <v>836</v>
      </c>
      <c r="M661" s="20" t="s">
        <v>258</v>
      </c>
      <c r="N661" s="20" t="s">
        <v>259</v>
      </c>
      <c r="O661" s="1" t="s">
        <v>736</v>
      </c>
      <c r="P661" s="1" t="str">
        <f aca="false">_xlfn.CONCAT(B661,C661,D661,E661,F661)</f>
        <v>ARAGUATINS 1.1Inverter(MBUS-14)46010.655555555646010.655555555646010.6868055556</v>
      </c>
      <c r="Q661" s="1" t="str">
        <f aca="false">_xlfn.CONCAT(H661,I661,J661)</f>
        <v>DAURDE</v>
      </c>
    </row>
    <row r="662" customFormat="false" ht="15" hidden="true" customHeight="false" outlineLevel="0" collapsed="false">
      <c r="B662" s="1" t="s">
        <v>380</v>
      </c>
      <c r="C662" s="1" t="s">
        <v>279</v>
      </c>
      <c r="D662" s="14" t="n">
        <v>46010.6555555556</v>
      </c>
      <c r="E662" s="14" t="n">
        <v>46010.6555555556</v>
      </c>
      <c r="F662" s="14" t="n">
        <v>46010.6868055556</v>
      </c>
      <c r="G662" s="15" t="n">
        <f aca="false">F662-E662</f>
        <v>0.03125</v>
      </c>
      <c r="H662" s="20" t="s">
        <v>248</v>
      </c>
      <c r="J662" s="20" t="s">
        <v>256</v>
      </c>
      <c r="K662" s="1" t="e">
        <f aca="false">_xlfn.xlookup(J662,REF!$D$2:$D$12,REF!$E$2:$E$12)</f>
        <v>#NAME?</v>
      </c>
      <c r="L662" s="1" t="s">
        <v>836</v>
      </c>
      <c r="M662" s="20" t="s">
        <v>258</v>
      </c>
      <c r="N662" s="20" t="s">
        <v>259</v>
      </c>
      <c r="O662" s="1" t="s">
        <v>736</v>
      </c>
      <c r="P662" s="1" t="str">
        <f aca="false">_xlfn.CONCAT(B662,C662,D662,E662,F662)</f>
        <v>ARAGUATINS 1.1Inverter(MBUS-15)46010.655555555646010.655555555646010.6868055556</v>
      </c>
      <c r="Q662" s="1" t="str">
        <f aca="false">_xlfn.CONCAT(H662,I662,J662)</f>
        <v>DAURDE</v>
      </c>
    </row>
    <row r="663" customFormat="false" ht="15" hidden="true" customHeight="false" outlineLevel="0" collapsed="false">
      <c r="B663" s="1" t="s">
        <v>381</v>
      </c>
      <c r="C663" s="1" t="s">
        <v>277</v>
      </c>
      <c r="D663" s="14" t="n">
        <v>46010.6555555556</v>
      </c>
      <c r="E663" s="14" t="n">
        <v>46010.6555555556</v>
      </c>
      <c r="F663" s="14" t="n">
        <v>46010.6868055556</v>
      </c>
      <c r="G663" s="15" t="n">
        <f aca="false">F663-E663</f>
        <v>0.03125</v>
      </c>
      <c r="H663" s="20" t="s">
        <v>248</v>
      </c>
      <c r="J663" s="20" t="s">
        <v>256</v>
      </c>
      <c r="K663" s="1" t="e">
        <f aca="false">_xlfn.xlookup(J663,REF!$D$2:$D$12,REF!$E$2:$E$12)</f>
        <v>#NAME?</v>
      </c>
      <c r="L663" s="1" t="s">
        <v>836</v>
      </c>
      <c r="M663" s="20" t="s">
        <v>258</v>
      </c>
      <c r="N663" s="20" t="s">
        <v>259</v>
      </c>
      <c r="O663" s="1" t="s">
        <v>736</v>
      </c>
      <c r="P663" s="1" t="str">
        <f aca="false">_xlfn.CONCAT(B663,C663,D663,E663,F663)</f>
        <v>ARAGUATINS 1.2Inverter(MBUS-12)46010.655555555646010.655555555646010.6868055556</v>
      </c>
      <c r="Q663" s="1" t="str">
        <f aca="false">_xlfn.CONCAT(H663,I663,J663)</f>
        <v>DAURDE</v>
      </c>
    </row>
    <row r="664" customFormat="false" ht="15" hidden="true" customHeight="false" outlineLevel="0" collapsed="false">
      <c r="B664" s="1" t="s">
        <v>381</v>
      </c>
      <c r="C664" s="1" t="s">
        <v>247</v>
      </c>
      <c r="D664" s="14" t="n">
        <v>46010.6555555556</v>
      </c>
      <c r="E664" s="14" t="n">
        <v>46010.6555555556</v>
      </c>
      <c r="F664" s="14" t="n">
        <v>46010.6868055556</v>
      </c>
      <c r="G664" s="15" t="n">
        <f aca="false">F664-E664</f>
        <v>0.03125</v>
      </c>
      <c r="H664" s="20" t="s">
        <v>248</v>
      </c>
      <c r="J664" s="20" t="s">
        <v>256</v>
      </c>
      <c r="K664" s="1" t="e">
        <f aca="false">_xlfn.xlookup(J664,REF!$D$2:$D$12,REF!$E$2:$E$12)</f>
        <v>#NAME?</v>
      </c>
      <c r="L664" s="1" t="s">
        <v>836</v>
      </c>
      <c r="M664" s="20" t="s">
        <v>258</v>
      </c>
      <c r="N664" s="20" t="s">
        <v>259</v>
      </c>
      <c r="O664" s="1" t="s">
        <v>736</v>
      </c>
      <c r="P664" s="1" t="str">
        <f aca="false">_xlfn.CONCAT(B664,C664,D664,E664,F664)</f>
        <v>ARAGUATINS 1.2Inverter(MBUS-13)46010.655555555646010.655555555646010.6868055556</v>
      </c>
      <c r="Q664" s="1" t="str">
        <f aca="false">_xlfn.CONCAT(H664,I664,J664)</f>
        <v>DAURDE</v>
      </c>
    </row>
    <row r="665" customFormat="false" ht="15" hidden="true" customHeight="false" outlineLevel="0" collapsed="false">
      <c r="B665" s="1" t="s">
        <v>381</v>
      </c>
      <c r="C665" s="1" t="s">
        <v>280</v>
      </c>
      <c r="D665" s="14" t="n">
        <v>46010.6555555556</v>
      </c>
      <c r="E665" s="14" t="n">
        <v>46010.6555555556</v>
      </c>
      <c r="F665" s="14" t="n">
        <v>46010.6868055556</v>
      </c>
      <c r="G665" s="15" t="n">
        <f aca="false">F665-E665</f>
        <v>0.03125</v>
      </c>
      <c r="H665" s="20" t="s">
        <v>248</v>
      </c>
      <c r="J665" s="20" t="s">
        <v>256</v>
      </c>
      <c r="K665" s="1" t="e">
        <f aca="false">_xlfn.xlookup(J665,REF!$D$2:$D$12,REF!$E$2:$E$12)</f>
        <v>#NAME?</v>
      </c>
      <c r="L665" s="1" t="s">
        <v>836</v>
      </c>
      <c r="M665" s="20" t="s">
        <v>258</v>
      </c>
      <c r="N665" s="20" t="s">
        <v>259</v>
      </c>
      <c r="O665" s="1" t="s">
        <v>736</v>
      </c>
      <c r="P665" s="1" t="str">
        <f aca="false">_xlfn.CONCAT(B665,C665,D665,E665,F665)</f>
        <v>ARAGUATINS 1.2Inverter(MBUS-14)46010.655555555646010.655555555646010.6868055556</v>
      </c>
      <c r="Q665" s="1" t="str">
        <f aca="false">_xlfn.CONCAT(H665,I665,J665)</f>
        <v>DAURDE</v>
      </c>
    </row>
    <row r="666" customFormat="false" ht="15" hidden="true" customHeight="false" outlineLevel="0" collapsed="false">
      <c r="B666" s="1" t="s">
        <v>381</v>
      </c>
      <c r="C666" s="1" t="s">
        <v>279</v>
      </c>
      <c r="D666" s="14" t="n">
        <v>46010.6555555556</v>
      </c>
      <c r="E666" s="14" t="n">
        <v>46010.6555555556</v>
      </c>
      <c r="F666" s="14" t="n">
        <v>46010.6868055556</v>
      </c>
      <c r="G666" s="15" t="n">
        <f aca="false">F666-E666</f>
        <v>0.03125</v>
      </c>
      <c r="H666" s="20" t="s">
        <v>248</v>
      </c>
      <c r="J666" s="20" t="s">
        <v>256</v>
      </c>
      <c r="K666" s="1" t="e">
        <f aca="false">_xlfn.xlookup(J666,REF!$D$2:$D$12,REF!$E$2:$E$12)</f>
        <v>#NAME?</v>
      </c>
      <c r="L666" s="1" t="s">
        <v>836</v>
      </c>
      <c r="M666" s="20" t="s">
        <v>258</v>
      </c>
      <c r="N666" s="20" t="s">
        <v>259</v>
      </c>
      <c r="O666" s="1" t="s">
        <v>736</v>
      </c>
      <c r="P666" s="1" t="str">
        <f aca="false">_xlfn.CONCAT(B666,C666,D666,E666,F666)</f>
        <v>ARAGUATINS 1.2Inverter(MBUS-15)46010.655555555646010.655555555646010.6868055556</v>
      </c>
      <c r="Q666" s="1" t="str">
        <f aca="false">_xlfn.CONCAT(H666,I666,J666)</f>
        <v>DAURDE</v>
      </c>
    </row>
    <row r="667" customFormat="false" ht="15" hidden="true" customHeight="false" outlineLevel="0" collapsed="false">
      <c r="B667" s="1" t="s">
        <v>382</v>
      </c>
      <c r="C667" s="1" t="s">
        <v>383</v>
      </c>
      <c r="D667" s="14" t="n">
        <v>46010.6555555556</v>
      </c>
      <c r="E667" s="14" t="n">
        <v>46010.6555555556</v>
      </c>
      <c r="F667" s="14" t="n">
        <v>46010.6868055556</v>
      </c>
      <c r="G667" s="15" t="n">
        <f aca="false">F667-E667</f>
        <v>0.03125</v>
      </c>
      <c r="H667" s="20" t="s">
        <v>248</v>
      </c>
      <c r="J667" s="20" t="s">
        <v>256</v>
      </c>
      <c r="K667" s="1" t="e">
        <f aca="false">_xlfn.xlookup(J667,REF!$D$2:$D$12,REF!$E$2:$E$12)</f>
        <v>#NAME?</v>
      </c>
      <c r="L667" s="1" t="s">
        <v>836</v>
      </c>
      <c r="M667" s="20" t="s">
        <v>258</v>
      </c>
      <c r="N667" s="20" t="s">
        <v>259</v>
      </c>
      <c r="O667" s="1" t="s">
        <v>736</v>
      </c>
      <c r="P667" s="1" t="str">
        <f aca="false">_xlfn.CONCAT(B667,C667,D667,E667,F667)</f>
        <v>ARAGUATINS 1.3Inverter(MBUS-20)46010.655555555646010.655555555646010.6868055556</v>
      </c>
      <c r="Q667" s="1" t="str">
        <f aca="false">_xlfn.CONCAT(H667,I667,J667)</f>
        <v>DAURDE</v>
      </c>
    </row>
    <row r="668" customFormat="false" ht="15" hidden="true" customHeight="false" outlineLevel="0" collapsed="false">
      <c r="B668" s="1" t="s">
        <v>382</v>
      </c>
      <c r="C668" s="1" t="s">
        <v>255</v>
      </c>
      <c r="D668" s="14" t="n">
        <v>46010.6555555556</v>
      </c>
      <c r="E668" s="14" t="n">
        <v>46010.6555555556</v>
      </c>
      <c r="F668" s="14" t="n">
        <v>46010.6868055556</v>
      </c>
      <c r="G668" s="15" t="n">
        <f aca="false">F668-E668</f>
        <v>0.03125</v>
      </c>
      <c r="H668" s="20" t="s">
        <v>248</v>
      </c>
      <c r="J668" s="20" t="s">
        <v>256</v>
      </c>
      <c r="K668" s="1" t="e">
        <f aca="false">_xlfn.xlookup(J668,REF!$D$2:$D$12,REF!$E$2:$E$12)</f>
        <v>#NAME?</v>
      </c>
      <c r="L668" s="1" t="s">
        <v>836</v>
      </c>
      <c r="M668" s="20" t="s">
        <v>258</v>
      </c>
      <c r="N668" s="20" t="s">
        <v>259</v>
      </c>
      <c r="O668" s="1" t="s">
        <v>736</v>
      </c>
      <c r="P668" s="1" t="str">
        <f aca="false">_xlfn.CONCAT(B668,C668,D668,E668,F668)</f>
        <v>ARAGUATINS 1.3Inverter(MBUS-1)46010.655555555646010.655555555646010.6868055556</v>
      </c>
      <c r="Q668" s="1" t="str">
        <f aca="false">_xlfn.CONCAT(H668,I668,J668)</f>
        <v>DAURDE</v>
      </c>
    </row>
    <row r="669" customFormat="false" ht="15" hidden="true" customHeight="false" outlineLevel="0" collapsed="false">
      <c r="B669" s="1" t="s">
        <v>276</v>
      </c>
      <c r="C669" s="1" t="s">
        <v>277</v>
      </c>
      <c r="D669" s="14" t="n">
        <v>46010.6555555556</v>
      </c>
      <c r="E669" s="14" t="n">
        <v>46010.6555555556</v>
      </c>
      <c r="F669" s="14" t="n">
        <v>46010.6868055556</v>
      </c>
      <c r="G669" s="15" t="n">
        <f aca="false">F669-E669</f>
        <v>0.03125</v>
      </c>
      <c r="H669" s="20" t="s">
        <v>248</v>
      </c>
      <c r="J669" s="20" t="s">
        <v>256</v>
      </c>
      <c r="K669" s="1" t="e">
        <f aca="false">_xlfn.xlookup(J669,REF!$D$2:$D$12,REF!$E$2:$E$12)</f>
        <v>#NAME?</v>
      </c>
      <c r="L669" s="1" t="s">
        <v>836</v>
      </c>
      <c r="M669" s="20" t="s">
        <v>258</v>
      </c>
      <c r="N669" s="20" t="s">
        <v>259</v>
      </c>
      <c r="O669" s="1" t="s">
        <v>736</v>
      </c>
      <c r="P669" s="1" t="str">
        <f aca="false">_xlfn.CONCAT(B669,C669,D669,E669,F669)</f>
        <v>ARAGUATINS 2.1Inverter(MBUS-12)46010.655555555646010.655555555646010.6868055556</v>
      </c>
      <c r="Q669" s="1" t="str">
        <f aca="false">_xlfn.CONCAT(H669,I669,J669)</f>
        <v>DAURDE</v>
      </c>
    </row>
    <row r="670" customFormat="false" ht="15" hidden="true" customHeight="false" outlineLevel="0" collapsed="false">
      <c r="B670" s="1" t="s">
        <v>276</v>
      </c>
      <c r="C670" s="1" t="s">
        <v>279</v>
      </c>
      <c r="D670" s="14" t="n">
        <v>46010.6555555556</v>
      </c>
      <c r="E670" s="14" t="n">
        <v>46010.6555555556</v>
      </c>
      <c r="F670" s="14" t="n">
        <v>46010.6868055556</v>
      </c>
      <c r="G670" s="15" t="n">
        <f aca="false">F670-E670</f>
        <v>0.03125</v>
      </c>
      <c r="H670" s="20" t="s">
        <v>248</v>
      </c>
      <c r="J670" s="20" t="s">
        <v>256</v>
      </c>
      <c r="K670" s="1" t="e">
        <f aca="false">_xlfn.xlookup(J670,REF!$D$2:$D$12,REF!$E$2:$E$12)</f>
        <v>#NAME?</v>
      </c>
      <c r="L670" s="1" t="s">
        <v>836</v>
      </c>
      <c r="M670" s="20" t="s">
        <v>258</v>
      </c>
      <c r="N670" s="20" t="s">
        <v>259</v>
      </c>
      <c r="O670" s="1" t="s">
        <v>736</v>
      </c>
      <c r="P670" s="1" t="str">
        <f aca="false">_xlfn.CONCAT(B670,C670,D670,E670,F670)</f>
        <v>ARAGUATINS 2.1Inverter(MBUS-15)46010.655555555646010.655555555646010.6868055556</v>
      </c>
      <c r="Q670" s="1" t="str">
        <f aca="false">_xlfn.CONCAT(H670,I670,J670)</f>
        <v>DAURDE</v>
      </c>
    </row>
    <row r="671" customFormat="false" ht="15" hidden="true" customHeight="false" outlineLevel="0" collapsed="false">
      <c r="B671" s="1" t="s">
        <v>276</v>
      </c>
      <c r="C671" s="1" t="s">
        <v>280</v>
      </c>
      <c r="D671" s="14" t="n">
        <v>46010.6555555556</v>
      </c>
      <c r="E671" s="14" t="n">
        <v>46010.6555555556</v>
      </c>
      <c r="F671" s="14" t="n">
        <v>46010.6868055556</v>
      </c>
      <c r="G671" s="15" t="n">
        <f aca="false">F671-E671</f>
        <v>0.03125</v>
      </c>
      <c r="H671" s="20" t="s">
        <v>248</v>
      </c>
      <c r="J671" s="20" t="s">
        <v>256</v>
      </c>
      <c r="K671" s="1" t="e">
        <f aca="false">_xlfn.xlookup(J671,REF!$D$2:$D$12,REF!$E$2:$E$12)</f>
        <v>#NAME?</v>
      </c>
      <c r="L671" s="1" t="s">
        <v>836</v>
      </c>
      <c r="M671" s="20" t="s">
        <v>258</v>
      </c>
      <c r="N671" s="20" t="s">
        <v>259</v>
      </c>
      <c r="O671" s="1" t="s">
        <v>736</v>
      </c>
      <c r="P671" s="1" t="str">
        <f aca="false">_xlfn.CONCAT(B671,C671,D671,E671,F671)</f>
        <v>ARAGUATINS 2.1Inverter(MBUS-14)46010.655555555646010.655555555646010.6868055556</v>
      </c>
      <c r="Q671" s="1" t="str">
        <f aca="false">_xlfn.CONCAT(H671,I671,J671)</f>
        <v>DAURDE</v>
      </c>
    </row>
    <row r="672" customFormat="false" ht="15" hidden="true" customHeight="false" outlineLevel="0" collapsed="false">
      <c r="B672" s="1" t="s">
        <v>276</v>
      </c>
      <c r="C672" s="1" t="s">
        <v>255</v>
      </c>
      <c r="D672" s="14" t="n">
        <v>46010.6555555556</v>
      </c>
      <c r="E672" s="14" t="n">
        <v>46010.6555555556</v>
      </c>
      <c r="F672" s="14" t="n">
        <v>46010.6868055556</v>
      </c>
      <c r="G672" s="15" t="n">
        <f aca="false">F672-E672</f>
        <v>0.03125</v>
      </c>
      <c r="H672" s="20" t="s">
        <v>248</v>
      </c>
      <c r="J672" s="20" t="s">
        <v>256</v>
      </c>
      <c r="K672" s="1" t="e">
        <f aca="false">_xlfn.xlookup(J672,REF!$D$2:$D$12,REF!$E$2:$E$12)</f>
        <v>#NAME?</v>
      </c>
      <c r="L672" s="1" t="s">
        <v>836</v>
      </c>
      <c r="M672" s="20" t="s">
        <v>258</v>
      </c>
      <c r="N672" s="20" t="s">
        <v>259</v>
      </c>
      <c r="O672" s="1" t="s">
        <v>736</v>
      </c>
      <c r="P672" s="1" t="str">
        <f aca="false">_xlfn.CONCAT(B672,C672,D672,E672,F672)</f>
        <v>ARAGUATINS 2.1Inverter(MBUS-1)46010.655555555646010.655555555646010.6868055556</v>
      </c>
      <c r="Q672" s="1" t="str">
        <f aca="false">_xlfn.CONCAT(H672,I672,J672)</f>
        <v>DAURDE</v>
      </c>
    </row>
    <row r="673" customFormat="false" ht="15" hidden="true" customHeight="false" outlineLevel="0" collapsed="false">
      <c r="B673" s="1" t="s">
        <v>386</v>
      </c>
      <c r="C673" s="1" t="s">
        <v>279</v>
      </c>
      <c r="D673" s="14" t="n">
        <v>46010.6555555556</v>
      </c>
      <c r="E673" s="14" t="n">
        <v>46010.6555555556</v>
      </c>
      <c r="F673" s="14" t="n">
        <v>46010.6868055556</v>
      </c>
      <c r="G673" s="15" t="n">
        <f aca="false">F673-E673</f>
        <v>0.03125</v>
      </c>
      <c r="H673" s="20" t="s">
        <v>248</v>
      </c>
      <c r="J673" s="20" t="s">
        <v>256</v>
      </c>
      <c r="K673" s="1" t="e">
        <f aca="false">_xlfn.xlookup(J673,REF!$D$2:$D$12,REF!$E$2:$E$12)</f>
        <v>#NAME?</v>
      </c>
      <c r="L673" s="1" t="s">
        <v>836</v>
      </c>
      <c r="M673" s="20" t="s">
        <v>258</v>
      </c>
      <c r="N673" s="20" t="s">
        <v>259</v>
      </c>
      <c r="O673" s="1" t="s">
        <v>736</v>
      </c>
      <c r="P673" s="1" t="str">
        <f aca="false">_xlfn.CONCAT(B673,C673,D673,E673,F673)</f>
        <v>ARAGUATINS 2.2Inverter(MBUS-15)46010.655555555646010.655555555646010.6868055556</v>
      </c>
      <c r="Q673" s="1" t="str">
        <f aca="false">_xlfn.CONCAT(H673,I673,J673)</f>
        <v>DAURDE</v>
      </c>
    </row>
    <row r="674" customFormat="false" ht="15" hidden="true" customHeight="false" outlineLevel="0" collapsed="false">
      <c r="B674" s="1" t="s">
        <v>386</v>
      </c>
      <c r="C674" s="1" t="s">
        <v>247</v>
      </c>
      <c r="D674" s="14" t="n">
        <v>46010.6555555556</v>
      </c>
      <c r="E674" s="14" t="n">
        <v>46010.6555555556</v>
      </c>
      <c r="F674" s="14" t="n">
        <v>46010.6868055556</v>
      </c>
      <c r="G674" s="15" t="n">
        <f aca="false">F674-E674</f>
        <v>0.03125</v>
      </c>
      <c r="H674" s="20" t="s">
        <v>248</v>
      </c>
      <c r="J674" s="20" t="s">
        <v>256</v>
      </c>
      <c r="K674" s="1" t="e">
        <f aca="false">_xlfn.xlookup(J674,REF!$D$2:$D$12,REF!$E$2:$E$12)</f>
        <v>#NAME?</v>
      </c>
      <c r="L674" s="1" t="s">
        <v>836</v>
      </c>
      <c r="M674" s="20" t="s">
        <v>258</v>
      </c>
      <c r="N674" s="20" t="s">
        <v>259</v>
      </c>
      <c r="O674" s="1" t="s">
        <v>736</v>
      </c>
      <c r="P674" s="1" t="str">
        <f aca="false">_xlfn.CONCAT(B674,C674,D674,E674,F674)</f>
        <v>ARAGUATINS 2.2Inverter(MBUS-13)46010.655555555646010.655555555646010.6868055556</v>
      </c>
      <c r="Q674" s="1" t="str">
        <f aca="false">_xlfn.CONCAT(H674,I674,J674)</f>
        <v>DAURDE</v>
      </c>
    </row>
    <row r="675" customFormat="false" ht="15" hidden="true" customHeight="false" outlineLevel="0" collapsed="false">
      <c r="B675" s="1" t="s">
        <v>386</v>
      </c>
      <c r="C675" s="1" t="s">
        <v>280</v>
      </c>
      <c r="D675" s="14" t="n">
        <v>46010.6555555556</v>
      </c>
      <c r="E675" s="14" t="n">
        <v>46010.6555555556</v>
      </c>
      <c r="F675" s="14" t="n">
        <v>46010.6868055556</v>
      </c>
      <c r="G675" s="15" t="n">
        <f aca="false">F675-E675</f>
        <v>0.03125</v>
      </c>
      <c r="H675" s="20" t="s">
        <v>248</v>
      </c>
      <c r="J675" s="20" t="s">
        <v>256</v>
      </c>
      <c r="K675" s="1" t="e">
        <f aca="false">_xlfn.xlookup(J675,REF!$D$2:$D$12,REF!$E$2:$E$12)</f>
        <v>#NAME?</v>
      </c>
      <c r="L675" s="1" t="s">
        <v>836</v>
      </c>
      <c r="M675" s="20" t="s">
        <v>258</v>
      </c>
      <c r="N675" s="20" t="s">
        <v>259</v>
      </c>
      <c r="O675" s="1" t="s">
        <v>736</v>
      </c>
      <c r="P675" s="1" t="str">
        <f aca="false">_xlfn.CONCAT(B675,C675,D675,E675,F675)</f>
        <v>ARAGUATINS 2.2Inverter(MBUS-14)46010.655555555646010.655555555646010.6868055556</v>
      </c>
      <c r="Q675" s="1" t="str">
        <f aca="false">_xlfn.CONCAT(H675,I675,J675)</f>
        <v>DAURDE</v>
      </c>
    </row>
    <row r="676" customFormat="false" ht="15" hidden="true" customHeight="false" outlineLevel="0" collapsed="false">
      <c r="B676" s="1" t="s">
        <v>386</v>
      </c>
      <c r="C676" s="1" t="s">
        <v>277</v>
      </c>
      <c r="D676" s="14" t="n">
        <v>46010.6555555556</v>
      </c>
      <c r="E676" s="14" t="n">
        <v>46010.6555555556</v>
      </c>
      <c r="F676" s="14" t="n">
        <v>46010.6868055556</v>
      </c>
      <c r="G676" s="15" t="n">
        <f aca="false">F676-E676</f>
        <v>0.03125</v>
      </c>
      <c r="H676" s="20" t="s">
        <v>248</v>
      </c>
      <c r="J676" s="20" t="s">
        <v>256</v>
      </c>
      <c r="K676" s="1" t="e">
        <f aca="false">_xlfn.xlookup(J676,REF!$D$2:$D$12,REF!$E$2:$E$12)</f>
        <v>#NAME?</v>
      </c>
      <c r="L676" s="1" t="s">
        <v>836</v>
      </c>
      <c r="M676" s="20" t="s">
        <v>258</v>
      </c>
      <c r="N676" s="20" t="s">
        <v>259</v>
      </c>
      <c r="O676" s="1" t="s">
        <v>736</v>
      </c>
      <c r="P676" s="1" t="str">
        <f aca="false">_xlfn.CONCAT(B676,C676,D676,E676,F676)</f>
        <v>ARAGUATINS 2.2Inverter(MBUS-12)46010.655555555646010.655555555646010.6868055556</v>
      </c>
      <c r="Q676" s="1" t="str">
        <f aca="false">_xlfn.CONCAT(H676,I676,J676)</f>
        <v>DAURDE</v>
      </c>
    </row>
    <row r="677" customFormat="false" ht="15" hidden="true" customHeight="false" outlineLevel="0" collapsed="false">
      <c r="B677" s="1" t="s">
        <v>254</v>
      </c>
      <c r="C677" s="1" t="s">
        <v>255</v>
      </c>
      <c r="D677" s="14" t="n">
        <v>46005.4534722222</v>
      </c>
      <c r="E677" s="14" t="n">
        <v>46005.4534722222</v>
      </c>
      <c r="F677" s="14" t="n">
        <v>46005.6125</v>
      </c>
      <c r="G677" s="15" t="n">
        <f aca="false">F677-E677</f>
        <v>0.159027777777778</v>
      </c>
      <c r="H677" s="20" t="s">
        <v>248</v>
      </c>
      <c r="J677" s="20" t="s">
        <v>256</v>
      </c>
      <c r="K677" s="1" t="e">
        <f aca="false">_xlfn.xlookup(J677,REF!$D$2:$D$12,REF!$E$2:$E$12)</f>
        <v>#NAME?</v>
      </c>
      <c r="L677" s="1" t="s">
        <v>257</v>
      </c>
      <c r="M677" s="20" t="s">
        <v>258</v>
      </c>
      <c r="N677" s="20" t="s">
        <v>379</v>
      </c>
      <c r="O677" s="1" t="s">
        <v>399</v>
      </c>
      <c r="P677" s="1" t="str">
        <f aca="false">_xlfn.CONCAT(B677,C677,D677,E677,F677)</f>
        <v>BC Aracu5.1Inverter(MBUS-1)46005.453472222246005.453472222246005.6125</v>
      </c>
      <c r="Q677" s="1" t="str">
        <f aca="false">_xlfn.CONCAT(H677,I677,J677)</f>
        <v>DAURDE</v>
      </c>
    </row>
    <row r="678" customFormat="false" ht="15" hidden="true" customHeight="false" outlineLevel="0" collapsed="false">
      <c r="B678" s="1" t="s">
        <v>307</v>
      </c>
      <c r="C678" s="1" t="s">
        <v>255</v>
      </c>
      <c r="D678" s="14" t="n">
        <v>46005.4534722222</v>
      </c>
      <c r="E678" s="14" t="n">
        <v>46005.4534722222</v>
      </c>
      <c r="F678" s="14" t="n">
        <v>46005.6125</v>
      </c>
      <c r="G678" s="15" t="n">
        <f aca="false">F678-E678</f>
        <v>0.159027777777778</v>
      </c>
      <c r="H678" s="20" t="s">
        <v>248</v>
      </c>
      <c r="J678" s="20" t="s">
        <v>256</v>
      </c>
      <c r="K678" s="1" t="e">
        <f aca="false">_xlfn.xlookup(J678,REF!$D$2:$D$12,REF!$E$2:$E$12)</f>
        <v>#NAME?</v>
      </c>
      <c r="L678" s="1" t="s">
        <v>257</v>
      </c>
      <c r="M678" s="20" t="s">
        <v>258</v>
      </c>
      <c r="N678" s="20" t="s">
        <v>379</v>
      </c>
      <c r="O678" s="1" t="s">
        <v>399</v>
      </c>
      <c r="P678" s="1" t="str">
        <f aca="false">_xlfn.CONCAT(B678,C678,D678,E678,F678)</f>
        <v>BC Aracu5.2Inverter(MBUS-1)46005.453472222246005.453472222246005.6125</v>
      </c>
      <c r="Q678" s="1" t="str">
        <f aca="false">_xlfn.CONCAT(H678,I678,J678)</f>
        <v>DAURDE</v>
      </c>
    </row>
    <row r="679" customFormat="false" ht="15" hidden="true" customHeight="false" outlineLevel="0" collapsed="false">
      <c r="B679" s="1" t="s">
        <v>308</v>
      </c>
      <c r="C679" s="1" t="s">
        <v>255</v>
      </c>
      <c r="D679" s="14" t="n">
        <v>46005.4534722222</v>
      </c>
      <c r="E679" s="14" t="n">
        <v>46005.4534722222</v>
      </c>
      <c r="F679" s="14" t="n">
        <v>46005.6125</v>
      </c>
      <c r="G679" s="15" t="n">
        <f aca="false">F679-E679</f>
        <v>0.159027777777778</v>
      </c>
      <c r="H679" s="20" t="s">
        <v>248</v>
      </c>
      <c r="J679" s="20" t="s">
        <v>256</v>
      </c>
      <c r="K679" s="1" t="e">
        <f aca="false">_xlfn.xlookup(J679,REF!$D$2:$D$12,REF!$E$2:$E$12)</f>
        <v>#NAME?</v>
      </c>
      <c r="L679" s="1" t="s">
        <v>257</v>
      </c>
      <c r="M679" s="20" t="s">
        <v>258</v>
      </c>
      <c r="N679" s="20" t="s">
        <v>379</v>
      </c>
      <c r="O679" s="1" t="s">
        <v>399</v>
      </c>
      <c r="P679" s="1" t="str">
        <f aca="false">_xlfn.CONCAT(B679,C679,D679,E679,F679)</f>
        <v>BC Aracu5.3Inverter(MBUS-1)46005.453472222246005.453472222246005.6125</v>
      </c>
      <c r="Q679" s="1" t="str">
        <f aca="false">_xlfn.CONCAT(H679,I679,J679)</f>
        <v>DAURDE</v>
      </c>
    </row>
    <row r="680" customFormat="false" ht="15" hidden="true" customHeight="false" outlineLevel="0" collapsed="false">
      <c r="B680" s="1" t="s">
        <v>309</v>
      </c>
      <c r="C680" s="1" t="s">
        <v>255</v>
      </c>
      <c r="D680" s="14" t="n">
        <v>46005.4534722222</v>
      </c>
      <c r="E680" s="14" t="n">
        <v>46005.4534722222</v>
      </c>
      <c r="F680" s="14" t="n">
        <v>46005.6125</v>
      </c>
      <c r="G680" s="15" t="n">
        <f aca="false">F680-E680</f>
        <v>0.159027777777778</v>
      </c>
      <c r="H680" s="20" t="s">
        <v>248</v>
      </c>
      <c r="J680" s="20" t="s">
        <v>256</v>
      </c>
      <c r="K680" s="1" t="e">
        <f aca="false">_xlfn.xlookup(J680,REF!$D$2:$D$12,REF!$E$2:$E$12)</f>
        <v>#NAME?</v>
      </c>
      <c r="L680" s="1" t="s">
        <v>257</v>
      </c>
      <c r="M680" s="20" t="s">
        <v>258</v>
      </c>
      <c r="N680" s="20" t="s">
        <v>379</v>
      </c>
      <c r="O680" s="1" t="s">
        <v>399</v>
      </c>
      <c r="P680" s="1" t="str">
        <f aca="false">_xlfn.CONCAT(B680,C680,D680,E680,F680)</f>
        <v>BC Aracu5.4Inverter(MBUS-1)46005.453472222246005.453472222246005.6125</v>
      </c>
      <c r="Q680" s="1" t="str">
        <f aca="false">_xlfn.CONCAT(H680,I680,J680)</f>
        <v>DAURDE</v>
      </c>
    </row>
    <row r="681" customFormat="false" ht="15" hidden="true" customHeight="false" outlineLevel="0" collapsed="false">
      <c r="B681" s="1" t="s">
        <v>310</v>
      </c>
      <c r="C681" s="1" t="s">
        <v>255</v>
      </c>
      <c r="D681" s="14" t="n">
        <v>46005.4534722222</v>
      </c>
      <c r="E681" s="14" t="n">
        <v>46005.4534722222</v>
      </c>
      <c r="F681" s="14" t="n">
        <v>46005.6125</v>
      </c>
      <c r="G681" s="15" t="n">
        <f aca="false">F681-E681</f>
        <v>0.159027777777778</v>
      </c>
      <c r="H681" s="20" t="s">
        <v>248</v>
      </c>
      <c r="J681" s="20" t="s">
        <v>256</v>
      </c>
      <c r="K681" s="1" t="e">
        <f aca="false">_xlfn.xlookup(J681,REF!$D$2:$D$12,REF!$E$2:$E$12)</f>
        <v>#NAME?</v>
      </c>
      <c r="L681" s="1" t="s">
        <v>257</v>
      </c>
      <c r="M681" s="20" t="s">
        <v>258</v>
      </c>
      <c r="N681" s="20" t="s">
        <v>379</v>
      </c>
      <c r="O681" s="1" t="s">
        <v>399</v>
      </c>
      <c r="P681" s="1" t="str">
        <f aca="false">_xlfn.CONCAT(B681,C681,D681,E681,F681)</f>
        <v>BC Aracu5.5Inverter(MBUS-1)46005.453472222246005.453472222246005.6125</v>
      </c>
      <c r="Q681" s="1" t="str">
        <f aca="false">_xlfn.CONCAT(H681,I681,J681)</f>
        <v>DAURDE</v>
      </c>
    </row>
    <row r="682" customFormat="false" ht="15" hidden="true" customHeight="false" outlineLevel="0" collapsed="false">
      <c r="B682" s="1" t="s">
        <v>380</v>
      </c>
      <c r="C682" s="1" t="s">
        <v>277</v>
      </c>
      <c r="D682" s="14" t="n">
        <v>46007.6875</v>
      </c>
      <c r="E682" s="14" t="n">
        <v>46007.6875</v>
      </c>
      <c r="F682" s="14" t="n">
        <v>46007.71875</v>
      </c>
      <c r="G682" s="15" t="n">
        <f aca="false">F682-E682</f>
        <v>0.03125</v>
      </c>
      <c r="H682" s="20" t="s">
        <v>248</v>
      </c>
      <c r="J682" s="20" t="s">
        <v>256</v>
      </c>
      <c r="K682" s="1" t="e">
        <f aca="false">_xlfn.xlookup(J682,REF!$D$2:$D$12,REF!$E$2:$E$12)</f>
        <v>#NAME?</v>
      </c>
      <c r="L682" s="1" t="s">
        <v>835</v>
      </c>
      <c r="M682" s="20" t="s">
        <v>258</v>
      </c>
      <c r="N682" s="20" t="s">
        <v>379</v>
      </c>
      <c r="O682" s="1" t="s">
        <v>399</v>
      </c>
      <c r="P682" s="1" t="str">
        <f aca="false">_xlfn.CONCAT(B682,C682,D682,E682,F682)</f>
        <v>ARAGUATINS 1.1Inverter(MBUS-12)46007.687546007.687546007.71875</v>
      </c>
      <c r="Q682" s="1" t="str">
        <f aca="false">_xlfn.CONCAT(H682,I682,J682)</f>
        <v>DAURDE</v>
      </c>
    </row>
    <row r="683" customFormat="false" ht="15" hidden="true" customHeight="false" outlineLevel="0" collapsed="false">
      <c r="B683" s="1" t="s">
        <v>380</v>
      </c>
      <c r="C683" s="1" t="s">
        <v>247</v>
      </c>
      <c r="D683" s="14" t="n">
        <v>46007.6875</v>
      </c>
      <c r="E683" s="14" t="n">
        <v>46007.6875</v>
      </c>
      <c r="F683" s="14" t="n">
        <v>46007.71875</v>
      </c>
      <c r="G683" s="15" t="n">
        <f aca="false">F683-E683</f>
        <v>0.03125</v>
      </c>
      <c r="H683" s="20" t="s">
        <v>248</v>
      </c>
      <c r="J683" s="20" t="s">
        <v>256</v>
      </c>
      <c r="K683" s="1" t="e">
        <f aca="false">_xlfn.xlookup(J683,REF!$D$2:$D$12,REF!$E$2:$E$12)</f>
        <v>#NAME?</v>
      </c>
      <c r="L683" s="1" t="s">
        <v>835</v>
      </c>
      <c r="M683" s="20" t="s">
        <v>258</v>
      </c>
      <c r="N683" s="20" t="s">
        <v>379</v>
      </c>
      <c r="O683" s="1" t="s">
        <v>399</v>
      </c>
      <c r="P683" s="1" t="str">
        <f aca="false">_xlfn.CONCAT(B683,C683,D683,E683,F683)</f>
        <v>ARAGUATINS 1.1Inverter(MBUS-13)46007.687546007.687546007.71875</v>
      </c>
      <c r="Q683" s="1" t="str">
        <f aca="false">_xlfn.CONCAT(H683,I683,J683)</f>
        <v>DAURDE</v>
      </c>
    </row>
    <row r="684" customFormat="false" ht="15" hidden="true" customHeight="false" outlineLevel="0" collapsed="false">
      <c r="B684" s="1" t="s">
        <v>380</v>
      </c>
      <c r="C684" s="1" t="s">
        <v>280</v>
      </c>
      <c r="D684" s="14" t="n">
        <v>46007.6875</v>
      </c>
      <c r="E684" s="14" t="n">
        <v>46007.6875</v>
      </c>
      <c r="F684" s="14" t="n">
        <v>46007.71875</v>
      </c>
      <c r="G684" s="15" t="n">
        <f aca="false">F684-E684</f>
        <v>0.03125</v>
      </c>
      <c r="H684" s="20" t="s">
        <v>248</v>
      </c>
      <c r="J684" s="20" t="s">
        <v>256</v>
      </c>
      <c r="K684" s="1" t="e">
        <f aca="false">_xlfn.xlookup(J684,REF!$D$2:$D$12,REF!$E$2:$E$12)</f>
        <v>#NAME?</v>
      </c>
      <c r="L684" s="1" t="s">
        <v>835</v>
      </c>
      <c r="M684" s="20" t="s">
        <v>258</v>
      </c>
      <c r="N684" s="20" t="s">
        <v>379</v>
      </c>
      <c r="O684" s="1" t="s">
        <v>399</v>
      </c>
      <c r="P684" s="1" t="str">
        <f aca="false">_xlfn.CONCAT(B684,C684,D684,E684,F684)</f>
        <v>ARAGUATINS 1.1Inverter(MBUS-14)46007.687546007.687546007.71875</v>
      </c>
      <c r="Q684" s="1" t="str">
        <f aca="false">_xlfn.CONCAT(H684,I684,J684)</f>
        <v>DAURDE</v>
      </c>
    </row>
    <row r="685" customFormat="false" ht="15" hidden="true" customHeight="false" outlineLevel="0" collapsed="false">
      <c r="B685" s="1" t="s">
        <v>380</v>
      </c>
      <c r="C685" s="1" t="s">
        <v>279</v>
      </c>
      <c r="D685" s="14" t="n">
        <v>46007.6875</v>
      </c>
      <c r="E685" s="14" t="n">
        <v>46007.6875</v>
      </c>
      <c r="F685" s="14" t="n">
        <v>46007.71875</v>
      </c>
      <c r="G685" s="15" t="n">
        <f aca="false">F685-E685</f>
        <v>0.03125</v>
      </c>
      <c r="H685" s="20" t="s">
        <v>248</v>
      </c>
      <c r="J685" s="20" t="s">
        <v>256</v>
      </c>
      <c r="K685" s="1" t="e">
        <f aca="false">_xlfn.xlookup(J685,REF!$D$2:$D$12,REF!$E$2:$E$12)</f>
        <v>#NAME?</v>
      </c>
      <c r="L685" s="1" t="s">
        <v>835</v>
      </c>
      <c r="M685" s="20" t="s">
        <v>258</v>
      </c>
      <c r="N685" s="20" t="s">
        <v>379</v>
      </c>
      <c r="O685" s="1" t="s">
        <v>399</v>
      </c>
      <c r="P685" s="1" t="str">
        <f aca="false">_xlfn.CONCAT(B685,C685,D685,E685,F685)</f>
        <v>ARAGUATINS 1.1Inverter(MBUS-15)46007.687546007.687546007.71875</v>
      </c>
      <c r="Q685" s="1" t="str">
        <f aca="false">_xlfn.CONCAT(H685,I685,J685)</f>
        <v>DAURDE</v>
      </c>
    </row>
    <row r="686" customFormat="false" ht="15" hidden="true" customHeight="false" outlineLevel="0" collapsed="false">
      <c r="B686" s="1" t="s">
        <v>381</v>
      </c>
      <c r="C686" s="1" t="s">
        <v>277</v>
      </c>
      <c r="D686" s="14" t="n">
        <v>46007.6875</v>
      </c>
      <c r="E686" s="14" t="n">
        <v>46007.6875</v>
      </c>
      <c r="F686" s="14" t="n">
        <v>46007.71875</v>
      </c>
      <c r="G686" s="15" t="n">
        <f aca="false">F686-E686</f>
        <v>0.03125</v>
      </c>
      <c r="H686" s="20" t="s">
        <v>248</v>
      </c>
      <c r="J686" s="20" t="s">
        <v>256</v>
      </c>
      <c r="K686" s="1" t="e">
        <f aca="false">_xlfn.xlookup(J686,REF!$D$2:$D$12,REF!$E$2:$E$12)</f>
        <v>#NAME?</v>
      </c>
      <c r="L686" s="1" t="s">
        <v>835</v>
      </c>
      <c r="M686" s="20" t="s">
        <v>258</v>
      </c>
      <c r="N686" s="20" t="s">
        <v>379</v>
      </c>
      <c r="O686" s="1" t="s">
        <v>399</v>
      </c>
      <c r="P686" s="1" t="str">
        <f aca="false">_xlfn.CONCAT(B686,C686,D686,E686,F686)</f>
        <v>ARAGUATINS 1.2Inverter(MBUS-12)46007.687546007.687546007.71875</v>
      </c>
      <c r="Q686" s="1" t="str">
        <f aca="false">_xlfn.CONCAT(H686,I686,J686)</f>
        <v>DAURDE</v>
      </c>
    </row>
    <row r="687" customFormat="false" ht="15" hidden="true" customHeight="false" outlineLevel="0" collapsed="false">
      <c r="B687" s="1" t="s">
        <v>381</v>
      </c>
      <c r="C687" s="1" t="s">
        <v>247</v>
      </c>
      <c r="D687" s="14" t="n">
        <v>46007.6875</v>
      </c>
      <c r="E687" s="14" t="n">
        <v>46007.6875</v>
      </c>
      <c r="F687" s="14" t="n">
        <v>46007.71875</v>
      </c>
      <c r="G687" s="15" t="n">
        <f aca="false">F687-E687</f>
        <v>0.03125</v>
      </c>
      <c r="H687" s="20" t="s">
        <v>248</v>
      </c>
      <c r="J687" s="20" t="s">
        <v>256</v>
      </c>
      <c r="K687" s="1" t="e">
        <f aca="false">_xlfn.xlookup(J687,REF!$D$2:$D$12,REF!$E$2:$E$12)</f>
        <v>#NAME?</v>
      </c>
      <c r="L687" s="1" t="s">
        <v>835</v>
      </c>
      <c r="M687" s="20" t="s">
        <v>258</v>
      </c>
      <c r="N687" s="20" t="s">
        <v>379</v>
      </c>
      <c r="O687" s="1" t="s">
        <v>399</v>
      </c>
      <c r="P687" s="1" t="str">
        <f aca="false">_xlfn.CONCAT(B687,C687,D687,E687,F687)</f>
        <v>ARAGUATINS 1.2Inverter(MBUS-13)46007.687546007.687546007.71875</v>
      </c>
      <c r="Q687" s="1" t="str">
        <f aca="false">_xlfn.CONCAT(H687,I687,J687)</f>
        <v>DAURDE</v>
      </c>
    </row>
    <row r="688" customFormat="false" ht="15" hidden="true" customHeight="false" outlineLevel="0" collapsed="false">
      <c r="B688" s="1" t="s">
        <v>381</v>
      </c>
      <c r="C688" s="1" t="s">
        <v>280</v>
      </c>
      <c r="D688" s="14" t="n">
        <v>46007.6875</v>
      </c>
      <c r="E688" s="14" t="n">
        <v>46007.6875</v>
      </c>
      <c r="F688" s="14" t="n">
        <v>46007.71875</v>
      </c>
      <c r="G688" s="15" t="n">
        <f aca="false">F688-E688</f>
        <v>0.03125</v>
      </c>
      <c r="H688" s="20" t="s">
        <v>248</v>
      </c>
      <c r="J688" s="20" t="s">
        <v>256</v>
      </c>
      <c r="K688" s="1" t="e">
        <f aca="false">_xlfn.xlookup(J688,REF!$D$2:$D$12,REF!$E$2:$E$12)</f>
        <v>#NAME?</v>
      </c>
      <c r="L688" s="1" t="s">
        <v>835</v>
      </c>
      <c r="M688" s="20" t="s">
        <v>258</v>
      </c>
      <c r="N688" s="20" t="s">
        <v>379</v>
      </c>
      <c r="O688" s="1" t="s">
        <v>399</v>
      </c>
      <c r="P688" s="1" t="str">
        <f aca="false">_xlfn.CONCAT(B688,C688,D688,E688,F688)</f>
        <v>ARAGUATINS 1.2Inverter(MBUS-14)46007.687546007.687546007.71875</v>
      </c>
      <c r="Q688" s="1" t="str">
        <f aca="false">_xlfn.CONCAT(H688,I688,J688)</f>
        <v>DAURDE</v>
      </c>
    </row>
    <row r="689" customFormat="false" ht="15" hidden="true" customHeight="false" outlineLevel="0" collapsed="false">
      <c r="B689" s="1" t="s">
        <v>381</v>
      </c>
      <c r="C689" s="1" t="s">
        <v>279</v>
      </c>
      <c r="D689" s="14" t="n">
        <v>46007.6875</v>
      </c>
      <c r="E689" s="14" t="n">
        <v>46007.6875</v>
      </c>
      <c r="F689" s="14" t="n">
        <v>46007.71875</v>
      </c>
      <c r="G689" s="15" t="n">
        <f aca="false">F689-E689</f>
        <v>0.03125</v>
      </c>
      <c r="H689" s="20" t="s">
        <v>248</v>
      </c>
      <c r="J689" s="20" t="s">
        <v>256</v>
      </c>
      <c r="K689" s="1" t="e">
        <f aca="false">_xlfn.xlookup(J689,REF!$D$2:$D$12,REF!$E$2:$E$12)</f>
        <v>#NAME?</v>
      </c>
      <c r="L689" s="1" t="s">
        <v>835</v>
      </c>
      <c r="M689" s="20" t="s">
        <v>258</v>
      </c>
      <c r="N689" s="20" t="s">
        <v>379</v>
      </c>
      <c r="O689" s="1" t="s">
        <v>399</v>
      </c>
      <c r="P689" s="1" t="str">
        <f aca="false">_xlfn.CONCAT(B689,C689,D689,E689,F689)</f>
        <v>ARAGUATINS 1.2Inverter(MBUS-15)46007.687546007.687546007.71875</v>
      </c>
      <c r="Q689" s="1" t="str">
        <f aca="false">_xlfn.CONCAT(H689,I689,J689)</f>
        <v>DAURDE</v>
      </c>
    </row>
    <row r="690" customFormat="false" ht="15" hidden="true" customHeight="false" outlineLevel="0" collapsed="false">
      <c r="B690" s="1" t="s">
        <v>382</v>
      </c>
      <c r="C690" s="1" t="s">
        <v>383</v>
      </c>
      <c r="D690" s="14" t="n">
        <v>46007.6875</v>
      </c>
      <c r="E690" s="14" t="n">
        <v>46007.6875</v>
      </c>
      <c r="F690" s="14" t="n">
        <v>46007.71875</v>
      </c>
      <c r="G690" s="15" t="n">
        <f aca="false">F690-E690</f>
        <v>0.03125</v>
      </c>
      <c r="H690" s="20" t="s">
        <v>248</v>
      </c>
      <c r="J690" s="20" t="s">
        <v>256</v>
      </c>
      <c r="K690" s="1" t="e">
        <f aca="false">_xlfn.xlookup(J690,REF!$D$2:$D$12,REF!$E$2:$E$12)</f>
        <v>#NAME?</v>
      </c>
      <c r="L690" s="1" t="s">
        <v>835</v>
      </c>
      <c r="M690" s="20" t="s">
        <v>258</v>
      </c>
      <c r="N690" s="20" t="s">
        <v>379</v>
      </c>
      <c r="O690" s="1" t="s">
        <v>399</v>
      </c>
      <c r="P690" s="1" t="str">
        <f aca="false">_xlfn.CONCAT(B690,C690,D690,E690,F690)</f>
        <v>ARAGUATINS 1.3Inverter(MBUS-20)46007.687546007.687546007.71875</v>
      </c>
      <c r="Q690" s="1" t="str">
        <f aca="false">_xlfn.CONCAT(H690,I690,J690)</f>
        <v>DAURDE</v>
      </c>
    </row>
    <row r="691" customFormat="false" ht="15" hidden="true" customHeight="false" outlineLevel="0" collapsed="false">
      <c r="B691" s="1" t="s">
        <v>382</v>
      </c>
      <c r="C691" s="1" t="s">
        <v>255</v>
      </c>
      <c r="D691" s="14" t="n">
        <v>46007.6875</v>
      </c>
      <c r="E691" s="14" t="n">
        <v>46007.6875</v>
      </c>
      <c r="F691" s="14" t="n">
        <v>46007.71875</v>
      </c>
      <c r="G691" s="15" t="n">
        <f aca="false">F691-E691</f>
        <v>0.03125</v>
      </c>
      <c r="H691" s="20" t="s">
        <v>248</v>
      </c>
      <c r="J691" s="20" t="s">
        <v>256</v>
      </c>
      <c r="K691" s="1" t="e">
        <f aca="false">_xlfn.xlookup(J691,REF!$D$2:$D$12,REF!$E$2:$E$12)</f>
        <v>#NAME?</v>
      </c>
      <c r="L691" s="1" t="s">
        <v>835</v>
      </c>
      <c r="M691" s="20" t="s">
        <v>258</v>
      </c>
      <c r="N691" s="20" t="s">
        <v>379</v>
      </c>
      <c r="O691" s="1" t="s">
        <v>399</v>
      </c>
      <c r="P691" s="1" t="str">
        <f aca="false">_xlfn.CONCAT(B691,C691,D691,E691,F691)</f>
        <v>ARAGUATINS 1.3Inverter(MBUS-1)46007.687546007.687546007.71875</v>
      </c>
      <c r="Q691" s="1" t="str">
        <f aca="false">_xlfn.CONCAT(H691,I691,J691)</f>
        <v>DAURDE</v>
      </c>
    </row>
    <row r="692" customFormat="false" ht="15" hidden="true" customHeight="false" outlineLevel="0" collapsed="false">
      <c r="B692" s="1" t="s">
        <v>380</v>
      </c>
      <c r="C692" s="1" t="s">
        <v>277</v>
      </c>
      <c r="D692" s="14" t="n">
        <v>45997.5319444445</v>
      </c>
      <c r="E692" s="14" t="n">
        <v>45997.5319444445</v>
      </c>
      <c r="F692" s="14" t="n">
        <v>45997.5798611111</v>
      </c>
      <c r="G692" s="15" t="n">
        <f aca="false">F692-E692</f>
        <v>0.0479166666666667</v>
      </c>
      <c r="H692" s="20" t="s">
        <v>248</v>
      </c>
      <c r="J692" s="20" t="s">
        <v>256</v>
      </c>
      <c r="K692" s="1" t="e">
        <f aca="false">_xlfn.xlookup(J692,REF!$D$2:$D$12,REF!$E$2:$E$12)</f>
        <v>#NAME?</v>
      </c>
      <c r="L692" s="1" t="s">
        <v>837</v>
      </c>
      <c r="M692" s="20" t="s">
        <v>258</v>
      </c>
      <c r="N692" s="20" t="s">
        <v>379</v>
      </c>
      <c r="O692" s="1" t="s">
        <v>399</v>
      </c>
      <c r="P692" s="1" t="str">
        <f aca="false">_xlfn.CONCAT(B692,C692,D692,E692,F692)</f>
        <v>ARAGUATINS 1.1Inverter(MBUS-12)45997.531944444545997.531944444545997.5798611111</v>
      </c>
      <c r="Q692" s="1" t="str">
        <f aca="false">_xlfn.CONCAT(H692,I692,J692)</f>
        <v>DAURDE</v>
      </c>
    </row>
    <row r="693" customFormat="false" ht="15" hidden="true" customHeight="false" outlineLevel="0" collapsed="false">
      <c r="B693" s="1" t="s">
        <v>380</v>
      </c>
      <c r="C693" s="1" t="s">
        <v>247</v>
      </c>
      <c r="D693" s="14" t="n">
        <v>45997.5319444445</v>
      </c>
      <c r="E693" s="14" t="n">
        <v>45997.5319444445</v>
      </c>
      <c r="F693" s="14" t="n">
        <v>45997.5798611111</v>
      </c>
      <c r="G693" s="15" t="n">
        <f aca="false">F693-E693</f>
        <v>0.0479166666666667</v>
      </c>
      <c r="H693" s="20" t="s">
        <v>248</v>
      </c>
      <c r="J693" s="20" t="s">
        <v>256</v>
      </c>
      <c r="K693" s="1" t="e">
        <f aca="false">_xlfn.xlookup(J693,REF!$D$2:$D$12,REF!$E$2:$E$12)</f>
        <v>#NAME?</v>
      </c>
      <c r="L693" s="1" t="s">
        <v>837</v>
      </c>
      <c r="M693" s="20" t="s">
        <v>258</v>
      </c>
      <c r="N693" s="20" t="s">
        <v>379</v>
      </c>
      <c r="O693" s="1" t="s">
        <v>399</v>
      </c>
      <c r="P693" s="1" t="str">
        <f aca="false">_xlfn.CONCAT(B693,C693,D693,E693,F693)</f>
        <v>ARAGUATINS 1.1Inverter(MBUS-13)45997.531944444545997.531944444545997.5798611111</v>
      </c>
      <c r="Q693" s="1" t="str">
        <f aca="false">_xlfn.CONCAT(H693,I693,J693)</f>
        <v>DAURDE</v>
      </c>
    </row>
    <row r="694" customFormat="false" ht="15" hidden="true" customHeight="false" outlineLevel="0" collapsed="false">
      <c r="B694" s="1" t="s">
        <v>380</v>
      </c>
      <c r="C694" s="1" t="s">
        <v>280</v>
      </c>
      <c r="D694" s="14" t="n">
        <v>45997.5319444445</v>
      </c>
      <c r="E694" s="14" t="n">
        <v>45997.5319444445</v>
      </c>
      <c r="F694" s="14" t="n">
        <v>45997.5798611111</v>
      </c>
      <c r="G694" s="15" t="n">
        <f aca="false">F694-E694</f>
        <v>0.0479166666666667</v>
      </c>
      <c r="H694" s="20" t="s">
        <v>248</v>
      </c>
      <c r="J694" s="20" t="s">
        <v>256</v>
      </c>
      <c r="K694" s="1" t="e">
        <f aca="false">_xlfn.xlookup(J694,REF!$D$2:$D$12,REF!$E$2:$E$12)</f>
        <v>#NAME?</v>
      </c>
      <c r="L694" s="1" t="s">
        <v>837</v>
      </c>
      <c r="M694" s="20" t="s">
        <v>258</v>
      </c>
      <c r="N694" s="20" t="s">
        <v>379</v>
      </c>
      <c r="O694" s="1" t="s">
        <v>399</v>
      </c>
      <c r="P694" s="1" t="str">
        <f aca="false">_xlfn.CONCAT(B694,C694,D694,E694,F694)</f>
        <v>ARAGUATINS 1.1Inverter(MBUS-14)45997.531944444545997.531944444545997.5798611111</v>
      </c>
      <c r="Q694" s="1" t="str">
        <f aca="false">_xlfn.CONCAT(H694,I694,J694)</f>
        <v>DAURDE</v>
      </c>
    </row>
    <row r="695" customFormat="false" ht="15" hidden="true" customHeight="false" outlineLevel="0" collapsed="false">
      <c r="B695" s="1" t="s">
        <v>380</v>
      </c>
      <c r="C695" s="1" t="s">
        <v>279</v>
      </c>
      <c r="D695" s="14" t="n">
        <v>45997.5319444445</v>
      </c>
      <c r="E695" s="14" t="n">
        <v>45997.5319444445</v>
      </c>
      <c r="F695" s="14" t="n">
        <v>45997.5798611111</v>
      </c>
      <c r="G695" s="15" t="n">
        <f aca="false">F695-E695</f>
        <v>0.0479166666666667</v>
      </c>
      <c r="H695" s="20" t="s">
        <v>248</v>
      </c>
      <c r="J695" s="20" t="s">
        <v>256</v>
      </c>
      <c r="K695" s="1" t="e">
        <f aca="false">_xlfn.xlookup(J695,REF!$D$2:$D$12,REF!$E$2:$E$12)</f>
        <v>#NAME?</v>
      </c>
      <c r="L695" s="1" t="s">
        <v>837</v>
      </c>
      <c r="M695" s="20" t="s">
        <v>258</v>
      </c>
      <c r="N695" s="20" t="s">
        <v>379</v>
      </c>
      <c r="O695" s="1" t="s">
        <v>399</v>
      </c>
      <c r="P695" s="1" t="str">
        <f aca="false">_xlfn.CONCAT(B695,C695,D695,E695,F695)</f>
        <v>ARAGUATINS 1.1Inverter(MBUS-15)45997.531944444545997.531944444545997.5798611111</v>
      </c>
      <c r="Q695" s="1" t="str">
        <f aca="false">_xlfn.CONCAT(H695,I695,J695)</f>
        <v>DAURDE</v>
      </c>
    </row>
    <row r="696" customFormat="false" ht="15" hidden="true" customHeight="false" outlineLevel="0" collapsed="false">
      <c r="B696" s="1" t="s">
        <v>381</v>
      </c>
      <c r="C696" s="1" t="s">
        <v>277</v>
      </c>
      <c r="D696" s="14" t="n">
        <v>45997.5319444445</v>
      </c>
      <c r="E696" s="14" t="n">
        <v>45997.5319444445</v>
      </c>
      <c r="F696" s="14" t="n">
        <v>45997.5798611111</v>
      </c>
      <c r="G696" s="15" t="n">
        <f aca="false">F696-E696</f>
        <v>0.0479166666666667</v>
      </c>
      <c r="H696" s="20" t="s">
        <v>248</v>
      </c>
      <c r="J696" s="20" t="s">
        <v>256</v>
      </c>
      <c r="K696" s="1" t="e">
        <f aca="false">_xlfn.xlookup(J696,REF!$D$2:$D$12,REF!$E$2:$E$12)</f>
        <v>#NAME?</v>
      </c>
      <c r="L696" s="1" t="s">
        <v>837</v>
      </c>
      <c r="M696" s="20" t="s">
        <v>258</v>
      </c>
      <c r="N696" s="20" t="s">
        <v>379</v>
      </c>
      <c r="O696" s="1" t="s">
        <v>399</v>
      </c>
      <c r="P696" s="1" t="str">
        <f aca="false">_xlfn.CONCAT(B696,C696,D696,E696,F696)</f>
        <v>ARAGUATINS 1.2Inverter(MBUS-12)45997.531944444545997.531944444545997.5798611111</v>
      </c>
      <c r="Q696" s="1" t="str">
        <f aca="false">_xlfn.CONCAT(H696,I696,J696)</f>
        <v>DAURDE</v>
      </c>
    </row>
    <row r="697" customFormat="false" ht="15" hidden="true" customHeight="false" outlineLevel="0" collapsed="false">
      <c r="B697" s="1" t="s">
        <v>381</v>
      </c>
      <c r="C697" s="1" t="s">
        <v>247</v>
      </c>
      <c r="D697" s="14" t="n">
        <v>45997.5319444445</v>
      </c>
      <c r="E697" s="14" t="n">
        <v>45997.5319444445</v>
      </c>
      <c r="F697" s="14" t="n">
        <v>45997.5798611111</v>
      </c>
      <c r="G697" s="15" t="n">
        <f aca="false">F697-E697</f>
        <v>0.0479166666666667</v>
      </c>
      <c r="H697" s="20" t="s">
        <v>248</v>
      </c>
      <c r="J697" s="20" t="s">
        <v>256</v>
      </c>
      <c r="K697" s="1" t="e">
        <f aca="false">_xlfn.xlookup(J697,REF!$D$2:$D$12,REF!$E$2:$E$12)</f>
        <v>#NAME?</v>
      </c>
      <c r="L697" s="1" t="s">
        <v>837</v>
      </c>
      <c r="M697" s="20" t="s">
        <v>258</v>
      </c>
      <c r="N697" s="20" t="s">
        <v>379</v>
      </c>
      <c r="O697" s="1" t="s">
        <v>399</v>
      </c>
      <c r="P697" s="1" t="str">
        <f aca="false">_xlfn.CONCAT(B697,C697,D697,E697,F697)</f>
        <v>ARAGUATINS 1.2Inverter(MBUS-13)45997.531944444545997.531944444545997.5798611111</v>
      </c>
      <c r="Q697" s="1" t="str">
        <f aca="false">_xlfn.CONCAT(H697,I697,J697)</f>
        <v>DAURDE</v>
      </c>
    </row>
    <row r="698" customFormat="false" ht="15" hidden="true" customHeight="false" outlineLevel="0" collapsed="false">
      <c r="B698" s="1" t="s">
        <v>381</v>
      </c>
      <c r="C698" s="1" t="s">
        <v>280</v>
      </c>
      <c r="D698" s="14" t="n">
        <v>45997.5319444445</v>
      </c>
      <c r="E698" s="14" t="n">
        <v>45997.5319444445</v>
      </c>
      <c r="F698" s="14" t="n">
        <v>45997.5798611111</v>
      </c>
      <c r="G698" s="15" t="n">
        <f aca="false">F698-E698</f>
        <v>0.0479166666666667</v>
      </c>
      <c r="H698" s="20" t="s">
        <v>248</v>
      </c>
      <c r="J698" s="20" t="s">
        <v>256</v>
      </c>
      <c r="K698" s="1" t="e">
        <f aca="false">_xlfn.xlookup(J698,REF!$D$2:$D$12,REF!$E$2:$E$12)</f>
        <v>#NAME?</v>
      </c>
      <c r="L698" s="1" t="s">
        <v>837</v>
      </c>
      <c r="M698" s="20" t="s">
        <v>258</v>
      </c>
      <c r="N698" s="20" t="s">
        <v>379</v>
      </c>
      <c r="O698" s="1" t="s">
        <v>399</v>
      </c>
      <c r="P698" s="1" t="str">
        <f aca="false">_xlfn.CONCAT(B698,C698,D698,E698,F698)</f>
        <v>ARAGUATINS 1.2Inverter(MBUS-14)45997.531944444545997.531944444545997.5798611111</v>
      </c>
      <c r="Q698" s="1" t="str">
        <f aca="false">_xlfn.CONCAT(H698,I698,J698)</f>
        <v>DAURDE</v>
      </c>
    </row>
    <row r="699" customFormat="false" ht="15" hidden="true" customHeight="false" outlineLevel="0" collapsed="false">
      <c r="B699" s="1" t="s">
        <v>381</v>
      </c>
      <c r="C699" s="1" t="s">
        <v>279</v>
      </c>
      <c r="D699" s="14" t="n">
        <v>45997.5319444445</v>
      </c>
      <c r="E699" s="14" t="n">
        <v>45997.5319444445</v>
      </c>
      <c r="F699" s="14" t="n">
        <v>45997.5798611111</v>
      </c>
      <c r="G699" s="15" t="n">
        <f aca="false">F699-E699</f>
        <v>0.0479166666666667</v>
      </c>
      <c r="H699" s="20" t="s">
        <v>248</v>
      </c>
      <c r="J699" s="20" t="s">
        <v>256</v>
      </c>
      <c r="K699" s="1" t="e">
        <f aca="false">_xlfn.xlookup(J699,REF!$D$2:$D$12,REF!$E$2:$E$12)</f>
        <v>#NAME?</v>
      </c>
      <c r="L699" s="1" t="s">
        <v>837</v>
      </c>
      <c r="M699" s="20" t="s">
        <v>258</v>
      </c>
      <c r="N699" s="20" t="s">
        <v>379</v>
      </c>
      <c r="O699" s="1" t="s">
        <v>399</v>
      </c>
      <c r="P699" s="1" t="str">
        <f aca="false">_xlfn.CONCAT(B699,C699,D699,E699,F699)</f>
        <v>ARAGUATINS 1.2Inverter(MBUS-15)45997.531944444545997.531944444545997.5798611111</v>
      </c>
      <c r="Q699" s="1" t="str">
        <f aca="false">_xlfn.CONCAT(H699,I699,J699)</f>
        <v>DAURDE</v>
      </c>
    </row>
    <row r="700" customFormat="false" ht="15" hidden="true" customHeight="false" outlineLevel="0" collapsed="false">
      <c r="B700" s="1" t="s">
        <v>382</v>
      </c>
      <c r="C700" s="1" t="s">
        <v>383</v>
      </c>
      <c r="D700" s="14" t="n">
        <v>45997.5319444445</v>
      </c>
      <c r="E700" s="14" t="n">
        <v>45997.5319444445</v>
      </c>
      <c r="F700" s="14" t="n">
        <v>45997.5798611111</v>
      </c>
      <c r="G700" s="15" t="n">
        <f aca="false">F700-E700</f>
        <v>0.0479166666666667</v>
      </c>
      <c r="H700" s="20" t="s">
        <v>248</v>
      </c>
      <c r="J700" s="20" t="s">
        <v>256</v>
      </c>
      <c r="K700" s="1" t="e">
        <f aca="false">_xlfn.xlookup(J700,REF!$D$2:$D$12,REF!$E$2:$E$12)</f>
        <v>#NAME?</v>
      </c>
      <c r="L700" s="1" t="s">
        <v>837</v>
      </c>
      <c r="M700" s="20" t="s">
        <v>258</v>
      </c>
      <c r="N700" s="20" t="s">
        <v>379</v>
      </c>
      <c r="O700" s="1" t="s">
        <v>399</v>
      </c>
      <c r="P700" s="1" t="str">
        <f aca="false">_xlfn.CONCAT(B700,C700,D700,E700,F700)</f>
        <v>ARAGUATINS 1.3Inverter(MBUS-20)45997.531944444545997.531944444545997.5798611111</v>
      </c>
      <c r="Q700" s="1" t="str">
        <f aca="false">_xlfn.CONCAT(H700,I700,J700)</f>
        <v>DAURDE</v>
      </c>
    </row>
    <row r="701" customFormat="false" ht="15" hidden="true" customHeight="false" outlineLevel="0" collapsed="false">
      <c r="B701" s="1" t="s">
        <v>382</v>
      </c>
      <c r="C701" s="1" t="s">
        <v>255</v>
      </c>
      <c r="D701" s="14" t="n">
        <v>45997.5319444445</v>
      </c>
      <c r="E701" s="14" t="n">
        <v>45997.5319444445</v>
      </c>
      <c r="F701" s="14" t="n">
        <v>45997.5798611111</v>
      </c>
      <c r="G701" s="15" t="n">
        <f aca="false">F701-E701</f>
        <v>0.0479166666666667</v>
      </c>
      <c r="H701" s="20" t="s">
        <v>248</v>
      </c>
      <c r="J701" s="20" t="s">
        <v>256</v>
      </c>
      <c r="K701" s="1" t="e">
        <f aca="false">_xlfn.xlookup(J701,REF!$D$2:$D$12,REF!$E$2:$E$12)</f>
        <v>#NAME?</v>
      </c>
      <c r="L701" s="1" t="s">
        <v>837</v>
      </c>
      <c r="M701" s="20" t="s">
        <v>258</v>
      </c>
      <c r="N701" s="20" t="s">
        <v>379</v>
      </c>
      <c r="O701" s="1" t="s">
        <v>399</v>
      </c>
      <c r="P701" s="1" t="str">
        <f aca="false">_xlfn.CONCAT(B701,C701,D701,E701,F701)</f>
        <v>ARAGUATINS 1.3Inverter(MBUS-1)45997.531944444545997.531944444545997.5798611111</v>
      </c>
      <c r="Q701" s="1" t="str">
        <f aca="false">_xlfn.CONCAT(H701,I701,J701)</f>
        <v>DAURDE</v>
      </c>
    </row>
    <row r="702" customFormat="false" ht="15" hidden="true" customHeight="false" outlineLevel="0" collapsed="false">
      <c r="B702" s="1" t="s">
        <v>276</v>
      </c>
      <c r="C702" s="1" t="s">
        <v>277</v>
      </c>
      <c r="D702" s="14" t="n">
        <v>45997.5319444445</v>
      </c>
      <c r="E702" s="14" t="n">
        <v>45997.5319444445</v>
      </c>
      <c r="F702" s="14" t="n">
        <v>45997.5798611111</v>
      </c>
      <c r="G702" s="15" t="n">
        <f aca="false">F702-E702</f>
        <v>0.0479166666666667</v>
      </c>
      <c r="H702" s="20" t="s">
        <v>248</v>
      </c>
      <c r="J702" s="20" t="s">
        <v>256</v>
      </c>
      <c r="K702" s="1" t="e">
        <f aca="false">_xlfn.xlookup(J702,REF!$D$2:$D$12,REF!$E$2:$E$12)</f>
        <v>#NAME?</v>
      </c>
      <c r="L702" s="1" t="s">
        <v>837</v>
      </c>
      <c r="M702" s="20" t="s">
        <v>258</v>
      </c>
      <c r="N702" s="20" t="s">
        <v>379</v>
      </c>
      <c r="O702" s="1" t="s">
        <v>399</v>
      </c>
      <c r="P702" s="1" t="str">
        <f aca="false">_xlfn.CONCAT(B702,C702,D702,E702,F702)</f>
        <v>ARAGUATINS 2.1Inverter(MBUS-12)45997.531944444545997.531944444545997.5798611111</v>
      </c>
      <c r="Q702" s="1" t="str">
        <f aca="false">_xlfn.CONCAT(H702,I702,J702)</f>
        <v>DAURDE</v>
      </c>
    </row>
    <row r="703" customFormat="false" ht="15" hidden="true" customHeight="false" outlineLevel="0" collapsed="false">
      <c r="B703" s="1" t="s">
        <v>276</v>
      </c>
      <c r="C703" s="1" t="s">
        <v>279</v>
      </c>
      <c r="D703" s="14" t="n">
        <v>45997.5319444445</v>
      </c>
      <c r="E703" s="14" t="n">
        <v>45997.5319444445</v>
      </c>
      <c r="F703" s="14" t="n">
        <v>45997.5798611111</v>
      </c>
      <c r="G703" s="15" t="n">
        <f aca="false">F703-E703</f>
        <v>0.0479166666666667</v>
      </c>
      <c r="H703" s="20" t="s">
        <v>248</v>
      </c>
      <c r="J703" s="20" t="s">
        <v>256</v>
      </c>
      <c r="K703" s="1" t="e">
        <f aca="false">_xlfn.xlookup(J703,REF!$D$2:$D$12,REF!$E$2:$E$12)</f>
        <v>#NAME?</v>
      </c>
      <c r="L703" s="1" t="s">
        <v>837</v>
      </c>
      <c r="M703" s="20" t="s">
        <v>258</v>
      </c>
      <c r="N703" s="20" t="s">
        <v>379</v>
      </c>
      <c r="O703" s="1" t="s">
        <v>399</v>
      </c>
      <c r="P703" s="1" t="str">
        <f aca="false">_xlfn.CONCAT(B703,C703,D703,E703,F703)</f>
        <v>ARAGUATINS 2.1Inverter(MBUS-15)45997.531944444545997.531944444545997.5798611111</v>
      </c>
      <c r="Q703" s="1" t="str">
        <f aca="false">_xlfn.CONCAT(H703,I703,J703)</f>
        <v>DAURDE</v>
      </c>
    </row>
    <row r="704" customFormat="false" ht="15" hidden="true" customHeight="false" outlineLevel="0" collapsed="false">
      <c r="B704" s="1" t="s">
        <v>276</v>
      </c>
      <c r="C704" s="1" t="s">
        <v>280</v>
      </c>
      <c r="D704" s="14" t="n">
        <v>45997.5319444445</v>
      </c>
      <c r="E704" s="14" t="n">
        <v>45997.5319444445</v>
      </c>
      <c r="F704" s="14" t="n">
        <v>45997.5798611111</v>
      </c>
      <c r="G704" s="15" t="n">
        <f aca="false">F704-E704</f>
        <v>0.0479166666666667</v>
      </c>
      <c r="H704" s="20" t="s">
        <v>248</v>
      </c>
      <c r="J704" s="20" t="s">
        <v>256</v>
      </c>
      <c r="K704" s="1" t="e">
        <f aca="false">_xlfn.xlookup(J704,REF!$D$2:$D$12,REF!$E$2:$E$12)</f>
        <v>#NAME?</v>
      </c>
      <c r="L704" s="1" t="s">
        <v>837</v>
      </c>
      <c r="M704" s="20" t="s">
        <v>258</v>
      </c>
      <c r="N704" s="20" t="s">
        <v>379</v>
      </c>
      <c r="O704" s="1" t="s">
        <v>399</v>
      </c>
      <c r="P704" s="1" t="str">
        <f aca="false">_xlfn.CONCAT(B704,C704,D704,E704,F704)</f>
        <v>ARAGUATINS 2.1Inverter(MBUS-14)45997.531944444545997.531944444545997.5798611111</v>
      </c>
      <c r="Q704" s="1" t="str">
        <f aca="false">_xlfn.CONCAT(H704,I704,J704)</f>
        <v>DAURDE</v>
      </c>
    </row>
    <row r="705" customFormat="false" ht="15" hidden="true" customHeight="false" outlineLevel="0" collapsed="false">
      <c r="B705" s="1" t="s">
        <v>276</v>
      </c>
      <c r="C705" s="1" t="s">
        <v>255</v>
      </c>
      <c r="D705" s="14" t="n">
        <v>45997.5319444445</v>
      </c>
      <c r="E705" s="14" t="n">
        <v>45997.5319444445</v>
      </c>
      <c r="F705" s="14" t="n">
        <v>45997.5798611111</v>
      </c>
      <c r="G705" s="15" t="n">
        <f aca="false">F705-E705</f>
        <v>0.0479166666666667</v>
      </c>
      <c r="H705" s="20" t="s">
        <v>248</v>
      </c>
      <c r="J705" s="20" t="s">
        <v>256</v>
      </c>
      <c r="K705" s="1" t="e">
        <f aca="false">_xlfn.xlookup(J705,REF!$D$2:$D$12,REF!$E$2:$E$12)</f>
        <v>#NAME?</v>
      </c>
      <c r="L705" s="1" t="s">
        <v>837</v>
      </c>
      <c r="M705" s="20" t="s">
        <v>258</v>
      </c>
      <c r="N705" s="20" t="s">
        <v>379</v>
      </c>
      <c r="O705" s="1" t="s">
        <v>399</v>
      </c>
      <c r="P705" s="1" t="str">
        <f aca="false">_xlfn.CONCAT(B705,C705,D705,E705,F705)</f>
        <v>ARAGUATINS 2.1Inverter(MBUS-1)45997.531944444545997.531944444545997.5798611111</v>
      </c>
      <c r="Q705" s="1" t="str">
        <f aca="false">_xlfn.CONCAT(H705,I705,J705)</f>
        <v>DAURDE</v>
      </c>
    </row>
    <row r="706" customFormat="false" ht="15" hidden="true" customHeight="false" outlineLevel="0" collapsed="false">
      <c r="B706" s="1" t="s">
        <v>386</v>
      </c>
      <c r="C706" s="1" t="s">
        <v>279</v>
      </c>
      <c r="D706" s="14" t="n">
        <v>45997.5319444445</v>
      </c>
      <c r="E706" s="14" t="n">
        <v>45997.5319444445</v>
      </c>
      <c r="F706" s="14" t="n">
        <v>45997.5798611111</v>
      </c>
      <c r="G706" s="15" t="n">
        <f aca="false">F706-E706</f>
        <v>0.0479166666666667</v>
      </c>
      <c r="H706" s="20" t="s">
        <v>248</v>
      </c>
      <c r="J706" s="20" t="s">
        <v>256</v>
      </c>
      <c r="K706" s="1" t="e">
        <f aca="false">_xlfn.xlookup(J706,REF!$D$2:$D$12,REF!$E$2:$E$12)</f>
        <v>#NAME?</v>
      </c>
      <c r="L706" s="1" t="s">
        <v>837</v>
      </c>
      <c r="M706" s="20" t="s">
        <v>258</v>
      </c>
      <c r="N706" s="20" t="s">
        <v>379</v>
      </c>
      <c r="O706" s="1" t="s">
        <v>399</v>
      </c>
      <c r="P706" s="1" t="str">
        <f aca="false">_xlfn.CONCAT(B706,C706,D706,E706,F706)</f>
        <v>ARAGUATINS 2.2Inverter(MBUS-15)45997.531944444545997.531944444545997.5798611111</v>
      </c>
      <c r="Q706" s="1" t="str">
        <f aca="false">_xlfn.CONCAT(H706,I706,J706)</f>
        <v>DAURDE</v>
      </c>
    </row>
    <row r="707" customFormat="false" ht="15" hidden="true" customHeight="false" outlineLevel="0" collapsed="false">
      <c r="B707" s="1" t="s">
        <v>386</v>
      </c>
      <c r="C707" s="1" t="s">
        <v>247</v>
      </c>
      <c r="D707" s="14" t="n">
        <v>45997.5319444445</v>
      </c>
      <c r="E707" s="14" t="n">
        <v>45997.5319444445</v>
      </c>
      <c r="F707" s="14" t="n">
        <v>45997.5798611111</v>
      </c>
      <c r="G707" s="15" t="n">
        <f aca="false">F707-E707</f>
        <v>0.0479166666666667</v>
      </c>
      <c r="H707" s="20" t="s">
        <v>248</v>
      </c>
      <c r="J707" s="20" t="s">
        <v>256</v>
      </c>
      <c r="K707" s="1" t="e">
        <f aca="false">_xlfn.xlookup(J707,REF!$D$2:$D$12,REF!$E$2:$E$12)</f>
        <v>#NAME?</v>
      </c>
      <c r="L707" s="1" t="s">
        <v>837</v>
      </c>
      <c r="M707" s="20" t="s">
        <v>258</v>
      </c>
      <c r="N707" s="20" t="s">
        <v>379</v>
      </c>
      <c r="O707" s="1" t="s">
        <v>399</v>
      </c>
      <c r="P707" s="1" t="str">
        <f aca="false">_xlfn.CONCAT(B707,C707,D707,E707,F707)</f>
        <v>ARAGUATINS 2.2Inverter(MBUS-13)45997.531944444545997.531944444545997.5798611111</v>
      </c>
      <c r="Q707" s="1" t="str">
        <f aca="false">_xlfn.CONCAT(H707,I707,J707)</f>
        <v>DAURDE</v>
      </c>
    </row>
    <row r="708" customFormat="false" ht="15" hidden="true" customHeight="false" outlineLevel="0" collapsed="false">
      <c r="B708" s="1" t="s">
        <v>386</v>
      </c>
      <c r="C708" s="1" t="s">
        <v>280</v>
      </c>
      <c r="D708" s="14" t="n">
        <v>45997.5319444445</v>
      </c>
      <c r="E708" s="14" t="n">
        <v>45997.5319444445</v>
      </c>
      <c r="F708" s="14" t="n">
        <v>45997.5798611111</v>
      </c>
      <c r="G708" s="15" t="n">
        <f aca="false">F708-E708</f>
        <v>0.0479166666666667</v>
      </c>
      <c r="H708" s="20" t="s">
        <v>248</v>
      </c>
      <c r="J708" s="20" t="s">
        <v>256</v>
      </c>
      <c r="K708" s="1" t="e">
        <f aca="false">_xlfn.xlookup(J708,REF!$D$2:$D$12,REF!$E$2:$E$12)</f>
        <v>#NAME?</v>
      </c>
      <c r="L708" s="1" t="s">
        <v>837</v>
      </c>
      <c r="M708" s="20" t="s">
        <v>258</v>
      </c>
      <c r="N708" s="20" t="s">
        <v>379</v>
      </c>
      <c r="O708" s="1" t="s">
        <v>399</v>
      </c>
      <c r="P708" s="1" t="str">
        <f aca="false">_xlfn.CONCAT(B708,C708,D708,E708,F708)</f>
        <v>ARAGUATINS 2.2Inverter(MBUS-14)45997.531944444545997.531944444545997.5798611111</v>
      </c>
      <c r="Q708" s="1" t="str">
        <f aca="false">_xlfn.CONCAT(H708,I708,J708)</f>
        <v>DAURDE</v>
      </c>
    </row>
    <row r="709" customFormat="false" ht="15" hidden="true" customHeight="false" outlineLevel="0" collapsed="false">
      <c r="B709" s="1" t="s">
        <v>386</v>
      </c>
      <c r="C709" s="1" t="s">
        <v>277</v>
      </c>
      <c r="D709" s="14" t="n">
        <v>45997.5319444445</v>
      </c>
      <c r="E709" s="14" t="n">
        <v>45997.5319444445</v>
      </c>
      <c r="F709" s="14" t="n">
        <v>45997.5798611111</v>
      </c>
      <c r="G709" s="15" t="n">
        <f aca="false">F709-E709</f>
        <v>0.0479166666666667</v>
      </c>
      <c r="H709" s="20" t="s">
        <v>248</v>
      </c>
      <c r="J709" s="20" t="s">
        <v>256</v>
      </c>
      <c r="K709" s="1" t="e">
        <f aca="false">_xlfn.xlookup(J709,REF!$D$2:$D$12,REF!$E$2:$E$12)</f>
        <v>#NAME?</v>
      </c>
      <c r="L709" s="1" t="s">
        <v>837</v>
      </c>
      <c r="M709" s="20" t="s">
        <v>258</v>
      </c>
      <c r="N709" s="20" t="s">
        <v>379</v>
      </c>
      <c r="O709" s="1" t="s">
        <v>399</v>
      </c>
      <c r="P709" s="1" t="str">
        <f aca="false">_xlfn.CONCAT(B709,C709,D709,E709,F709)</f>
        <v>ARAGUATINS 2.2Inverter(MBUS-12)45997.531944444545997.531944444545997.5798611111</v>
      </c>
      <c r="Q709" s="1" t="str">
        <f aca="false">_xlfn.CONCAT(H709,I709,J709)</f>
        <v>DAURDE</v>
      </c>
    </row>
    <row r="710" customFormat="false" ht="15" hidden="true" customHeight="false" outlineLevel="0" collapsed="false">
      <c r="B710" s="1" t="s">
        <v>388</v>
      </c>
      <c r="C710" s="1" t="s">
        <v>277</v>
      </c>
      <c r="D710" s="14" t="n">
        <v>45997.5319444445</v>
      </c>
      <c r="E710" s="14" t="n">
        <v>45997.5319444445</v>
      </c>
      <c r="F710" s="14" t="n">
        <v>45997.5798611111</v>
      </c>
      <c r="G710" s="15" t="n">
        <f aca="false">F710-E710</f>
        <v>0.0479166666666667</v>
      </c>
      <c r="H710" s="20" t="s">
        <v>248</v>
      </c>
      <c r="J710" s="20" t="s">
        <v>256</v>
      </c>
      <c r="K710" s="1" t="e">
        <f aca="false">_xlfn.xlookup(J710,REF!$D$2:$D$12,REF!$E$2:$E$12)</f>
        <v>#NAME?</v>
      </c>
      <c r="L710" s="1" t="s">
        <v>837</v>
      </c>
      <c r="M710" s="20" t="s">
        <v>258</v>
      </c>
      <c r="N710" s="20" t="s">
        <v>379</v>
      </c>
      <c r="O710" s="1" t="s">
        <v>399</v>
      </c>
      <c r="P710" s="1" t="str">
        <f aca="false">_xlfn.CONCAT(B710,C710,D710,E710,F710)</f>
        <v>ARAGUATINS 2.3Inverter(MBUS-12)45997.531944444545997.531944444545997.5798611111</v>
      </c>
      <c r="Q710" s="1" t="str">
        <f aca="false">_xlfn.CONCAT(H710,I710,J710)</f>
        <v>DAURDE</v>
      </c>
    </row>
    <row r="711" customFormat="false" ht="15" hidden="true" customHeight="false" outlineLevel="0" collapsed="false">
      <c r="B711" s="1" t="s">
        <v>388</v>
      </c>
      <c r="C711" s="1" t="s">
        <v>247</v>
      </c>
      <c r="D711" s="14" t="n">
        <v>45997.5319444445</v>
      </c>
      <c r="E711" s="14" t="n">
        <v>45997.5319444445</v>
      </c>
      <c r="F711" s="14" t="n">
        <v>45997.5798611111</v>
      </c>
      <c r="G711" s="15" t="n">
        <f aca="false">F711-E711</f>
        <v>0.0479166666666667</v>
      </c>
      <c r="H711" s="20" t="s">
        <v>248</v>
      </c>
      <c r="J711" s="20" t="s">
        <v>256</v>
      </c>
      <c r="K711" s="1" t="e">
        <f aca="false">_xlfn.xlookup(J711,REF!$D$2:$D$12,REF!$E$2:$E$12)</f>
        <v>#NAME?</v>
      </c>
      <c r="L711" s="1" t="s">
        <v>837</v>
      </c>
      <c r="M711" s="20" t="s">
        <v>258</v>
      </c>
      <c r="N711" s="20" t="s">
        <v>379</v>
      </c>
      <c r="O711" s="1" t="s">
        <v>399</v>
      </c>
      <c r="P711" s="1" t="str">
        <f aca="false">_xlfn.CONCAT(B711,C711,D711,E711,F711)</f>
        <v>ARAGUATINS 2.3Inverter(MBUS-13)45997.531944444545997.531944444545997.5798611111</v>
      </c>
      <c r="Q711" s="1" t="str">
        <f aca="false">_xlfn.CONCAT(H711,I711,J711)</f>
        <v>DAURDE</v>
      </c>
    </row>
    <row r="712" customFormat="false" ht="15" hidden="false" customHeight="false" outlineLevel="0" collapsed="false">
      <c r="B712" s="1" t="s">
        <v>792</v>
      </c>
      <c r="C712" s="1" t="s">
        <v>312</v>
      </c>
      <c r="D712" s="14" t="n">
        <v>46008.7361111111</v>
      </c>
      <c r="E712" s="14" t="n">
        <v>46008.7361111111</v>
      </c>
      <c r="F712" s="14" t="n">
        <v>46008.7638888889</v>
      </c>
      <c r="G712" s="15" t="n">
        <f aca="false">F712-E712</f>
        <v>0.0277777777777778</v>
      </c>
      <c r="H712" s="20" t="s">
        <v>445</v>
      </c>
      <c r="I712" s="1" t="s">
        <v>263</v>
      </c>
      <c r="J712" s="20" t="s">
        <v>264</v>
      </c>
      <c r="K712" s="1" t="e">
        <f aca="false">_xlfn.xlookup(J712,REF!$D$2:$D$12,REF!$E$2:$E$12)</f>
        <v>#NAME?</v>
      </c>
      <c r="L712" s="1" t="s">
        <v>420</v>
      </c>
      <c r="M712" s="20" t="s">
        <v>418</v>
      </c>
      <c r="N712" s="20" t="s">
        <v>252</v>
      </c>
      <c r="O712" s="1" t="s">
        <v>419</v>
      </c>
      <c r="P712" s="1" t="str">
        <f aca="false">_xlfn.CONCAT(B712,C712,D712,E712,F712)</f>
        <v>Araçu IVSG75CX(COM1-018)_001_01846008.736111111146008.736111111146008.7638888889</v>
      </c>
      <c r="Q712" s="1" t="str">
        <f aca="false">_xlfn.CONCAT(H712,I712,J712)</f>
        <v>LIGRFOCOM</v>
      </c>
    </row>
    <row r="713" customFormat="false" ht="15" hidden="false" customHeight="false" outlineLevel="0" collapsed="false">
      <c r="B713" s="1" t="s">
        <v>792</v>
      </c>
      <c r="C713" s="1" t="s">
        <v>317</v>
      </c>
      <c r="D713" s="14" t="n">
        <v>46008.7361111111</v>
      </c>
      <c r="E713" s="14" t="n">
        <v>46008.7361111111</v>
      </c>
      <c r="F713" s="14" t="n">
        <v>46008.7638888889</v>
      </c>
      <c r="G713" s="15" t="n">
        <f aca="false">F713-E713</f>
        <v>0.0277777777777778</v>
      </c>
      <c r="H713" s="20" t="s">
        <v>445</v>
      </c>
      <c r="I713" s="1" t="s">
        <v>263</v>
      </c>
      <c r="J713" s="20" t="s">
        <v>264</v>
      </c>
      <c r="K713" s="1" t="e">
        <f aca="false">_xlfn.xlookup(J713,REF!$D$2:$D$12,REF!$E$2:$E$12)</f>
        <v>#NAME?</v>
      </c>
      <c r="L713" s="1" t="s">
        <v>420</v>
      </c>
      <c r="M713" s="20" t="s">
        <v>418</v>
      </c>
      <c r="N713" s="20" t="s">
        <v>252</v>
      </c>
      <c r="O713" s="1" t="s">
        <v>419</v>
      </c>
      <c r="P713" s="1" t="str">
        <f aca="false">_xlfn.CONCAT(B713,C713,D713,E713,F713)</f>
        <v>Araçu IVSG75CX(COM1-019)_001_01946008.736111111146008.736111111146008.7638888889</v>
      </c>
      <c r="Q713" s="1" t="str">
        <f aca="false">_xlfn.CONCAT(H713,I713,J713)</f>
        <v>LIGRFOCOM</v>
      </c>
    </row>
    <row r="714" customFormat="false" ht="15" hidden="false" customHeight="false" outlineLevel="0" collapsed="false">
      <c r="B714" s="1" t="s">
        <v>792</v>
      </c>
      <c r="C714" s="1" t="s">
        <v>318</v>
      </c>
      <c r="D714" s="14" t="n">
        <v>46008.7361111111</v>
      </c>
      <c r="E714" s="14" t="n">
        <v>46008.7361111111</v>
      </c>
      <c r="F714" s="14" t="n">
        <v>46008.7638888889</v>
      </c>
      <c r="G714" s="15" t="n">
        <f aca="false">F714-E714</f>
        <v>0.0277777777777778</v>
      </c>
      <c r="H714" s="20" t="s">
        <v>445</v>
      </c>
      <c r="I714" s="1" t="s">
        <v>263</v>
      </c>
      <c r="J714" s="20" t="s">
        <v>264</v>
      </c>
      <c r="K714" s="1" t="e">
        <f aca="false">_xlfn.xlookup(J714,REF!$D$2:$D$12,REF!$E$2:$E$12)</f>
        <v>#NAME?</v>
      </c>
      <c r="L714" s="1" t="s">
        <v>420</v>
      </c>
      <c r="M714" s="20" t="s">
        <v>418</v>
      </c>
      <c r="N714" s="20" t="s">
        <v>252</v>
      </c>
      <c r="O714" s="1" t="s">
        <v>419</v>
      </c>
      <c r="P714" s="1" t="str">
        <f aca="false">_xlfn.CONCAT(B714,C714,D714,E714,F714)</f>
        <v>Araçu IVSG75CX(COM1-020)_001_02046008.736111111146008.736111111146008.7638888889</v>
      </c>
      <c r="Q714" s="1" t="str">
        <f aca="false">_xlfn.CONCAT(H714,I714,J714)</f>
        <v>LIGRFOCOM</v>
      </c>
    </row>
    <row r="715" customFormat="false" ht="15" hidden="false" customHeight="false" outlineLevel="0" collapsed="false">
      <c r="B715" s="1" t="s">
        <v>792</v>
      </c>
      <c r="C715" s="1" t="s">
        <v>319</v>
      </c>
      <c r="D715" s="14" t="n">
        <v>46008.7361111111</v>
      </c>
      <c r="E715" s="14" t="n">
        <v>46008.7361111111</v>
      </c>
      <c r="F715" s="14" t="n">
        <v>46008.7638888889</v>
      </c>
      <c r="G715" s="15" t="n">
        <f aca="false">F715-E715</f>
        <v>0.0277777777777778</v>
      </c>
      <c r="H715" s="20" t="s">
        <v>445</v>
      </c>
      <c r="I715" s="1" t="s">
        <v>263</v>
      </c>
      <c r="J715" s="20" t="s">
        <v>264</v>
      </c>
      <c r="K715" s="1" t="e">
        <f aca="false">_xlfn.xlookup(J715,REF!$D$2:$D$12,REF!$E$2:$E$12)</f>
        <v>#NAME?</v>
      </c>
      <c r="L715" s="1" t="s">
        <v>420</v>
      </c>
      <c r="M715" s="20" t="s">
        <v>418</v>
      </c>
      <c r="N715" s="20" t="s">
        <v>252</v>
      </c>
      <c r="O715" s="1" t="s">
        <v>419</v>
      </c>
      <c r="P715" s="1" t="str">
        <f aca="false">_xlfn.CONCAT(B715,C715,D715,E715,F715)</f>
        <v>Araçu IVSG75CX(COM1-021)_001_02146008.736111111146008.736111111146008.7638888889</v>
      </c>
      <c r="Q715" s="1" t="str">
        <f aca="false">_xlfn.CONCAT(H715,I715,J715)</f>
        <v>LIGRFOCOM</v>
      </c>
    </row>
    <row r="716" customFormat="false" ht="15" hidden="false" customHeight="false" outlineLevel="0" collapsed="false">
      <c r="B716" s="1" t="s">
        <v>838</v>
      </c>
      <c r="C716" s="1" t="s">
        <v>839</v>
      </c>
      <c r="D716" s="14" t="n">
        <v>46008.7291666667</v>
      </c>
      <c r="E716" s="14" t="n">
        <v>46008.7291666667</v>
      </c>
      <c r="F716" s="14" t="n">
        <v>46008.7638888889</v>
      </c>
      <c r="G716" s="15" t="n">
        <f aca="false">F716-E716</f>
        <v>0.0347222222222222</v>
      </c>
      <c r="H716" s="20" t="s">
        <v>445</v>
      </c>
      <c r="I716" s="1" t="s">
        <v>263</v>
      </c>
      <c r="J716" s="20" t="s">
        <v>264</v>
      </c>
      <c r="K716" s="1" t="e">
        <f aca="false">_xlfn.xlookup(J716,REF!$D$2:$D$12,REF!$E$2:$E$12)</f>
        <v>#NAME?</v>
      </c>
      <c r="L716" s="1" t="s">
        <v>420</v>
      </c>
      <c r="M716" s="20" t="s">
        <v>418</v>
      </c>
      <c r="N716" s="20" t="s">
        <v>252</v>
      </c>
      <c r="O716" s="1" t="s">
        <v>419</v>
      </c>
      <c r="P716" s="1" t="str">
        <f aca="false">_xlfn.CONCAT(B716,C716,D716,E716,F716)</f>
        <v>Araçu IIAraçu 2.1 inv 146008.729166666746008.729166666746008.7638888889</v>
      </c>
      <c r="Q716" s="1" t="str">
        <f aca="false">_xlfn.CONCAT(H716,I716,J716)</f>
        <v>LIGRFOCOM</v>
      </c>
    </row>
    <row r="717" customFormat="false" ht="15" hidden="false" customHeight="false" outlineLevel="0" collapsed="false">
      <c r="B717" s="1" t="s">
        <v>838</v>
      </c>
      <c r="C717" s="1" t="s">
        <v>840</v>
      </c>
      <c r="D717" s="14" t="n">
        <v>46008.7291666667</v>
      </c>
      <c r="E717" s="14" t="n">
        <v>46008.7291666667</v>
      </c>
      <c r="F717" s="14" t="n">
        <v>46008.7638888889</v>
      </c>
      <c r="G717" s="15" t="n">
        <f aca="false">F717-E717</f>
        <v>0.0347222222222222</v>
      </c>
      <c r="H717" s="20" t="s">
        <v>445</v>
      </c>
      <c r="I717" s="1" t="s">
        <v>263</v>
      </c>
      <c r="J717" s="20" t="s">
        <v>264</v>
      </c>
      <c r="K717" s="1" t="e">
        <f aca="false">_xlfn.xlookup(J717,REF!$D$2:$D$12,REF!$E$2:$E$12)</f>
        <v>#NAME?</v>
      </c>
      <c r="L717" s="1" t="s">
        <v>420</v>
      </c>
      <c r="M717" s="20" t="s">
        <v>418</v>
      </c>
      <c r="N717" s="20" t="s">
        <v>252</v>
      </c>
      <c r="O717" s="1" t="s">
        <v>419</v>
      </c>
      <c r="P717" s="1" t="str">
        <f aca="false">_xlfn.CONCAT(B717,C717,D717,E717,F717)</f>
        <v>Araçu IIAraçu 2.1 inv 246008.729166666746008.729166666746008.7638888889</v>
      </c>
      <c r="Q717" s="1" t="str">
        <f aca="false">_xlfn.CONCAT(H717,I717,J717)</f>
        <v>LIGRFOCOM</v>
      </c>
    </row>
    <row r="718" customFormat="false" ht="15" hidden="false" customHeight="false" outlineLevel="0" collapsed="false">
      <c r="B718" s="1" t="s">
        <v>838</v>
      </c>
      <c r="C718" s="1" t="s">
        <v>841</v>
      </c>
      <c r="D718" s="14" t="n">
        <v>46008.7291666667</v>
      </c>
      <c r="E718" s="14" t="n">
        <v>46008.7291666667</v>
      </c>
      <c r="F718" s="14" t="n">
        <v>46008.7638888889</v>
      </c>
      <c r="G718" s="15" t="n">
        <f aca="false">F718-E718</f>
        <v>0.0347222222222222</v>
      </c>
      <c r="H718" s="20" t="s">
        <v>445</v>
      </c>
      <c r="I718" s="1" t="s">
        <v>263</v>
      </c>
      <c r="J718" s="20" t="s">
        <v>264</v>
      </c>
      <c r="K718" s="1" t="e">
        <f aca="false">_xlfn.xlookup(J718,REF!$D$2:$D$12,REF!$E$2:$E$12)</f>
        <v>#NAME?</v>
      </c>
      <c r="L718" s="1" t="s">
        <v>420</v>
      </c>
      <c r="M718" s="20" t="s">
        <v>418</v>
      </c>
      <c r="N718" s="20" t="s">
        <v>252</v>
      </c>
      <c r="O718" s="1" t="s">
        <v>419</v>
      </c>
      <c r="P718" s="1" t="str">
        <f aca="false">_xlfn.CONCAT(B718,C718,D718,E718,F718)</f>
        <v>Araçu IIAraçu 2.1 inv 346008.729166666746008.729166666746008.7638888889</v>
      </c>
      <c r="Q718" s="1" t="str">
        <f aca="false">_xlfn.CONCAT(H718,I718,J718)</f>
        <v>LIGRFOCOM</v>
      </c>
    </row>
    <row r="719" customFormat="false" ht="15" hidden="false" customHeight="false" outlineLevel="0" collapsed="false">
      <c r="B719" s="1" t="s">
        <v>838</v>
      </c>
      <c r="C719" s="1" t="s">
        <v>842</v>
      </c>
      <c r="D719" s="14" t="n">
        <v>46008.7291666667</v>
      </c>
      <c r="E719" s="14" t="n">
        <v>46008.7291666667</v>
      </c>
      <c r="F719" s="14" t="n">
        <v>46008.7638888889</v>
      </c>
      <c r="G719" s="15" t="n">
        <f aca="false">F719-E719</f>
        <v>0.0347222222222222</v>
      </c>
      <c r="H719" s="20" t="s">
        <v>445</v>
      </c>
      <c r="I719" s="1" t="s">
        <v>263</v>
      </c>
      <c r="J719" s="20" t="s">
        <v>264</v>
      </c>
      <c r="K719" s="1" t="e">
        <f aca="false">_xlfn.xlookup(J719,REF!$D$2:$D$12,REF!$E$2:$E$12)</f>
        <v>#NAME?</v>
      </c>
      <c r="L719" s="1" t="s">
        <v>420</v>
      </c>
      <c r="M719" s="20" t="s">
        <v>418</v>
      </c>
      <c r="N719" s="20" t="s">
        <v>252</v>
      </c>
      <c r="O719" s="1" t="s">
        <v>419</v>
      </c>
      <c r="P719" s="1" t="str">
        <f aca="false">_xlfn.CONCAT(B719,C719,D719,E719,F719)</f>
        <v>Araçu IIAraçu 2.2 inv.146008.729166666746008.729166666746008.7638888889</v>
      </c>
      <c r="Q719" s="1" t="str">
        <f aca="false">_xlfn.CONCAT(H719,I719,J719)</f>
        <v>LIGRFOCOM</v>
      </c>
    </row>
    <row r="720" customFormat="false" ht="15" hidden="false" customHeight="false" outlineLevel="0" collapsed="false">
      <c r="B720" s="1" t="s">
        <v>838</v>
      </c>
      <c r="C720" s="1" t="s">
        <v>843</v>
      </c>
      <c r="D720" s="14" t="n">
        <v>46008.7291666667</v>
      </c>
      <c r="E720" s="14" t="n">
        <v>46008.7291666667</v>
      </c>
      <c r="F720" s="14" t="n">
        <v>46008.7638888889</v>
      </c>
      <c r="G720" s="15" t="n">
        <f aca="false">F720-E720</f>
        <v>0.0347222222222222</v>
      </c>
      <c r="H720" s="20" t="s">
        <v>445</v>
      </c>
      <c r="I720" s="1" t="s">
        <v>263</v>
      </c>
      <c r="J720" s="20" t="s">
        <v>264</v>
      </c>
      <c r="K720" s="1" t="e">
        <f aca="false">_xlfn.xlookup(J720,REF!$D$2:$D$12,REF!$E$2:$E$12)</f>
        <v>#NAME?</v>
      </c>
      <c r="L720" s="1" t="s">
        <v>420</v>
      </c>
      <c r="M720" s="20" t="s">
        <v>418</v>
      </c>
      <c r="N720" s="20" t="s">
        <v>252</v>
      </c>
      <c r="O720" s="1" t="s">
        <v>419</v>
      </c>
      <c r="P720" s="1" t="str">
        <f aca="false">_xlfn.CONCAT(B720,C720,D720,E720,F720)</f>
        <v>Araçu IIAraçu 2.2 inv .246008.729166666746008.729166666746008.7638888889</v>
      </c>
      <c r="Q720" s="1" t="str">
        <f aca="false">_xlfn.CONCAT(H720,I720,J720)</f>
        <v>LIGRFOCOM</v>
      </c>
    </row>
    <row r="721" customFormat="false" ht="15" hidden="false" customHeight="false" outlineLevel="0" collapsed="false">
      <c r="B721" s="1" t="s">
        <v>838</v>
      </c>
      <c r="C721" s="1" t="s">
        <v>844</v>
      </c>
      <c r="D721" s="14" t="n">
        <v>46008.7291666667</v>
      </c>
      <c r="E721" s="14" t="n">
        <v>46008.7291666667</v>
      </c>
      <c r="F721" s="14" t="n">
        <v>46008.7638888889</v>
      </c>
      <c r="G721" s="15" t="n">
        <f aca="false">F721-E721</f>
        <v>0.0347222222222222</v>
      </c>
      <c r="H721" s="20" t="s">
        <v>445</v>
      </c>
      <c r="I721" s="1" t="s">
        <v>263</v>
      </c>
      <c r="J721" s="20" t="s">
        <v>264</v>
      </c>
      <c r="K721" s="1" t="e">
        <f aca="false">_xlfn.xlookup(J721,REF!$D$2:$D$12,REF!$E$2:$E$12)</f>
        <v>#NAME?</v>
      </c>
      <c r="L721" s="1" t="s">
        <v>420</v>
      </c>
      <c r="M721" s="20" t="s">
        <v>418</v>
      </c>
      <c r="N721" s="20" t="s">
        <v>252</v>
      </c>
      <c r="O721" s="1" t="s">
        <v>419</v>
      </c>
      <c r="P721" s="1" t="str">
        <f aca="false">_xlfn.CONCAT(B721,C721,D721,E721,F721)</f>
        <v>Araçu IIAraçu 2.2 inv 346008.729166666746008.729166666746008.7638888889</v>
      </c>
      <c r="Q721" s="1" t="str">
        <f aca="false">_xlfn.CONCAT(H721,I721,J721)</f>
        <v>LIGRFOCOM</v>
      </c>
    </row>
    <row r="722" customFormat="false" ht="15" hidden="false" customHeight="false" outlineLevel="0" collapsed="false">
      <c r="B722" s="1" t="s">
        <v>838</v>
      </c>
      <c r="C722" s="1" t="s">
        <v>845</v>
      </c>
      <c r="D722" s="14" t="n">
        <v>46008.7291666667</v>
      </c>
      <c r="E722" s="14" t="n">
        <v>46008.7291666667</v>
      </c>
      <c r="F722" s="14" t="n">
        <v>46008.7638888889</v>
      </c>
      <c r="G722" s="15" t="n">
        <f aca="false">F722-E722</f>
        <v>0.0347222222222222</v>
      </c>
      <c r="H722" s="20" t="s">
        <v>445</v>
      </c>
      <c r="I722" s="1" t="s">
        <v>263</v>
      </c>
      <c r="J722" s="20" t="s">
        <v>264</v>
      </c>
      <c r="K722" s="1" t="e">
        <f aca="false">_xlfn.xlookup(J722,REF!$D$2:$D$12,REF!$E$2:$E$12)</f>
        <v>#NAME?</v>
      </c>
      <c r="L722" s="1" t="s">
        <v>420</v>
      </c>
      <c r="M722" s="20" t="s">
        <v>418</v>
      </c>
      <c r="N722" s="20" t="s">
        <v>252</v>
      </c>
      <c r="O722" s="1" t="s">
        <v>419</v>
      </c>
      <c r="P722" s="1" t="str">
        <f aca="false">_xlfn.CONCAT(B722,C722,D722,E722,F722)</f>
        <v>Araçu IIAraçu 2.3inv 146008.729166666746008.729166666746008.7638888889</v>
      </c>
      <c r="Q722" s="1" t="str">
        <f aca="false">_xlfn.CONCAT(H722,I722,J722)</f>
        <v>LIGRFOCOM</v>
      </c>
    </row>
    <row r="723" customFormat="false" ht="15" hidden="false" customHeight="false" outlineLevel="0" collapsed="false">
      <c r="B723" s="1" t="s">
        <v>838</v>
      </c>
      <c r="C723" s="1" t="s">
        <v>846</v>
      </c>
      <c r="D723" s="14" t="n">
        <v>46008.7291666667</v>
      </c>
      <c r="E723" s="14" t="n">
        <v>46008.7291666667</v>
      </c>
      <c r="F723" s="14" t="n">
        <v>46008.7638888889</v>
      </c>
      <c r="G723" s="15" t="n">
        <f aca="false">F723-E723</f>
        <v>0.0347222222222222</v>
      </c>
      <c r="H723" s="20" t="s">
        <v>445</v>
      </c>
      <c r="I723" s="1" t="s">
        <v>263</v>
      </c>
      <c r="J723" s="20" t="s">
        <v>264</v>
      </c>
      <c r="K723" s="1" t="e">
        <f aca="false">_xlfn.xlookup(J723,REF!$D$2:$D$12,REF!$E$2:$E$12)</f>
        <v>#NAME?</v>
      </c>
      <c r="L723" s="1" t="s">
        <v>420</v>
      </c>
      <c r="M723" s="20" t="s">
        <v>418</v>
      </c>
      <c r="N723" s="20" t="s">
        <v>252</v>
      </c>
      <c r="O723" s="1" t="s">
        <v>419</v>
      </c>
      <c r="P723" s="1" t="str">
        <f aca="false">_xlfn.CONCAT(B723,C723,D723,E723,F723)</f>
        <v>Araçu IIAraçu 2.3 inv 246008.729166666746008.729166666746008.7638888889</v>
      </c>
      <c r="Q723" s="1" t="str">
        <f aca="false">_xlfn.CONCAT(H723,I723,J723)</f>
        <v>LIGRFOCOM</v>
      </c>
    </row>
    <row r="724" customFormat="false" ht="15" hidden="false" customHeight="false" outlineLevel="0" collapsed="false">
      <c r="B724" s="1" t="s">
        <v>838</v>
      </c>
      <c r="C724" s="1" t="s">
        <v>847</v>
      </c>
      <c r="D724" s="14" t="n">
        <v>46008.7291666667</v>
      </c>
      <c r="E724" s="14" t="n">
        <v>46008.7291666667</v>
      </c>
      <c r="F724" s="14" t="n">
        <v>46008.7638888889</v>
      </c>
      <c r="G724" s="15" t="n">
        <f aca="false">F724-E724</f>
        <v>0.0347222222222222</v>
      </c>
      <c r="H724" s="20" t="s">
        <v>445</v>
      </c>
      <c r="I724" s="1" t="s">
        <v>263</v>
      </c>
      <c r="J724" s="20" t="s">
        <v>264</v>
      </c>
      <c r="K724" s="1" t="e">
        <f aca="false">_xlfn.xlookup(J724,REF!$D$2:$D$12,REF!$E$2:$E$12)</f>
        <v>#NAME?</v>
      </c>
      <c r="L724" s="1" t="s">
        <v>420</v>
      </c>
      <c r="M724" s="20" t="s">
        <v>418</v>
      </c>
      <c r="N724" s="20" t="s">
        <v>252</v>
      </c>
      <c r="O724" s="1" t="s">
        <v>419</v>
      </c>
      <c r="P724" s="1" t="str">
        <f aca="false">_xlfn.CONCAT(B724,C724,D724,E724,F724)</f>
        <v>Araçu IIAraçu 2.3 inv 446008.729166666746008.729166666746008.7638888889</v>
      </c>
      <c r="Q724" s="1" t="str">
        <f aca="false">_xlfn.CONCAT(H724,I724,J724)</f>
        <v>LIGRFOCOM</v>
      </c>
    </row>
    <row r="725" customFormat="false" ht="15" hidden="false" customHeight="false" outlineLevel="0" collapsed="false">
      <c r="B725" s="1" t="s">
        <v>838</v>
      </c>
      <c r="C725" s="1" t="s">
        <v>848</v>
      </c>
      <c r="D725" s="14" t="n">
        <v>46008.7291666667</v>
      </c>
      <c r="E725" s="14" t="n">
        <v>46008.7291666667</v>
      </c>
      <c r="F725" s="14" t="n">
        <v>46008.7638888889</v>
      </c>
      <c r="G725" s="15" t="n">
        <f aca="false">F725-E725</f>
        <v>0.0347222222222222</v>
      </c>
      <c r="H725" s="20" t="s">
        <v>445</v>
      </c>
      <c r="I725" s="1" t="s">
        <v>263</v>
      </c>
      <c r="J725" s="20" t="s">
        <v>264</v>
      </c>
      <c r="K725" s="1" t="e">
        <f aca="false">_xlfn.xlookup(J725,REF!$D$2:$D$12,REF!$E$2:$E$12)</f>
        <v>#NAME?</v>
      </c>
      <c r="L725" s="1" t="s">
        <v>420</v>
      </c>
      <c r="M725" s="20" t="s">
        <v>418</v>
      </c>
      <c r="N725" s="20" t="s">
        <v>252</v>
      </c>
      <c r="O725" s="1" t="s">
        <v>419</v>
      </c>
      <c r="P725" s="1" t="str">
        <f aca="false">_xlfn.CONCAT(B725,C725,D725,E725,F725)</f>
        <v>Araçu IIAraçu.2.3 inv 546008.729166666746008.729166666746008.7638888889</v>
      </c>
      <c r="Q725" s="1" t="str">
        <f aca="false">_xlfn.CONCAT(H725,I725,J725)</f>
        <v>LIGRFOCOM</v>
      </c>
    </row>
    <row r="726" customFormat="false" ht="15" hidden="false" customHeight="false" outlineLevel="0" collapsed="false">
      <c r="B726" s="1" t="s">
        <v>838</v>
      </c>
      <c r="C726" s="1" t="s">
        <v>849</v>
      </c>
      <c r="D726" s="14" t="n">
        <v>46008.7291666667</v>
      </c>
      <c r="E726" s="14" t="n">
        <v>46008.7291666667</v>
      </c>
      <c r="F726" s="14" t="n">
        <v>46008.7638888889</v>
      </c>
      <c r="G726" s="15" t="n">
        <f aca="false">F726-E726</f>
        <v>0.0347222222222222</v>
      </c>
      <c r="H726" s="20" t="s">
        <v>445</v>
      </c>
      <c r="I726" s="1" t="s">
        <v>263</v>
      </c>
      <c r="J726" s="20" t="s">
        <v>264</v>
      </c>
      <c r="K726" s="1" t="e">
        <f aca="false">_xlfn.xlookup(J726,REF!$D$2:$D$12,REF!$E$2:$E$12)</f>
        <v>#NAME?</v>
      </c>
      <c r="L726" s="1" t="s">
        <v>420</v>
      </c>
      <c r="M726" s="20" t="s">
        <v>418</v>
      </c>
      <c r="N726" s="20" t="s">
        <v>252</v>
      </c>
      <c r="O726" s="1" t="s">
        <v>419</v>
      </c>
      <c r="P726" s="1" t="str">
        <f aca="false">_xlfn.CONCAT(B726,C726,D726,E726,F726)</f>
        <v>Araçu IIAraçu 2.3 inv46008.729166666746008.729166666746008.7638888889</v>
      </c>
      <c r="Q726" s="1" t="str">
        <f aca="false">_xlfn.CONCAT(H726,I726,J726)</f>
        <v>LIGRFOCOM</v>
      </c>
    </row>
    <row r="727" customFormat="false" ht="15" hidden="false" customHeight="false" outlineLevel="0" collapsed="false">
      <c r="B727" s="1" t="s">
        <v>838</v>
      </c>
      <c r="C727" s="1" t="s">
        <v>850</v>
      </c>
      <c r="D727" s="14" t="n">
        <v>46008.7291666667</v>
      </c>
      <c r="E727" s="14" t="n">
        <v>46008.7291666667</v>
      </c>
      <c r="F727" s="14" t="n">
        <v>46008.7638888889</v>
      </c>
      <c r="G727" s="15" t="n">
        <f aca="false">F727-E727</f>
        <v>0.0347222222222222</v>
      </c>
      <c r="H727" s="20" t="s">
        <v>445</v>
      </c>
      <c r="I727" s="1" t="s">
        <v>263</v>
      </c>
      <c r="J727" s="20" t="s">
        <v>264</v>
      </c>
      <c r="K727" s="1" t="e">
        <f aca="false">_xlfn.xlookup(J727,REF!$D$2:$D$12,REF!$E$2:$E$12)</f>
        <v>#NAME?</v>
      </c>
      <c r="L727" s="1" t="s">
        <v>420</v>
      </c>
      <c r="M727" s="20" t="s">
        <v>418</v>
      </c>
      <c r="N727" s="20" t="s">
        <v>252</v>
      </c>
      <c r="O727" s="1" t="s">
        <v>419</v>
      </c>
      <c r="P727" s="1" t="str">
        <f aca="false">_xlfn.CONCAT(B727,C727,D727,E727,F727)</f>
        <v>Araçu IIAraçu 2.3 inv 646008.729166666746008.729166666746008.7638888889</v>
      </c>
      <c r="Q727" s="1" t="str">
        <f aca="false">_xlfn.CONCAT(H727,I727,J727)</f>
        <v>LIGRFOCOM</v>
      </c>
    </row>
    <row r="728" customFormat="false" ht="15" hidden="false" customHeight="false" outlineLevel="0" collapsed="false">
      <c r="B728" s="1" t="s">
        <v>838</v>
      </c>
      <c r="C728" s="1" t="s">
        <v>851</v>
      </c>
      <c r="D728" s="14" t="n">
        <v>46008.7291666667</v>
      </c>
      <c r="E728" s="14" t="n">
        <v>46008.7291666667</v>
      </c>
      <c r="F728" s="14" t="n">
        <v>46008.7638888889</v>
      </c>
      <c r="G728" s="15" t="n">
        <f aca="false">F728-E728</f>
        <v>0.0347222222222222</v>
      </c>
      <c r="H728" s="20" t="s">
        <v>445</v>
      </c>
      <c r="I728" s="1" t="s">
        <v>263</v>
      </c>
      <c r="J728" s="20" t="s">
        <v>264</v>
      </c>
      <c r="K728" s="1" t="e">
        <f aca="false">_xlfn.xlookup(J728,REF!$D$2:$D$12,REF!$E$2:$E$12)</f>
        <v>#NAME?</v>
      </c>
      <c r="L728" s="1" t="s">
        <v>420</v>
      </c>
      <c r="M728" s="20" t="s">
        <v>418</v>
      </c>
      <c r="N728" s="20" t="s">
        <v>252</v>
      </c>
      <c r="O728" s="1" t="s">
        <v>419</v>
      </c>
      <c r="P728" s="1" t="str">
        <f aca="false">_xlfn.CONCAT(B728,C728,D728,E728,F728)</f>
        <v>Araçu IIARAÇU.2.4.INV.246008.729166666746008.729166666746008.7638888889</v>
      </c>
      <c r="Q728" s="1" t="str">
        <f aca="false">_xlfn.CONCAT(H728,I728,J728)</f>
        <v>LIGRFOCOM</v>
      </c>
    </row>
    <row r="729" customFormat="false" ht="15" hidden="false" customHeight="false" outlineLevel="0" collapsed="false">
      <c r="B729" s="1" t="s">
        <v>838</v>
      </c>
      <c r="C729" s="1" t="s">
        <v>852</v>
      </c>
      <c r="D729" s="14" t="n">
        <v>46008.7291666667</v>
      </c>
      <c r="E729" s="14" t="n">
        <v>46008.7291666667</v>
      </c>
      <c r="F729" s="14" t="n">
        <v>46008.7638888889</v>
      </c>
      <c r="G729" s="15" t="n">
        <f aca="false">F729-E729</f>
        <v>0.0347222222222222</v>
      </c>
      <c r="H729" s="20" t="s">
        <v>445</v>
      </c>
      <c r="I729" s="1" t="s">
        <v>263</v>
      </c>
      <c r="J729" s="20" t="s">
        <v>264</v>
      </c>
      <c r="K729" s="1" t="e">
        <f aca="false">_xlfn.xlookup(J729,REF!$D$2:$D$12,REF!$E$2:$E$12)</f>
        <v>#NAME?</v>
      </c>
      <c r="L729" s="1" t="s">
        <v>420</v>
      </c>
      <c r="M729" s="20" t="s">
        <v>418</v>
      </c>
      <c r="N729" s="20" t="s">
        <v>252</v>
      </c>
      <c r="O729" s="1" t="s">
        <v>419</v>
      </c>
      <c r="P729" s="1" t="str">
        <f aca="false">_xlfn.CONCAT(B729,C729,D729,E729,F729)</f>
        <v>Araçu IIAraçu.2.4 inv 346008.729166666746008.729166666746008.7638888889</v>
      </c>
      <c r="Q729" s="1" t="str">
        <f aca="false">_xlfn.CONCAT(H729,I729,J729)</f>
        <v>LIGRFOCOM</v>
      </c>
    </row>
    <row r="730" customFormat="false" ht="15" hidden="false" customHeight="false" outlineLevel="0" collapsed="false">
      <c r="B730" s="1" t="s">
        <v>838</v>
      </c>
      <c r="C730" s="1" t="s">
        <v>853</v>
      </c>
      <c r="D730" s="14" t="n">
        <v>46008.7291666667</v>
      </c>
      <c r="E730" s="14" t="n">
        <v>46008.7291666667</v>
      </c>
      <c r="F730" s="14" t="n">
        <v>46008.7638888889</v>
      </c>
      <c r="G730" s="15" t="n">
        <f aca="false">F730-E730</f>
        <v>0.0347222222222222</v>
      </c>
      <c r="H730" s="20" t="s">
        <v>445</v>
      </c>
      <c r="I730" s="1" t="s">
        <v>263</v>
      </c>
      <c r="J730" s="20" t="s">
        <v>264</v>
      </c>
      <c r="K730" s="1" t="e">
        <f aca="false">_xlfn.xlookup(J730,REF!$D$2:$D$12,REF!$E$2:$E$12)</f>
        <v>#NAME?</v>
      </c>
      <c r="L730" s="1" t="s">
        <v>420</v>
      </c>
      <c r="M730" s="20" t="s">
        <v>418</v>
      </c>
      <c r="N730" s="20" t="s">
        <v>252</v>
      </c>
      <c r="O730" s="1" t="s">
        <v>419</v>
      </c>
      <c r="P730" s="1" t="str">
        <f aca="false">_xlfn.CONCAT(B730,C730,D730,E730,F730)</f>
        <v>Araçu IIAraçu 2.4 inv 646008.729166666746008.729166666746008.7638888889</v>
      </c>
      <c r="Q730" s="1" t="str">
        <f aca="false">_xlfn.CONCAT(H730,I730,J730)</f>
        <v>LIGRFOCOM</v>
      </c>
    </row>
    <row r="731" customFormat="false" ht="15" hidden="false" customHeight="false" outlineLevel="0" collapsed="false">
      <c r="B731" s="1" t="s">
        <v>838</v>
      </c>
      <c r="C731" s="1" t="s">
        <v>854</v>
      </c>
      <c r="D731" s="14" t="n">
        <v>46008.7291666667</v>
      </c>
      <c r="E731" s="14" t="n">
        <v>46008.7291666667</v>
      </c>
      <c r="F731" s="14" t="n">
        <v>46008.7638888889</v>
      </c>
      <c r="G731" s="15" t="n">
        <f aca="false">F731-E731</f>
        <v>0.0347222222222222</v>
      </c>
      <c r="H731" s="20" t="s">
        <v>445</v>
      </c>
      <c r="I731" s="1" t="s">
        <v>263</v>
      </c>
      <c r="J731" s="20" t="s">
        <v>264</v>
      </c>
      <c r="K731" s="1" t="e">
        <f aca="false">_xlfn.xlookup(J731,REF!$D$2:$D$12,REF!$E$2:$E$12)</f>
        <v>#NAME?</v>
      </c>
      <c r="L731" s="1" t="s">
        <v>420</v>
      </c>
      <c r="M731" s="20" t="s">
        <v>418</v>
      </c>
      <c r="N731" s="20" t="s">
        <v>252</v>
      </c>
      <c r="O731" s="1" t="s">
        <v>419</v>
      </c>
      <c r="P731" s="1" t="str">
        <f aca="false">_xlfn.CONCAT(B731,C731,D731,E731,F731)</f>
        <v>Araçu IIAraçu 2.4 inv 146008.729166666746008.729166666746008.7638888889</v>
      </c>
      <c r="Q731" s="1" t="str">
        <f aca="false">_xlfn.CONCAT(H731,I731,J731)</f>
        <v>LIGRFOCOM</v>
      </c>
    </row>
    <row r="732" customFormat="false" ht="15" hidden="false" customHeight="false" outlineLevel="0" collapsed="false">
      <c r="B732" s="1" t="s">
        <v>838</v>
      </c>
      <c r="C732" s="1" t="s">
        <v>855</v>
      </c>
      <c r="D732" s="14" t="n">
        <v>46008.7291666667</v>
      </c>
      <c r="E732" s="14" t="n">
        <v>46008.7291666667</v>
      </c>
      <c r="F732" s="14" t="n">
        <v>46008.7638888889</v>
      </c>
      <c r="G732" s="15" t="n">
        <f aca="false">F732-E732</f>
        <v>0.0347222222222222</v>
      </c>
      <c r="H732" s="20" t="s">
        <v>445</v>
      </c>
      <c r="I732" s="1" t="s">
        <v>263</v>
      </c>
      <c r="J732" s="20" t="s">
        <v>264</v>
      </c>
      <c r="K732" s="1" t="e">
        <f aca="false">_xlfn.xlookup(J732,REF!$D$2:$D$12,REF!$E$2:$E$12)</f>
        <v>#NAME?</v>
      </c>
      <c r="L732" s="1" t="s">
        <v>420</v>
      </c>
      <c r="M732" s="20" t="s">
        <v>418</v>
      </c>
      <c r="N732" s="20" t="s">
        <v>252</v>
      </c>
      <c r="O732" s="1" t="s">
        <v>419</v>
      </c>
      <c r="P732" s="1" t="str">
        <f aca="false">_xlfn.CONCAT(B732,C732,D732,E732,F732)</f>
        <v>Araçu IIAraçu 2.4 inv 446008.729166666746008.729166666746008.7638888889</v>
      </c>
      <c r="Q732" s="1" t="str">
        <f aca="false">_xlfn.CONCAT(H732,I732,J732)</f>
        <v>LIGRFOCOM</v>
      </c>
    </row>
    <row r="733" customFormat="false" ht="15" hidden="false" customHeight="false" outlineLevel="0" collapsed="false">
      <c r="B733" s="1" t="s">
        <v>838</v>
      </c>
      <c r="C733" s="1" t="s">
        <v>856</v>
      </c>
      <c r="D733" s="14" t="n">
        <v>46008.7291666667</v>
      </c>
      <c r="E733" s="14" t="n">
        <v>46008.7291666667</v>
      </c>
      <c r="F733" s="14" t="n">
        <v>46008.7638888889</v>
      </c>
      <c r="G733" s="15" t="n">
        <f aca="false">F733-E733</f>
        <v>0.0347222222222222</v>
      </c>
      <c r="H733" s="20" t="s">
        <v>445</v>
      </c>
      <c r="I733" s="1" t="s">
        <v>263</v>
      </c>
      <c r="J733" s="20" t="s">
        <v>264</v>
      </c>
      <c r="K733" s="1" t="e">
        <f aca="false">_xlfn.xlookup(J733,REF!$D$2:$D$12,REF!$E$2:$E$12)</f>
        <v>#NAME?</v>
      </c>
      <c r="L733" s="1" t="s">
        <v>420</v>
      </c>
      <c r="M733" s="20" t="s">
        <v>418</v>
      </c>
      <c r="N733" s="20" t="s">
        <v>252</v>
      </c>
      <c r="O733" s="1" t="s">
        <v>419</v>
      </c>
      <c r="P733" s="1" t="str">
        <f aca="false">_xlfn.CONCAT(B733,C733,D733,E733,F733)</f>
        <v>Araçu IIAraçu 2.4 inv 546008.729166666746008.729166666746008.7638888889</v>
      </c>
      <c r="Q733" s="1" t="str">
        <f aca="false">_xlfn.CONCAT(H733,I733,J733)</f>
        <v>LIGRFOCOM</v>
      </c>
    </row>
    <row r="734" customFormat="false" ht="15" hidden="true" customHeight="false" outlineLevel="0" collapsed="false">
      <c r="B734" s="1" t="s">
        <v>814</v>
      </c>
      <c r="C734" s="1" t="s">
        <v>543</v>
      </c>
      <c r="D734" s="14" t="n">
        <v>46004.2673611111</v>
      </c>
      <c r="E734" s="14" t="n">
        <v>46004.2673611111</v>
      </c>
      <c r="F734" s="14" t="n">
        <v>46004.3305555556</v>
      </c>
      <c r="G734" s="15" t="n">
        <f aca="false">F734-E734</f>
        <v>0.0631944444444444</v>
      </c>
      <c r="H734" s="20" t="s">
        <v>248</v>
      </c>
      <c r="J734" s="20" t="s">
        <v>256</v>
      </c>
      <c r="K734" s="1" t="e">
        <f aca="false">_xlfn.xlookup(J734,REF!$D$2:$D$12,REF!$E$2:$E$12)</f>
        <v>#NAME?</v>
      </c>
      <c r="L734" s="1" t="s">
        <v>686</v>
      </c>
      <c r="M734" s="20" t="s">
        <v>258</v>
      </c>
      <c r="N734" s="20" t="s">
        <v>259</v>
      </c>
      <c r="O734" s="1" t="s">
        <v>760</v>
      </c>
      <c r="P734" s="1" t="str">
        <f aca="false">_xlfn.CONCAT(B734,C734,D734,E734,F734)</f>
        <v>Caiaponia ISG60KTL(COM1-001)_001_00746004.267361111146004.267361111146004.3305555556</v>
      </c>
      <c r="Q734" s="1" t="str">
        <f aca="false">_xlfn.CONCAT(H734,I734,J734)</f>
        <v>DAURDE</v>
      </c>
    </row>
    <row r="735" customFormat="false" ht="15" hidden="true" customHeight="false" outlineLevel="0" collapsed="false">
      <c r="B735" s="1" t="s">
        <v>814</v>
      </c>
      <c r="C735" s="1" t="s">
        <v>545</v>
      </c>
      <c r="D735" s="14" t="n">
        <v>46004.2673611111</v>
      </c>
      <c r="E735" s="14" t="n">
        <v>46004.2673611111</v>
      </c>
      <c r="F735" s="14" t="n">
        <v>46004.3305555556</v>
      </c>
      <c r="G735" s="15" t="n">
        <f aca="false">F735-E735</f>
        <v>0.0631944444444444</v>
      </c>
      <c r="H735" s="20" t="s">
        <v>248</v>
      </c>
      <c r="J735" s="20" t="s">
        <v>256</v>
      </c>
      <c r="K735" s="1" t="e">
        <f aca="false">_xlfn.xlookup(J735,REF!$D$2:$D$12,REF!$E$2:$E$12)</f>
        <v>#NAME?</v>
      </c>
      <c r="L735" s="1" t="s">
        <v>686</v>
      </c>
      <c r="M735" s="20" t="s">
        <v>258</v>
      </c>
      <c r="N735" s="20" t="s">
        <v>259</v>
      </c>
      <c r="O735" s="1" t="s">
        <v>760</v>
      </c>
      <c r="P735" s="1" t="str">
        <f aca="false">_xlfn.CONCAT(B735,C735,D735,E735,F735)</f>
        <v>Caiaponia ISG60KTL(COM1-002)_001_01046004.267361111146004.267361111146004.3305555556</v>
      </c>
      <c r="Q735" s="1" t="str">
        <f aca="false">_xlfn.CONCAT(H735,I735,J735)</f>
        <v>DAURDE</v>
      </c>
    </row>
    <row r="736" customFormat="false" ht="15" hidden="true" customHeight="false" outlineLevel="0" collapsed="false">
      <c r="B736" s="1" t="s">
        <v>814</v>
      </c>
      <c r="C736" s="1" t="s">
        <v>546</v>
      </c>
      <c r="D736" s="14" t="n">
        <v>46004.2673611111</v>
      </c>
      <c r="E736" s="14" t="n">
        <v>46004.2673611111</v>
      </c>
      <c r="F736" s="14" t="n">
        <v>46004.3305555556</v>
      </c>
      <c r="G736" s="15" t="n">
        <f aca="false">F736-E736</f>
        <v>0.0631944444444444</v>
      </c>
      <c r="H736" s="20" t="s">
        <v>248</v>
      </c>
      <c r="J736" s="20" t="s">
        <v>256</v>
      </c>
      <c r="K736" s="1" t="e">
        <f aca="false">_xlfn.xlookup(J736,REF!$D$2:$D$12,REF!$E$2:$E$12)</f>
        <v>#NAME?</v>
      </c>
      <c r="L736" s="1" t="s">
        <v>686</v>
      </c>
      <c r="M736" s="20" t="s">
        <v>258</v>
      </c>
      <c r="N736" s="20" t="s">
        <v>259</v>
      </c>
      <c r="O736" s="1" t="s">
        <v>760</v>
      </c>
      <c r="P736" s="1" t="str">
        <f aca="false">_xlfn.CONCAT(B736,C736,D736,E736,F736)</f>
        <v>Caiaponia ISG60KTL(COM1-003)_001_01146004.267361111146004.267361111146004.3305555556</v>
      </c>
      <c r="Q736" s="1" t="str">
        <f aca="false">_xlfn.CONCAT(H736,I736,J736)</f>
        <v>DAURDE</v>
      </c>
    </row>
    <row r="737" customFormat="false" ht="15" hidden="true" customHeight="false" outlineLevel="0" collapsed="false">
      <c r="B737" s="1" t="s">
        <v>814</v>
      </c>
      <c r="C737" s="1" t="s">
        <v>547</v>
      </c>
      <c r="D737" s="14" t="n">
        <v>46004.2673611111</v>
      </c>
      <c r="E737" s="14" t="n">
        <v>46004.2673611111</v>
      </c>
      <c r="F737" s="14" t="n">
        <v>46004.3305555556</v>
      </c>
      <c r="G737" s="15" t="n">
        <f aca="false">F737-E737</f>
        <v>0.0631944444444444</v>
      </c>
      <c r="H737" s="20" t="s">
        <v>248</v>
      </c>
      <c r="J737" s="20" t="s">
        <v>256</v>
      </c>
      <c r="K737" s="1" t="e">
        <f aca="false">_xlfn.xlookup(J737,REF!$D$2:$D$12,REF!$E$2:$E$12)</f>
        <v>#NAME?</v>
      </c>
      <c r="L737" s="1" t="s">
        <v>686</v>
      </c>
      <c r="M737" s="20" t="s">
        <v>258</v>
      </c>
      <c r="N737" s="20" t="s">
        <v>259</v>
      </c>
      <c r="O737" s="1" t="s">
        <v>760</v>
      </c>
      <c r="P737" s="1" t="str">
        <f aca="false">_xlfn.CONCAT(B737,C737,D737,E737,F737)</f>
        <v>Caiaponia ISG60KTL(COM1-004)_001_01446004.267361111146004.267361111146004.3305555556</v>
      </c>
      <c r="Q737" s="1" t="str">
        <f aca="false">_xlfn.CONCAT(H737,I737,J737)</f>
        <v>DAURDE</v>
      </c>
    </row>
    <row r="738" customFormat="false" ht="15" hidden="true" customHeight="false" outlineLevel="0" collapsed="false">
      <c r="B738" s="1" t="s">
        <v>814</v>
      </c>
      <c r="C738" s="1" t="s">
        <v>548</v>
      </c>
      <c r="D738" s="14" t="n">
        <v>46004.2673611111</v>
      </c>
      <c r="E738" s="14" t="n">
        <v>46004.2673611111</v>
      </c>
      <c r="F738" s="14" t="n">
        <v>46004.3305555556</v>
      </c>
      <c r="G738" s="15" t="n">
        <f aca="false">F738-E738</f>
        <v>0.0631944444444444</v>
      </c>
      <c r="H738" s="20" t="s">
        <v>248</v>
      </c>
      <c r="J738" s="20" t="s">
        <v>256</v>
      </c>
      <c r="K738" s="1" t="e">
        <f aca="false">_xlfn.xlookup(J738,REF!$D$2:$D$12,REF!$E$2:$E$12)</f>
        <v>#NAME?</v>
      </c>
      <c r="L738" s="1" t="s">
        <v>686</v>
      </c>
      <c r="M738" s="20" t="s">
        <v>258</v>
      </c>
      <c r="N738" s="20" t="s">
        <v>259</v>
      </c>
      <c r="O738" s="1" t="s">
        <v>760</v>
      </c>
      <c r="P738" s="1" t="str">
        <f aca="false">_xlfn.CONCAT(B738,C738,D738,E738,F738)</f>
        <v>Caiaponia ISG60KTL(COM1-005)_001_01746004.267361111146004.267361111146004.3305555556</v>
      </c>
      <c r="Q738" s="1" t="str">
        <f aca="false">_xlfn.CONCAT(H738,I738,J738)</f>
        <v>DAURDE</v>
      </c>
    </row>
    <row r="739" customFormat="false" ht="15" hidden="true" customHeight="false" outlineLevel="0" collapsed="false">
      <c r="B739" s="1" t="s">
        <v>814</v>
      </c>
      <c r="C739" s="1" t="s">
        <v>549</v>
      </c>
      <c r="D739" s="14" t="n">
        <v>46004.2673611111</v>
      </c>
      <c r="E739" s="14" t="n">
        <v>46004.2673611111</v>
      </c>
      <c r="F739" s="14" t="n">
        <v>46004.3305555556</v>
      </c>
      <c r="G739" s="15" t="n">
        <f aca="false">F739-E739</f>
        <v>0.0631944444444444</v>
      </c>
      <c r="H739" s="20" t="s">
        <v>248</v>
      </c>
      <c r="J739" s="20" t="s">
        <v>256</v>
      </c>
      <c r="K739" s="1" t="e">
        <f aca="false">_xlfn.xlookup(J739,REF!$D$2:$D$12,REF!$E$2:$E$12)</f>
        <v>#NAME?</v>
      </c>
      <c r="L739" s="1" t="s">
        <v>686</v>
      </c>
      <c r="M739" s="20" t="s">
        <v>258</v>
      </c>
      <c r="N739" s="20" t="s">
        <v>259</v>
      </c>
      <c r="O739" s="1" t="s">
        <v>760</v>
      </c>
      <c r="P739" s="1" t="str">
        <f aca="false">_xlfn.CONCAT(B739,C739,D739,E739,F739)</f>
        <v>Caiaponia ISG60KTL(COM1-006)_001_01646004.267361111146004.267361111146004.3305555556</v>
      </c>
      <c r="Q739" s="1" t="str">
        <f aca="false">_xlfn.CONCAT(H739,I739,J739)</f>
        <v>DAURDE</v>
      </c>
    </row>
    <row r="740" customFormat="false" ht="15" hidden="true" customHeight="false" outlineLevel="0" collapsed="false">
      <c r="B740" s="1" t="s">
        <v>814</v>
      </c>
      <c r="C740" s="1" t="s">
        <v>550</v>
      </c>
      <c r="D740" s="14" t="n">
        <v>46004.2673611111</v>
      </c>
      <c r="E740" s="14" t="n">
        <v>46004.2673611111</v>
      </c>
      <c r="F740" s="14" t="n">
        <v>46004.3305555556</v>
      </c>
      <c r="G740" s="15" t="n">
        <f aca="false">F740-E740</f>
        <v>0.0631944444444444</v>
      </c>
      <c r="H740" s="20" t="s">
        <v>248</v>
      </c>
      <c r="J740" s="20" t="s">
        <v>256</v>
      </c>
      <c r="K740" s="1" t="e">
        <f aca="false">_xlfn.xlookup(J740,REF!$D$2:$D$12,REF!$E$2:$E$12)</f>
        <v>#NAME?</v>
      </c>
      <c r="L740" s="1" t="s">
        <v>686</v>
      </c>
      <c r="M740" s="20" t="s">
        <v>258</v>
      </c>
      <c r="N740" s="20" t="s">
        <v>259</v>
      </c>
      <c r="O740" s="1" t="s">
        <v>760</v>
      </c>
      <c r="P740" s="1" t="str">
        <f aca="false">_xlfn.CONCAT(B740,C740,D740,E740,F740)</f>
        <v>Caiaponia ISG60KTL(COM1-007)_001_01346004.267361111146004.267361111146004.3305555556</v>
      </c>
      <c r="Q740" s="1" t="str">
        <f aca="false">_xlfn.CONCAT(H740,I740,J740)</f>
        <v>DAURDE</v>
      </c>
    </row>
    <row r="741" customFormat="false" ht="15" hidden="true" customHeight="false" outlineLevel="0" collapsed="false">
      <c r="B741" s="1" t="s">
        <v>814</v>
      </c>
      <c r="C741" s="1" t="s">
        <v>551</v>
      </c>
      <c r="D741" s="14" t="n">
        <v>46004.2673611111</v>
      </c>
      <c r="E741" s="14" t="n">
        <v>46004.2673611111</v>
      </c>
      <c r="F741" s="14" t="n">
        <v>46004.3305555556</v>
      </c>
      <c r="G741" s="15" t="n">
        <f aca="false">F741-E741</f>
        <v>0.0631944444444444</v>
      </c>
      <c r="H741" s="20" t="s">
        <v>248</v>
      </c>
      <c r="J741" s="20" t="s">
        <v>256</v>
      </c>
      <c r="K741" s="1" t="e">
        <f aca="false">_xlfn.xlookup(J741,REF!$D$2:$D$12,REF!$E$2:$E$12)</f>
        <v>#NAME?</v>
      </c>
      <c r="L741" s="1" t="s">
        <v>686</v>
      </c>
      <c r="M741" s="20" t="s">
        <v>258</v>
      </c>
      <c r="N741" s="20" t="s">
        <v>259</v>
      </c>
      <c r="O741" s="1" t="s">
        <v>760</v>
      </c>
      <c r="P741" s="1" t="str">
        <f aca="false">_xlfn.CONCAT(B741,C741,D741,E741,F741)</f>
        <v>Caiaponia ISG60KTL(COM1-008)_001_00146004.267361111146004.267361111146004.3305555556</v>
      </c>
      <c r="Q741" s="1" t="str">
        <f aca="false">_xlfn.CONCAT(H741,I741,J741)</f>
        <v>DAURDE</v>
      </c>
    </row>
    <row r="742" customFormat="false" ht="15" hidden="true" customHeight="false" outlineLevel="0" collapsed="false">
      <c r="B742" s="1" t="s">
        <v>814</v>
      </c>
      <c r="C742" s="1" t="s">
        <v>552</v>
      </c>
      <c r="D742" s="14" t="n">
        <v>46004.2673611111</v>
      </c>
      <c r="E742" s="14" t="n">
        <v>46004.2673611111</v>
      </c>
      <c r="F742" s="14" t="n">
        <v>46004.3305555556</v>
      </c>
      <c r="G742" s="15" t="n">
        <f aca="false">F742-E742</f>
        <v>0.0631944444444444</v>
      </c>
      <c r="H742" s="20" t="s">
        <v>248</v>
      </c>
      <c r="J742" s="20" t="s">
        <v>256</v>
      </c>
      <c r="K742" s="1" t="e">
        <f aca="false">_xlfn.xlookup(J742,REF!$D$2:$D$12,REF!$E$2:$E$12)</f>
        <v>#NAME?</v>
      </c>
      <c r="L742" s="1" t="s">
        <v>686</v>
      </c>
      <c r="M742" s="20" t="s">
        <v>258</v>
      </c>
      <c r="N742" s="20" t="s">
        <v>259</v>
      </c>
      <c r="O742" s="1" t="s">
        <v>760</v>
      </c>
      <c r="P742" s="1" t="str">
        <f aca="false">_xlfn.CONCAT(B742,C742,D742,E742,F742)</f>
        <v>Caiaponia ISG60KTL(COM1-009)46004.267361111146004.267361111146004.3305555556</v>
      </c>
      <c r="Q742" s="1" t="str">
        <f aca="false">_xlfn.CONCAT(H742,I742,J742)</f>
        <v>DAURDE</v>
      </c>
    </row>
    <row r="743" customFormat="false" ht="15" hidden="true" customHeight="false" outlineLevel="0" collapsed="false">
      <c r="B743" s="1" t="s">
        <v>814</v>
      </c>
      <c r="C743" s="1" t="s">
        <v>553</v>
      </c>
      <c r="D743" s="14" t="n">
        <v>46004.2673611111</v>
      </c>
      <c r="E743" s="14" t="n">
        <v>46004.2673611111</v>
      </c>
      <c r="F743" s="14" t="n">
        <v>46004.3305555556</v>
      </c>
      <c r="G743" s="15" t="n">
        <f aca="false">F743-E743</f>
        <v>0.0631944444444444</v>
      </c>
      <c r="H743" s="20" t="s">
        <v>248</v>
      </c>
      <c r="J743" s="20" t="s">
        <v>256</v>
      </c>
      <c r="K743" s="1" t="e">
        <f aca="false">_xlfn.xlookup(J743,REF!$D$2:$D$12,REF!$E$2:$E$12)</f>
        <v>#NAME?</v>
      </c>
      <c r="L743" s="1" t="s">
        <v>686</v>
      </c>
      <c r="M743" s="20" t="s">
        <v>258</v>
      </c>
      <c r="N743" s="20" t="s">
        <v>259</v>
      </c>
      <c r="O743" s="1" t="s">
        <v>760</v>
      </c>
      <c r="P743" s="1" t="str">
        <f aca="false">_xlfn.CONCAT(B743,C743,D743,E743,F743)</f>
        <v>Caiaponia ISG60KTL(COM1-010)46004.267361111146004.267361111146004.3305555556</v>
      </c>
      <c r="Q743" s="1" t="str">
        <f aca="false">_xlfn.CONCAT(H743,I743,J743)</f>
        <v>DAURDE</v>
      </c>
    </row>
    <row r="744" customFormat="false" ht="15" hidden="true" customHeight="false" outlineLevel="0" collapsed="false">
      <c r="B744" s="1" t="s">
        <v>814</v>
      </c>
      <c r="C744" s="1" t="s">
        <v>554</v>
      </c>
      <c r="D744" s="14" t="n">
        <v>46004.2673611111</v>
      </c>
      <c r="E744" s="14" t="n">
        <v>46004.2673611111</v>
      </c>
      <c r="F744" s="14" t="n">
        <v>46004.3305555556</v>
      </c>
      <c r="G744" s="15" t="n">
        <f aca="false">F744-E744</f>
        <v>0.0631944444444444</v>
      </c>
      <c r="H744" s="20" t="s">
        <v>248</v>
      </c>
      <c r="J744" s="20" t="s">
        <v>256</v>
      </c>
      <c r="K744" s="1" t="e">
        <f aca="false">_xlfn.xlookup(J744,REF!$D$2:$D$12,REF!$E$2:$E$12)</f>
        <v>#NAME?</v>
      </c>
      <c r="L744" s="1" t="s">
        <v>686</v>
      </c>
      <c r="M744" s="20" t="s">
        <v>258</v>
      </c>
      <c r="N744" s="20" t="s">
        <v>259</v>
      </c>
      <c r="O744" s="1" t="s">
        <v>760</v>
      </c>
      <c r="P744" s="1" t="str">
        <f aca="false">_xlfn.CONCAT(B744,C744,D744,E744,F744)</f>
        <v>Caiaponia ISG60KTL(COM1-011)46004.267361111146004.267361111146004.3305555556</v>
      </c>
      <c r="Q744" s="1" t="str">
        <f aca="false">_xlfn.CONCAT(H744,I744,J744)</f>
        <v>DAURDE</v>
      </c>
    </row>
    <row r="745" customFormat="false" ht="15" hidden="true" customHeight="false" outlineLevel="0" collapsed="false">
      <c r="B745" s="1" t="s">
        <v>814</v>
      </c>
      <c r="C745" s="1" t="s">
        <v>555</v>
      </c>
      <c r="D745" s="14" t="n">
        <v>46004.2673611111</v>
      </c>
      <c r="E745" s="14" t="n">
        <v>46004.2673611111</v>
      </c>
      <c r="F745" s="14" t="n">
        <v>46004.3305555556</v>
      </c>
      <c r="G745" s="15" t="n">
        <f aca="false">F745-E745</f>
        <v>0.0631944444444444</v>
      </c>
      <c r="H745" s="20" t="s">
        <v>248</v>
      </c>
      <c r="J745" s="20" t="s">
        <v>256</v>
      </c>
      <c r="K745" s="1" t="e">
        <f aca="false">_xlfn.xlookup(J745,REF!$D$2:$D$12,REF!$E$2:$E$12)</f>
        <v>#NAME?</v>
      </c>
      <c r="L745" s="1" t="s">
        <v>686</v>
      </c>
      <c r="M745" s="20" t="s">
        <v>258</v>
      </c>
      <c r="N745" s="20" t="s">
        <v>259</v>
      </c>
      <c r="O745" s="1" t="s">
        <v>760</v>
      </c>
      <c r="P745" s="1" t="str">
        <f aca="false">_xlfn.CONCAT(B745,C745,D745,E745,F745)</f>
        <v>Caiaponia ISG60KTL(COM1-012)46004.267361111146004.267361111146004.3305555556</v>
      </c>
      <c r="Q745" s="1" t="str">
        <f aca="false">_xlfn.CONCAT(H745,I745,J745)</f>
        <v>DAURDE</v>
      </c>
    </row>
    <row r="746" customFormat="false" ht="15" hidden="true" customHeight="false" outlineLevel="0" collapsed="false">
      <c r="B746" s="1" t="s">
        <v>814</v>
      </c>
      <c r="C746" s="1" t="s">
        <v>556</v>
      </c>
      <c r="D746" s="14" t="n">
        <v>46004.2673611111</v>
      </c>
      <c r="E746" s="14" t="n">
        <v>46004.2673611111</v>
      </c>
      <c r="F746" s="14" t="n">
        <v>46004.3305555556</v>
      </c>
      <c r="G746" s="15" t="n">
        <f aca="false">F746-E746</f>
        <v>0.0631944444444444</v>
      </c>
      <c r="H746" s="20" t="s">
        <v>248</v>
      </c>
      <c r="J746" s="20" t="s">
        <v>256</v>
      </c>
      <c r="K746" s="1" t="e">
        <f aca="false">_xlfn.xlookup(J746,REF!$D$2:$D$12,REF!$E$2:$E$12)</f>
        <v>#NAME?</v>
      </c>
      <c r="L746" s="1" t="s">
        <v>686</v>
      </c>
      <c r="M746" s="20" t="s">
        <v>258</v>
      </c>
      <c r="N746" s="20" t="s">
        <v>259</v>
      </c>
      <c r="O746" s="1" t="s">
        <v>760</v>
      </c>
      <c r="P746" s="1" t="str">
        <f aca="false">_xlfn.CONCAT(B746,C746,D746,E746,F746)</f>
        <v>Caiaponia ISG60KTL(COM1-013)46004.267361111146004.267361111146004.3305555556</v>
      </c>
      <c r="Q746" s="1" t="str">
        <f aca="false">_xlfn.CONCAT(H746,I746,J746)</f>
        <v>DAURDE</v>
      </c>
    </row>
    <row r="747" customFormat="false" ht="15" hidden="true" customHeight="false" outlineLevel="0" collapsed="false">
      <c r="B747" s="1" t="s">
        <v>814</v>
      </c>
      <c r="C747" s="1" t="s">
        <v>557</v>
      </c>
      <c r="D747" s="14" t="n">
        <v>46004.2673611111</v>
      </c>
      <c r="E747" s="14" t="n">
        <v>46004.2673611111</v>
      </c>
      <c r="F747" s="14" t="n">
        <v>46004.3305555556</v>
      </c>
      <c r="G747" s="15" t="n">
        <f aca="false">F747-E747</f>
        <v>0.0631944444444444</v>
      </c>
      <c r="H747" s="20" t="s">
        <v>248</v>
      </c>
      <c r="J747" s="20" t="s">
        <v>256</v>
      </c>
      <c r="K747" s="1" t="e">
        <f aca="false">_xlfn.xlookup(J747,REF!$D$2:$D$12,REF!$E$2:$E$12)</f>
        <v>#NAME?</v>
      </c>
      <c r="L747" s="1" t="s">
        <v>686</v>
      </c>
      <c r="M747" s="20" t="s">
        <v>258</v>
      </c>
      <c r="N747" s="20" t="s">
        <v>259</v>
      </c>
      <c r="O747" s="1" t="s">
        <v>760</v>
      </c>
      <c r="P747" s="1" t="str">
        <f aca="false">_xlfn.CONCAT(B747,C747,D747,E747,F747)</f>
        <v>Caiaponia ISG60KTL(COM1-014)46004.267361111146004.267361111146004.3305555556</v>
      </c>
      <c r="Q747" s="1" t="str">
        <f aca="false">_xlfn.CONCAT(H747,I747,J747)</f>
        <v>DAURDE</v>
      </c>
    </row>
    <row r="748" customFormat="false" ht="15" hidden="true" customHeight="false" outlineLevel="0" collapsed="false">
      <c r="B748" s="1" t="s">
        <v>814</v>
      </c>
      <c r="C748" s="1" t="s">
        <v>558</v>
      </c>
      <c r="D748" s="14" t="n">
        <v>46004.2673611111</v>
      </c>
      <c r="E748" s="14" t="n">
        <v>46004.2673611111</v>
      </c>
      <c r="F748" s="14" t="n">
        <v>46004.3305555556</v>
      </c>
      <c r="G748" s="15" t="n">
        <f aca="false">F748-E748</f>
        <v>0.0631944444444444</v>
      </c>
      <c r="H748" s="20" t="s">
        <v>248</v>
      </c>
      <c r="J748" s="20" t="s">
        <v>256</v>
      </c>
      <c r="K748" s="1" t="e">
        <f aca="false">_xlfn.xlookup(J748,REF!$D$2:$D$12,REF!$E$2:$E$12)</f>
        <v>#NAME?</v>
      </c>
      <c r="L748" s="1" t="s">
        <v>686</v>
      </c>
      <c r="M748" s="20" t="s">
        <v>258</v>
      </c>
      <c r="N748" s="20" t="s">
        <v>259</v>
      </c>
      <c r="O748" s="1" t="s">
        <v>760</v>
      </c>
      <c r="P748" s="1" t="str">
        <f aca="false">_xlfn.CONCAT(B748,C748,D748,E748,F748)</f>
        <v>Caiaponia ISG60KTL(COM1-015)46004.267361111146004.267361111146004.3305555556</v>
      </c>
      <c r="Q748" s="1" t="str">
        <f aca="false">_xlfn.CONCAT(H748,I748,J748)</f>
        <v>DAURDE</v>
      </c>
    </row>
    <row r="749" customFormat="false" ht="15" hidden="true" customHeight="false" outlineLevel="0" collapsed="false">
      <c r="B749" s="1" t="s">
        <v>814</v>
      </c>
      <c r="C749" s="1" t="s">
        <v>559</v>
      </c>
      <c r="D749" s="14" t="n">
        <v>46004.2673611111</v>
      </c>
      <c r="E749" s="14" t="n">
        <v>46004.2673611111</v>
      </c>
      <c r="F749" s="14" t="n">
        <v>46004.3305555556</v>
      </c>
      <c r="G749" s="15" t="n">
        <f aca="false">F749-E749</f>
        <v>0.0631944444444444</v>
      </c>
      <c r="H749" s="20" t="s">
        <v>248</v>
      </c>
      <c r="J749" s="20" t="s">
        <v>256</v>
      </c>
      <c r="K749" s="1" t="e">
        <f aca="false">_xlfn.xlookup(J749,REF!$D$2:$D$12,REF!$E$2:$E$12)</f>
        <v>#NAME?</v>
      </c>
      <c r="L749" s="1" t="s">
        <v>686</v>
      </c>
      <c r="M749" s="20" t="s">
        <v>258</v>
      </c>
      <c r="N749" s="20" t="s">
        <v>259</v>
      </c>
      <c r="O749" s="1" t="s">
        <v>760</v>
      </c>
      <c r="P749" s="1" t="str">
        <f aca="false">_xlfn.CONCAT(B749,C749,D749,E749,F749)</f>
        <v>Caiaponia ISG60KTL(COM3-016)_001_00946004.267361111146004.267361111146004.3305555556</v>
      </c>
      <c r="Q749" s="1" t="str">
        <f aca="false">_xlfn.CONCAT(H749,I749,J749)</f>
        <v>DAURDE</v>
      </c>
    </row>
    <row r="750" customFormat="false" ht="15" hidden="true" customHeight="false" outlineLevel="0" collapsed="false">
      <c r="B750" s="1" t="s">
        <v>814</v>
      </c>
      <c r="C750" s="1" t="s">
        <v>560</v>
      </c>
      <c r="D750" s="14" t="n">
        <v>46004.2673611111</v>
      </c>
      <c r="E750" s="14" t="n">
        <v>46004.2673611111</v>
      </c>
      <c r="F750" s="14" t="n">
        <v>46004.3305555556</v>
      </c>
      <c r="G750" s="15" t="n">
        <f aca="false">F750-E750</f>
        <v>0.0631944444444444</v>
      </c>
      <c r="H750" s="20" t="s">
        <v>248</v>
      </c>
      <c r="J750" s="20" t="s">
        <v>256</v>
      </c>
      <c r="K750" s="1" t="e">
        <f aca="false">_xlfn.xlookup(J750,REF!$D$2:$D$12,REF!$E$2:$E$12)</f>
        <v>#NAME?</v>
      </c>
      <c r="L750" s="1" t="s">
        <v>686</v>
      </c>
      <c r="M750" s="20" t="s">
        <v>258</v>
      </c>
      <c r="N750" s="20" t="s">
        <v>259</v>
      </c>
      <c r="O750" s="1" t="s">
        <v>760</v>
      </c>
      <c r="P750" s="1" t="str">
        <f aca="false">_xlfn.CONCAT(B750,C750,D750,E750,F750)</f>
        <v>Caiaponia ISG60KTL(COM3-017)_001_01246004.267361111146004.267361111146004.3305555556</v>
      </c>
      <c r="Q750" s="1" t="str">
        <f aca="false">_xlfn.CONCAT(H750,I750,J750)</f>
        <v>DAURDE</v>
      </c>
    </row>
    <row r="751" customFormat="false" ht="15" hidden="true" customHeight="false" outlineLevel="0" collapsed="false">
      <c r="B751" s="1" t="s">
        <v>814</v>
      </c>
      <c r="C751" s="1" t="s">
        <v>561</v>
      </c>
      <c r="D751" s="14" t="n">
        <v>46004.2673611111</v>
      </c>
      <c r="E751" s="14" t="n">
        <v>46004.2673611111</v>
      </c>
      <c r="F751" s="14" t="n">
        <v>46004.3305555556</v>
      </c>
      <c r="G751" s="15" t="n">
        <f aca="false">F751-E751</f>
        <v>0.0631944444444444</v>
      </c>
      <c r="H751" s="20" t="s">
        <v>248</v>
      </c>
      <c r="J751" s="20" t="s">
        <v>256</v>
      </c>
      <c r="K751" s="1" t="e">
        <f aca="false">_xlfn.xlookup(J751,REF!$D$2:$D$12,REF!$E$2:$E$12)</f>
        <v>#NAME?</v>
      </c>
      <c r="L751" s="1" t="s">
        <v>686</v>
      </c>
      <c r="M751" s="20" t="s">
        <v>258</v>
      </c>
      <c r="N751" s="20" t="s">
        <v>259</v>
      </c>
      <c r="O751" s="1" t="s">
        <v>760</v>
      </c>
      <c r="P751" s="1" t="str">
        <f aca="false">_xlfn.CONCAT(B751,C751,D751,E751,F751)</f>
        <v>Caiaponia ISG60KTL(COM3-018)_001_00846004.267361111146004.267361111146004.3305555556</v>
      </c>
      <c r="Q751" s="1" t="str">
        <f aca="false">_xlfn.CONCAT(H751,I751,J751)</f>
        <v>DAURDE</v>
      </c>
    </row>
    <row r="752" customFormat="false" ht="15" hidden="true" customHeight="false" outlineLevel="0" collapsed="false">
      <c r="B752" s="1" t="s">
        <v>814</v>
      </c>
      <c r="C752" s="1" t="s">
        <v>562</v>
      </c>
      <c r="D752" s="14" t="n">
        <v>46004.2673611111</v>
      </c>
      <c r="E752" s="14" t="n">
        <v>46004.2673611111</v>
      </c>
      <c r="F752" s="14" t="n">
        <v>46004.3305555556</v>
      </c>
      <c r="G752" s="15" t="n">
        <f aca="false">F752-E752</f>
        <v>0.0631944444444444</v>
      </c>
      <c r="H752" s="20" t="s">
        <v>248</v>
      </c>
      <c r="J752" s="20" t="s">
        <v>256</v>
      </c>
      <c r="K752" s="1" t="e">
        <f aca="false">_xlfn.xlookup(J752,REF!$D$2:$D$12,REF!$E$2:$E$12)</f>
        <v>#NAME?</v>
      </c>
      <c r="L752" s="1" t="s">
        <v>686</v>
      </c>
      <c r="M752" s="20" t="s">
        <v>258</v>
      </c>
      <c r="N752" s="20" t="s">
        <v>259</v>
      </c>
      <c r="O752" s="1" t="s">
        <v>760</v>
      </c>
      <c r="P752" s="1" t="str">
        <f aca="false">_xlfn.CONCAT(B752,C752,D752,E752,F752)</f>
        <v>Caiaponia ISG60KTL(COM3-019)_001_01946004.267361111146004.267361111146004.3305555556</v>
      </c>
      <c r="Q752" s="1" t="str">
        <f aca="false">_xlfn.CONCAT(H752,I752,J752)</f>
        <v>DAURDE</v>
      </c>
    </row>
    <row r="753" customFormat="false" ht="15" hidden="true" customHeight="false" outlineLevel="0" collapsed="false">
      <c r="B753" s="1" t="s">
        <v>814</v>
      </c>
      <c r="C753" s="1" t="s">
        <v>563</v>
      </c>
      <c r="D753" s="14" t="n">
        <v>46004.2673611111</v>
      </c>
      <c r="E753" s="14" t="n">
        <v>46004.2673611111</v>
      </c>
      <c r="F753" s="14" t="n">
        <v>46004.3305555556</v>
      </c>
      <c r="G753" s="15" t="n">
        <f aca="false">F753-E753</f>
        <v>0.0631944444444444</v>
      </c>
      <c r="H753" s="20" t="s">
        <v>248</v>
      </c>
      <c r="J753" s="20" t="s">
        <v>256</v>
      </c>
      <c r="K753" s="1" t="e">
        <f aca="false">_xlfn.xlookup(J753,REF!$D$2:$D$12,REF!$E$2:$E$12)</f>
        <v>#NAME?</v>
      </c>
      <c r="L753" s="1" t="s">
        <v>686</v>
      </c>
      <c r="M753" s="20" t="s">
        <v>258</v>
      </c>
      <c r="N753" s="20" t="s">
        <v>259</v>
      </c>
      <c r="O753" s="1" t="s">
        <v>760</v>
      </c>
      <c r="P753" s="1" t="str">
        <f aca="false">_xlfn.CONCAT(B753,C753,D753,E753,F753)</f>
        <v>Caiaponia ISG60KTL(COM3-020)_001_02046004.267361111146004.267361111146004.3305555556</v>
      </c>
      <c r="Q753" s="1" t="str">
        <f aca="false">_xlfn.CONCAT(H753,I753,J753)</f>
        <v>DAURDE</v>
      </c>
    </row>
    <row r="754" customFormat="false" ht="15" hidden="true" customHeight="false" outlineLevel="0" collapsed="false">
      <c r="B754" s="1" t="s">
        <v>814</v>
      </c>
      <c r="C754" s="1" t="s">
        <v>564</v>
      </c>
      <c r="D754" s="14" t="n">
        <v>46004.2673611111</v>
      </c>
      <c r="E754" s="14" t="n">
        <v>46004.2673611111</v>
      </c>
      <c r="F754" s="14" t="n">
        <v>46004.3305555556</v>
      </c>
      <c r="G754" s="15" t="n">
        <f aca="false">F754-E754</f>
        <v>0.0631944444444444</v>
      </c>
      <c r="H754" s="20" t="s">
        <v>248</v>
      </c>
      <c r="J754" s="20" t="s">
        <v>256</v>
      </c>
      <c r="K754" s="1" t="e">
        <f aca="false">_xlfn.xlookup(J754,REF!$D$2:$D$12,REF!$E$2:$E$12)</f>
        <v>#NAME?</v>
      </c>
      <c r="L754" s="1" t="s">
        <v>686</v>
      </c>
      <c r="M754" s="20" t="s">
        <v>258</v>
      </c>
      <c r="N754" s="20" t="s">
        <v>259</v>
      </c>
      <c r="O754" s="1" t="s">
        <v>760</v>
      </c>
      <c r="P754" s="1" t="str">
        <f aca="false">_xlfn.CONCAT(B754,C754,D754,E754,F754)</f>
        <v>Caiaponia ISG60KTL(COM2-026)46004.267361111146004.267361111146004.3305555556</v>
      </c>
      <c r="Q754" s="1" t="str">
        <f aca="false">_xlfn.CONCAT(H754,I754,J754)</f>
        <v>DAURDE</v>
      </c>
    </row>
    <row r="755" customFormat="false" ht="15" hidden="true" customHeight="false" outlineLevel="0" collapsed="false">
      <c r="B755" s="1" t="s">
        <v>814</v>
      </c>
      <c r="C755" s="1" t="s">
        <v>565</v>
      </c>
      <c r="D755" s="14" t="n">
        <v>46004.2673611111</v>
      </c>
      <c r="E755" s="14" t="n">
        <v>46004.2673611111</v>
      </c>
      <c r="F755" s="14" t="n">
        <v>46004.3305555556</v>
      </c>
      <c r="G755" s="15" t="n">
        <f aca="false">F755-E755</f>
        <v>0.0631944444444444</v>
      </c>
      <c r="H755" s="20" t="s">
        <v>248</v>
      </c>
      <c r="J755" s="20" t="s">
        <v>256</v>
      </c>
      <c r="K755" s="1" t="e">
        <f aca="false">_xlfn.xlookup(J755,REF!$D$2:$D$12,REF!$E$2:$E$12)</f>
        <v>#NAME?</v>
      </c>
      <c r="L755" s="1" t="s">
        <v>686</v>
      </c>
      <c r="M755" s="20" t="s">
        <v>258</v>
      </c>
      <c r="N755" s="20" t="s">
        <v>259</v>
      </c>
      <c r="O755" s="1" t="s">
        <v>760</v>
      </c>
      <c r="P755" s="1" t="str">
        <f aca="false">_xlfn.CONCAT(B755,C755,D755,E755,F755)</f>
        <v>Caiaponia ISG60KTL(COM2-027)46004.267361111146004.267361111146004.3305555556</v>
      </c>
      <c r="Q755" s="1" t="str">
        <f aca="false">_xlfn.CONCAT(H755,I755,J755)</f>
        <v>DAURDE</v>
      </c>
    </row>
    <row r="756" customFormat="false" ht="15" hidden="true" customHeight="false" outlineLevel="0" collapsed="false">
      <c r="B756" s="1" t="s">
        <v>814</v>
      </c>
      <c r="C756" s="1" t="s">
        <v>566</v>
      </c>
      <c r="D756" s="14" t="n">
        <v>46004.2673611111</v>
      </c>
      <c r="E756" s="14" t="n">
        <v>46004.2673611111</v>
      </c>
      <c r="F756" s="14" t="n">
        <v>46004.3305555556</v>
      </c>
      <c r="G756" s="15" t="n">
        <f aca="false">F756-E756</f>
        <v>0.0631944444444444</v>
      </c>
      <c r="H756" s="20" t="s">
        <v>248</v>
      </c>
      <c r="J756" s="20" t="s">
        <v>256</v>
      </c>
      <c r="K756" s="1" t="e">
        <f aca="false">_xlfn.xlookup(J756,REF!$D$2:$D$12,REF!$E$2:$E$12)</f>
        <v>#NAME?</v>
      </c>
      <c r="L756" s="1" t="s">
        <v>686</v>
      </c>
      <c r="M756" s="20" t="s">
        <v>258</v>
      </c>
      <c r="N756" s="20" t="s">
        <v>259</v>
      </c>
      <c r="O756" s="1" t="s">
        <v>760</v>
      </c>
      <c r="P756" s="1" t="str">
        <f aca="false">_xlfn.CONCAT(B756,C756,D756,E756,F756)</f>
        <v>Caiaponia ISG60KTL(COM2-028)46004.267361111146004.267361111146004.3305555556</v>
      </c>
      <c r="Q756" s="1" t="str">
        <f aca="false">_xlfn.CONCAT(H756,I756,J756)</f>
        <v>DAURDE</v>
      </c>
    </row>
    <row r="757" customFormat="false" ht="15" hidden="true" customHeight="false" outlineLevel="0" collapsed="false">
      <c r="B757" s="1" t="s">
        <v>814</v>
      </c>
      <c r="C757" s="1" t="s">
        <v>567</v>
      </c>
      <c r="D757" s="14" t="n">
        <v>46004.2673611111</v>
      </c>
      <c r="E757" s="14" t="n">
        <v>46004.2673611111</v>
      </c>
      <c r="F757" s="14" t="n">
        <v>46004.3305555556</v>
      </c>
      <c r="G757" s="15" t="n">
        <f aca="false">F757-E757</f>
        <v>0.0631944444444444</v>
      </c>
      <c r="H757" s="20" t="s">
        <v>248</v>
      </c>
      <c r="J757" s="20" t="s">
        <v>256</v>
      </c>
      <c r="K757" s="1" t="e">
        <f aca="false">_xlfn.xlookup(J757,REF!$D$2:$D$12,REF!$E$2:$E$12)</f>
        <v>#NAME?</v>
      </c>
      <c r="L757" s="1" t="s">
        <v>686</v>
      </c>
      <c r="M757" s="20" t="s">
        <v>258</v>
      </c>
      <c r="N757" s="20" t="s">
        <v>259</v>
      </c>
      <c r="O757" s="1" t="s">
        <v>760</v>
      </c>
      <c r="P757" s="1" t="str">
        <f aca="false">_xlfn.CONCAT(B757,C757,D757,E757,F757)</f>
        <v>Caiaponia ISG60KTL(COM2-029)46004.267361111146004.267361111146004.3305555556</v>
      </c>
      <c r="Q757" s="1" t="str">
        <f aca="false">_xlfn.CONCAT(H757,I757,J757)</f>
        <v>DAURDE</v>
      </c>
    </row>
    <row r="758" customFormat="false" ht="15" hidden="true" customHeight="false" outlineLevel="0" collapsed="false">
      <c r="B758" s="1" t="s">
        <v>814</v>
      </c>
      <c r="C758" s="1" t="s">
        <v>568</v>
      </c>
      <c r="D758" s="14" t="n">
        <v>46004.2673611111</v>
      </c>
      <c r="E758" s="14" t="n">
        <v>46004.2673611111</v>
      </c>
      <c r="F758" s="14" t="n">
        <v>46004.3305555556</v>
      </c>
      <c r="G758" s="15" t="n">
        <f aca="false">F758-E758</f>
        <v>0.0631944444444444</v>
      </c>
      <c r="H758" s="20" t="s">
        <v>248</v>
      </c>
      <c r="J758" s="20" t="s">
        <v>256</v>
      </c>
      <c r="K758" s="1" t="e">
        <f aca="false">_xlfn.xlookup(J758,REF!$D$2:$D$12,REF!$E$2:$E$12)</f>
        <v>#NAME?</v>
      </c>
      <c r="L758" s="1" t="s">
        <v>686</v>
      </c>
      <c r="M758" s="20" t="s">
        <v>258</v>
      </c>
      <c r="N758" s="20" t="s">
        <v>259</v>
      </c>
      <c r="O758" s="1" t="s">
        <v>760</v>
      </c>
      <c r="P758" s="1" t="str">
        <f aca="false">_xlfn.CONCAT(B758,C758,D758,E758,F758)</f>
        <v>Caiaponia ISG50CX(COM1-021)46004.267361111146004.267361111146004.3305555556</v>
      </c>
      <c r="Q758" s="1" t="str">
        <f aca="false">_xlfn.CONCAT(H758,I758,J758)</f>
        <v>DAURDE</v>
      </c>
    </row>
    <row r="759" customFormat="false" ht="15" hidden="true" customHeight="false" outlineLevel="0" collapsed="false">
      <c r="B759" s="1" t="s">
        <v>814</v>
      </c>
      <c r="C759" s="1" t="s">
        <v>569</v>
      </c>
      <c r="D759" s="14" t="n">
        <v>46004.2673611111</v>
      </c>
      <c r="E759" s="14" t="n">
        <v>46004.2673611111</v>
      </c>
      <c r="F759" s="14" t="n">
        <v>46004.3305555556</v>
      </c>
      <c r="G759" s="15" t="n">
        <f aca="false">F759-E759</f>
        <v>0.0631944444444444</v>
      </c>
      <c r="H759" s="20" t="s">
        <v>248</v>
      </c>
      <c r="J759" s="20" t="s">
        <v>256</v>
      </c>
      <c r="K759" s="1" t="e">
        <f aca="false">_xlfn.xlookup(J759,REF!$D$2:$D$12,REF!$E$2:$E$12)</f>
        <v>#NAME?</v>
      </c>
      <c r="L759" s="1" t="s">
        <v>686</v>
      </c>
      <c r="M759" s="20" t="s">
        <v>258</v>
      </c>
      <c r="N759" s="20" t="s">
        <v>259</v>
      </c>
      <c r="O759" s="1" t="s">
        <v>760</v>
      </c>
      <c r="P759" s="1" t="str">
        <f aca="false">_xlfn.CONCAT(B759,C759,D759,E759,F759)</f>
        <v>Caiaponia ISG50CX(COM1-022)46004.267361111146004.267361111146004.3305555556</v>
      </c>
      <c r="Q759" s="1" t="str">
        <f aca="false">_xlfn.CONCAT(H759,I759,J759)</f>
        <v>DAURDE</v>
      </c>
    </row>
    <row r="760" customFormat="false" ht="15" hidden="true" customHeight="false" outlineLevel="0" collapsed="false">
      <c r="B760" s="1" t="s">
        <v>814</v>
      </c>
      <c r="C760" s="1" t="s">
        <v>570</v>
      </c>
      <c r="D760" s="14" t="n">
        <v>46004.2673611111</v>
      </c>
      <c r="E760" s="14" t="n">
        <v>46004.2673611111</v>
      </c>
      <c r="F760" s="14" t="n">
        <v>46004.3305555556</v>
      </c>
      <c r="G760" s="15" t="n">
        <f aca="false">F760-E760</f>
        <v>0.0631944444444444</v>
      </c>
      <c r="H760" s="20" t="s">
        <v>248</v>
      </c>
      <c r="J760" s="20" t="s">
        <v>256</v>
      </c>
      <c r="K760" s="1" t="e">
        <f aca="false">_xlfn.xlookup(J760,REF!$D$2:$D$12,REF!$E$2:$E$12)</f>
        <v>#NAME?</v>
      </c>
      <c r="L760" s="1" t="s">
        <v>686</v>
      </c>
      <c r="M760" s="20" t="s">
        <v>258</v>
      </c>
      <c r="N760" s="20" t="s">
        <v>259</v>
      </c>
      <c r="O760" s="1" t="s">
        <v>760</v>
      </c>
      <c r="P760" s="1" t="str">
        <f aca="false">_xlfn.CONCAT(B760,C760,D760,E760,F760)</f>
        <v>Caiaponia ISG50CX(COM1-023)46004.267361111146004.267361111146004.3305555556</v>
      </c>
      <c r="Q760" s="1" t="str">
        <f aca="false">_xlfn.CONCAT(H760,I760,J760)</f>
        <v>DAURDE</v>
      </c>
    </row>
    <row r="761" customFormat="false" ht="15" hidden="true" customHeight="false" outlineLevel="0" collapsed="false">
      <c r="B761" s="1" t="s">
        <v>814</v>
      </c>
      <c r="C761" s="1" t="s">
        <v>571</v>
      </c>
      <c r="D761" s="14" t="n">
        <v>46004.2673611111</v>
      </c>
      <c r="E761" s="14" t="n">
        <v>46004.2673611111</v>
      </c>
      <c r="F761" s="14" t="n">
        <v>46004.3305555556</v>
      </c>
      <c r="G761" s="15" t="n">
        <f aca="false">F761-E761</f>
        <v>0.0631944444444444</v>
      </c>
      <c r="H761" s="20" t="s">
        <v>248</v>
      </c>
      <c r="J761" s="20" t="s">
        <v>256</v>
      </c>
      <c r="K761" s="1" t="e">
        <f aca="false">_xlfn.xlookup(J761,REF!$D$2:$D$12,REF!$E$2:$E$12)</f>
        <v>#NAME?</v>
      </c>
      <c r="L761" s="1" t="s">
        <v>686</v>
      </c>
      <c r="M761" s="20" t="s">
        <v>258</v>
      </c>
      <c r="N761" s="20" t="s">
        <v>259</v>
      </c>
      <c r="O761" s="1" t="s">
        <v>760</v>
      </c>
      <c r="P761" s="1" t="str">
        <f aca="false">_xlfn.CONCAT(B761,C761,D761,E761,F761)</f>
        <v>Caiaponia ISG50CX(COM1-024)46004.267361111146004.267361111146004.3305555556</v>
      </c>
      <c r="Q761" s="1" t="str">
        <f aca="false">_xlfn.CONCAT(H761,I761,J761)</f>
        <v>DAURDE</v>
      </c>
    </row>
    <row r="762" customFormat="false" ht="15" hidden="true" customHeight="false" outlineLevel="0" collapsed="false">
      <c r="B762" s="1" t="s">
        <v>814</v>
      </c>
      <c r="C762" s="1" t="s">
        <v>572</v>
      </c>
      <c r="D762" s="14" t="n">
        <v>46004.2673611111</v>
      </c>
      <c r="E762" s="14" t="n">
        <v>46004.2673611111</v>
      </c>
      <c r="F762" s="14" t="n">
        <v>46004.3305555556</v>
      </c>
      <c r="G762" s="15" t="n">
        <f aca="false">F762-E762</f>
        <v>0.0631944444444444</v>
      </c>
      <c r="H762" s="20" t="s">
        <v>248</v>
      </c>
      <c r="J762" s="20" t="s">
        <v>256</v>
      </c>
      <c r="K762" s="1" t="e">
        <f aca="false">_xlfn.xlookup(J762,REF!$D$2:$D$12,REF!$E$2:$E$12)</f>
        <v>#NAME?</v>
      </c>
      <c r="L762" s="1" t="s">
        <v>686</v>
      </c>
      <c r="M762" s="20" t="s">
        <v>258</v>
      </c>
      <c r="N762" s="20" t="s">
        <v>259</v>
      </c>
      <c r="O762" s="1" t="s">
        <v>760</v>
      </c>
      <c r="P762" s="1" t="str">
        <f aca="false">_xlfn.CONCAT(B762,C762,D762,E762,F762)</f>
        <v>Caiaponia ISG50CX(COM1-025)46004.267361111146004.267361111146004.3305555556</v>
      </c>
      <c r="Q762" s="1" t="str">
        <f aca="false">_xlfn.CONCAT(H762,I762,J762)</f>
        <v>DAURDE</v>
      </c>
    </row>
    <row r="763" customFormat="false" ht="15" hidden="false" customHeight="false" outlineLevel="0" collapsed="false">
      <c r="B763" s="1" t="s">
        <v>857</v>
      </c>
      <c r="C763" s="1" t="s">
        <v>321</v>
      </c>
      <c r="D763" s="14" t="n">
        <v>46002.2638888889</v>
      </c>
      <c r="E763" s="14" t="n">
        <v>46002.2638888889</v>
      </c>
      <c r="F763" s="14" t="n">
        <v>46002.3958333333</v>
      </c>
      <c r="G763" s="15" t="n">
        <f aca="false">F763-E763</f>
        <v>0.131944444444444</v>
      </c>
      <c r="H763" s="20" t="s">
        <v>445</v>
      </c>
      <c r="I763" s="1" t="s">
        <v>263</v>
      </c>
      <c r="J763" s="20" t="s">
        <v>264</v>
      </c>
      <c r="K763" s="1" t="e">
        <f aca="false">_xlfn.xlookup(J763,REF!$D$2:$D$12,REF!$E$2:$E$12)</f>
        <v>#NAME?</v>
      </c>
      <c r="L763" s="1" t="s">
        <v>420</v>
      </c>
      <c r="M763" s="20" t="s">
        <v>418</v>
      </c>
      <c r="N763" s="20" t="s">
        <v>252</v>
      </c>
      <c r="O763" s="1" t="s">
        <v>419</v>
      </c>
      <c r="P763" s="1" t="str">
        <f aca="false">_xlfn.CONCAT(B763,C763,D763,E763,F763)</f>
        <v>Panamá IITAPOAN 001 (COM1-001)_001_00146002.263888888946002.263888888946002.3958333333</v>
      </c>
      <c r="Q763" s="1" t="str">
        <f aca="false">_xlfn.CONCAT(H763,I763,J763)</f>
        <v>LIGRFOCOM</v>
      </c>
    </row>
    <row r="764" customFormat="false" ht="15" hidden="false" customHeight="false" outlineLevel="0" collapsed="false">
      <c r="B764" s="1" t="s">
        <v>697</v>
      </c>
      <c r="C764" s="1" t="s">
        <v>247</v>
      </c>
      <c r="D764" s="14" t="n">
        <v>45992.7604166667</v>
      </c>
      <c r="E764" s="14" t="n">
        <v>45992.7604166667</v>
      </c>
      <c r="F764" s="14" t="n">
        <v>45992.7673611111</v>
      </c>
      <c r="G764" s="15" t="n">
        <f aca="false">F764-E764</f>
        <v>0.00694444444444444</v>
      </c>
      <c r="H764" s="20" t="s">
        <v>445</v>
      </c>
      <c r="I764" s="1" t="s">
        <v>263</v>
      </c>
      <c r="J764" s="20" t="s">
        <v>264</v>
      </c>
      <c r="K764" s="1" t="e">
        <f aca="false">_xlfn.xlookup(J764,REF!$D$2:$D$12,REF!$E$2:$E$12)</f>
        <v>#NAME?</v>
      </c>
      <c r="L764" s="1" t="s">
        <v>420</v>
      </c>
      <c r="M764" s="20" t="s">
        <v>418</v>
      </c>
      <c r="N764" s="20" t="s">
        <v>858</v>
      </c>
      <c r="O764" s="1" t="s">
        <v>859</v>
      </c>
      <c r="P764" s="1" t="str">
        <f aca="false">_xlfn.CONCAT(B764,C764,D764,E764,F764)</f>
        <v>BC Formoso1.1Inverter(MBUS-13)45992.760416666745992.760416666745992.7673611111</v>
      </c>
      <c r="Q764" s="1" t="str">
        <f aca="false">_xlfn.CONCAT(H764,I764,J764)</f>
        <v>LIGRFOCOM</v>
      </c>
    </row>
    <row r="765" customFormat="false" ht="15" hidden="false" customHeight="false" outlineLevel="0" collapsed="false">
      <c r="B765" s="1" t="s">
        <v>697</v>
      </c>
      <c r="C765" s="1" t="s">
        <v>277</v>
      </c>
      <c r="D765" s="14" t="n">
        <v>45992.7604166667</v>
      </c>
      <c r="E765" s="14" t="n">
        <v>45992.7604166667</v>
      </c>
      <c r="F765" s="14" t="n">
        <v>45992.7673611111</v>
      </c>
      <c r="G765" s="15" t="n">
        <f aca="false">F765-E765</f>
        <v>0.00694444444444444</v>
      </c>
      <c r="H765" s="20" t="s">
        <v>445</v>
      </c>
      <c r="I765" s="1" t="s">
        <v>263</v>
      </c>
      <c r="J765" s="20" t="s">
        <v>264</v>
      </c>
      <c r="K765" s="1" t="e">
        <f aca="false">_xlfn.xlookup(J765,REF!$D$2:$D$12,REF!$E$2:$E$12)</f>
        <v>#NAME?</v>
      </c>
      <c r="L765" s="1" t="s">
        <v>420</v>
      </c>
      <c r="M765" s="20" t="s">
        <v>418</v>
      </c>
      <c r="N765" s="20" t="s">
        <v>858</v>
      </c>
      <c r="O765" s="1" t="s">
        <v>859</v>
      </c>
      <c r="P765" s="1" t="str">
        <f aca="false">_xlfn.CONCAT(B765,C765,D765,E765,F765)</f>
        <v>BC Formoso1.1Inverter(MBUS-12)45992.760416666745992.760416666745992.7673611111</v>
      </c>
      <c r="Q765" s="1" t="str">
        <f aca="false">_xlfn.CONCAT(H765,I765,J765)</f>
        <v>LIGRFOCOM</v>
      </c>
    </row>
    <row r="766" customFormat="false" ht="15" hidden="false" customHeight="false" outlineLevel="0" collapsed="false">
      <c r="B766" s="1" t="s">
        <v>697</v>
      </c>
      <c r="C766" s="1" t="s">
        <v>279</v>
      </c>
      <c r="D766" s="14" t="n">
        <v>45992.7604166667</v>
      </c>
      <c r="E766" s="14" t="n">
        <v>45992.7604166667</v>
      </c>
      <c r="F766" s="14" t="n">
        <v>45992.7673611111</v>
      </c>
      <c r="G766" s="15" t="n">
        <f aca="false">F766-E766</f>
        <v>0.00694444444444444</v>
      </c>
      <c r="H766" s="20" t="s">
        <v>445</v>
      </c>
      <c r="I766" s="1" t="s">
        <v>263</v>
      </c>
      <c r="J766" s="20" t="s">
        <v>264</v>
      </c>
      <c r="K766" s="1" t="e">
        <f aca="false">_xlfn.xlookup(J766,REF!$D$2:$D$12,REF!$E$2:$E$12)</f>
        <v>#NAME?</v>
      </c>
      <c r="L766" s="1" t="s">
        <v>420</v>
      </c>
      <c r="M766" s="20" t="s">
        <v>418</v>
      </c>
      <c r="N766" s="20" t="s">
        <v>858</v>
      </c>
      <c r="O766" s="1" t="s">
        <v>859</v>
      </c>
      <c r="P766" s="1" t="str">
        <f aca="false">_xlfn.CONCAT(B766,C766,D766,E766,F766)</f>
        <v>BC Formoso1.1Inverter(MBUS-15)45992.760416666745992.760416666745992.7673611111</v>
      </c>
      <c r="Q766" s="1" t="str">
        <f aca="false">_xlfn.CONCAT(H766,I766,J766)</f>
        <v>LIGRFOCOM</v>
      </c>
    </row>
    <row r="767" customFormat="false" ht="15" hidden="false" customHeight="false" outlineLevel="0" collapsed="false">
      <c r="B767" s="1" t="s">
        <v>697</v>
      </c>
      <c r="C767" s="1" t="s">
        <v>280</v>
      </c>
      <c r="D767" s="14" t="n">
        <v>45992.7604166667</v>
      </c>
      <c r="E767" s="14" t="n">
        <v>45992.7604166667</v>
      </c>
      <c r="F767" s="14" t="n">
        <v>45992.7673611111</v>
      </c>
      <c r="G767" s="15" t="n">
        <f aca="false">F767-E767</f>
        <v>0.00694444444444444</v>
      </c>
      <c r="H767" s="20" t="s">
        <v>445</v>
      </c>
      <c r="I767" s="1" t="s">
        <v>263</v>
      </c>
      <c r="J767" s="20" t="s">
        <v>264</v>
      </c>
      <c r="K767" s="1" t="e">
        <f aca="false">_xlfn.xlookup(J767,REF!$D$2:$D$12,REF!$E$2:$E$12)</f>
        <v>#NAME?</v>
      </c>
      <c r="L767" s="1" t="s">
        <v>420</v>
      </c>
      <c r="M767" s="20" t="s">
        <v>418</v>
      </c>
      <c r="N767" s="20" t="s">
        <v>858</v>
      </c>
      <c r="O767" s="1" t="s">
        <v>859</v>
      </c>
      <c r="P767" s="1" t="str">
        <f aca="false">_xlfn.CONCAT(B767,C767,D767,E767,F767)</f>
        <v>BC Formoso1.1Inverter(MBUS-14)45992.760416666745992.760416666745992.7673611111</v>
      </c>
      <c r="Q767" s="1" t="str">
        <f aca="false">_xlfn.CONCAT(H767,I767,J767)</f>
        <v>LIGRFOCOM</v>
      </c>
    </row>
    <row r="768" customFormat="false" ht="15" hidden="false" customHeight="false" outlineLevel="0" collapsed="false">
      <c r="B768" s="1" t="s">
        <v>698</v>
      </c>
      <c r="C768" s="1" t="s">
        <v>247</v>
      </c>
      <c r="D768" s="14" t="n">
        <v>45992.7604166667</v>
      </c>
      <c r="E768" s="14" t="n">
        <v>45992.7604166667</v>
      </c>
      <c r="F768" s="14" t="n">
        <v>45992.7673611111</v>
      </c>
      <c r="G768" s="15" t="n">
        <f aca="false">F768-E768</f>
        <v>0.00694444444444444</v>
      </c>
      <c r="H768" s="20" t="s">
        <v>445</v>
      </c>
      <c r="I768" s="1" t="s">
        <v>263</v>
      </c>
      <c r="J768" s="20" t="s">
        <v>264</v>
      </c>
      <c r="K768" s="1" t="e">
        <f aca="false">_xlfn.xlookup(J768,REF!$D$2:$D$12,REF!$E$2:$E$12)</f>
        <v>#NAME?</v>
      </c>
      <c r="L768" s="1" t="s">
        <v>420</v>
      </c>
      <c r="M768" s="20" t="s">
        <v>418</v>
      </c>
      <c r="N768" s="20" t="s">
        <v>858</v>
      </c>
      <c r="O768" s="1" t="s">
        <v>859</v>
      </c>
      <c r="P768" s="1" t="str">
        <f aca="false">_xlfn.CONCAT(B768,C768,D768,E768,F768)</f>
        <v>BC Formoso1.2Inverter(MBUS-13)45992.760416666745992.760416666745992.7673611111</v>
      </c>
      <c r="Q768" s="1" t="str">
        <f aca="false">_xlfn.CONCAT(H768,I768,J768)</f>
        <v>LIGRFOCOM</v>
      </c>
    </row>
    <row r="769" customFormat="false" ht="15" hidden="false" customHeight="false" outlineLevel="0" collapsed="false">
      <c r="B769" s="1" t="s">
        <v>698</v>
      </c>
      <c r="C769" s="1" t="s">
        <v>277</v>
      </c>
      <c r="D769" s="14" t="n">
        <v>45992.7604166667</v>
      </c>
      <c r="E769" s="14" t="n">
        <v>45992.7604166667</v>
      </c>
      <c r="F769" s="14" t="n">
        <v>45992.7673611111</v>
      </c>
      <c r="G769" s="15" t="n">
        <f aca="false">F769-E769</f>
        <v>0.00694444444444444</v>
      </c>
      <c r="H769" s="20" t="s">
        <v>445</v>
      </c>
      <c r="I769" s="1" t="s">
        <v>263</v>
      </c>
      <c r="J769" s="20" t="s">
        <v>264</v>
      </c>
      <c r="K769" s="1" t="e">
        <f aca="false">_xlfn.xlookup(J769,REF!$D$2:$D$12,REF!$E$2:$E$12)</f>
        <v>#NAME?</v>
      </c>
      <c r="L769" s="1" t="s">
        <v>420</v>
      </c>
      <c r="M769" s="20" t="s">
        <v>418</v>
      </c>
      <c r="N769" s="20" t="s">
        <v>858</v>
      </c>
      <c r="O769" s="1" t="s">
        <v>859</v>
      </c>
      <c r="P769" s="1" t="str">
        <f aca="false">_xlfn.CONCAT(B769,C769,D769,E769,F769)</f>
        <v>BC Formoso1.2Inverter(MBUS-12)45992.760416666745992.760416666745992.7673611111</v>
      </c>
      <c r="Q769" s="1" t="str">
        <f aca="false">_xlfn.CONCAT(H769,I769,J769)</f>
        <v>LIGRFOCOM</v>
      </c>
    </row>
    <row r="770" customFormat="false" ht="15" hidden="false" customHeight="false" outlineLevel="0" collapsed="false">
      <c r="B770" s="1" t="s">
        <v>698</v>
      </c>
      <c r="C770" s="1" t="s">
        <v>279</v>
      </c>
      <c r="D770" s="14" t="n">
        <v>45992.7604166667</v>
      </c>
      <c r="E770" s="14" t="n">
        <v>45992.7604166667</v>
      </c>
      <c r="F770" s="14" t="n">
        <v>45992.7673611111</v>
      </c>
      <c r="G770" s="15" t="n">
        <f aca="false">F770-E770</f>
        <v>0.00694444444444444</v>
      </c>
      <c r="H770" s="20" t="s">
        <v>445</v>
      </c>
      <c r="I770" s="1" t="s">
        <v>263</v>
      </c>
      <c r="J770" s="20" t="s">
        <v>264</v>
      </c>
      <c r="K770" s="1" t="e">
        <f aca="false">_xlfn.xlookup(J770,REF!$D$2:$D$12,REF!$E$2:$E$12)</f>
        <v>#NAME?</v>
      </c>
      <c r="L770" s="1" t="s">
        <v>420</v>
      </c>
      <c r="M770" s="20" t="s">
        <v>418</v>
      </c>
      <c r="N770" s="20" t="s">
        <v>858</v>
      </c>
      <c r="O770" s="1" t="s">
        <v>859</v>
      </c>
      <c r="P770" s="1" t="str">
        <f aca="false">_xlfn.CONCAT(B770,C770,D770,E770,F770)</f>
        <v>BC Formoso1.2Inverter(MBUS-15)45992.760416666745992.760416666745992.7673611111</v>
      </c>
      <c r="Q770" s="1" t="str">
        <f aca="false">_xlfn.CONCAT(H770,I770,J770)</f>
        <v>LIGRFOCOM</v>
      </c>
    </row>
    <row r="771" customFormat="false" ht="15" hidden="false" customHeight="false" outlineLevel="0" collapsed="false">
      <c r="B771" s="1" t="s">
        <v>698</v>
      </c>
      <c r="C771" s="1" t="s">
        <v>280</v>
      </c>
      <c r="D771" s="14" t="n">
        <v>45992.7604166667</v>
      </c>
      <c r="E771" s="14" t="n">
        <v>45992.7604166667</v>
      </c>
      <c r="F771" s="14" t="n">
        <v>45992.7673611111</v>
      </c>
      <c r="G771" s="15" t="n">
        <f aca="false">F771-E771</f>
        <v>0.00694444444444444</v>
      </c>
      <c r="H771" s="20" t="s">
        <v>445</v>
      </c>
      <c r="I771" s="1" t="s">
        <v>263</v>
      </c>
      <c r="J771" s="20" t="s">
        <v>264</v>
      </c>
      <c r="K771" s="1" t="e">
        <f aca="false">_xlfn.xlookup(J771,REF!$D$2:$D$12,REF!$E$2:$E$12)</f>
        <v>#NAME?</v>
      </c>
      <c r="L771" s="1" t="s">
        <v>420</v>
      </c>
      <c r="M771" s="20" t="s">
        <v>418</v>
      </c>
      <c r="N771" s="20" t="s">
        <v>858</v>
      </c>
      <c r="O771" s="1" t="s">
        <v>859</v>
      </c>
      <c r="P771" s="1" t="str">
        <f aca="false">_xlfn.CONCAT(B771,C771,D771,E771,F771)</f>
        <v>BC Formoso1.2Inverter(MBUS-14)45992.760416666745992.760416666745992.7673611111</v>
      </c>
      <c r="Q771" s="1" t="str">
        <f aca="false">_xlfn.CONCAT(H771,I771,J771)</f>
        <v>LIGRFOCOM</v>
      </c>
    </row>
    <row r="772" customFormat="false" ht="15" hidden="false" customHeight="false" outlineLevel="0" collapsed="false">
      <c r="B772" s="1" t="s">
        <v>699</v>
      </c>
      <c r="C772" s="1" t="s">
        <v>247</v>
      </c>
      <c r="D772" s="14" t="n">
        <v>45992.7604166667</v>
      </c>
      <c r="E772" s="14" t="n">
        <v>45992.7604166667</v>
      </c>
      <c r="F772" s="14" t="n">
        <v>45992.7673611111</v>
      </c>
      <c r="G772" s="15" t="n">
        <f aca="false">F772-E772</f>
        <v>0.00694444444444444</v>
      </c>
      <c r="H772" s="20" t="s">
        <v>445</v>
      </c>
      <c r="I772" s="1" t="s">
        <v>263</v>
      </c>
      <c r="J772" s="20" t="s">
        <v>264</v>
      </c>
      <c r="K772" s="1" t="e">
        <f aca="false">_xlfn.xlookup(J772,REF!$D$2:$D$12,REF!$E$2:$E$12)</f>
        <v>#NAME?</v>
      </c>
      <c r="L772" s="1" t="s">
        <v>420</v>
      </c>
      <c r="M772" s="20" t="s">
        <v>418</v>
      </c>
      <c r="N772" s="20" t="s">
        <v>858</v>
      </c>
      <c r="O772" s="1" t="s">
        <v>859</v>
      </c>
      <c r="P772" s="1" t="str">
        <f aca="false">_xlfn.CONCAT(B772,C772,D772,E772,F772)</f>
        <v>BC Formoso1.3Inverter(MBUS-13)45992.760416666745992.760416666745992.7673611111</v>
      </c>
      <c r="Q772" s="1" t="str">
        <f aca="false">_xlfn.CONCAT(H772,I772,J772)</f>
        <v>LIGRFOCOM</v>
      </c>
    </row>
    <row r="773" customFormat="false" ht="15" hidden="false" customHeight="false" outlineLevel="0" collapsed="false">
      <c r="B773" s="1" t="s">
        <v>699</v>
      </c>
      <c r="C773" s="1" t="s">
        <v>277</v>
      </c>
      <c r="D773" s="14" t="n">
        <v>45992.7604166667</v>
      </c>
      <c r="E773" s="14" t="n">
        <v>45992.7604166667</v>
      </c>
      <c r="F773" s="14" t="n">
        <v>45992.7673611111</v>
      </c>
      <c r="G773" s="15" t="n">
        <f aca="false">F773-E773</f>
        <v>0.00694444444444444</v>
      </c>
      <c r="H773" s="20" t="s">
        <v>445</v>
      </c>
      <c r="I773" s="1" t="s">
        <v>263</v>
      </c>
      <c r="J773" s="20" t="s">
        <v>264</v>
      </c>
      <c r="K773" s="1" t="e">
        <f aca="false">_xlfn.xlookup(J773,REF!$D$2:$D$12,REF!$E$2:$E$12)</f>
        <v>#NAME?</v>
      </c>
      <c r="L773" s="1" t="s">
        <v>420</v>
      </c>
      <c r="M773" s="20" t="s">
        <v>418</v>
      </c>
      <c r="N773" s="20" t="s">
        <v>858</v>
      </c>
      <c r="O773" s="1" t="s">
        <v>859</v>
      </c>
      <c r="P773" s="1" t="str">
        <f aca="false">_xlfn.CONCAT(B773,C773,D773,E773,F773)</f>
        <v>BC Formoso1.3Inverter(MBUS-12)45992.760416666745992.760416666745992.7673611111</v>
      </c>
      <c r="Q773" s="1" t="str">
        <f aca="false">_xlfn.CONCAT(H773,I773,J773)</f>
        <v>LIGRFOCOM</v>
      </c>
    </row>
    <row r="774" customFormat="false" ht="15" hidden="false" customHeight="false" outlineLevel="0" collapsed="false">
      <c r="B774" s="1" t="s">
        <v>330</v>
      </c>
      <c r="C774" s="1" t="s">
        <v>277</v>
      </c>
      <c r="D774" s="14" t="n">
        <v>45992.7604166667</v>
      </c>
      <c r="E774" s="14" t="n">
        <v>45992.7604166667</v>
      </c>
      <c r="F774" s="14" t="n">
        <v>45992.7673611111</v>
      </c>
      <c r="G774" s="15" t="n">
        <f aca="false">F774-E774</f>
        <v>0.00694444444444444</v>
      </c>
      <c r="H774" s="20" t="s">
        <v>445</v>
      </c>
      <c r="I774" s="1" t="s">
        <v>263</v>
      </c>
      <c r="J774" s="20" t="s">
        <v>264</v>
      </c>
      <c r="K774" s="1" t="e">
        <f aca="false">_xlfn.xlookup(J774,REF!$D$2:$D$12,REF!$E$2:$E$12)</f>
        <v>#NAME?</v>
      </c>
      <c r="L774" s="1" t="s">
        <v>420</v>
      </c>
      <c r="M774" s="20" t="s">
        <v>418</v>
      </c>
      <c r="N774" s="20" t="s">
        <v>858</v>
      </c>
      <c r="O774" s="1" t="s">
        <v>859</v>
      </c>
      <c r="P774" s="1" t="str">
        <f aca="false">_xlfn.CONCAT(B774,C774,D774,E774,F774)</f>
        <v>BC Formoso2.1Inverter(MBUS-12)45992.760416666745992.760416666745992.7673611111</v>
      </c>
      <c r="Q774" s="1" t="str">
        <f aca="false">_xlfn.CONCAT(H774,I774,J774)</f>
        <v>LIGRFOCOM</v>
      </c>
    </row>
    <row r="775" customFormat="false" ht="15" hidden="false" customHeight="false" outlineLevel="0" collapsed="false">
      <c r="B775" s="1" t="s">
        <v>330</v>
      </c>
      <c r="C775" s="1" t="s">
        <v>280</v>
      </c>
      <c r="D775" s="14" t="n">
        <v>45992.7604166667</v>
      </c>
      <c r="E775" s="14" t="n">
        <v>45992.7604166667</v>
      </c>
      <c r="F775" s="14" t="n">
        <v>45992.7673611111</v>
      </c>
      <c r="G775" s="15" t="n">
        <f aca="false">F775-E775</f>
        <v>0.00694444444444444</v>
      </c>
      <c r="H775" s="20" t="s">
        <v>445</v>
      </c>
      <c r="I775" s="1" t="s">
        <v>263</v>
      </c>
      <c r="J775" s="20" t="s">
        <v>264</v>
      </c>
      <c r="K775" s="1" t="e">
        <f aca="false">_xlfn.xlookup(J775,REF!$D$2:$D$12,REF!$E$2:$E$12)</f>
        <v>#NAME?</v>
      </c>
      <c r="L775" s="1" t="s">
        <v>420</v>
      </c>
      <c r="M775" s="20" t="s">
        <v>418</v>
      </c>
      <c r="N775" s="20" t="s">
        <v>858</v>
      </c>
      <c r="O775" s="1" t="s">
        <v>859</v>
      </c>
      <c r="P775" s="1" t="str">
        <f aca="false">_xlfn.CONCAT(B775,C775,D775,E775,F775)</f>
        <v>BC Formoso2.1Inverter(MBUS-14)45992.760416666745992.760416666745992.7673611111</v>
      </c>
      <c r="Q775" s="1" t="str">
        <f aca="false">_xlfn.CONCAT(H775,I775,J775)</f>
        <v>LIGRFOCOM</v>
      </c>
    </row>
    <row r="776" customFormat="false" ht="15" hidden="false" customHeight="false" outlineLevel="0" collapsed="false">
      <c r="B776" s="1" t="s">
        <v>330</v>
      </c>
      <c r="C776" s="1" t="s">
        <v>247</v>
      </c>
      <c r="D776" s="14" t="n">
        <v>45992.7604166667</v>
      </c>
      <c r="E776" s="14" t="n">
        <v>45992.7604166667</v>
      </c>
      <c r="F776" s="14" t="n">
        <v>45992.7673611111</v>
      </c>
      <c r="G776" s="15" t="n">
        <f aca="false">F776-E776</f>
        <v>0.00694444444444444</v>
      </c>
      <c r="H776" s="20" t="s">
        <v>445</v>
      </c>
      <c r="I776" s="1" t="s">
        <v>263</v>
      </c>
      <c r="J776" s="20" t="s">
        <v>264</v>
      </c>
      <c r="K776" s="1" t="e">
        <f aca="false">_xlfn.xlookup(J776,REF!$D$2:$D$12,REF!$E$2:$E$12)</f>
        <v>#NAME?</v>
      </c>
      <c r="L776" s="1" t="s">
        <v>420</v>
      </c>
      <c r="M776" s="20" t="s">
        <v>418</v>
      </c>
      <c r="N776" s="20" t="s">
        <v>858</v>
      </c>
      <c r="O776" s="1" t="s">
        <v>859</v>
      </c>
      <c r="P776" s="1" t="str">
        <f aca="false">_xlfn.CONCAT(B776,C776,D776,E776,F776)</f>
        <v>BC Formoso2.1Inverter(MBUS-13)45992.760416666745992.760416666745992.7673611111</v>
      </c>
      <c r="Q776" s="1" t="str">
        <f aca="false">_xlfn.CONCAT(H776,I776,J776)</f>
        <v>LIGRFOCOM</v>
      </c>
    </row>
    <row r="777" customFormat="false" ht="15" hidden="false" customHeight="false" outlineLevel="0" collapsed="false">
      <c r="B777" s="1" t="s">
        <v>330</v>
      </c>
      <c r="C777" s="1" t="s">
        <v>255</v>
      </c>
      <c r="D777" s="14" t="n">
        <v>45992.7604166667</v>
      </c>
      <c r="E777" s="14" t="n">
        <v>45992.7604166667</v>
      </c>
      <c r="F777" s="14" t="n">
        <v>45992.7673611111</v>
      </c>
      <c r="G777" s="15" t="n">
        <f aca="false">F777-E777</f>
        <v>0.00694444444444444</v>
      </c>
      <c r="H777" s="20" t="s">
        <v>445</v>
      </c>
      <c r="I777" s="1" t="s">
        <v>263</v>
      </c>
      <c r="J777" s="20" t="s">
        <v>264</v>
      </c>
      <c r="K777" s="1" t="e">
        <f aca="false">_xlfn.xlookup(J777,REF!$D$2:$D$12,REF!$E$2:$E$12)</f>
        <v>#NAME?</v>
      </c>
      <c r="L777" s="1" t="s">
        <v>420</v>
      </c>
      <c r="M777" s="20" t="s">
        <v>418</v>
      </c>
      <c r="N777" s="20" t="s">
        <v>858</v>
      </c>
      <c r="O777" s="1" t="s">
        <v>859</v>
      </c>
      <c r="P777" s="1" t="str">
        <f aca="false">_xlfn.CONCAT(B777,C777,D777,E777,F777)</f>
        <v>BC Formoso2.1Inverter(MBUS-1)45992.760416666745992.760416666745992.7673611111</v>
      </c>
      <c r="Q777" s="1" t="str">
        <f aca="false">_xlfn.CONCAT(H777,I777,J777)</f>
        <v>LIGRFOCOM</v>
      </c>
    </row>
    <row r="778" customFormat="false" ht="15" hidden="false" customHeight="false" outlineLevel="0" collapsed="false">
      <c r="B778" s="1" t="s">
        <v>622</v>
      </c>
      <c r="C778" s="1" t="s">
        <v>280</v>
      </c>
      <c r="D778" s="14" t="n">
        <v>45992.7604166667</v>
      </c>
      <c r="E778" s="14" t="n">
        <v>45992.7604166667</v>
      </c>
      <c r="F778" s="14" t="n">
        <v>45992.7673611111</v>
      </c>
      <c r="G778" s="15" t="n">
        <f aca="false">F778-E778</f>
        <v>0.00694444444444444</v>
      </c>
      <c r="H778" s="20" t="s">
        <v>445</v>
      </c>
      <c r="I778" s="1" t="s">
        <v>263</v>
      </c>
      <c r="J778" s="20" t="s">
        <v>264</v>
      </c>
      <c r="K778" s="1" t="e">
        <f aca="false">_xlfn.xlookup(J778,REF!$D$2:$D$12,REF!$E$2:$E$12)</f>
        <v>#NAME?</v>
      </c>
      <c r="L778" s="1" t="s">
        <v>420</v>
      </c>
      <c r="M778" s="20" t="s">
        <v>418</v>
      </c>
      <c r="N778" s="20" t="s">
        <v>858</v>
      </c>
      <c r="O778" s="1" t="s">
        <v>859</v>
      </c>
      <c r="P778" s="1" t="str">
        <f aca="false">_xlfn.CONCAT(B778,C778,D778,E778,F778)</f>
        <v>BC Formoso2.2Inverter(MBUS-14)45992.760416666745992.760416666745992.7673611111</v>
      </c>
      <c r="Q778" s="1" t="str">
        <f aca="false">_xlfn.CONCAT(H778,I778,J778)</f>
        <v>LIGRFOCOM</v>
      </c>
    </row>
    <row r="779" customFormat="false" ht="15" hidden="false" customHeight="false" outlineLevel="0" collapsed="false">
      <c r="B779" s="1" t="s">
        <v>622</v>
      </c>
      <c r="C779" s="1" t="s">
        <v>247</v>
      </c>
      <c r="D779" s="14" t="n">
        <v>45992.7604166667</v>
      </c>
      <c r="E779" s="14" t="n">
        <v>45992.7604166667</v>
      </c>
      <c r="F779" s="14" t="n">
        <v>45992.7673611111</v>
      </c>
      <c r="G779" s="15" t="n">
        <f aca="false">F779-E779</f>
        <v>0.00694444444444444</v>
      </c>
      <c r="H779" s="20" t="s">
        <v>445</v>
      </c>
      <c r="I779" s="1" t="s">
        <v>263</v>
      </c>
      <c r="J779" s="20" t="s">
        <v>264</v>
      </c>
      <c r="K779" s="1" t="e">
        <f aca="false">_xlfn.xlookup(J779,REF!$D$2:$D$12,REF!$E$2:$E$12)</f>
        <v>#NAME?</v>
      </c>
      <c r="L779" s="1" t="s">
        <v>420</v>
      </c>
      <c r="M779" s="20" t="s">
        <v>418</v>
      </c>
      <c r="N779" s="20" t="s">
        <v>858</v>
      </c>
      <c r="O779" s="1" t="s">
        <v>859</v>
      </c>
      <c r="P779" s="1" t="str">
        <f aca="false">_xlfn.CONCAT(B779,C779,D779,E779,F779)</f>
        <v>BC Formoso2.2Inverter(MBUS-13)45992.760416666745992.760416666745992.7673611111</v>
      </c>
      <c r="Q779" s="1" t="str">
        <f aca="false">_xlfn.CONCAT(H779,I779,J779)</f>
        <v>LIGRFOCOM</v>
      </c>
    </row>
    <row r="780" customFormat="false" ht="15" hidden="false" customHeight="false" outlineLevel="0" collapsed="false">
      <c r="B780" s="1" t="s">
        <v>622</v>
      </c>
      <c r="C780" s="1" t="s">
        <v>277</v>
      </c>
      <c r="D780" s="14" t="n">
        <v>45992.7604166667</v>
      </c>
      <c r="E780" s="14" t="n">
        <v>45992.7604166667</v>
      </c>
      <c r="F780" s="14" t="n">
        <v>45992.7673611111</v>
      </c>
      <c r="G780" s="15" t="n">
        <f aca="false">F780-E780</f>
        <v>0.00694444444444444</v>
      </c>
      <c r="H780" s="20" t="s">
        <v>445</v>
      </c>
      <c r="I780" s="1" t="s">
        <v>263</v>
      </c>
      <c r="J780" s="20" t="s">
        <v>264</v>
      </c>
      <c r="K780" s="1" t="e">
        <f aca="false">_xlfn.xlookup(J780,REF!$D$2:$D$12,REF!$E$2:$E$12)</f>
        <v>#NAME?</v>
      </c>
      <c r="L780" s="1" t="s">
        <v>420</v>
      </c>
      <c r="M780" s="20" t="s">
        <v>418</v>
      </c>
      <c r="N780" s="20" t="s">
        <v>858</v>
      </c>
      <c r="O780" s="1" t="s">
        <v>859</v>
      </c>
      <c r="P780" s="1" t="str">
        <f aca="false">_xlfn.CONCAT(B780,C780,D780,E780,F780)</f>
        <v>BC Formoso2.2Inverter(MBUS-12)45992.760416666745992.760416666745992.7673611111</v>
      </c>
      <c r="Q780" s="1" t="str">
        <f aca="false">_xlfn.CONCAT(H780,I780,J780)</f>
        <v>LIGRFOCOM</v>
      </c>
    </row>
    <row r="781" customFormat="false" ht="15" hidden="false" customHeight="false" outlineLevel="0" collapsed="false">
      <c r="B781" s="1" t="s">
        <v>622</v>
      </c>
      <c r="C781" s="1" t="s">
        <v>255</v>
      </c>
      <c r="D781" s="14" t="n">
        <v>45992.7604166667</v>
      </c>
      <c r="E781" s="14" t="n">
        <v>45992.7604166667</v>
      </c>
      <c r="F781" s="14" t="n">
        <v>45992.7673611111</v>
      </c>
      <c r="G781" s="15" t="n">
        <f aca="false">F781-E781</f>
        <v>0.00694444444444444</v>
      </c>
      <c r="H781" s="20" t="s">
        <v>445</v>
      </c>
      <c r="I781" s="1" t="s">
        <v>263</v>
      </c>
      <c r="J781" s="20" t="s">
        <v>264</v>
      </c>
      <c r="K781" s="1" t="e">
        <f aca="false">_xlfn.xlookup(J781,REF!$D$2:$D$12,REF!$E$2:$E$12)</f>
        <v>#NAME?</v>
      </c>
      <c r="L781" s="1" t="s">
        <v>420</v>
      </c>
      <c r="M781" s="20" t="s">
        <v>418</v>
      </c>
      <c r="N781" s="20" t="s">
        <v>858</v>
      </c>
      <c r="O781" s="1" t="s">
        <v>859</v>
      </c>
      <c r="P781" s="1" t="str">
        <f aca="false">_xlfn.CONCAT(B781,C781,D781,E781,F781)</f>
        <v>BC Formoso2.2Inverter(MBUS-1)45992.760416666745992.760416666745992.7673611111</v>
      </c>
      <c r="Q781" s="1" t="str">
        <f aca="false">_xlfn.CONCAT(H781,I781,J781)</f>
        <v>LIGRFOCOM</v>
      </c>
    </row>
    <row r="782" customFormat="false" ht="15" hidden="false" customHeight="false" outlineLevel="0" collapsed="false">
      <c r="B782" s="1" t="s">
        <v>332</v>
      </c>
      <c r="C782" s="1" t="s">
        <v>247</v>
      </c>
      <c r="D782" s="14" t="n">
        <v>45992.7604166667</v>
      </c>
      <c r="E782" s="14" t="n">
        <v>45992.7604166667</v>
      </c>
      <c r="F782" s="14" t="n">
        <v>45992.7673611111</v>
      </c>
      <c r="G782" s="15" t="n">
        <f aca="false">F782-E782</f>
        <v>0.00694444444444444</v>
      </c>
      <c r="H782" s="20" t="s">
        <v>445</v>
      </c>
      <c r="I782" s="1" t="s">
        <v>263</v>
      </c>
      <c r="J782" s="20" t="s">
        <v>264</v>
      </c>
      <c r="K782" s="1" t="e">
        <f aca="false">_xlfn.xlookup(J782,REF!$D$2:$D$12,REF!$E$2:$E$12)</f>
        <v>#NAME?</v>
      </c>
      <c r="L782" s="1" t="s">
        <v>420</v>
      </c>
      <c r="M782" s="20" t="s">
        <v>418</v>
      </c>
      <c r="N782" s="20" t="s">
        <v>858</v>
      </c>
      <c r="O782" s="1" t="s">
        <v>859</v>
      </c>
      <c r="P782" s="1" t="str">
        <f aca="false">_xlfn.CONCAT(B782,C782,D782,E782,F782)</f>
        <v>BC Formoso2.3Inverter(MBUS-13)45992.760416666745992.760416666745992.7673611111</v>
      </c>
      <c r="Q782" s="1" t="str">
        <f aca="false">_xlfn.CONCAT(H782,I782,J782)</f>
        <v>LIGRFOCOM</v>
      </c>
    </row>
    <row r="783" customFormat="false" ht="15" hidden="false" customHeight="false" outlineLevel="0" collapsed="false">
      <c r="B783" s="1" t="s">
        <v>332</v>
      </c>
      <c r="C783" s="1" t="s">
        <v>277</v>
      </c>
      <c r="D783" s="14" t="n">
        <v>45992.7604166667</v>
      </c>
      <c r="E783" s="14" t="n">
        <v>45992.7604166667</v>
      </c>
      <c r="F783" s="14" t="n">
        <v>45992.7673611111</v>
      </c>
      <c r="G783" s="15" t="n">
        <f aca="false">F783-E783</f>
        <v>0.00694444444444444</v>
      </c>
      <c r="H783" s="20" t="s">
        <v>445</v>
      </c>
      <c r="I783" s="1" t="s">
        <v>263</v>
      </c>
      <c r="J783" s="20" t="s">
        <v>264</v>
      </c>
      <c r="K783" s="1" t="e">
        <f aca="false">_xlfn.xlookup(J783,REF!$D$2:$D$12,REF!$E$2:$E$12)</f>
        <v>#NAME?</v>
      </c>
      <c r="L783" s="1" t="s">
        <v>420</v>
      </c>
      <c r="M783" s="20" t="s">
        <v>418</v>
      </c>
      <c r="N783" s="20" t="s">
        <v>858</v>
      </c>
      <c r="O783" s="1" t="s">
        <v>859</v>
      </c>
      <c r="P783" s="1" t="str">
        <f aca="false">_xlfn.CONCAT(B783,C783,D783,E783,F783)</f>
        <v>BC Formoso2.3Inverter(MBUS-12)45992.760416666745992.760416666745992.7673611111</v>
      </c>
      <c r="Q783" s="1" t="str">
        <f aca="false">_xlfn.CONCAT(H783,I783,J783)</f>
        <v>LIGRFOCOM</v>
      </c>
    </row>
    <row r="784" customFormat="false" ht="15" hidden="false" customHeight="false" outlineLevel="0" collapsed="false">
      <c r="B784" s="1" t="s">
        <v>685</v>
      </c>
      <c r="C784" s="1" t="s">
        <v>255</v>
      </c>
      <c r="D784" s="14" t="n">
        <v>45999.5583333333</v>
      </c>
      <c r="E784" s="14" t="n">
        <v>45999.5583333333</v>
      </c>
      <c r="F784" s="14" t="n">
        <v>45999.5833333333</v>
      </c>
      <c r="G784" s="15" t="n">
        <f aca="false">F784-E784</f>
        <v>0.025</v>
      </c>
      <c r="H784" s="20" t="s">
        <v>445</v>
      </c>
      <c r="I784" s="1" t="s">
        <v>263</v>
      </c>
      <c r="J784" s="20" t="s">
        <v>264</v>
      </c>
      <c r="K784" s="1" t="e">
        <f aca="false">_xlfn.xlookup(J784,REF!$D$2:$D$12,REF!$E$2:$E$12)</f>
        <v>#NAME?</v>
      </c>
      <c r="L784" s="1" t="s">
        <v>420</v>
      </c>
      <c r="M784" s="20" t="s">
        <v>418</v>
      </c>
      <c r="N784" s="20" t="s">
        <v>252</v>
      </c>
      <c r="O784" s="1" t="s">
        <v>860</v>
      </c>
      <c r="P784" s="1" t="str">
        <f aca="false">_xlfn.CONCAT(B784,C784,D784,E784,F784)</f>
        <v>BC Camarao1.1Inverter(MBUS-1)45999.558333333345999.558333333345999.5833333333</v>
      </c>
      <c r="Q784" s="1" t="str">
        <f aca="false">_xlfn.CONCAT(H784,I784,J784)</f>
        <v>LIGRFOCOM</v>
      </c>
    </row>
    <row r="785" customFormat="false" ht="15" hidden="false" customHeight="false" outlineLevel="0" collapsed="false">
      <c r="B785" s="1" t="s">
        <v>685</v>
      </c>
      <c r="C785" s="1" t="s">
        <v>396</v>
      </c>
      <c r="D785" s="14" t="n">
        <v>45999.5583333333</v>
      </c>
      <c r="E785" s="14" t="n">
        <v>45999.5583333333</v>
      </c>
      <c r="F785" s="14" t="n">
        <v>45999.5833333333</v>
      </c>
      <c r="G785" s="15" t="n">
        <f aca="false">F785-E785</f>
        <v>0.025</v>
      </c>
      <c r="H785" s="20" t="s">
        <v>445</v>
      </c>
      <c r="I785" s="1" t="s">
        <v>263</v>
      </c>
      <c r="J785" s="20" t="s">
        <v>264</v>
      </c>
      <c r="K785" s="1" t="e">
        <f aca="false">_xlfn.xlookup(J785,REF!$D$2:$D$12,REF!$E$2:$E$12)</f>
        <v>#NAME?</v>
      </c>
      <c r="L785" s="1" t="s">
        <v>420</v>
      </c>
      <c r="M785" s="20" t="s">
        <v>418</v>
      </c>
      <c r="N785" s="20" t="s">
        <v>252</v>
      </c>
      <c r="O785" s="1" t="s">
        <v>860</v>
      </c>
      <c r="P785" s="1" t="str">
        <f aca="false">_xlfn.CONCAT(B785,C785,D785,E785,F785)</f>
        <v>BC Camarao1.1215KTL-H3(MBUS-12)45999.558333333345999.558333333345999.5833333333</v>
      </c>
      <c r="Q785" s="1" t="str">
        <f aca="false">_xlfn.CONCAT(H785,I785,J785)</f>
        <v>LIGRFOCOM</v>
      </c>
    </row>
    <row r="786" customFormat="false" ht="15" hidden="false" customHeight="false" outlineLevel="0" collapsed="false">
      <c r="B786" s="1" t="s">
        <v>685</v>
      </c>
      <c r="C786" s="1" t="s">
        <v>397</v>
      </c>
      <c r="D786" s="14" t="n">
        <v>45999.5583333333</v>
      </c>
      <c r="E786" s="14" t="n">
        <v>45999.5583333333</v>
      </c>
      <c r="F786" s="14" t="n">
        <v>45999.5833333333</v>
      </c>
      <c r="G786" s="15" t="n">
        <f aca="false">F786-E786</f>
        <v>0.025</v>
      </c>
      <c r="H786" s="20" t="s">
        <v>445</v>
      </c>
      <c r="I786" s="1" t="s">
        <v>263</v>
      </c>
      <c r="J786" s="20" t="s">
        <v>264</v>
      </c>
      <c r="K786" s="1" t="e">
        <f aca="false">_xlfn.xlookup(J786,REF!$D$2:$D$12,REF!$E$2:$E$12)</f>
        <v>#NAME?</v>
      </c>
      <c r="L786" s="1" t="s">
        <v>420</v>
      </c>
      <c r="M786" s="20" t="s">
        <v>418</v>
      </c>
      <c r="N786" s="20" t="s">
        <v>252</v>
      </c>
      <c r="O786" s="1" t="s">
        <v>860</v>
      </c>
      <c r="P786" s="1" t="str">
        <f aca="false">_xlfn.CONCAT(B786,C786,D786,E786,F786)</f>
        <v>BC Camarao1.1215KTL-H3(MBUS-13)45999.558333333345999.558333333345999.5833333333</v>
      </c>
      <c r="Q786" s="1" t="str">
        <f aca="false">_xlfn.CONCAT(H786,I786,J786)</f>
        <v>LIGRFOCOM</v>
      </c>
    </row>
    <row r="787" customFormat="false" ht="15" hidden="false" customHeight="false" outlineLevel="0" collapsed="false">
      <c r="B787" s="1" t="s">
        <v>685</v>
      </c>
      <c r="C787" s="1" t="s">
        <v>391</v>
      </c>
      <c r="D787" s="14" t="n">
        <v>45999.5583333333</v>
      </c>
      <c r="E787" s="14" t="n">
        <v>45999.5583333333</v>
      </c>
      <c r="F787" s="14" t="n">
        <v>45999.5833333333</v>
      </c>
      <c r="G787" s="15" t="n">
        <f aca="false">F787-E787</f>
        <v>0.025</v>
      </c>
      <c r="H787" s="20" t="s">
        <v>445</v>
      </c>
      <c r="I787" s="1" t="s">
        <v>263</v>
      </c>
      <c r="J787" s="20" t="s">
        <v>264</v>
      </c>
      <c r="K787" s="1" t="e">
        <f aca="false">_xlfn.xlookup(J787,REF!$D$2:$D$12,REF!$E$2:$E$12)</f>
        <v>#NAME?</v>
      </c>
      <c r="L787" s="1" t="s">
        <v>420</v>
      </c>
      <c r="M787" s="20" t="s">
        <v>418</v>
      </c>
      <c r="N787" s="20" t="s">
        <v>252</v>
      </c>
      <c r="O787" s="1" t="s">
        <v>860</v>
      </c>
      <c r="P787" s="1" t="str">
        <f aca="false">_xlfn.CONCAT(B787,C787,D787,E787,F787)</f>
        <v>BC Camarao1.1215KTL-H3(MBUS-16)45999.558333333345999.558333333345999.5833333333</v>
      </c>
      <c r="Q787" s="1" t="str">
        <f aca="false">_xlfn.CONCAT(H787,I787,J787)</f>
        <v>LIGRFOCOM</v>
      </c>
    </row>
    <row r="788" customFormat="false" ht="15" hidden="false" customHeight="false" outlineLevel="0" collapsed="false">
      <c r="B788" s="1" t="s">
        <v>685</v>
      </c>
      <c r="C788" s="1" t="s">
        <v>395</v>
      </c>
      <c r="D788" s="14" t="n">
        <v>45999.5583333333</v>
      </c>
      <c r="E788" s="14" t="n">
        <v>45999.5583333333</v>
      </c>
      <c r="F788" s="14" t="n">
        <v>45999.5833333333</v>
      </c>
      <c r="G788" s="15" t="n">
        <f aca="false">F788-E788</f>
        <v>0.025</v>
      </c>
      <c r="H788" s="20" t="s">
        <v>445</v>
      </c>
      <c r="I788" s="1" t="s">
        <v>263</v>
      </c>
      <c r="J788" s="20" t="s">
        <v>264</v>
      </c>
      <c r="K788" s="1" t="e">
        <f aca="false">_xlfn.xlookup(J788,REF!$D$2:$D$12,REF!$E$2:$E$12)</f>
        <v>#NAME?</v>
      </c>
      <c r="L788" s="1" t="s">
        <v>420</v>
      </c>
      <c r="M788" s="20" t="s">
        <v>418</v>
      </c>
      <c r="N788" s="20" t="s">
        <v>252</v>
      </c>
      <c r="O788" s="1" t="s">
        <v>860</v>
      </c>
      <c r="P788" s="1" t="str">
        <f aca="false">_xlfn.CONCAT(B788,C788,D788,E788,F788)</f>
        <v>BC Camarao1.1215KTL-H3(MBUS-15)45999.558333333345999.558333333345999.5833333333</v>
      </c>
      <c r="Q788" s="1" t="str">
        <f aca="false">_xlfn.CONCAT(H788,I788,J788)</f>
        <v>LIGRFOCOM</v>
      </c>
    </row>
    <row r="789" customFormat="false" ht="15" hidden="false" customHeight="false" outlineLevel="0" collapsed="false">
      <c r="B789" s="1" t="s">
        <v>688</v>
      </c>
      <c r="C789" s="1" t="s">
        <v>689</v>
      </c>
      <c r="D789" s="14" t="n">
        <v>45999.5583333333</v>
      </c>
      <c r="E789" s="14" t="n">
        <v>45999.5583333333</v>
      </c>
      <c r="F789" s="14" t="n">
        <v>45999.5833333333</v>
      </c>
      <c r="G789" s="15" t="n">
        <f aca="false">F789-E789</f>
        <v>0.025</v>
      </c>
      <c r="H789" s="20" t="s">
        <v>445</v>
      </c>
      <c r="I789" s="1" t="s">
        <v>263</v>
      </c>
      <c r="J789" s="20" t="s">
        <v>264</v>
      </c>
      <c r="K789" s="1" t="e">
        <f aca="false">_xlfn.xlookup(J789,REF!$D$2:$D$12,REF!$E$2:$E$12)</f>
        <v>#NAME?</v>
      </c>
      <c r="L789" s="1" t="s">
        <v>420</v>
      </c>
      <c r="M789" s="20" t="s">
        <v>418</v>
      </c>
      <c r="N789" s="20" t="s">
        <v>252</v>
      </c>
      <c r="O789" s="1" t="s">
        <v>860</v>
      </c>
      <c r="P789" s="1" t="str">
        <f aca="false">_xlfn.CONCAT(B789,C789,D789,E789,F789)</f>
        <v>BC Camarao1.2Inv. 445999.558333333345999.558333333345999.5833333333</v>
      </c>
      <c r="Q789" s="1" t="str">
        <f aca="false">_xlfn.CONCAT(H789,I789,J789)</f>
        <v>LIGRFOCOM</v>
      </c>
    </row>
    <row r="790" customFormat="false" ht="15" hidden="false" customHeight="false" outlineLevel="0" collapsed="false">
      <c r="B790" s="1" t="s">
        <v>688</v>
      </c>
      <c r="C790" s="1" t="s">
        <v>690</v>
      </c>
      <c r="D790" s="14" t="n">
        <v>45999.5583333333</v>
      </c>
      <c r="E790" s="14" t="n">
        <v>45999.5583333333</v>
      </c>
      <c r="F790" s="14" t="n">
        <v>45999.5833333333</v>
      </c>
      <c r="G790" s="15" t="n">
        <f aca="false">F790-E790</f>
        <v>0.025</v>
      </c>
      <c r="H790" s="20" t="s">
        <v>445</v>
      </c>
      <c r="I790" s="1" t="s">
        <v>263</v>
      </c>
      <c r="J790" s="20" t="s">
        <v>264</v>
      </c>
      <c r="K790" s="1" t="e">
        <f aca="false">_xlfn.xlookup(J790,REF!$D$2:$D$12,REF!$E$2:$E$12)</f>
        <v>#NAME?</v>
      </c>
      <c r="L790" s="1" t="s">
        <v>420</v>
      </c>
      <c r="M790" s="20" t="s">
        <v>418</v>
      </c>
      <c r="N790" s="20" t="s">
        <v>252</v>
      </c>
      <c r="O790" s="1" t="s">
        <v>860</v>
      </c>
      <c r="P790" s="1" t="str">
        <f aca="false">_xlfn.CONCAT(B790,C790,D790,E790,F790)</f>
        <v>BC Camarao1.2Inverter(MBUS-16)45999.558333333345999.558333333345999.5833333333</v>
      </c>
      <c r="Q790" s="1" t="str">
        <f aca="false">_xlfn.CONCAT(H790,I790,J790)</f>
        <v>LIGRFOCOM</v>
      </c>
    </row>
    <row r="791" customFormat="false" ht="15" hidden="false" customHeight="false" outlineLevel="0" collapsed="false">
      <c r="B791" s="1" t="s">
        <v>688</v>
      </c>
      <c r="C791" s="1" t="s">
        <v>277</v>
      </c>
      <c r="D791" s="14" t="n">
        <v>45999.5583333333</v>
      </c>
      <c r="E791" s="14" t="n">
        <v>45999.5583333333</v>
      </c>
      <c r="F791" s="14" t="n">
        <v>45999.5833333333</v>
      </c>
      <c r="G791" s="15" t="n">
        <f aca="false">F791-E791</f>
        <v>0.025</v>
      </c>
      <c r="H791" s="20" t="s">
        <v>445</v>
      </c>
      <c r="I791" s="1" t="s">
        <v>263</v>
      </c>
      <c r="J791" s="20" t="s">
        <v>264</v>
      </c>
      <c r="K791" s="1" t="e">
        <f aca="false">_xlfn.xlookup(J791,REF!$D$2:$D$12,REF!$E$2:$E$12)</f>
        <v>#NAME?</v>
      </c>
      <c r="L791" s="1" t="s">
        <v>420</v>
      </c>
      <c r="M791" s="20" t="s">
        <v>418</v>
      </c>
      <c r="N791" s="20" t="s">
        <v>252</v>
      </c>
      <c r="O791" s="1" t="s">
        <v>860</v>
      </c>
      <c r="P791" s="1" t="str">
        <f aca="false">_xlfn.CONCAT(B791,C791,D791,E791,F791)</f>
        <v>BC Camarao1.2Inverter(MBUS-12)45999.558333333345999.558333333345999.5833333333</v>
      </c>
      <c r="Q791" s="1" t="str">
        <f aca="false">_xlfn.CONCAT(H791,I791,J791)</f>
        <v>LIGRFOCOM</v>
      </c>
    </row>
    <row r="792" customFormat="false" ht="15" hidden="false" customHeight="false" outlineLevel="0" collapsed="false">
      <c r="B792" s="1" t="s">
        <v>688</v>
      </c>
      <c r="C792" s="1" t="s">
        <v>691</v>
      </c>
      <c r="D792" s="14" t="n">
        <v>45999.5583333333</v>
      </c>
      <c r="E792" s="14" t="n">
        <v>45999.5583333333</v>
      </c>
      <c r="F792" s="14" t="n">
        <v>45999.5833333333</v>
      </c>
      <c r="G792" s="15" t="n">
        <f aca="false">F792-E792</f>
        <v>0.025</v>
      </c>
      <c r="H792" s="20" t="s">
        <v>445</v>
      </c>
      <c r="I792" s="1" t="s">
        <v>263</v>
      </c>
      <c r="J792" s="20" t="s">
        <v>264</v>
      </c>
      <c r="K792" s="1" t="e">
        <f aca="false">_xlfn.xlookup(J792,REF!$D$2:$D$12,REF!$E$2:$E$12)</f>
        <v>#NAME?</v>
      </c>
      <c r="L792" s="1" t="s">
        <v>420</v>
      </c>
      <c r="M792" s="20" t="s">
        <v>418</v>
      </c>
      <c r="N792" s="20" t="s">
        <v>252</v>
      </c>
      <c r="O792" s="1" t="s">
        <v>860</v>
      </c>
      <c r="P792" s="1" t="str">
        <f aca="false">_xlfn.CONCAT(B792,C792,D792,E792,F792)</f>
        <v>BC Camarao1.2Inv. 345999.558333333345999.558333333345999.5833333333</v>
      </c>
      <c r="Q792" s="1" t="str">
        <f aca="false">_xlfn.CONCAT(H792,I792,J792)</f>
        <v>LIGRFOCOM</v>
      </c>
    </row>
    <row r="793" customFormat="false" ht="15" hidden="false" customHeight="false" outlineLevel="0" collapsed="false">
      <c r="B793" s="1" t="s">
        <v>688</v>
      </c>
      <c r="C793" s="1" t="s">
        <v>255</v>
      </c>
      <c r="D793" s="14" t="n">
        <v>45999.5583333333</v>
      </c>
      <c r="E793" s="14" t="n">
        <v>45999.5583333333</v>
      </c>
      <c r="F793" s="14" t="n">
        <v>45999.5833333333</v>
      </c>
      <c r="G793" s="15" t="n">
        <f aca="false">F793-E793</f>
        <v>0.025</v>
      </c>
      <c r="H793" s="20" t="s">
        <v>445</v>
      </c>
      <c r="I793" s="1" t="s">
        <v>263</v>
      </c>
      <c r="J793" s="20" t="s">
        <v>264</v>
      </c>
      <c r="K793" s="1" t="e">
        <f aca="false">_xlfn.xlookup(J793,REF!$D$2:$D$12,REF!$E$2:$E$12)</f>
        <v>#NAME?</v>
      </c>
      <c r="L793" s="1" t="s">
        <v>420</v>
      </c>
      <c r="M793" s="20" t="s">
        <v>418</v>
      </c>
      <c r="N793" s="20" t="s">
        <v>252</v>
      </c>
      <c r="O793" s="1" t="s">
        <v>860</v>
      </c>
      <c r="P793" s="1" t="str">
        <f aca="false">_xlfn.CONCAT(B793,C793,D793,E793,F793)</f>
        <v>BC Camarao1.2Inverter(MBUS-1)45999.558333333345999.558333333345999.5833333333</v>
      </c>
      <c r="Q793" s="1" t="str">
        <f aca="false">_xlfn.CONCAT(H793,I793,J793)</f>
        <v>LIGRFOCOM</v>
      </c>
    </row>
    <row r="794" customFormat="false" ht="15" hidden="false" customHeight="false" outlineLevel="0" collapsed="false">
      <c r="B794" s="1" t="s">
        <v>390</v>
      </c>
      <c r="C794" s="1" t="s">
        <v>391</v>
      </c>
      <c r="D794" s="14" t="n">
        <v>45999.5583333333</v>
      </c>
      <c r="E794" s="14" t="n">
        <v>45999.5583333333</v>
      </c>
      <c r="F794" s="14" t="n">
        <v>45999.5833333333</v>
      </c>
      <c r="G794" s="15" t="n">
        <f aca="false">F794-E794</f>
        <v>0.025</v>
      </c>
      <c r="H794" s="20" t="s">
        <v>445</v>
      </c>
      <c r="I794" s="1" t="s">
        <v>263</v>
      </c>
      <c r="J794" s="20" t="s">
        <v>264</v>
      </c>
      <c r="K794" s="1" t="e">
        <f aca="false">_xlfn.xlookup(J794,REF!$D$2:$D$12,REF!$E$2:$E$12)</f>
        <v>#NAME?</v>
      </c>
      <c r="L794" s="1" t="s">
        <v>420</v>
      </c>
      <c r="M794" s="20" t="s">
        <v>418</v>
      </c>
      <c r="N794" s="20" t="s">
        <v>252</v>
      </c>
      <c r="O794" s="1" t="s">
        <v>860</v>
      </c>
      <c r="P794" s="1" t="str">
        <f aca="false">_xlfn.CONCAT(B794,C794,D794,E794,F794)</f>
        <v>BC Camarao1.3215KTL-H3(MBUS-16)45999.558333333345999.558333333345999.5833333333</v>
      </c>
      <c r="Q794" s="1" t="str">
        <f aca="false">_xlfn.CONCAT(H794,I794,J794)</f>
        <v>LIGRFOCOM</v>
      </c>
    </row>
    <row r="795" customFormat="false" ht="15" hidden="false" customHeight="false" outlineLevel="0" collapsed="false">
      <c r="B795" s="1" t="s">
        <v>390</v>
      </c>
      <c r="C795" s="1" t="s">
        <v>394</v>
      </c>
      <c r="D795" s="14" t="n">
        <v>45999.5583333333</v>
      </c>
      <c r="E795" s="14" t="n">
        <v>45999.5583333333</v>
      </c>
      <c r="F795" s="14" t="n">
        <v>45999.5833333333</v>
      </c>
      <c r="G795" s="15" t="n">
        <f aca="false">F795-E795</f>
        <v>0.025</v>
      </c>
      <c r="H795" s="20" t="s">
        <v>445</v>
      </c>
      <c r="I795" s="1" t="s">
        <v>263</v>
      </c>
      <c r="J795" s="20" t="s">
        <v>264</v>
      </c>
      <c r="K795" s="1" t="e">
        <f aca="false">_xlfn.xlookup(J795,REF!$D$2:$D$12,REF!$E$2:$E$12)</f>
        <v>#NAME?</v>
      </c>
      <c r="L795" s="1" t="s">
        <v>420</v>
      </c>
      <c r="M795" s="20" t="s">
        <v>418</v>
      </c>
      <c r="N795" s="20" t="s">
        <v>252</v>
      </c>
      <c r="O795" s="1" t="s">
        <v>860</v>
      </c>
      <c r="P795" s="1" t="str">
        <f aca="false">_xlfn.CONCAT(B795,C795,D795,E795,F795)</f>
        <v>BC Camarao1.3215KTL-H3(MBUS-14)45999.558333333345999.558333333345999.5833333333</v>
      </c>
      <c r="Q795" s="1" t="str">
        <f aca="false">_xlfn.CONCAT(H795,I795,J795)</f>
        <v>LIGRFOCOM</v>
      </c>
    </row>
    <row r="796" customFormat="false" ht="15" hidden="false" customHeight="false" outlineLevel="0" collapsed="false">
      <c r="B796" s="1" t="s">
        <v>390</v>
      </c>
      <c r="C796" s="1" t="s">
        <v>395</v>
      </c>
      <c r="D796" s="14" t="n">
        <v>45999.5583333333</v>
      </c>
      <c r="E796" s="14" t="n">
        <v>45999.5583333333</v>
      </c>
      <c r="F796" s="14" t="n">
        <v>45999.5833333333</v>
      </c>
      <c r="G796" s="15" t="n">
        <f aca="false">F796-E796</f>
        <v>0.025</v>
      </c>
      <c r="H796" s="20" t="s">
        <v>445</v>
      </c>
      <c r="I796" s="1" t="s">
        <v>263</v>
      </c>
      <c r="J796" s="20" t="s">
        <v>264</v>
      </c>
      <c r="K796" s="1" t="e">
        <f aca="false">_xlfn.xlookup(J796,REF!$D$2:$D$12,REF!$E$2:$E$12)</f>
        <v>#NAME?</v>
      </c>
      <c r="L796" s="1" t="s">
        <v>420</v>
      </c>
      <c r="M796" s="20" t="s">
        <v>418</v>
      </c>
      <c r="N796" s="20" t="s">
        <v>252</v>
      </c>
      <c r="O796" s="1" t="s">
        <v>860</v>
      </c>
      <c r="P796" s="1" t="str">
        <f aca="false">_xlfn.CONCAT(B796,C796,D796,E796,F796)</f>
        <v>BC Camarao1.3215KTL-H3(MBUS-15)45999.558333333345999.558333333345999.5833333333</v>
      </c>
      <c r="Q796" s="1" t="str">
        <f aca="false">_xlfn.CONCAT(H796,I796,J796)</f>
        <v>LIGRFOCOM</v>
      </c>
    </row>
    <row r="797" customFormat="false" ht="15" hidden="false" customHeight="false" outlineLevel="0" collapsed="false">
      <c r="B797" s="1" t="s">
        <v>390</v>
      </c>
      <c r="C797" s="1" t="s">
        <v>396</v>
      </c>
      <c r="D797" s="14" t="n">
        <v>45999.5583333333</v>
      </c>
      <c r="E797" s="14" t="n">
        <v>45999.5583333333</v>
      </c>
      <c r="F797" s="14" t="n">
        <v>45999.5833333333</v>
      </c>
      <c r="G797" s="15" t="n">
        <f aca="false">F797-E797</f>
        <v>0.025</v>
      </c>
      <c r="H797" s="20" t="s">
        <v>445</v>
      </c>
      <c r="I797" s="1" t="s">
        <v>263</v>
      </c>
      <c r="J797" s="20" t="s">
        <v>264</v>
      </c>
      <c r="K797" s="1" t="e">
        <f aca="false">_xlfn.xlookup(J797,REF!$D$2:$D$12,REF!$E$2:$E$12)</f>
        <v>#NAME?</v>
      </c>
      <c r="L797" s="1" t="s">
        <v>420</v>
      </c>
      <c r="M797" s="20" t="s">
        <v>418</v>
      </c>
      <c r="N797" s="20" t="s">
        <v>252</v>
      </c>
      <c r="O797" s="1" t="s">
        <v>860</v>
      </c>
      <c r="P797" s="1" t="str">
        <f aca="false">_xlfn.CONCAT(B797,C797,D797,E797,F797)</f>
        <v>BC Camarao1.3215KTL-H3(MBUS-12)45999.558333333345999.558333333345999.5833333333</v>
      </c>
      <c r="Q797" s="1" t="str">
        <f aca="false">_xlfn.CONCAT(H797,I797,J797)</f>
        <v>LIGRFOCOM</v>
      </c>
    </row>
    <row r="798" customFormat="false" ht="15" hidden="false" customHeight="false" outlineLevel="0" collapsed="false">
      <c r="B798" s="1" t="s">
        <v>390</v>
      </c>
      <c r="C798" s="1" t="s">
        <v>397</v>
      </c>
      <c r="D798" s="14" t="n">
        <v>45999.5583333333</v>
      </c>
      <c r="E798" s="14" t="n">
        <v>45999.5583333333</v>
      </c>
      <c r="F798" s="14" t="n">
        <v>45999.5833333333</v>
      </c>
      <c r="G798" s="15" t="n">
        <f aca="false">F798-E798</f>
        <v>0.025</v>
      </c>
      <c r="H798" s="20" t="s">
        <v>445</v>
      </c>
      <c r="I798" s="1" t="s">
        <v>263</v>
      </c>
      <c r="J798" s="20" t="s">
        <v>264</v>
      </c>
      <c r="K798" s="1" t="e">
        <f aca="false">_xlfn.xlookup(J798,REF!$D$2:$D$12,REF!$E$2:$E$12)</f>
        <v>#NAME?</v>
      </c>
      <c r="L798" s="1" t="s">
        <v>420</v>
      </c>
      <c r="M798" s="20" t="s">
        <v>418</v>
      </c>
      <c r="N798" s="20" t="s">
        <v>252</v>
      </c>
      <c r="O798" s="1" t="s">
        <v>860</v>
      </c>
      <c r="P798" s="1" t="str">
        <f aca="false">_xlfn.CONCAT(B798,C798,D798,E798,F798)</f>
        <v>BC Camarao1.3215KTL-H3(MBUS-13)45999.558333333345999.558333333345999.5833333333</v>
      </c>
      <c r="Q798" s="1" t="str">
        <f aca="false">_xlfn.CONCAT(H798,I798,J798)</f>
        <v>LIGRFOCOM</v>
      </c>
    </row>
    <row r="799" customFormat="false" ht="15" hidden="false" customHeight="false" outlineLevel="0" collapsed="false">
      <c r="B799" s="1" t="s">
        <v>692</v>
      </c>
      <c r="C799" s="1" t="s">
        <v>693</v>
      </c>
      <c r="D799" s="14" t="n">
        <v>45999.5583333333</v>
      </c>
      <c r="E799" s="14" t="n">
        <v>45999.5583333333</v>
      </c>
      <c r="F799" s="14" t="n">
        <v>45999.5833333333</v>
      </c>
      <c r="G799" s="15" t="n">
        <f aca="false">F799-E799</f>
        <v>0.025</v>
      </c>
      <c r="H799" s="20" t="s">
        <v>445</v>
      </c>
      <c r="I799" s="1" t="s">
        <v>263</v>
      </c>
      <c r="J799" s="20" t="s">
        <v>264</v>
      </c>
      <c r="K799" s="1" t="e">
        <f aca="false">_xlfn.xlookup(J799,REF!$D$2:$D$12,REF!$E$2:$E$12)</f>
        <v>#NAME?</v>
      </c>
      <c r="L799" s="1" t="s">
        <v>420</v>
      </c>
      <c r="M799" s="20" t="s">
        <v>418</v>
      </c>
      <c r="N799" s="20" t="s">
        <v>252</v>
      </c>
      <c r="O799" s="1" t="s">
        <v>860</v>
      </c>
      <c r="P799" s="1" t="str">
        <f aca="false">_xlfn.CONCAT(B799,C799,D799,E799,F799)</f>
        <v>BC Camarao1.4inv. 145999.558333333345999.558333333345999.5833333333</v>
      </c>
      <c r="Q799" s="1" t="str">
        <f aca="false">_xlfn.CONCAT(H799,I799,J799)</f>
        <v>LIGRFOCOM</v>
      </c>
    </row>
    <row r="800" customFormat="false" ht="15" hidden="false" customHeight="false" outlineLevel="0" collapsed="false">
      <c r="B800" s="1" t="s">
        <v>692</v>
      </c>
      <c r="C800" s="1" t="s">
        <v>394</v>
      </c>
      <c r="D800" s="14" t="n">
        <v>45999.5583333333</v>
      </c>
      <c r="E800" s="14" t="n">
        <v>45999.5583333333</v>
      </c>
      <c r="F800" s="14" t="n">
        <v>45999.5833333333</v>
      </c>
      <c r="G800" s="15" t="n">
        <f aca="false">F800-E800</f>
        <v>0.025</v>
      </c>
      <c r="H800" s="20" t="s">
        <v>445</v>
      </c>
      <c r="I800" s="1" t="s">
        <v>263</v>
      </c>
      <c r="J800" s="20" t="s">
        <v>264</v>
      </c>
      <c r="K800" s="1" t="e">
        <f aca="false">_xlfn.xlookup(J800,REF!$D$2:$D$12,REF!$E$2:$E$12)</f>
        <v>#NAME?</v>
      </c>
      <c r="L800" s="1" t="s">
        <v>420</v>
      </c>
      <c r="M800" s="20" t="s">
        <v>418</v>
      </c>
      <c r="N800" s="20" t="s">
        <v>252</v>
      </c>
      <c r="O800" s="1" t="s">
        <v>860</v>
      </c>
      <c r="P800" s="1" t="str">
        <f aca="false">_xlfn.CONCAT(B800,C800,D800,E800,F800)</f>
        <v>BC Camarao1.4215KTL-H3(MBUS-14)45999.558333333345999.558333333345999.5833333333</v>
      </c>
      <c r="Q800" s="1" t="str">
        <f aca="false">_xlfn.CONCAT(H800,I800,J800)</f>
        <v>LIGRFOCOM</v>
      </c>
    </row>
    <row r="801" customFormat="false" ht="15" hidden="false" customHeight="false" outlineLevel="0" collapsed="false">
      <c r="B801" s="1" t="s">
        <v>692</v>
      </c>
      <c r="C801" s="1" t="s">
        <v>397</v>
      </c>
      <c r="D801" s="14" t="n">
        <v>45999.5583333333</v>
      </c>
      <c r="E801" s="14" t="n">
        <v>45999.5583333333</v>
      </c>
      <c r="F801" s="14" t="n">
        <v>45999.5833333333</v>
      </c>
      <c r="G801" s="15" t="n">
        <f aca="false">F801-E801</f>
        <v>0.025</v>
      </c>
      <c r="H801" s="20" t="s">
        <v>445</v>
      </c>
      <c r="I801" s="1" t="s">
        <v>263</v>
      </c>
      <c r="J801" s="20" t="s">
        <v>264</v>
      </c>
      <c r="K801" s="1" t="e">
        <f aca="false">_xlfn.xlookup(J801,REF!$D$2:$D$12,REF!$E$2:$E$12)</f>
        <v>#NAME?</v>
      </c>
      <c r="L801" s="1" t="s">
        <v>420</v>
      </c>
      <c r="M801" s="20" t="s">
        <v>418</v>
      </c>
      <c r="N801" s="20" t="s">
        <v>252</v>
      </c>
      <c r="O801" s="1" t="s">
        <v>860</v>
      </c>
      <c r="P801" s="1" t="str">
        <f aca="false">_xlfn.CONCAT(B801,C801,D801,E801,F801)</f>
        <v>BC Camarao1.4215KTL-H3(MBUS-13)45999.558333333345999.558333333345999.5833333333</v>
      </c>
      <c r="Q801" s="1" t="str">
        <f aca="false">_xlfn.CONCAT(H801,I801,J801)</f>
        <v>LIGRFOCOM</v>
      </c>
    </row>
    <row r="802" customFormat="false" ht="15" hidden="false" customHeight="false" outlineLevel="0" collapsed="false">
      <c r="B802" s="1" t="s">
        <v>692</v>
      </c>
      <c r="C802" s="1" t="s">
        <v>391</v>
      </c>
      <c r="D802" s="14" t="n">
        <v>45999.5583333333</v>
      </c>
      <c r="E802" s="14" t="n">
        <v>45999.5583333333</v>
      </c>
      <c r="F802" s="14" t="n">
        <v>45999.5833333333</v>
      </c>
      <c r="G802" s="15" t="n">
        <f aca="false">F802-E802</f>
        <v>0.025</v>
      </c>
      <c r="H802" s="20" t="s">
        <v>445</v>
      </c>
      <c r="I802" s="1" t="s">
        <v>263</v>
      </c>
      <c r="J802" s="20" t="s">
        <v>264</v>
      </c>
      <c r="K802" s="1" t="e">
        <f aca="false">_xlfn.xlookup(J802,REF!$D$2:$D$12,REF!$E$2:$E$12)</f>
        <v>#NAME?</v>
      </c>
      <c r="L802" s="1" t="s">
        <v>420</v>
      </c>
      <c r="M802" s="20" t="s">
        <v>418</v>
      </c>
      <c r="N802" s="20" t="s">
        <v>252</v>
      </c>
      <c r="O802" s="1" t="s">
        <v>860</v>
      </c>
      <c r="P802" s="1" t="str">
        <f aca="false">_xlfn.CONCAT(B802,C802,D802,E802,F802)</f>
        <v>BC Camarao1.4215KTL-H3(MBUS-16)45999.558333333345999.558333333345999.5833333333</v>
      </c>
      <c r="Q802" s="1" t="str">
        <f aca="false">_xlfn.CONCAT(H802,I802,J802)</f>
        <v>LIGRFOCOM</v>
      </c>
    </row>
    <row r="803" customFormat="false" ht="15" hidden="false" customHeight="false" outlineLevel="0" collapsed="false">
      <c r="B803" s="1" t="s">
        <v>692</v>
      </c>
      <c r="C803" s="1" t="s">
        <v>395</v>
      </c>
      <c r="D803" s="14" t="n">
        <v>45999.5583333333</v>
      </c>
      <c r="E803" s="14" t="n">
        <v>45999.5583333333</v>
      </c>
      <c r="F803" s="14" t="n">
        <v>45999.5833333333</v>
      </c>
      <c r="G803" s="15" t="n">
        <f aca="false">F803-E803</f>
        <v>0.025</v>
      </c>
      <c r="H803" s="20" t="s">
        <v>445</v>
      </c>
      <c r="I803" s="1" t="s">
        <v>263</v>
      </c>
      <c r="J803" s="20" t="s">
        <v>264</v>
      </c>
      <c r="K803" s="1" t="e">
        <f aca="false">_xlfn.xlookup(J803,REF!$D$2:$D$12,REF!$E$2:$E$12)</f>
        <v>#NAME?</v>
      </c>
      <c r="L803" s="1" t="s">
        <v>420</v>
      </c>
      <c r="M803" s="20" t="s">
        <v>418</v>
      </c>
      <c r="N803" s="20" t="s">
        <v>252</v>
      </c>
      <c r="O803" s="1" t="s">
        <v>860</v>
      </c>
      <c r="P803" s="1" t="str">
        <f aca="false">_xlfn.CONCAT(B803,C803,D803,E803,F803)</f>
        <v>BC Camarao1.4215KTL-H3(MBUS-15)45999.558333333345999.558333333345999.5833333333</v>
      </c>
      <c r="Q803" s="1" t="str">
        <f aca="false">_xlfn.CONCAT(H803,I803,J803)</f>
        <v>LIGRFOCOM</v>
      </c>
    </row>
    <row r="804" customFormat="false" ht="15" hidden="false" customHeight="false" outlineLevel="0" collapsed="false">
      <c r="B804" s="1" t="s">
        <v>694</v>
      </c>
      <c r="C804" s="1" t="s">
        <v>395</v>
      </c>
      <c r="D804" s="14" t="n">
        <v>45999.5583333333</v>
      </c>
      <c r="E804" s="14" t="n">
        <v>45999.5583333333</v>
      </c>
      <c r="F804" s="14" t="n">
        <v>45999.5833333333</v>
      </c>
      <c r="G804" s="15" t="n">
        <f aca="false">F804-E804</f>
        <v>0.025</v>
      </c>
      <c r="H804" s="20" t="s">
        <v>445</v>
      </c>
      <c r="I804" s="1" t="s">
        <v>263</v>
      </c>
      <c r="J804" s="20" t="s">
        <v>264</v>
      </c>
      <c r="K804" s="1" t="e">
        <f aca="false">_xlfn.xlookup(J804,REF!$D$2:$D$12,REF!$E$2:$E$12)</f>
        <v>#NAME?</v>
      </c>
      <c r="L804" s="1" t="s">
        <v>420</v>
      </c>
      <c r="M804" s="20" t="s">
        <v>418</v>
      </c>
      <c r="N804" s="20" t="s">
        <v>252</v>
      </c>
      <c r="O804" s="1" t="s">
        <v>860</v>
      </c>
      <c r="P804" s="1" t="str">
        <f aca="false">_xlfn.CONCAT(B804,C804,D804,E804,F804)</f>
        <v>BC Camarao1.5215KTL-H3(MBUS-15)45999.558333333345999.558333333345999.5833333333</v>
      </c>
      <c r="Q804" s="1" t="str">
        <f aca="false">_xlfn.CONCAT(H804,I804,J804)</f>
        <v>LIGRFOCOM</v>
      </c>
    </row>
    <row r="805" customFormat="false" ht="15" hidden="false" customHeight="false" outlineLevel="0" collapsed="false">
      <c r="B805" s="1" t="s">
        <v>694</v>
      </c>
      <c r="C805" s="1" t="s">
        <v>255</v>
      </c>
      <c r="D805" s="14" t="n">
        <v>45999.5583333333</v>
      </c>
      <c r="E805" s="14" t="n">
        <v>45999.5583333333</v>
      </c>
      <c r="F805" s="14" t="n">
        <v>45999.5833333333</v>
      </c>
      <c r="G805" s="15" t="n">
        <f aca="false">F805-E805</f>
        <v>0.025</v>
      </c>
      <c r="H805" s="20" t="s">
        <v>445</v>
      </c>
      <c r="I805" s="1" t="s">
        <v>263</v>
      </c>
      <c r="J805" s="20" t="s">
        <v>264</v>
      </c>
      <c r="K805" s="1" t="e">
        <f aca="false">_xlfn.xlookup(J805,REF!$D$2:$D$12,REF!$E$2:$E$12)</f>
        <v>#NAME?</v>
      </c>
      <c r="L805" s="1" t="s">
        <v>420</v>
      </c>
      <c r="M805" s="20" t="s">
        <v>418</v>
      </c>
      <c r="N805" s="20" t="s">
        <v>252</v>
      </c>
      <c r="O805" s="1" t="s">
        <v>860</v>
      </c>
      <c r="P805" s="1" t="str">
        <f aca="false">_xlfn.CONCAT(B805,C805,D805,E805,F805)</f>
        <v>BC Camarao1.5Inverter(MBUS-1)45999.558333333345999.558333333345999.5833333333</v>
      </c>
      <c r="Q805" s="1" t="str">
        <f aca="false">_xlfn.CONCAT(H805,I805,J805)</f>
        <v>LIGRFOCOM</v>
      </c>
    </row>
    <row r="806" customFormat="false" ht="15" hidden="false" customHeight="false" outlineLevel="0" collapsed="false">
      <c r="B806" s="1" t="s">
        <v>694</v>
      </c>
      <c r="C806" s="1" t="s">
        <v>397</v>
      </c>
      <c r="D806" s="14" t="n">
        <v>45999.5583333333</v>
      </c>
      <c r="E806" s="14" t="n">
        <v>45999.5583333333</v>
      </c>
      <c r="F806" s="14" t="n">
        <v>45999.5833333333</v>
      </c>
      <c r="G806" s="15" t="n">
        <f aca="false">F806-E806</f>
        <v>0.025</v>
      </c>
      <c r="H806" s="20" t="s">
        <v>445</v>
      </c>
      <c r="I806" s="1" t="s">
        <v>263</v>
      </c>
      <c r="J806" s="20" t="s">
        <v>264</v>
      </c>
      <c r="K806" s="1" t="e">
        <f aca="false">_xlfn.xlookup(J806,REF!$D$2:$D$12,REF!$E$2:$E$12)</f>
        <v>#NAME?</v>
      </c>
      <c r="L806" s="1" t="s">
        <v>420</v>
      </c>
      <c r="M806" s="20" t="s">
        <v>418</v>
      </c>
      <c r="N806" s="20" t="s">
        <v>252</v>
      </c>
      <c r="O806" s="1" t="s">
        <v>860</v>
      </c>
      <c r="P806" s="1" t="str">
        <f aca="false">_xlfn.CONCAT(B806,C806,D806,E806,F806)</f>
        <v>BC Camarao1.5215KTL-H3(MBUS-13)45999.558333333345999.558333333345999.5833333333</v>
      </c>
      <c r="Q806" s="1" t="str">
        <f aca="false">_xlfn.CONCAT(H806,I806,J806)</f>
        <v>LIGRFOCOM</v>
      </c>
    </row>
    <row r="807" customFormat="false" ht="15" hidden="false" customHeight="false" outlineLevel="0" collapsed="false">
      <c r="B807" s="1" t="s">
        <v>694</v>
      </c>
      <c r="C807" s="1" t="s">
        <v>396</v>
      </c>
      <c r="D807" s="14" t="n">
        <v>45999.5583333333</v>
      </c>
      <c r="E807" s="14" t="n">
        <v>45999.5583333333</v>
      </c>
      <c r="F807" s="14" t="n">
        <v>45999.5833333333</v>
      </c>
      <c r="G807" s="15" t="n">
        <f aca="false">F807-E807</f>
        <v>0.025</v>
      </c>
      <c r="H807" s="20" t="s">
        <v>445</v>
      </c>
      <c r="I807" s="1" t="s">
        <v>263</v>
      </c>
      <c r="J807" s="20" t="s">
        <v>264</v>
      </c>
      <c r="K807" s="1" t="e">
        <f aca="false">_xlfn.xlookup(J807,REF!$D$2:$D$12,REF!$E$2:$E$12)</f>
        <v>#NAME?</v>
      </c>
      <c r="L807" s="1" t="s">
        <v>420</v>
      </c>
      <c r="M807" s="20" t="s">
        <v>418</v>
      </c>
      <c r="N807" s="20" t="s">
        <v>252</v>
      </c>
      <c r="O807" s="1" t="s">
        <v>860</v>
      </c>
      <c r="P807" s="1" t="str">
        <f aca="false">_xlfn.CONCAT(B807,C807,D807,E807,F807)</f>
        <v>BC Camarao1.5215KTL-H3(MBUS-12)45999.558333333345999.558333333345999.5833333333</v>
      </c>
      <c r="Q807" s="1" t="str">
        <f aca="false">_xlfn.CONCAT(H807,I807,J807)</f>
        <v>LIGRFOCOM</v>
      </c>
    </row>
    <row r="808" customFormat="false" ht="15" hidden="false" customHeight="false" outlineLevel="0" collapsed="false">
      <c r="B808" s="1" t="s">
        <v>694</v>
      </c>
      <c r="C808" s="1" t="s">
        <v>280</v>
      </c>
      <c r="D808" s="14" t="n">
        <v>45999.5583333333</v>
      </c>
      <c r="E808" s="14" t="n">
        <v>45999.5583333333</v>
      </c>
      <c r="F808" s="14" t="n">
        <v>45999.5833333333</v>
      </c>
      <c r="G808" s="15" t="n">
        <f aca="false">F808-E808</f>
        <v>0.025</v>
      </c>
      <c r="H808" s="20" t="s">
        <v>445</v>
      </c>
      <c r="I808" s="1" t="s">
        <v>263</v>
      </c>
      <c r="J808" s="20" t="s">
        <v>264</v>
      </c>
      <c r="K808" s="1" t="e">
        <f aca="false">_xlfn.xlookup(J808,REF!$D$2:$D$12,REF!$E$2:$E$12)</f>
        <v>#NAME?</v>
      </c>
      <c r="L808" s="1" t="s">
        <v>420</v>
      </c>
      <c r="M808" s="20" t="s">
        <v>418</v>
      </c>
      <c r="N808" s="20" t="s">
        <v>252</v>
      </c>
      <c r="O808" s="1" t="s">
        <v>860</v>
      </c>
      <c r="P808" s="1" t="str">
        <f aca="false">_xlfn.CONCAT(B808,C808,D808,E808,F808)</f>
        <v>BC Camarao1.5Inverter(MBUS-14)45999.558333333345999.558333333345999.5833333333</v>
      </c>
      <c r="Q808" s="1" t="str">
        <f aca="false">_xlfn.CONCAT(H808,I808,J808)</f>
        <v>LIGRFOCOM</v>
      </c>
    </row>
    <row r="809" customFormat="false" ht="15" hidden="false" customHeight="false" outlineLevel="0" collapsed="false">
      <c r="B809" s="1" t="s">
        <v>672</v>
      </c>
      <c r="C809" s="1" t="s">
        <v>291</v>
      </c>
      <c r="D809" s="14" t="n">
        <v>46011.2361111111</v>
      </c>
      <c r="E809" s="14" t="n">
        <v>46011.2361111111</v>
      </c>
      <c r="F809" s="14" t="n">
        <v>46011.3194444444</v>
      </c>
      <c r="G809" s="15" t="n">
        <f aca="false">F809-E809</f>
        <v>0.0833333333333333</v>
      </c>
      <c r="H809" s="20" t="s">
        <v>445</v>
      </c>
      <c r="I809" s="1" t="s">
        <v>263</v>
      </c>
      <c r="J809" s="20" t="s">
        <v>264</v>
      </c>
      <c r="K809" s="1" t="e">
        <f aca="false">_xlfn.xlookup(J809,REF!$D$2:$D$12,REF!$E$2:$E$12)</f>
        <v>#NAME?</v>
      </c>
      <c r="L809" s="1" t="s">
        <v>420</v>
      </c>
      <c r="M809" s="20" t="s">
        <v>266</v>
      </c>
      <c r="N809" s="20" t="s">
        <v>267</v>
      </c>
      <c r="O809" s="1" t="s">
        <v>625</v>
      </c>
      <c r="P809" s="1" t="str">
        <f aca="false">_xlfn.CONCAT(B809,C809,D809,E809,F809)</f>
        <v>BC BomSucessoSG60KTL46011.236111111146011.236111111146011.3194444444</v>
      </c>
      <c r="Q809" s="1" t="str">
        <f aca="false">_xlfn.CONCAT(H809,I809,J809)</f>
        <v>LIGRFOCOM</v>
      </c>
    </row>
    <row r="810" customFormat="false" ht="15" hidden="false" customHeight="false" outlineLevel="0" collapsed="false">
      <c r="B810" s="1" t="s">
        <v>672</v>
      </c>
      <c r="C810" s="1" t="s">
        <v>674</v>
      </c>
      <c r="D810" s="14" t="n">
        <v>46011.2361111111</v>
      </c>
      <c r="E810" s="14" t="n">
        <v>46011.2361111111</v>
      </c>
      <c r="F810" s="14" t="n">
        <v>46011.3194444444</v>
      </c>
      <c r="G810" s="15" t="n">
        <f aca="false">F810-E810</f>
        <v>0.0833333333333333</v>
      </c>
      <c r="H810" s="20" t="s">
        <v>445</v>
      </c>
      <c r="I810" s="1" t="s">
        <v>263</v>
      </c>
      <c r="J810" s="20" t="s">
        <v>264</v>
      </c>
      <c r="K810" s="1" t="e">
        <f aca="false">_xlfn.xlookup(J810,REF!$D$2:$D$12,REF!$E$2:$E$12)</f>
        <v>#NAME?</v>
      </c>
      <c r="L810" s="1" t="s">
        <v>420</v>
      </c>
      <c r="M810" s="20" t="s">
        <v>266</v>
      </c>
      <c r="N810" s="20" t="s">
        <v>267</v>
      </c>
      <c r="O810" s="1" t="s">
        <v>625</v>
      </c>
      <c r="P810" s="1" t="str">
        <f aca="false">_xlfn.CONCAT(B810,C810,D810,E810,F810)</f>
        <v>BC BomSucessoABB_0146011.236111111146011.236111111146011.3194444444</v>
      </c>
      <c r="Q810" s="1" t="str">
        <f aca="false">_xlfn.CONCAT(H810,I810,J810)</f>
        <v>LIGRFOCOM</v>
      </c>
    </row>
    <row r="811" customFormat="false" ht="15" hidden="false" customHeight="false" outlineLevel="0" collapsed="false">
      <c r="B811" s="1" t="s">
        <v>672</v>
      </c>
      <c r="C811" s="1" t="s">
        <v>675</v>
      </c>
      <c r="D811" s="14" t="n">
        <v>46011.2361111111</v>
      </c>
      <c r="E811" s="14" t="n">
        <v>46011.2361111111</v>
      </c>
      <c r="F811" s="14" t="n">
        <v>46011.3194444444</v>
      </c>
      <c r="G811" s="15" t="n">
        <f aca="false">F811-E811</f>
        <v>0.0833333333333333</v>
      </c>
      <c r="H811" s="20" t="s">
        <v>445</v>
      </c>
      <c r="I811" s="1" t="s">
        <v>263</v>
      </c>
      <c r="J811" s="20" t="s">
        <v>264</v>
      </c>
      <c r="K811" s="1" t="e">
        <f aca="false">_xlfn.xlookup(J811,REF!$D$2:$D$12,REF!$E$2:$E$12)</f>
        <v>#NAME?</v>
      </c>
      <c r="L811" s="1" t="s">
        <v>420</v>
      </c>
      <c r="M811" s="20" t="s">
        <v>266</v>
      </c>
      <c r="N811" s="20" t="s">
        <v>267</v>
      </c>
      <c r="O811" s="1" t="s">
        <v>625</v>
      </c>
      <c r="P811" s="1" t="str">
        <f aca="false">_xlfn.CONCAT(B811,C811,D811,E811,F811)</f>
        <v>BC BomSucessoABB_0246011.236111111146011.236111111146011.3194444444</v>
      </c>
      <c r="Q811" s="1" t="str">
        <f aca="false">_xlfn.CONCAT(H811,I811,J811)</f>
        <v>LIGRFOCOM</v>
      </c>
    </row>
    <row r="812" customFormat="false" ht="15" hidden="false" customHeight="false" outlineLevel="0" collapsed="false">
      <c r="B812" s="1" t="s">
        <v>672</v>
      </c>
      <c r="C812" s="1" t="s">
        <v>676</v>
      </c>
      <c r="D812" s="14" t="n">
        <v>46011.2361111111</v>
      </c>
      <c r="E812" s="14" t="n">
        <v>46011.2361111111</v>
      </c>
      <c r="F812" s="14" t="n">
        <v>46011.3194444444</v>
      </c>
      <c r="G812" s="15" t="n">
        <f aca="false">F812-E812</f>
        <v>0.0833333333333333</v>
      </c>
      <c r="H812" s="20" t="s">
        <v>445</v>
      </c>
      <c r="I812" s="1" t="s">
        <v>263</v>
      </c>
      <c r="J812" s="20" t="s">
        <v>264</v>
      </c>
      <c r="K812" s="1" t="e">
        <f aca="false">_xlfn.xlookup(J812,REF!$D$2:$D$12,REF!$E$2:$E$12)</f>
        <v>#NAME?</v>
      </c>
      <c r="L812" s="1" t="s">
        <v>420</v>
      </c>
      <c r="M812" s="20" t="s">
        <v>266</v>
      </c>
      <c r="N812" s="20" t="s">
        <v>267</v>
      </c>
      <c r="O812" s="1" t="s">
        <v>625</v>
      </c>
      <c r="P812" s="1" t="str">
        <f aca="false">_xlfn.CONCAT(B812,C812,D812,E812,F812)</f>
        <v>BC BomSucessoABB_0346011.236111111146011.236111111146011.3194444444</v>
      </c>
      <c r="Q812" s="1" t="str">
        <f aca="false">_xlfn.CONCAT(H812,I812,J812)</f>
        <v>LIGRFOCOM</v>
      </c>
    </row>
    <row r="813" customFormat="false" ht="15" hidden="false" customHeight="false" outlineLevel="0" collapsed="false">
      <c r="B813" s="1" t="s">
        <v>672</v>
      </c>
      <c r="C813" s="1" t="s">
        <v>677</v>
      </c>
      <c r="D813" s="14" t="n">
        <v>46011.2361111111</v>
      </c>
      <c r="E813" s="14" t="n">
        <v>46011.2361111111</v>
      </c>
      <c r="F813" s="14" t="n">
        <v>46011.3194444444</v>
      </c>
      <c r="G813" s="15" t="n">
        <f aca="false">F813-E813</f>
        <v>0.0833333333333333</v>
      </c>
      <c r="H813" s="20" t="s">
        <v>445</v>
      </c>
      <c r="I813" s="1" t="s">
        <v>263</v>
      </c>
      <c r="J813" s="20" t="s">
        <v>264</v>
      </c>
      <c r="K813" s="1" t="e">
        <f aca="false">_xlfn.xlookup(J813,REF!$D$2:$D$12,REF!$E$2:$E$12)</f>
        <v>#NAME?</v>
      </c>
      <c r="L813" s="1" t="s">
        <v>420</v>
      </c>
      <c r="M813" s="20" t="s">
        <v>266</v>
      </c>
      <c r="N813" s="20" t="s">
        <v>267</v>
      </c>
      <c r="O813" s="1" t="s">
        <v>625</v>
      </c>
      <c r="P813" s="1" t="str">
        <f aca="false">_xlfn.CONCAT(B813,C813,D813,E813,F813)</f>
        <v>BC BomSucessoABB_0446011.236111111146011.236111111146011.3194444444</v>
      </c>
      <c r="Q813" s="1" t="str">
        <f aca="false">_xlfn.CONCAT(H813,I813,J813)</f>
        <v>LIGRFOCOM</v>
      </c>
    </row>
    <row r="814" customFormat="false" ht="15" hidden="false" customHeight="false" outlineLevel="0" collapsed="false">
      <c r="B814" s="1" t="s">
        <v>672</v>
      </c>
      <c r="C814" s="1" t="s">
        <v>678</v>
      </c>
      <c r="D814" s="14" t="n">
        <v>46011.2361111111</v>
      </c>
      <c r="E814" s="14" t="n">
        <v>46011.2361111111</v>
      </c>
      <c r="F814" s="14" t="n">
        <v>46011.3194444444</v>
      </c>
      <c r="G814" s="15" t="n">
        <f aca="false">F814-E814</f>
        <v>0.0833333333333333</v>
      </c>
      <c r="H814" s="20" t="s">
        <v>445</v>
      </c>
      <c r="I814" s="1" t="s">
        <v>263</v>
      </c>
      <c r="J814" s="20" t="s">
        <v>264</v>
      </c>
      <c r="K814" s="1" t="e">
        <f aca="false">_xlfn.xlookup(J814,REF!$D$2:$D$12,REF!$E$2:$E$12)</f>
        <v>#NAME?</v>
      </c>
      <c r="L814" s="1" t="s">
        <v>420</v>
      </c>
      <c r="M814" s="20" t="s">
        <v>266</v>
      </c>
      <c r="N814" s="20" t="s">
        <v>267</v>
      </c>
      <c r="O814" s="1" t="s">
        <v>625</v>
      </c>
      <c r="P814" s="1" t="str">
        <f aca="false">_xlfn.CONCAT(B814,C814,D814,E814,F814)</f>
        <v>BC BomSucessoABB_0546011.236111111146011.236111111146011.3194444444</v>
      </c>
      <c r="Q814" s="1" t="str">
        <f aca="false">_xlfn.CONCAT(H814,I814,J814)</f>
        <v>LIGRFOCOM</v>
      </c>
    </row>
    <row r="815" customFormat="false" ht="15" hidden="false" customHeight="false" outlineLevel="0" collapsed="false">
      <c r="B815" s="1" t="s">
        <v>672</v>
      </c>
      <c r="C815" s="1" t="s">
        <v>679</v>
      </c>
      <c r="D815" s="14" t="n">
        <v>46011.2361111111</v>
      </c>
      <c r="E815" s="14" t="n">
        <v>46011.2361111111</v>
      </c>
      <c r="F815" s="14" t="n">
        <v>46011.3194444444</v>
      </c>
      <c r="G815" s="15" t="n">
        <f aca="false">F815-E815</f>
        <v>0.0833333333333333</v>
      </c>
      <c r="H815" s="20" t="s">
        <v>445</v>
      </c>
      <c r="I815" s="1" t="s">
        <v>263</v>
      </c>
      <c r="J815" s="20" t="s">
        <v>264</v>
      </c>
      <c r="K815" s="1" t="e">
        <f aca="false">_xlfn.xlookup(J815,REF!$D$2:$D$12,REF!$E$2:$E$12)</f>
        <v>#NAME?</v>
      </c>
      <c r="L815" s="1" t="s">
        <v>420</v>
      </c>
      <c r="M815" s="20" t="s">
        <v>266</v>
      </c>
      <c r="N815" s="20" t="s">
        <v>267</v>
      </c>
      <c r="O815" s="1" t="s">
        <v>625</v>
      </c>
      <c r="P815" s="1" t="str">
        <f aca="false">_xlfn.CONCAT(B815,C815,D815,E815,F815)</f>
        <v>BC BomSucessoABB_0646011.236111111146011.236111111146011.3194444444</v>
      </c>
      <c r="Q815" s="1" t="str">
        <f aca="false">_xlfn.CONCAT(H815,I815,J815)</f>
        <v>LIGRFOCOM</v>
      </c>
    </row>
    <row r="816" customFormat="false" ht="15" hidden="false" customHeight="false" outlineLevel="0" collapsed="false">
      <c r="B816" s="1" t="s">
        <v>672</v>
      </c>
      <c r="C816" s="1" t="s">
        <v>680</v>
      </c>
      <c r="D816" s="14" t="n">
        <v>46011.2361111111</v>
      </c>
      <c r="E816" s="14" t="n">
        <v>46011.2361111111</v>
      </c>
      <c r="F816" s="14" t="n">
        <v>46011.3194444444</v>
      </c>
      <c r="G816" s="15" t="n">
        <f aca="false">F816-E816</f>
        <v>0.0833333333333333</v>
      </c>
      <c r="H816" s="20" t="s">
        <v>445</v>
      </c>
      <c r="I816" s="1" t="s">
        <v>263</v>
      </c>
      <c r="J816" s="20" t="s">
        <v>264</v>
      </c>
      <c r="K816" s="1" t="e">
        <f aca="false">_xlfn.xlookup(J816,REF!$D$2:$D$12,REF!$E$2:$E$12)</f>
        <v>#NAME?</v>
      </c>
      <c r="L816" s="1" t="s">
        <v>420</v>
      </c>
      <c r="M816" s="20" t="s">
        <v>266</v>
      </c>
      <c r="N816" s="20" t="s">
        <v>267</v>
      </c>
      <c r="O816" s="1" t="s">
        <v>625</v>
      </c>
      <c r="P816" s="1" t="str">
        <f aca="false">_xlfn.CONCAT(B816,C816,D816,E816,F816)</f>
        <v>BC BomSucessoABB_0746011.236111111146011.236111111146011.3194444444</v>
      </c>
      <c r="Q816" s="1" t="str">
        <f aca="false">_xlfn.CONCAT(H816,I816,J816)</f>
        <v>LIGRFOCOM</v>
      </c>
    </row>
    <row r="817" customFormat="false" ht="15" hidden="false" customHeight="false" outlineLevel="0" collapsed="false">
      <c r="B817" s="1" t="s">
        <v>672</v>
      </c>
      <c r="C817" s="1" t="s">
        <v>681</v>
      </c>
      <c r="D817" s="14" t="n">
        <v>46011.2361111111</v>
      </c>
      <c r="E817" s="14" t="n">
        <v>46011.2361111111</v>
      </c>
      <c r="F817" s="14" t="n">
        <v>46011.3194444444</v>
      </c>
      <c r="G817" s="15" t="n">
        <f aca="false">F817-E817</f>
        <v>0.0833333333333333</v>
      </c>
      <c r="H817" s="20" t="s">
        <v>445</v>
      </c>
      <c r="I817" s="1" t="s">
        <v>263</v>
      </c>
      <c r="J817" s="20" t="s">
        <v>264</v>
      </c>
      <c r="K817" s="1" t="e">
        <f aca="false">_xlfn.xlookup(J817,REF!$D$2:$D$12,REF!$E$2:$E$12)</f>
        <v>#NAME?</v>
      </c>
      <c r="L817" s="1" t="s">
        <v>420</v>
      </c>
      <c r="M817" s="20" t="s">
        <v>266</v>
      </c>
      <c r="N817" s="20" t="s">
        <v>267</v>
      </c>
      <c r="O817" s="1" t="s">
        <v>625</v>
      </c>
      <c r="P817" s="1" t="str">
        <f aca="false">_xlfn.CONCAT(B817,C817,D817,E817,F817)</f>
        <v>BC BomSucessoABB_0846011.236111111146011.236111111146011.3194444444</v>
      </c>
      <c r="Q817" s="1" t="str">
        <f aca="false">_xlfn.CONCAT(H817,I817,J817)</f>
        <v>LIGRFOCOM</v>
      </c>
    </row>
    <row r="818" customFormat="false" ht="15" hidden="false" customHeight="false" outlineLevel="0" collapsed="false">
      <c r="B818" s="1" t="s">
        <v>672</v>
      </c>
      <c r="C818" s="1" t="s">
        <v>682</v>
      </c>
      <c r="D818" s="14" t="n">
        <v>46011.2361111111</v>
      </c>
      <c r="E818" s="14" t="n">
        <v>46011.2361111111</v>
      </c>
      <c r="F818" s="14" t="n">
        <v>46011.3194444444</v>
      </c>
      <c r="G818" s="15" t="n">
        <f aca="false">F818-E818</f>
        <v>0.0833333333333333</v>
      </c>
      <c r="H818" s="20" t="s">
        <v>445</v>
      </c>
      <c r="I818" s="1" t="s">
        <v>263</v>
      </c>
      <c r="J818" s="20" t="s">
        <v>264</v>
      </c>
      <c r="K818" s="1" t="e">
        <f aca="false">_xlfn.xlookup(J818,REF!$D$2:$D$12,REF!$E$2:$E$12)</f>
        <v>#NAME?</v>
      </c>
      <c r="L818" s="1" t="s">
        <v>420</v>
      </c>
      <c r="M818" s="20" t="s">
        <v>266</v>
      </c>
      <c r="N818" s="20" t="s">
        <v>267</v>
      </c>
      <c r="O818" s="1" t="s">
        <v>625</v>
      </c>
      <c r="P818" s="1" t="str">
        <f aca="false">_xlfn.CONCAT(B818,C818,D818,E818,F818)</f>
        <v>BC BomSucessoABB_0946011.236111111146011.236111111146011.3194444444</v>
      </c>
      <c r="Q818" s="1" t="str">
        <f aca="false">_xlfn.CONCAT(H818,I818,J818)</f>
        <v>LIGRFOCOM</v>
      </c>
    </row>
    <row r="819" customFormat="false" ht="15" hidden="false" customHeight="false" outlineLevel="0" collapsed="false">
      <c r="B819" s="1" t="s">
        <v>672</v>
      </c>
      <c r="C819" s="1" t="s">
        <v>683</v>
      </c>
      <c r="D819" s="14" t="n">
        <v>46011.2361111111</v>
      </c>
      <c r="E819" s="14" t="n">
        <v>46011.2361111111</v>
      </c>
      <c r="F819" s="14" t="n">
        <v>46011.3194444444</v>
      </c>
      <c r="G819" s="15" t="n">
        <f aca="false">F819-E819</f>
        <v>0.0833333333333333</v>
      </c>
      <c r="H819" s="20" t="s">
        <v>445</v>
      </c>
      <c r="I819" s="1" t="s">
        <v>263</v>
      </c>
      <c r="J819" s="20" t="s">
        <v>264</v>
      </c>
      <c r="K819" s="1" t="e">
        <f aca="false">_xlfn.xlookup(J819,REF!$D$2:$D$12,REF!$E$2:$E$12)</f>
        <v>#NAME?</v>
      </c>
      <c r="L819" s="1" t="s">
        <v>420</v>
      </c>
      <c r="M819" s="20" t="s">
        <v>266</v>
      </c>
      <c r="N819" s="20" t="s">
        <v>267</v>
      </c>
      <c r="O819" s="1" t="s">
        <v>625</v>
      </c>
      <c r="P819" s="1" t="str">
        <f aca="false">_xlfn.CONCAT(B819,C819,D819,E819,F819)</f>
        <v>BC BomSucessoABB_1046011.236111111146011.236111111146011.3194444444</v>
      </c>
      <c r="Q819" s="1" t="str">
        <f aca="false">_xlfn.CONCAT(H819,I819,J819)</f>
        <v>LIGRFOCOM</v>
      </c>
    </row>
    <row r="820" customFormat="false" ht="15" hidden="false" customHeight="false" outlineLevel="0" collapsed="false">
      <c r="B820" s="1" t="s">
        <v>672</v>
      </c>
      <c r="C820" s="1" t="s">
        <v>684</v>
      </c>
      <c r="D820" s="14" t="n">
        <v>46011.2361111111</v>
      </c>
      <c r="E820" s="14" t="n">
        <v>46011.2361111111</v>
      </c>
      <c r="F820" s="14" t="n">
        <v>46011.3194444444</v>
      </c>
      <c r="G820" s="15" t="n">
        <f aca="false">F820-E820</f>
        <v>0.0833333333333333</v>
      </c>
      <c r="H820" s="20" t="s">
        <v>445</v>
      </c>
      <c r="I820" s="1" t="s">
        <v>263</v>
      </c>
      <c r="J820" s="20" t="s">
        <v>264</v>
      </c>
      <c r="K820" s="1" t="e">
        <f aca="false">_xlfn.xlookup(J820,REF!$D$2:$D$12,REF!$E$2:$E$12)</f>
        <v>#NAME?</v>
      </c>
      <c r="L820" s="1" t="s">
        <v>420</v>
      </c>
      <c r="M820" s="20" t="s">
        <v>266</v>
      </c>
      <c r="N820" s="20" t="s">
        <v>267</v>
      </c>
      <c r="O820" s="1" t="s">
        <v>625</v>
      </c>
      <c r="P820" s="1" t="str">
        <f aca="false">_xlfn.CONCAT(B820,C820,D820,E820,F820)</f>
        <v>BC BomSucessoABB_1146011.236111111146011.236111111146011.3194444444</v>
      </c>
      <c r="Q820" s="1" t="str">
        <f aca="false">_xlfn.CONCAT(H820,I820,J820)</f>
        <v>LIGRFOCOM</v>
      </c>
    </row>
    <row r="821" customFormat="false" ht="15" hidden="false" customHeight="false" outlineLevel="0" collapsed="false">
      <c r="B821" s="1" t="s">
        <v>672</v>
      </c>
      <c r="C821" s="1" t="s">
        <v>291</v>
      </c>
      <c r="D821" s="14" t="n">
        <v>46011.2361111111</v>
      </c>
      <c r="E821" s="14" t="n">
        <v>46011.2361111111</v>
      </c>
      <c r="F821" s="14" t="n">
        <v>46011.3194444444</v>
      </c>
      <c r="G821" s="15" t="n">
        <f aca="false">F821-E821</f>
        <v>0.0833333333333333</v>
      </c>
      <c r="H821" s="20" t="s">
        <v>445</v>
      </c>
      <c r="I821" s="1" t="s">
        <v>263</v>
      </c>
      <c r="J821" s="20" t="s">
        <v>264</v>
      </c>
      <c r="K821" s="1" t="e">
        <f aca="false">_xlfn.xlookup(J821,REF!$D$2:$D$12,REF!$E$2:$E$12)</f>
        <v>#NAME?</v>
      </c>
      <c r="L821" s="1" t="s">
        <v>420</v>
      </c>
      <c r="M821" s="20" t="s">
        <v>266</v>
      </c>
      <c r="N821" s="20" t="s">
        <v>267</v>
      </c>
      <c r="O821" s="1" t="s">
        <v>625</v>
      </c>
      <c r="P821" s="1" t="str">
        <f aca="false">_xlfn.CONCAT(B821,C821,D821,E821,F821)</f>
        <v>BC BomSucessoSG60KTL46011.236111111146011.236111111146011.3194444444</v>
      </c>
      <c r="Q821" s="1" t="str">
        <f aca="false">_xlfn.CONCAT(H821,I821,J821)</f>
        <v>LIGRFOCOM</v>
      </c>
    </row>
    <row r="822" customFormat="false" ht="15" hidden="false" customHeight="false" outlineLevel="0" collapsed="false">
      <c r="B822" s="1" t="s">
        <v>672</v>
      </c>
      <c r="C822" s="1" t="s">
        <v>674</v>
      </c>
      <c r="D822" s="14" t="n">
        <v>46011.2361111111</v>
      </c>
      <c r="E822" s="14" t="n">
        <v>46011.2361111111</v>
      </c>
      <c r="F822" s="14" t="n">
        <v>46011.3194444444</v>
      </c>
      <c r="G822" s="15" t="n">
        <f aca="false">F822-E822</f>
        <v>0.0833333333333333</v>
      </c>
      <c r="H822" s="20" t="s">
        <v>445</v>
      </c>
      <c r="I822" s="1" t="s">
        <v>263</v>
      </c>
      <c r="J822" s="20" t="s">
        <v>264</v>
      </c>
      <c r="K822" s="1" t="e">
        <f aca="false">_xlfn.xlookup(J822,REF!$D$2:$D$12,REF!$E$2:$E$12)</f>
        <v>#NAME?</v>
      </c>
      <c r="L822" s="1" t="s">
        <v>420</v>
      </c>
      <c r="M822" s="20" t="s">
        <v>266</v>
      </c>
      <c r="N822" s="20" t="s">
        <v>267</v>
      </c>
      <c r="O822" s="1" t="s">
        <v>625</v>
      </c>
      <c r="P822" s="1" t="str">
        <f aca="false">_xlfn.CONCAT(B822,C822,D822,E822,F822)</f>
        <v>BC BomSucessoABB_0146011.236111111146011.236111111146011.3194444444</v>
      </c>
      <c r="Q822" s="1" t="str">
        <f aca="false">_xlfn.CONCAT(H822,I822,J822)</f>
        <v>LIGRFOCOM</v>
      </c>
    </row>
    <row r="823" customFormat="false" ht="15" hidden="false" customHeight="false" outlineLevel="0" collapsed="false">
      <c r="B823" s="1" t="s">
        <v>672</v>
      </c>
      <c r="C823" s="1" t="s">
        <v>675</v>
      </c>
      <c r="D823" s="14" t="n">
        <v>46011.2361111111</v>
      </c>
      <c r="E823" s="14" t="n">
        <v>46011.2361111111</v>
      </c>
      <c r="F823" s="14" t="n">
        <v>46011.3194444444</v>
      </c>
      <c r="G823" s="15" t="n">
        <f aca="false">F823-E823</f>
        <v>0.0833333333333333</v>
      </c>
      <c r="H823" s="20" t="s">
        <v>445</v>
      </c>
      <c r="I823" s="1" t="s">
        <v>263</v>
      </c>
      <c r="J823" s="20" t="s">
        <v>264</v>
      </c>
      <c r="K823" s="1" t="e">
        <f aca="false">_xlfn.xlookup(J823,REF!$D$2:$D$12,REF!$E$2:$E$12)</f>
        <v>#NAME?</v>
      </c>
      <c r="L823" s="1" t="s">
        <v>420</v>
      </c>
      <c r="M823" s="20" t="s">
        <v>266</v>
      </c>
      <c r="N823" s="20" t="s">
        <v>267</v>
      </c>
      <c r="O823" s="1" t="s">
        <v>625</v>
      </c>
      <c r="P823" s="1" t="str">
        <f aca="false">_xlfn.CONCAT(B823,C823,D823,E823,F823)</f>
        <v>BC BomSucessoABB_0246011.236111111146011.236111111146011.3194444444</v>
      </c>
      <c r="Q823" s="1" t="str">
        <f aca="false">_xlfn.CONCAT(H823,I823,J823)</f>
        <v>LIGRFOCOM</v>
      </c>
    </row>
    <row r="824" customFormat="false" ht="15" hidden="false" customHeight="false" outlineLevel="0" collapsed="false">
      <c r="B824" s="1" t="s">
        <v>672</v>
      </c>
      <c r="C824" s="1" t="s">
        <v>676</v>
      </c>
      <c r="D824" s="14" t="n">
        <v>46011.2361111111</v>
      </c>
      <c r="E824" s="14" t="n">
        <v>46011.2361111111</v>
      </c>
      <c r="F824" s="14" t="n">
        <v>46011.3194444444</v>
      </c>
      <c r="G824" s="15" t="n">
        <f aca="false">F824-E824</f>
        <v>0.0833333333333333</v>
      </c>
      <c r="H824" s="20" t="s">
        <v>445</v>
      </c>
      <c r="I824" s="1" t="s">
        <v>263</v>
      </c>
      <c r="J824" s="20" t="s">
        <v>264</v>
      </c>
      <c r="K824" s="1" t="e">
        <f aca="false">_xlfn.xlookup(J824,REF!$D$2:$D$12,REF!$E$2:$E$12)</f>
        <v>#NAME?</v>
      </c>
      <c r="L824" s="1" t="s">
        <v>420</v>
      </c>
      <c r="M824" s="20" t="s">
        <v>266</v>
      </c>
      <c r="N824" s="20" t="s">
        <v>267</v>
      </c>
      <c r="O824" s="1" t="s">
        <v>625</v>
      </c>
      <c r="P824" s="1" t="str">
        <f aca="false">_xlfn.CONCAT(B824,C824,D824,E824,F824)</f>
        <v>BC BomSucessoABB_0346011.236111111146011.236111111146011.3194444444</v>
      </c>
      <c r="Q824" s="1" t="str">
        <f aca="false">_xlfn.CONCAT(H824,I824,J824)</f>
        <v>LIGRFOCOM</v>
      </c>
    </row>
    <row r="825" customFormat="false" ht="15" hidden="false" customHeight="false" outlineLevel="0" collapsed="false">
      <c r="B825" s="1" t="s">
        <v>672</v>
      </c>
      <c r="C825" s="1" t="s">
        <v>677</v>
      </c>
      <c r="D825" s="14" t="n">
        <v>46011.2361111111</v>
      </c>
      <c r="E825" s="14" t="n">
        <v>46011.2361111111</v>
      </c>
      <c r="F825" s="14" t="n">
        <v>46011.3194444444</v>
      </c>
      <c r="G825" s="15" t="n">
        <f aca="false">F825-E825</f>
        <v>0.0833333333333333</v>
      </c>
      <c r="H825" s="20" t="s">
        <v>445</v>
      </c>
      <c r="I825" s="1" t="s">
        <v>263</v>
      </c>
      <c r="J825" s="20" t="s">
        <v>264</v>
      </c>
      <c r="K825" s="1" t="e">
        <f aca="false">_xlfn.xlookup(J825,REF!$D$2:$D$12,REF!$E$2:$E$12)</f>
        <v>#NAME?</v>
      </c>
      <c r="L825" s="1" t="s">
        <v>420</v>
      </c>
      <c r="M825" s="20" t="s">
        <v>266</v>
      </c>
      <c r="N825" s="20" t="s">
        <v>267</v>
      </c>
      <c r="O825" s="1" t="s">
        <v>625</v>
      </c>
      <c r="P825" s="1" t="str">
        <f aca="false">_xlfn.CONCAT(B825,C825,D825,E825,F825)</f>
        <v>BC BomSucessoABB_0446011.236111111146011.236111111146011.3194444444</v>
      </c>
      <c r="Q825" s="1" t="str">
        <f aca="false">_xlfn.CONCAT(H825,I825,J825)</f>
        <v>LIGRFOCOM</v>
      </c>
    </row>
    <row r="826" customFormat="false" ht="15" hidden="false" customHeight="false" outlineLevel="0" collapsed="false">
      <c r="B826" s="1" t="s">
        <v>672</v>
      </c>
      <c r="C826" s="1" t="s">
        <v>678</v>
      </c>
      <c r="D826" s="14" t="n">
        <v>46011.2361111111</v>
      </c>
      <c r="E826" s="14" t="n">
        <v>46011.2361111111</v>
      </c>
      <c r="F826" s="14" t="n">
        <v>46011.3194444444</v>
      </c>
      <c r="G826" s="15" t="n">
        <f aca="false">F826-E826</f>
        <v>0.0833333333333333</v>
      </c>
      <c r="H826" s="20" t="s">
        <v>445</v>
      </c>
      <c r="I826" s="1" t="s">
        <v>263</v>
      </c>
      <c r="J826" s="20" t="s">
        <v>264</v>
      </c>
      <c r="K826" s="1" t="e">
        <f aca="false">_xlfn.xlookup(J826,REF!$D$2:$D$12,REF!$E$2:$E$12)</f>
        <v>#NAME?</v>
      </c>
      <c r="L826" s="1" t="s">
        <v>420</v>
      </c>
      <c r="M826" s="20" t="s">
        <v>266</v>
      </c>
      <c r="N826" s="20" t="s">
        <v>267</v>
      </c>
      <c r="O826" s="1" t="s">
        <v>625</v>
      </c>
      <c r="P826" s="1" t="str">
        <f aca="false">_xlfn.CONCAT(B826,C826,D826,E826,F826)</f>
        <v>BC BomSucessoABB_0546011.236111111146011.236111111146011.3194444444</v>
      </c>
      <c r="Q826" s="1" t="str">
        <f aca="false">_xlfn.CONCAT(H826,I826,J826)</f>
        <v>LIGRFOCOM</v>
      </c>
    </row>
    <row r="827" customFormat="false" ht="15" hidden="false" customHeight="false" outlineLevel="0" collapsed="false">
      <c r="B827" s="1" t="s">
        <v>672</v>
      </c>
      <c r="C827" s="1" t="s">
        <v>679</v>
      </c>
      <c r="D827" s="14" t="n">
        <v>46011.2361111111</v>
      </c>
      <c r="E827" s="14" t="n">
        <v>46011.2361111111</v>
      </c>
      <c r="F827" s="14" t="n">
        <v>46011.3194444444</v>
      </c>
      <c r="G827" s="15" t="n">
        <f aca="false">F827-E827</f>
        <v>0.0833333333333333</v>
      </c>
      <c r="H827" s="20" t="s">
        <v>445</v>
      </c>
      <c r="I827" s="1" t="s">
        <v>263</v>
      </c>
      <c r="J827" s="20" t="s">
        <v>264</v>
      </c>
      <c r="K827" s="1" t="e">
        <f aca="false">_xlfn.xlookup(J827,REF!$D$2:$D$12,REF!$E$2:$E$12)</f>
        <v>#NAME?</v>
      </c>
      <c r="L827" s="1" t="s">
        <v>420</v>
      </c>
      <c r="M827" s="20" t="s">
        <v>266</v>
      </c>
      <c r="N827" s="20" t="s">
        <v>267</v>
      </c>
      <c r="O827" s="1" t="s">
        <v>625</v>
      </c>
      <c r="P827" s="1" t="str">
        <f aca="false">_xlfn.CONCAT(B827,C827,D827,E827,F827)</f>
        <v>BC BomSucessoABB_0646011.236111111146011.236111111146011.3194444444</v>
      </c>
      <c r="Q827" s="1" t="str">
        <f aca="false">_xlfn.CONCAT(H827,I827,J827)</f>
        <v>LIGRFOCOM</v>
      </c>
    </row>
    <row r="828" customFormat="false" ht="15" hidden="false" customHeight="false" outlineLevel="0" collapsed="false">
      <c r="B828" s="1" t="s">
        <v>672</v>
      </c>
      <c r="C828" s="1" t="s">
        <v>680</v>
      </c>
      <c r="D828" s="14" t="n">
        <v>46011.2361111111</v>
      </c>
      <c r="E828" s="14" t="n">
        <v>46011.2361111111</v>
      </c>
      <c r="F828" s="14" t="n">
        <v>46011.3194444444</v>
      </c>
      <c r="G828" s="15" t="n">
        <f aca="false">F828-E828</f>
        <v>0.0833333333333333</v>
      </c>
      <c r="H828" s="20" t="s">
        <v>445</v>
      </c>
      <c r="I828" s="1" t="s">
        <v>263</v>
      </c>
      <c r="J828" s="20" t="s">
        <v>264</v>
      </c>
      <c r="K828" s="1" t="e">
        <f aca="false">_xlfn.xlookup(J828,REF!$D$2:$D$12,REF!$E$2:$E$12)</f>
        <v>#NAME?</v>
      </c>
      <c r="L828" s="1" t="s">
        <v>420</v>
      </c>
      <c r="M828" s="20" t="s">
        <v>266</v>
      </c>
      <c r="N828" s="20" t="s">
        <v>267</v>
      </c>
      <c r="O828" s="1" t="s">
        <v>625</v>
      </c>
      <c r="P828" s="1" t="str">
        <f aca="false">_xlfn.CONCAT(B828,C828,D828,E828,F828)</f>
        <v>BC BomSucessoABB_0746011.236111111146011.236111111146011.3194444444</v>
      </c>
      <c r="Q828" s="1" t="str">
        <f aca="false">_xlfn.CONCAT(H828,I828,J828)</f>
        <v>LIGRFOCOM</v>
      </c>
    </row>
    <row r="829" customFormat="false" ht="15" hidden="false" customHeight="false" outlineLevel="0" collapsed="false">
      <c r="B829" s="1" t="s">
        <v>672</v>
      </c>
      <c r="C829" s="1" t="s">
        <v>681</v>
      </c>
      <c r="D829" s="14" t="n">
        <v>46011.2361111111</v>
      </c>
      <c r="E829" s="14" t="n">
        <v>46011.2361111111</v>
      </c>
      <c r="F829" s="14" t="n">
        <v>46011.3194444444</v>
      </c>
      <c r="G829" s="15" t="n">
        <f aca="false">F829-E829</f>
        <v>0.0833333333333333</v>
      </c>
      <c r="H829" s="20" t="s">
        <v>445</v>
      </c>
      <c r="I829" s="1" t="s">
        <v>263</v>
      </c>
      <c r="J829" s="20" t="s">
        <v>264</v>
      </c>
      <c r="K829" s="1" t="e">
        <f aca="false">_xlfn.xlookup(J829,REF!$D$2:$D$12,REF!$E$2:$E$12)</f>
        <v>#NAME?</v>
      </c>
      <c r="L829" s="1" t="s">
        <v>420</v>
      </c>
      <c r="M829" s="20" t="s">
        <v>266</v>
      </c>
      <c r="N829" s="20" t="s">
        <v>267</v>
      </c>
      <c r="O829" s="1" t="s">
        <v>625</v>
      </c>
      <c r="P829" s="1" t="str">
        <f aca="false">_xlfn.CONCAT(B829,C829,D829,E829,F829)</f>
        <v>BC BomSucessoABB_0846011.236111111146011.236111111146011.3194444444</v>
      </c>
      <c r="Q829" s="1" t="str">
        <f aca="false">_xlfn.CONCAT(H829,I829,J829)</f>
        <v>LIGRFOCOM</v>
      </c>
    </row>
    <row r="830" customFormat="false" ht="15" hidden="false" customHeight="false" outlineLevel="0" collapsed="false">
      <c r="B830" s="1" t="s">
        <v>672</v>
      </c>
      <c r="C830" s="1" t="s">
        <v>682</v>
      </c>
      <c r="D830" s="14" t="n">
        <v>46011.2361111111</v>
      </c>
      <c r="E830" s="14" t="n">
        <v>46011.2361111111</v>
      </c>
      <c r="F830" s="14" t="n">
        <v>46011.3194444444</v>
      </c>
      <c r="G830" s="15" t="n">
        <f aca="false">F830-E830</f>
        <v>0.0833333333333333</v>
      </c>
      <c r="H830" s="20" t="s">
        <v>445</v>
      </c>
      <c r="I830" s="1" t="s">
        <v>263</v>
      </c>
      <c r="J830" s="20" t="s">
        <v>264</v>
      </c>
      <c r="K830" s="1" t="e">
        <f aca="false">_xlfn.xlookup(J830,REF!$D$2:$D$12,REF!$E$2:$E$12)</f>
        <v>#NAME?</v>
      </c>
      <c r="L830" s="1" t="s">
        <v>420</v>
      </c>
      <c r="M830" s="20" t="s">
        <v>266</v>
      </c>
      <c r="N830" s="20" t="s">
        <v>267</v>
      </c>
      <c r="O830" s="1" t="s">
        <v>625</v>
      </c>
      <c r="P830" s="1" t="str">
        <f aca="false">_xlfn.CONCAT(B830,C830,D830,E830,F830)</f>
        <v>BC BomSucessoABB_0946011.236111111146011.236111111146011.3194444444</v>
      </c>
      <c r="Q830" s="1" t="str">
        <f aca="false">_xlfn.CONCAT(H830,I830,J830)</f>
        <v>LIGRFOCOM</v>
      </c>
    </row>
    <row r="831" customFormat="false" ht="15" hidden="false" customHeight="false" outlineLevel="0" collapsed="false">
      <c r="B831" s="1" t="s">
        <v>672</v>
      </c>
      <c r="C831" s="1" t="s">
        <v>683</v>
      </c>
      <c r="D831" s="14" t="n">
        <v>46011.2361111111</v>
      </c>
      <c r="E831" s="14" t="n">
        <v>46011.2361111111</v>
      </c>
      <c r="F831" s="14" t="n">
        <v>46011.3194444444</v>
      </c>
      <c r="G831" s="15" t="n">
        <f aca="false">F831-E831</f>
        <v>0.0833333333333333</v>
      </c>
      <c r="H831" s="20" t="s">
        <v>445</v>
      </c>
      <c r="I831" s="1" t="s">
        <v>263</v>
      </c>
      <c r="J831" s="20" t="s">
        <v>264</v>
      </c>
      <c r="K831" s="1" t="e">
        <f aca="false">_xlfn.xlookup(J831,REF!$D$2:$D$12,REF!$E$2:$E$12)</f>
        <v>#NAME?</v>
      </c>
      <c r="L831" s="1" t="s">
        <v>420</v>
      </c>
      <c r="M831" s="20" t="s">
        <v>266</v>
      </c>
      <c r="N831" s="20" t="s">
        <v>267</v>
      </c>
      <c r="O831" s="1" t="s">
        <v>625</v>
      </c>
      <c r="P831" s="1" t="str">
        <f aca="false">_xlfn.CONCAT(B831,C831,D831,E831,F831)</f>
        <v>BC BomSucessoABB_1046011.236111111146011.236111111146011.3194444444</v>
      </c>
      <c r="Q831" s="1" t="str">
        <f aca="false">_xlfn.CONCAT(H831,I831,J831)</f>
        <v>LIGRFOCOM</v>
      </c>
    </row>
    <row r="832" customFormat="false" ht="15" hidden="false" customHeight="false" outlineLevel="0" collapsed="false">
      <c r="B832" s="1" t="s">
        <v>672</v>
      </c>
      <c r="C832" s="1" t="s">
        <v>684</v>
      </c>
      <c r="D832" s="14" t="n">
        <v>46011.2361111111</v>
      </c>
      <c r="E832" s="14" t="n">
        <v>46011.2361111111</v>
      </c>
      <c r="F832" s="14" t="n">
        <v>46011.3194444444</v>
      </c>
      <c r="G832" s="15" t="n">
        <f aca="false">F832-E832</f>
        <v>0.0833333333333333</v>
      </c>
      <c r="H832" s="20" t="s">
        <v>445</v>
      </c>
      <c r="I832" s="1" t="s">
        <v>263</v>
      </c>
      <c r="J832" s="20" t="s">
        <v>264</v>
      </c>
      <c r="K832" s="1" t="e">
        <f aca="false">_xlfn.xlookup(J832,REF!$D$2:$D$12,REF!$E$2:$E$12)</f>
        <v>#NAME?</v>
      </c>
      <c r="L832" s="1" t="s">
        <v>420</v>
      </c>
      <c r="M832" s="20" t="s">
        <v>266</v>
      </c>
      <c r="N832" s="20" t="s">
        <v>267</v>
      </c>
      <c r="O832" s="1" t="s">
        <v>625</v>
      </c>
      <c r="P832" s="1" t="str">
        <f aca="false">_xlfn.CONCAT(B832,C832,D832,E832,F832)</f>
        <v>BC BomSucessoABB_1146011.236111111146011.236111111146011.3194444444</v>
      </c>
      <c r="Q832" s="1" t="str">
        <f aca="false">_xlfn.CONCAT(H832,I832,J832)</f>
        <v>LIGRFOCOM</v>
      </c>
    </row>
    <row r="833" customFormat="false" ht="15" hidden="true" customHeight="false" outlineLevel="0" collapsed="false">
      <c r="B833" s="1" t="s">
        <v>861</v>
      </c>
      <c r="C833" s="1" t="s">
        <v>770</v>
      </c>
      <c r="D833" s="14" t="n">
        <v>46000.3333333333</v>
      </c>
      <c r="E833" s="14" t="n">
        <v>46000.3333333333</v>
      </c>
      <c r="F833" s="14" t="n">
        <v>46000.4305555556</v>
      </c>
      <c r="G833" s="15" t="n">
        <f aca="false">F833-E833</f>
        <v>0.0972222222222222</v>
      </c>
      <c r="H833" s="20" t="s">
        <v>313</v>
      </c>
      <c r="J833" s="20" t="s">
        <v>703</v>
      </c>
      <c r="K833" s="1" t="e">
        <f aca="false">_xlfn.xlookup(J833,REF!$D$2:$D$12,REF!$E$2:$E$12)</f>
        <v>#NAME?</v>
      </c>
      <c r="L833" s="1" t="s">
        <v>862</v>
      </c>
      <c r="M833" s="20" t="s">
        <v>288</v>
      </c>
      <c r="N833" s="20" t="s">
        <v>315</v>
      </c>
      <c r="O833" s="1" t="s">
        <v>863</v>
      </c>
      <c r="P833" s="1" t="str">
        <f aca="false">_xlfn.CONCAT(B833,C833,D833,E833,F833)</f>
        <v>VARJÃO 1 - UFV 1UFV 1 - INV 146000.333333333346000.333333333346000.4305555556</v>
      </c>
      <c r="Q833" s="1" t="str">
        <f aca="false">_xlfn.CONCAT(H833,I833,J833)</f>
        <v>DPRTRF</v>
      </c>
    </row>
    <row r="834" customFormat="false" ht="15" hidden="true" customHeight="false" outlineLevel="0" collapsed="false">
      <c r="B834" s="1" t="s">
        <v>861</v>
      </c>
      <c r="C834" s="1" t="s">
        <v>772</v>
      </c>
      <c r="D834" s="14" t="n">
        <v>46000.3333333333</v>
      </c>
      <c r="E834" s="14" t="n">
        <v>46000.3333333333</v>
      </c>
      <c r="F834" s="14" t="n">
        <v>46000.4305555556</v>
      </c>
      <c r="G834" s="15" t="n">
        <f aca="false">F834-E834</f>
        <v>0.0972222222222222</v>
      </c>
      <c r="H834" s="20" t="s">
        <v>313</v>
      </c>
      <c r="J834" s="20" t="s">
        <v>703</v>
      </c>
      <c r="K834" s="1" t="e">
        <f aca="false">_xlfn.xlookup(J834,REF!$D$2:$D$12,REF!$E$2:$E$12)</f>
        <v>#NAME?</v>
      </c>
      <c r="L834" s="1" t="s">
        <v>862</v>
      </c>
      <c r="M834" s="20" t="s">
        <v>288</v>
      </c>
      <c r="N834" s="20" t="s">
        <v>315</v>
      </c>
      <c r="O834" s="1" t="s">
        <v>863</v>
      </c>
      <c r="P834" s="1" t="str">
        <f aca="false">_xlfn.CONCAT(B834,C834,D834,E834,F834)</f>
        <v>VARJÃO 1 - UFV 1UFV 1 - INV 546000.333333333346000.333333333346000.4305555556</v>
      </c>
      <c r="Q834" s="1" t="str">
        <f aca="false">_xlfn.CONCAT(H834,I834,J834)</f>
        <v>DPRTRF</v>
      </c>
    </row>
    <row r="835" customFormat="false" ht="15" hidden="true" customHeight="false" outlineLevel="0" collapsed="false">
      <c r="B835" s="1" t="s">
        <v>861</v>
      </c>
      <c r="C835" s="1" t="s">
        <v>773</v>
      </c>
      <c r="D835" s="14" t="n">
        <v>46000.3333333333</v>
      </c>
      <c r="E835" s="14" t="n">
        <v>46000.3333333333</v>
      </c>
      <c r="F835" s="14" t="n">
        <v>46000.4305555556</v>
      </c>
      <c r="G835" s="15" t="n">
        <f aca="false">F835-E835</f>
        <v>0.0972222222222222</v>
      </c>
      <c r="H835" s="20" t="s">
        <v>313</v>
      </c>
      <c r="J835" s="20" t="s">
        <v>703</v>
      </c>
      <c r="K835" s="1" t="e">
        <f aca="false">_xlfn.xlookup(J835,REF!$D$2:$D$12,REF!$E$2:$E$12)</f>
        <v>#NAME?</v>
      </c>
      <c r="L835" s="1" t="s">
        <v>862</v>
      </c>
      <c r="M835" s="20" t="s">
        <v>288</v>
      </c>
      <c r="N835" s="20" t="s">
        <v>315</v>
      </c>
      <c r="O835" s="1" t="s">
        <v>863</v>
      </c>
      <c r="P835" s="1" t="str">
        <f aca="false">_xlfn.CONCAT(B835,C835,D835,E835,F835)</f>
        <v>VARJÃO 1 - UFV 1UFV 1 - INV 446000.333333333346000.333333333346000.4305555556</v>
      </c>
      <c r="Q835" s="1" t="str">
        <f aca="false">_xlfn.CONCAT(H835,I835,J835)</f>
        <v>DPRTRF</v>
      </c>
    </row>
    <row r="836" customFormat="false" ht="15" hidden="true" customHeight="false" outlineLevel="0" collapsed="false">
      <c r="B836" s="1" t="s">
        <v>861</v>
      </c>
      <c r="C836" s="1" t="s">
        <v>774</v>
      </c>
      <c r="D836" s="14" t="n">
        <v>46000.3333333333</v>
      </c>
      <c r="E836" s="14" t="n">
        <v>46000.3333333333</v>
      </c>
      <c r="F836" s="14" t="n">
        <v>46000.4305555556</v>
      </c>
      <c r="G836" s="15" t="n">
        <f aca="false">F836-E836</f>
        <v>0.0972222222222222</v>
      </c>
      <c r="H836" s="20" t="s">
        <v>313</v>
      </c>
      <c r="J836" s="20" t="s">
        <v>703</v>
      </c>
      <c r="K836" s="1" t="e">
        <f aca="false">_xlfn.xlookup(J836,REF!$D$2:$D$12,REF!$E$2:$E$12)</f>
        <v>#NAME?</v>
      </c>
      <c r="L836" s="1" t="s">
        <v>862</v>
      </c>
      <c r="M836" s="20" t="s">
        <v>288</v>
      </c>
      <c r="N836" s="20" t="s">
        <v>315</v>
      </c>
      <c r="O836" s="1" t="s">
        <v>863</v>
      </c>
      <c r="P836" s="1" t="str">
        <f aca="false">_xlfn.CONCAT(B836,C836,D836,E836,F836)</f>
        <v>VARJÃO 1 - UFV 1UFV 1 - INV 346000.333333333346000.333333333346000.4305555556</v>
      </c>
      <c r="Q836" s="1" t="str">
        <f aca="false">_xlfn.CONCAT(H836,I836,J836)</f>
        <v>DPRTRF</v>
      </c>
    </row>
    <row r="837" customFormat="false" ht="15" hidden="true" customHeight="false" outlineLevel="0" collapsed="false">
      <c r="B837" s="1" t="s">
        <v>861</v>
      </c>
      <c r="C837" s="1" t="s">
        <v>775</v>
      </c>
      <c r="D837" s="14" t="n">
        <v>46000.3333333333</v>
      </c>
      <c r="E837" s="14" t="n">
        <v>46000.3333333333</v>
      </c>
      <c r="F837" s="14" t="n">
        <v>46000.4305555556</v>
      </c>
      <c r="G837" s="15" t="n">
        <f aca="false">F837-E837</f>
        <v>0.0972222222222222</v>
      </c>
      <c r="H837" s="20" t="s">
        <v>313</v>
      </c>
      <c r="J837" s="20" t="s">
        <v>703</v>
      </c>
      <c r="K837" s="1" t="e">
        <f aca="false">_xlfn.xlookup(J837,REF!$D$2:$D$12,REF!$E$2:$E$12)</f>
        <v>#NAME?</v>
      </c>
      <c r="L837" s="1" t="s">
        <v>862</v>
      </c>
      <c r="M837" s="20" t="s">
        <v>288</v>
      </c>
      <c r="N837" s="20" t="s">
        <v>315</v>
      </c>
      <c r="O837" s="1" t="s">
        <v>863</v>
      </c>
      <c r="P837" s="1" t="str">
        <f aca="false">_xlfn.CONCAT(B837,C837,D837,E837,F837)</f>
        <v>VARJÃO 1 - UFV 1UFV 1 - INV 246000.333333333346000.333333333346000.4305555556</v>
      </c>
      <c r="Q837" s="1" t="str">
        <f aca="false">_xlfn.CONCAT(H837,I837,J837)</f>
        <v>DPRTRF</v>
      </c>
    </row>
    <row r="838" customFormat="false" ht="15" hidden="true" customHeight="false" outlineLevel="0" collapsed="false">
      <c r="B838" s="1" t="s">
        <v>864</v>
      </c>
      <c r="C838" s="1" t="s">
        <v>627</v>
      </c>
      <c r="D838" s="14" t="n">
        <v>46000.4340277778</v>
      </c>
      <c r="E838" s="14" t="n">
        <v>46000.4340277778</v>
      </c>
      <c r="F838" s="14" t="n">
        <v>46000.4930555556</v>
      </c>
      <c r="G838" s="15" t="n">
        <f aca="false">F838-E838</f>
        <v>0.0590277777777778</v>
      </c>
      <c r="H838" s="20" t="s">
        <v>313</v>
      </c>
      <c r="J838" s="20" t="s">
        <v>703</v>
      </c>
      <c r="K838" s="1" t="e">
        <f aca="false">_xlfn.xlookup(J838,REF!$D$2:$D$12,REF!$E$2:$E$12)</f>
        <v>#NAME?</v>
      </c>
      <c r="L838" s="1" t="s">
        <v>862</v>
      </c>
      <c r="M838" s="20" t="s">
        <v>288</v>
      </c>
      <c r="N838" s="20" t="s">
        <v>315</v>
      </c>
      <c r="O838" s="1" t="s">
        <v>863</v>
      </c>
      <c r="P838" s="1" t="str">
        <f aca="false">_xlfn.CONCAT(B838,C838,D838,E838,F838)</f>
        <v>VARJÃO 1 - UFV 2215KTL-H0(MBUS-12)46000.434027777846000.434027777846000.4930555556</v>
      </c>
      <c r="Q838" s="1" t="str">
        <f aca="false">_xlfn.CONCAT(H838,I838,J838)</f>
        <v>DPRTRF</v>
      </c>
    </row>
    <row r="839" customFormat="false" ht="15" hidden="true" customHeight="false" outlineLevel="0" collapsed="false">
      <c r="B839" s="1" t="s">
        <v>864</v>
      </c>
      <c r="C839" s="1" t="s">
        <v>629</v>
      </c>
      <c r="D839" s="14" t="n">
        <v>46000.4340277778</v>
      </c>
      <c r="E839" s="14" t="n">
        <v>46000.4340277778</v>
      </c>
      <c r="F839" s="14" t="n">
        <v>46000.4930555556</v>
      </c>
      <c r="G839" s="15" t="n">
        <f aca="false">F839-E839</f>
        <v>0.0590277777777778</v>
      </c>
      <c r="H839" s="20" t="s">
        <v>313</v>
      </c>
      <c r="J839" s="20" t="s">
        <v>703</v>
      </c>
      <c r="K839" s="1" t="e">
        <f aca="false">_xlfn.xlookup(J839,REF!$D$2:$D$12,REF!$E$2:$E$12)</f>
        <v>#NAME?</v>
      </c>
      <c r="L839" s="1" t="s">
        <v>862</v>
      </c>
      <c r="M839" s="20" t="s">
        <v>288</v>
      </c>
      <c r="N839" s="20" t="s">
        <v>315</v>
      </c>
      <c r="O839" s="1" t="s">
        <v>863</v>
      </c>
      <c r="P839" s="1" t="str">
        <f aca="false">_xlfn.CONCAT(B839,C839,D839,E839,F839)</f>
        <v>VARJÃO 1 - UFV 2215KTL-H0(MBUS-13)46000.434027777846000.434027777846000.4930555556</v>
      </c>
      <c r="Q839" s="1" t="str">
        <f aca="false">_xlfn.CONCAT(H839,I839,J839)</f>
        <v>DPRTRF</v>
      </c>
    </row>
    <row r="840" customFormat="false" ht="15" hidden="true" customHeight="false" outlineLevel="0" collapsed="false">
      <c r="B840" s="1" t="s">
        <v>864</v>
      </c>
      <c r="C840" s="1" t="s">
        <v>282</v>
      </c>
      <c r="D840" s="14" t="n">
        <v>46000.4340277778</v>
      </c>
      <c r="E840" s="14" t="n">
        <v>46000.4340277778</v>
      </c>
      <c r="F840" s="14" t="n">
        <v>46000.4930555556</v>
      </c>
      <c r="G840" s="15" t="n">
        <f aca="false">F840-E840</f>
        <v>0.0590277777777778</v>
      </c>
      <c r="H840" s="20" t="s">
        <v>313</v>
      </c>
      <c r="J840" s="20" t="s">
        <v>703</v>
      </c>
      <c r="K840" s="1" t="e">
        <f aca="false">_xlfn.xlookup(J840,REF!$D$2:$D$12,REF!$E$2:$E$12)</f>
        <v>#NAME?</v>
      </c>
      <c r="L840" s="1" t="s">
        <v>862</v>
      </c>
      <c r="M840" s="20" t="s">
        <v>288</v>
      </c>
      <c r="N840" s="20" t="s">
        <v>315</v>
      </c>
      <c r="O840" s="1" t="s">
        <v>863</v>
      </c>
      <c r="P840" s="1" t="str">
        <f aca="false">_xlfn.CONCAT(B840,C840,D840,E840,F840)</f>
        <v>VARJÃO 1 - UFV 2215KTL-H0(MBUS-14)46000.434027777846000.434027777846000.4930555556</v>
      </c>
      <c r="Q840" s="1" t="str">
        <f aca="false">_xlfn.CONCAT(H840,I840,J840)</f>
        <v>DPRTRF</v>
      </c>
    </row>
    <row r="841" customFormat="false" ht="15" hidden="true" customHeight="false" outlineLevel="0" collapsed="false">
      <c r="B841" s="1" t="s">
        <v>864</v>
      </c>
      <c r="C841" s="1" t="s">
        <v>630</v>
      </c>
      <c r="D841" s="14" t="n">
        <v>46000.4340277778</v>
      </c>
      <c r="E841" s="14" t="n">
        <v>46000.4340277778</v>
      </c>
      <c r="F841" s="14" t="n">
        <v>46000.4930555556</v>
      </c>
      <c r="G841" s="15" t="n">
        <f aca="false">F841-E841</f>
        <v>0.0590277777777778</v>
      </c>
      <c r="H841" s="20" t="s">
        <v>313</v>
      </c>
      <c r="J841" s="20" t="s">
        <v>703</v>
      </c>
      <c r="K841" s="1" t="e">
        <f aca="false">_xlfn.xlookup(J841,REF!$D$2:$D$12,REF!$E$2:$E$12)</f>
        <v>#NAME?</v>
      </c>
      <c r="L841" s="1" t="s">
        <v>862</v>
      </c>
      <c r="M841" s="20" t="s">
        <v>288</v>
      </c>
      <c r="N841" s="20" t="s">
        <v>315</v>
      </c>
      <c r="O841" s="1" t="s">
        <v>863</v>
      </c>
      <c r="P841" s="1" t="str">
        <f aca="false">_xlfn.CONCAT(B841,C841,D841,E841,F841)</f>
        <v>VARJÃO 1 - UFV 2215KTL-H0(MBUS-15)46000.434027777846000.434027777846000.4930555556</v>
      </c>
      <c r="Q841" s="1" t="str">
        <f aca="false">_xlfn.CONCAT(H841,I841,J841)</f>
        <v>DPRTRF</v>
      </c>
    </row>
    <row r="842" customFormat="false" ht="15" hidden="true" customHeight="false" outlineLevel="0" collapsed="false">
      <c r="B842" s="1" t="s">
        <v>864</v>
      </c>
      <c r="C842" s="1" t="s">
        <v>631</v>
      </c>
      <c r="D842" s="14" t="n">
        <v>46000.4340277778</v>
      </c>
      <c r="E842" s="14" t="n">
        <v>46000.4340277778</v>
      </c>
      <c r="F842" s="14" t="n">
        <v>46000.4930555556</v>
      </c>
      <c r="G842" s="15" t="n">
        <f aca="false">F842-E842</f>
        <v>0.0590277777777778</v>
      </c>
      <c r="H842" s="20" t="s">
        <v>313</v>
      </c>
      <c r="J842" s="20" t="s">
        <v>703</v>
      </c>
      <c r="K842" s="1" t="e">
        <f aca="false">_xlfn.xlookup(J842,REF!$D$2:$D$12,REF!$E$2:$E$12)</f>
        <v>#NAME?</v>
      </c>
      <c r="L842" s="1" t="s">
        <v>862</v>
      </c>
      <c r="M842" s="20" t="s">
        <v>288</v>
      </c>
      <c r="N842" s="20" t="s">
        <v>315</v>
      </c>
      <c r="O842" s="1" t="s">
        <v>863</v>
      </c>
      <c r="P842" s="1" t="str">
        <f aca="false">_xlfn.CONCAT(B842,C842,D842,E842,F842)</f>
        <v>VARJÃO 1 - UFV 2215KTL-H0(MBUS-16)46000.434027777846000.434027777846000.4930555556</v>
      </c>
      <c r="Q842" s="1" t="str">
        <f aca="false">_xlfn.CONCAT(H842,I842,J842)</f>
        <v>DPRTRF</v>
      </c>
    </row>
    <row r="843" customFormat="false" ht="15" hidden="true" customHeight="false" outlineLevel="0" collapsed="false">
      <c r="B843" s="1" t="s">
        <v>865</v>
      </c>
      <c r="C843" s="1" t="s">
        <v>779</v>
      </c>
      <c r="D843" s="14" t="n">
        <v>46000.5590277778</v>
      </c>
      <c r="E843" s="14" t="n">
        <v>46000.5590277778</v>
      </c>
      <c r="F843" s="14" t="n">
        <v>46000.6388888889</v>
      </c>
      <c r="G843" s="15" t="n">
        <f aca="false">F843-E843</f>
        <v>0.0798611111111111</v>
      </c>
      <c r="H843" s="20" t="s">
        <v>313</v>
      </c>
      <c r="J843" s="20" t="s">
        <v>703</v>
      </c>
      <c r="K843" s="1" t="e">
        <f aca="false">_xlfn.xlookup(J843,REF!$D$2:$D$12,REF!$E$2:$E$12)</f>
        <v>#NAME?</v>
      </c>
      <c r="L843" s="1" t="s">
        <v>862</v>
      </c>
      <c r="M843" s="20" t="s">
        <v>288</v>
      </c>
      <c r="N843" s="20" t="s">
        <v>315</v>
      </c>
      <c r="O843" s="1" t="s">
        <v>863</v>
      </c>
      <c r="P843" s="1" t="str">
        <f aca="false">_xlfn.CONCAT(B843,C843,D843,E843,F843)</f>
        <v>VARJÃO 1 - UFV 3100KTL-H1(MBUS-13)46000.559027777846000.559027777846000.6388888889</v>
      </c>
      <c r="Q843" s="1" t="str">
        <f aca="false">_xlfn.CONCAT(H843,I843,J843)</f>
        <v>DPRTRF</v>
      </c>
    </row>
    <row r="844" customFormat="false" ht="15" hidden="true" customHeight="false" outlineLevel="0" collapsed="false">
      <c r="B844" s="1" t="s">
        <v>865</v>
      </c>
      <c r="C844" s="1" t="s">
        <v>780</v>
      </c>
      <c r="D844" s="14" t="n">
        <v>46000.5590277778</v>
      </c>
      <c r="E844" s="14" t="n">
        <v>46000.5590277778</v>
      </c>
      <c r="F844" s="14" t="n">
        <v>46000.6388888889</v>
      </c>
      <c r="G844" s="15" t="n">
        <f aca="false">F844-E844</f>
        <v>0.0798611111111111</v>
      </c>
      <c r="H844" s="20" t="s">
        <v>313</v>
      </c>
      <c r="J844" s="20" t="s">
        <v>703</v>
      </c>
      <c r="K844" s="1" t="e">
        <f aca="false">_xlfn.xlookup(J844,REF!$D$2:$D$12,REF!$E$2:$E$12)</f>
        <v>#NAME?</v>
      </c>
      <c r="L844" s="1" t="s">
        <v>862</v>
      </c>
      <c r="M844" s="20" t="s">
        <v>288</v>
      </c>
      <c r="N844" s="20" t="s">
        <v>315</v>
      </c>
      <c r="O844" s="1" t="s">
        <v>863</v>
      </c>
      <c r="P844" s="1" t="str">
        <f aca="false">_xlfn.CONCAT(B844,C844,D844,E844,F844)</f>
        <v>VARJÃO 1 - UFV 3UF3Inv246000.559027777846000.559027777846000.6388888889</v>
      </c>
      <c r="Q844" s="1" t="str">
        <f aca="false">_xlfn.CONCAT(H844,I844,J844)</f>
        <v>DPRTRF</v>
      </c>
    </row>
    <row r="845" customFormat="false" ht="15" hidden="true" customHeight="false" outlineLevel="0" collapsed="false">
      <c r="B845" s="1" t="s">
        <v>865</v>
      </c>
      <c r="C845" s="1" t="s">
        <v>282</v>
      </c>
      <c r="D845" s="14" t="n">
        <v>46000.5590277778</v>
      </c>
      <c r="E845" s="14" t="n">
        <v>46000.5590277778</v>
      </c>
      <c r="F845" s="14" t="n">
        <v>46000.6388888889</v>
      </c>
      <c r="G845" s="15" t="n">
        <f aca="false">F845-E845</f>
        <v>0.0798611111111111</v>
      </c>
      <c r="H845" s="20" t="s">
        <v>313</v>
      </c>
      <c r="J845" s="20" t="s">
        <v>703</v>
      </c>
      <c r="K845" s="1" t="e">
        <f aca="false">_xlfn.xlookup(J845,REF!$D$2:$D$12,REF!$E$2:$E$12)</f>
        <v>#NAME?</v>
      </c>
      <c r="L845" s="1" t="s">
        <v>862</v>
      </c>
      <c r="M845" s="20" t="s">
        <v>288</v>
      </c>
      <c r="N845" s="20" t="s">
        <v>315</v>
      </c>
      <c r="O845" s="1" t="s">
        <v>863</v>
      </c>
      <c r="P845" s="1" t="str">
        <f aca="false">_xlfn.CONCAT(B845,C845,D845,E845,F845)</f>
        <v>VARJÃO 1 - UFV 3215KTL-H0(MBUS-14)46000.559027777846000.559027777846000.6388888889</v>
      </c>
      <c r="Q845" s="1" t="str">
        <f aca="false">_xlfn.CONCAT(H845,I845,J845)</f>
        <v>DPRTRF</v>
      </c>
    </row>
    <row r="846" customFormat="false" ht="15" hidden="true" customHeight="false" outlineLevel="0" collapsed="false">
      <c r="B846" s="1" t="s">
        <v>866</v>
      </c>
      <c r="C846" s="1" t="s">
        <v>627</v>
      </c>
      <c r="D846" s="14" t="n">
        <v>46001.4145833333</v>
      </c>
      <c r="E846" s="14" t="n">
        <v>46001.4145833333</v>
      </c>
      <c r="F846" s="14" t="n">
        <v>46001.4916666667</v>
      </c>
      <c r="G846" s="15" t="n">
        <f aca="false">F846-E846</f>
        <v>0.0770833333333333</v>
      </c>
      <c r="H846" s="20" t="s">
        <v>313</v>
      </c>
      <c r="J846" s="20" t="s">
        <v>703</v>
      </c>
      <c r="K846" s="1" t="e">
        <f aca="false">_xlfn.xlookup(J846,REF!$D$2:$D$12,REF!$E$2:$E$12)</f>
        <v>#NAME?</v>
      </c>
      <c r="L846" s="1" t="s">
        <v>862</v>
      </c>
      <c r="M846" s="20" t="s">
        <v>288</v>
      </c>
      <c r="N846" s="20" t="s">
        <v>315</v>
      </c>
      <c r="O846" s="1" t="s">
        <v>863</v>
      </c>
      <c r="P846" s="1" t="str">
        <f aca="false">_xlfn.CONCAT(B846,C846,D846,E846,F846)</f>
        <v>VARJÃO 2 - UFV 2.1215KTL-H0(MBUS-12)46001.414583333346001.414583333346001.4916666667</v>
      </c>
      <c r="Q846" s="1" t="str">
        <f aca="false">_xlfn.CONCAT(H846,I846,J846)</f>
        <v>DPRTRF</v>
      </c>
    </row>
    <row r="847" customFormat="false" ht="15" hidden="true" customHeight="false" outlineLevel="0" collapsed="false">
      <c r="B847" s="1" t="s">
        <v>866</v>
      </c>
      <c r="C847" s="1" t="s">
        <v>629</v>
      </c>
      <c r="D847" s="14" t="n">
        <v>46001.4145833333</v>
      </c>
      <c r="E847" s="14" t="n">
        <v>46001.4145833333</v>
      </c>
      <c r="F847" s="14" t="n">
        <v>46001.4916666667</v>
      </c>
      <c r="G847" s="15" t="n">
        <f aca="false">F847-E847</f>
        <v>0.0770833333333333</v>
      </c>
      <c r="H847" s="20" t="s">
        <v>313</v>
      </c>
      <c r="J847" s="20" t="s">
        <v>703</v>
      </c>
      <c r="K847" s="1" t="e">
        <f aca="false">_xlfn.xlookup(J847,REF!$D$2:$D$12,REF!$E$2:$E$12)</f>
        <v>#NAME?</v>
      </c>
      <c r="L847" s="1" t="s">
        <v>862</v>
      </c>
      <c r="M847" s="20" t="s">
        <v>288</v>
      </c>
      <c r="N847" s="20" t="s">
        <v>315</v>
      </c>
      <c r="O847" s="1" t="s">
        <v>863</v>
      </c>
      <c r="P847" s="1" t="str">
        <f aca="false">_xlfn.CONCAT(B847,C847,D847,E847,F847)</f>
        <v>VARJÃO 2 - UFV 2.1215KTL-H0(MBUS-13)46001.414583333346001.414583333346001.4916666667</v>
      </c>
      <c r="Q847" s="1" t="str">
        <f aca="false">_xlfn.CONCAT(H847,I847,J847)</f>
        <v>DPRTRF</v>
      </c>
    </row>
    <row r="848" customFormat="false" ht="15" hidden="true" customHeight="false" outlineLevel="0" collapsed="false">
      <c r="B848" s="1" t="s">
        <v>866</v>
      </c>
      <c r="C848" s="1" t="s">
        <v>282</v>
      </c>
      <c r="D848" s="14" t="n">
        <v>46001.4145833333</v>
      </c>
      <c r="E848" s="14" t="n">
        <v>46001.4145833333</v>
      </c>
      <c r="F848" s="14" t="n">
        <v>46001.4916666667</v>
      </c>
      <c r="G848" s="15" t="n">
        <f aca="false">F848-E848</f>
        <v>0.0770833333333333</v>
      </c>
      <c r="H848" s="20" t="s">
        <v>313</v>
      </c>
      <c r="J848" s="20" t="s">
        <v>703</v>
      </c>
      <c r="K848" s="1" t="e">
        <f aca="false">_xlfn.xlookup(J848,REF!$D$2:$D$12,REF!$E$2:$E$12)</f>
        <v>#NAME?</v>
      </c>
      <c r="L848" s="1" t="s">
        <v>862</v>
      </c>
      <c r="M848" s="20" t="s">
        <v>288</v>
      </c>
      <c r="N848" s="20" t="s">
        <v>315</v>
      </c>
      <c r="O848" s="1" t="s">
        <v>863</v>
      </c>
      <c r="P848" s="1" t="str">
        <f aca="false">_xlfn.CONCAT(B848,C848,D848,E848,F848)</f>
        <v>VARJÃO 2 - UFV 2.1215KTL-H0(MBUS-14)46001.414583333346001.414583333346001.4916666667</v>
      </c>
      <c r="Q848" s="1" t="str">
        <f aca="false">_xlfn.CONCAT(H848,I848,J848)</f>
        <v>DPRTRF</v>
      </c>
    </row>
    <row r="849" customFormat="false" ht="15" hidden="true" customHeight="false" outlineLevel="0" collapsed="false">
      <c r="B849" s="1" t="s">
        <v>866</v>
      </c>
      <c r="C849" s="1" t="s">
        <v>630</v>
      </c>
      <c r="D849" s="14" t="n">
        <v>46001.4145833333</v>
      </c>
      <c r="E849" s="14" t="n">
        <v>46001.4145833333</v>
      </c>
      <c r="F849" s="14" t="n">
        <v>46001.4916666667</v>
      </c>
      <c r="G849" s="15" t="n">
        <f aca="false">F849-E849</f>
        <v>0.0770833333333333</v>
      </c>
      <c r="H849" s="20" t="s">
        <v>313</v>
      </c>
      <c r="J849" s="20" t="s">
        <v>703</v>
      </c>
      <c r="K849" s="1" t="e">
        <f aca="false">_xlfn.xlookup(J849,REF!$D$2:$D$12,REF!$E$2:$E$12)</f>
        <v>#NAME?</v>
      </c>
      <c r="L849" s="1" t="s">
        <v>862</v>
      </c>
      <c r="M849" s="20" t="s">
        <v>288</v>
      </c>
      <c r="N849" s="20" t="s">
        <v>315</v>
      </c>
      <c r="O849" s="1" t="s">
        <v>863</v>
      </c>
      <c r="P849" s="1" t="str">
        <f aca="false">_xlfn.CONCAT(B849,C849,D849,E849,F849)</f>
        <v>VARJÃO 2 - UFV 2.1215KTL-H0(MBUS-15)46001.414583333346001.414583333346001.4916666667</v>
      </c>
      <c r="Q849" s="1" t="str">
        <f aca="false">_xlfn.CONCAT(H849,I849,J849)</f>
        <v>DPRTRF</v>
      </c>
    </row>
    <row r="850" customFormat="false" ht="15" hidden="true" customHeight="false" outlineLevel="0" collapsed="false">
      <c r="B850" s="1" t="s">
        <v>866</v>
      </c>
      <c r="C850" s="1" t="s">
        <v>631</v>
      </c>
      <c r="D850" s="14" t="n">
        <v>46001.4145833333</v>
      </c>
      <c r="E850" s="14" t="n">
        <v>46001.4145833333</v>
      </c>
      <c r="F850" s="14" t="n">
        <v>46001.4916666667</v>
      </c>
      <c r="G850" s="15" t="n">
        <f aca="false">F850-E850</f>
        <v>0.0770833333333333</v>
      </c>
      <c r="H850" s="20" t="s">
        <v>313</v>
      </c>
      <c r="J850" s="20" t="s">
        <v>703</v>
      </c>
      <c r="K850" s="1" t="e">
        <f aca="false">_xlfn.xlookup(J850,REF!$D$2:$D$12,REF!$E$2:$E$12)</f>
        <v>#NAME?</v>
      </c>
      <c r="L850" s="1" t="s">
        <v>862</v>
      </c>
      <c r="M850" s="20" t="s">
        <v>288</v>
      </c>
      <c r="N850" s="20" t="s">
        <v>315</v>
      </c>
      <c r="O850" s="1" t="s">
        <v>863</v>
      </c>
      <c r="P850" s="1" t="str">
        <f aca="false">_xlfn.CONCAT(B850,C850,D850,E850,F850)</f>
        <v>VARJÃO 2 - UFV 2.1215KTL-H0(MBUS-16)46001.414583333346001.414583333346001.4916666667</v>
      </c>
      <c r="Q850" s="1" t="str">
        <f aca="false">_xlfn.CONCAT(H850,I850,J850)</f>
        <v>DPRTRF</v>
      </c>
    </row>
    <row r="851" customFormat="false" ht="15" hidden="true" customHeight="false" outlineLevel="0" collapsed="false">
      <c r="B851" s="1" t="s">
        <v>867</v>
      </c>
      <c r="C851" s="1" t="s">
        <v>629</v>
      </c>
      <c r="D851" s="14" t="n">
        <v>46001.5694444444</v>
      </c>
      <c r="E851" s="14" t="n">
        <v>46001.5694444444</v>
      </c>
      <c r="F851" s="14" t="n">
        <v>46001.6458333333</v>
      </c>
      <c r="G851" s="15" t="n">
        <f aca="false">F851-E851</f>
        <v>0.0763888888888889</v>
      </c>
      <c r="H851" s="20" t="s">
        <v>313</v>
      </c>
      <c r="J851" s="20" t="s">
        <v>703</v>
      </c>
      <c r="K851" s="1" t="e">
        <f aca="false">_xlfn.xlookup(J851,REF!$D$2:$D$12,REF!$E$2:$E$12)</f>
        <v>#NAME?</v>
      </c>
      <c r="L851" s="1" t="s">
        <v>862</v>
      </c>
      <c r="M851" s="20" t="s">
        <v>288</v>
      </c>
      <c r="N851" s="20" t="s">
        <v>315</v>
      </c>
      <c r="O851" s="1" t="s">
        <v>863</v>
      </c>
      <c r="P851" s="1" t="str">
        <f aca="false">_xlfn.CONCAT(B851,C851,D851,E851,F851)</f>
        <v>VARJÃO 2 - UFV 2.2215KTL-H0(MBUS-13)46001.569444444446001.569444444446001.6458333333</v>
      </c>
      <c r="Q851" s="1" t="str">
        <f aca="false">_xlfn.CONCAT(H851,I851,J851)</f>
        <v>DPRTRF</v>
      </c>
    </row>
    <row r="852" customFormat="false" ht="15" hidden="true" customHeight="false" outlineLevel="0" collapsed="false">
      <c r="B852" s="1" t="s">
        <v>867</v>
      </c>
      <c r="C852" s="1" t="s">
        <v>282</v>
      </c>
      <c r="D852" s="14" t="n">
        <v>46001.5694444444</v>
      </c>
      <c r="E852" s="14" t="n">
        <v>46001.5694444444</v>
      </c>
      <c r="F852" s="14" t="n">
        <v>46001.6458333333</v>
      </c>
      <c r="G852" s="15" t="n">
        <f aca="false">F852-E852</f>
        <v>0.0763888888888889</v>
      </c>
      <c r="H852" s="20" t="s">
        <v>313</v>
      </c>
      <c r="J852" s="20" t="s">
        <v>703</v>
      </c>
      <c r="K852" s="1" t="e">
        <f aca="false">_xlfn.xlookup(J852,REF!$D$2:$D$12,REF!$E$2:$E$12)</f>
        <v>#NAME?</v>
      </c>
      <c r="L852" s="1" t="s">
        <v>862</v>
      </c>
      <c r="M852" s="20" t="s">
        <v>288</v>
      </c>
      <c r="N852" s="20" t="s">
        <v>315</v>
      </c>
      <c r="O852" s="1" t="s">
        <v>863</v>
      </c>
      <c r="P852" s="1" t="str">
        <f aca="false">_xlfn.CONCAT(B852,C852,D852,E852,F852)</f>
        <v>VARJÃO 2 - UFV 2.2215KTL-H0(MBUS-14)46001.569444444446001.569444444446001.6458333333</v>
      </c>
      <c r="Q852" s="1" t="str">
        <f aca="false">_xlfn.CONCAT(H852,I852,J852)</f>
        <v>DPRTRF</v>
      </c>
    </row>
    <row r="853" customFormat="false" ht="15" hidden="true" customHeight="false" outlineLevel="0" collapsed="false">
      <c r="B853" s="1" t="s">
        <v>867</v>
      </c>
      <c r="C853" s="1" t="s">
        <v>630</v>
      </c>
      <c r="D853" s="14" t="n">
        <v>46001.5694444444</v>
      </c>
      <c r="E853" s="14" t="n">
        <v>46001.5694444444</v>
      </c>
      <c r="F853" s="14" t="n">
        <v>46001.6458333333</v>
      </c>
      <c r="G853" s="15" t="n">
        <f aca="false">F853-E853</f>
        <v>0.0763888888888889</v>
      </c>
      <c r="H853" s="20" t="s">
        <v>313</v>
      </c>
      <c r="J853" s="20" t="s">
        <v>703</v>
      </c>
      <c r="K853" s="1" t="e">
        <f aca="false">_xlfn.xlookup(J853,REF!$D$2:$D$12,REF!$E$2:$E$12)</f>
        <v>#NAME?</v>
      </c>
      <c r="L853" s="1" t="s">
        <v>862</v>
      </c>
      <c r="M853" s="20" t="s">
        <v>288</v>
      </c>
      <c r="N853" s="20" t="s">
        <v>315</v>
      </c>
      <c r="O853" s="1" t="s">
        <v>863</v>
      </c>
      <c r="P853" s="1" t="str">
        <f aca="false">_xlfn.CONCAT(B853,C853,D853,E853,F853)</f>
        <v>VARJÃO 2 - UFV 2.2215KTL-H0(MBUS-15)46001.569444444446001.569444444446001.6458333333</v>
      </c>
      <c r="Q853" s="1" t="str">
        <f aca="false">_xlfn.CONCAT(H853,I853,J853)</f>
        <v>DPRTRF</v>
      </c>
    </row>
    <row r="854" customFormat="false" ht="15" hidden="true" customHeight="false" outlineLevel="0" collapsed="false">
      <c r="B854" s="1" t="s">
        <v>867</v>
      </c>
      <c r="C854" s="1" t="s">
        <v>631</v>
      </c>
      <c r="D854" s="14" t="n">
        <v>46001.5694444444</v>
      </c>
      <c r="E854" s="14" t="n">
        <v>46001.5694444444</v>
      </c>
      <c r="F854" s="14" t="n">
        <v>46001.6458333333</v>
      </c>
      <c r="G854" s="15" t="n">
        <f aca="false">F854-E854</f>
        <v>0.0763888888888889</v>
      </c>
      <c r="H854" s="20" t="s">
        <v>313</v>
      </c>
      <c r="J854" s="20" t="s">
        <v>703</v>
      </c>
      <c r="K854" s="1" t="e">
        <f aca="false">_xlfn.xlookup(J854,REF!$D$2:$D$12,REF!$E$2:$E$12)</f>
        <v>#NAME?</v>
      </c>
      <c r="L854" s="1" t="s">
        <v>862</v>
      </c>
      <c r="M854" s="20" t="s">
        <v>288</v>
      </c>
      <c r="N854" s="20" t="s">
        <v>315</v>
      </c>
      <c r="O854" s="1" t="s">
        <v>863</v>
      </c>
      <c r="P854" s="1" t="str">
        <f aca="false">_xlfn.CONCAT(B854,C854,D854,E854,F854)</f>
        <v>VARJÃO 2 - UFV 2.2215KTL-H0(MBUS-16)46001.569444444446001.569444444446001.6458333333</v>
      </c>
      <c r="Q854" s="1" t="str">
        <f aca="false">_xlfn.CONCAT(H854,I854,J854)</f>
        <v>DPRTRF</v>
      </c>
    </row>
    <row r="855" customFormat="false" ht="15" hidden="true" customHeight="false" outlineLevel="0" collapsed="false">
      <c r="B855" s="1" t="s">
        <v>867</v>
      </c>
      <c r="C855" s="1" t="s">
        <v>627</v>
      </c>
      <c r="D855" s="14" t="n">
        <v>46001.5694444444</v>
      </c>
      <c r="E855" s="14" t="n">
        <v>46001.5694444444</v>
      </c>
      <c r="F855" s="14" t="n">
        <v>46001.6458333333</v>
      </c>
      <c r="G855" s="15" t="n">
        <f aca="false">F855-E855</f>
        <v>0.0763888888888889</v>
      </c>
      <c r="H855" s="20" t="s">
        <v>313</v>
      </c>
      <c r="J855" s="20" t="s">
        <v>703</v>
      </c>
      <c r="K855" s="1" t="e">
        <f aca="false">_xlfn.xlookup(J855,REF!$D$2:$D$12,REF!$E$2:$E$12)</f>
        <v>#NAME?</v>
      </c>
      <c r="L855" s="1" t="s">
        <v>862</v>
      </c>
      <c r="M855" s="20" t="s">
        <v>288</v>
      </c>
      <c r="N855" s="20" t="s">
        <v>315</v>
      </c>
      <c r="O855" s="1" t="s">
        <v>863</v>
      </c>
      <c r="P855" s="1" t="str">
        <f aca="false">_xlfn.CONCAT(B855,C855,D855,E855,F855)</f>
        <v>VARJÃO 2 - UFV 2.2215KTL-H0(MBUS-12)46001.569444444446001.569444444446001.6458333333</v>
      </c>
      <c r="Q855" s="1" t="str">
        <f aca="false">_xlfn.CONCAT(H855,I855,J855)</f>
        <v>DPRTRF</v>
      </c>
    </row>
    <row r="856" customFormat="false" ht="15" hidden="true" customHeight="false" outlineLevel="0" collapsed="false">
      <c r="B856" s="1" t="s">
        <v>868</v>
      </c>
      <c r="C856" s="1" t="s">
        <v>634</v>
      </c>
      <c r="D856" s="14" t="n">
        <v>46001.3416666667</v>
      </c>
      <c r="E856" s="14" t="n">
        <v>46001.3416666667</v>
      </c>
      <c r="F856" s="14" t="n">
        <v>46001.4131944444</v>
      </c>
      <c r="G856" s="15" t="n">
        <f aca="false">F856-E856</f>
        <v>0.0715277777777778</v>
      </c>
      <c r="H856" s="20" t="s">
        <v>313</v>
      </c>
      <c r="J856" s="20" t="s">
        <v>703</v>
      </c>
      <c r="K856" s="1" t="e">
        <f aca="false">_xlfn.xlookup(J856,REF!$D$2:$D$12,REF!$E$2:$E$12)</f>
        <v>#NAME?</v>
      </c>
      <c r="L856" s="1" t="s">
        <v>862</v>
      </c>
      <c r="M856" s="20" t="s">
        <v>288</v>
      </c>
      <c r="N856" s="20" t="s">
        <v>315</v>
      </c>
      <c r="O856" s="1" t="s">
        <v>863</v>
      </c>
      <c r="P856" s="1" t="str">
        <f aca="false">_xlfn.CONCAT(B856,C856,D856,E856,F856)</f>
        <v>VARJÃO 2 - UFV 2.3100KTL-H1(MBUS-1)46001.341666666746001.341666666746001.4131944444</v>
      </c>
      <c r="Q856" s="1" t="str">
        <f aca="false">_xlfn.CONCAT(H856,I856,J856)</f>
        <v>DPRTRF</v>
      </c>
    </row>
    <row r="857" customFormat="false" ht="15" hidden="true" customHeight="false" outlineLevel="0" collapsed="false">
      <c r="B857" s="1" t="s">
        <v>868</v>
      </c>
      <c r="C857" s="1" t="s">
        <v>629</v>
      </c>
      <c r="D857" s="14" t="n">
        <v>46001.3416666667</v>
      </c>
      <c r="E857" s="14" t="n">
        <v>46001.3416666667</v>
      </c>
      <c r="F857" s="14" t="n">
        <v>46001.4131944444</v>
      </c>
      <c r="G857" s="15" t="n">
        <f aca="false">F857-E857</f>
        <v>0.0715277777777778</v>
      </c>
      <c r="H857" s="20" t="s">
        <v>313</v>
      </c>
      <c r="J857" s="20" t="s">
        <v>703</v>
      </c>
      <c r="K857" s="1" t="e">
        <f aca="false">_xlfn.xlookup(J857,REF!$D$2:$D$12,REF!$E$2:$E$12)</f>
        <v>#NAME?</v>
      </c>
      <c r="L857" s="1" t="s">
        <v>862</v>
      </c>
      <c r="M857" s="20" t="s">
        <v>288</v>
      </c>
      <c r="N857" s="20" t="s">
        <v>315</v>
      </c>
      <c r="O857" s="1" t="s">
        <v>863</v>
      </c>
      <c r="P857" s="1" t="str">
        <f aca="false">_xlfn.CONCAT(B857,C857,D857,E857,F857)</f>
        <v>VARJÃO 2 - UFV 2.3215KTL-H0(MBUS-13)46001.341666666746001.341666666746001.4131944444</v>
      </c>
      <c r="Q857" s="1" t="str">
        <f aca="false">_xlfn.CONCAT(H857,I857,J857)</f>
        <v>DPRTRF</v>
      </c>
    </row>
    <row r="858" customFormat="false" ht="15" hidden="true" customHeight="false" outlineLevel="0" collapsed="false">
      <c r="B858" s="1" t="s">
        <v>868</v>
      </c>
      <c r="C858" s="1" t="s">
        <v>627</v>
      </c>
      <c r="D858" s="14" t="n">
        <v>46001.3416666667</v>
      </c>
      <c r="E858" s="14" t="n">
        <v>46001.3416666667</v>
      </c>
      <c r="F858" s="14" t="n">
        <v>46001.4131944444</v>
      </c>
      <c r="G858" s="15" t="n">
        <f aca="false">F858-E858</f>
        <v>0.0715277777777778</v>
      </c>
      <c r="H858" s="20" t="s">
        <v>313</v>
      </c>
      <c r="J858" s="20" t="s">
        <v>703</v>
      </c>
      <c r="K858" s="1" t="e">
        <f aca="false">_xlfn.xlookup(J858,REF!$D$2:$D$12,REF!$E$2:$E$12)</f>
        <v>#NAME?</v>
      </c>
      <c r="L858" s="1" t="s">
        <v>862</v>
      </c>
      <c r="M858" s="20" t="s">
        <v>288</v>
      </c>
      <c r="N858" s="20" t="s">
        <v>315</v>
      </c>
      <c r="O858" s="1" t="s">
        <v>863</v>
      </c>
      <c r="P858" s="1" t="str">
        <f aca="false">_xlfn.CONCAT(B858,C858,D858,E858,F858)</f>
        <v>VARJÃO 2 - UFV 2.3215KTL-H0(MBUS-12)46001.341666666746001.341666666746001.4131944444</v>
      </c>
      <c r="Q858" s="1" t="str">
        <f aca="false">_xlfn.CONCAT(H858,I858,J858)</f>
        <v>DPRTRF</v>
      </c>
    </row>
    <row r="859" customFormat="false" ht="15" hidden="true" customHeight="false" outlineLevel="0" collapsed="false">
      <c r="B859" s="1" t="s">
        <v>869</v>
      </c>
      <c r="C859" s="1" t="s">
        <v>247</v>
      </c>
      <c r="D859" s="14" t="n">
        <v>46357.6069444444</v>
      </c>
      <c r="E859" s="14" t="n">
        <v>46357.6069444444</v>
      </c>
      <c r="F859" s="14" t="n">
        <v>46357.6506944444</v>
      </c>
      <c r="G859" s="15" t="n">
        <f aca="false">F859-E859</f>
        <v>0.04375</v>
      </c>
      <c r="H859" s="20" t="s">
        <v>313</v>
      </c>
      <c r="J859" s="20" t="s">
        <v>703</v>
      </c>
      <c r="K859" s="1" t="e">
        <f aca="false">_xlfn.xlookup(J859,REF!$D$2:$D$12,REF!$E$2:$E$12)</f>
        <v>#NAME?</v>
      </c>
      <c r="L859" s="1" t="s">
        <v>870</v>
      </c>
      <c r="M859" s="20" t="s">
        <v>288</v>
      </c>
      <c r="N859" s="20" t="s">
        <v>315</v>
      </c>
      <c r="O859" s="1" t="s">
        <v>871</v>
      </c>
      <c r="P859" s="1" t="str">
        <f aca="false">_xlfn.CONCAT(B859,C859,D859,E859,F859)</f>
        <v>UFV LENÇOIS PAULISTAInverter(MBUS-13)46357.606944444446357.606944444446357.6506944444</v>
      </c>
      <c r="Q859" s="1" t="str">
        <f aca="false">_xlfn.CONCAT(H859,I859,J859)</f>
        <v>DPRTRF</v>
      </c>
    </row>
    <row r="860" customFormat="false" ht="15" hidden="true" customHeight="false" outlineLevel="0" collapsed="false">
      <c r="B860" s="1" t="s">
        <v>869</v>
      </c>
      <c r="C860" s="1" t="s">
        <v>280</v>
      </c>
      <c r="D860" s="14" t="n">
        <v>46357.6069444444</v>
      </c>
      <c r="E860" s="14" t="n">
        <v>46357.6069444444</v>
      </c>
      <c r="F860" s="14" t="n">
        <v>46357.6506944444</v>
      </c>
      <c r="G860" s="15" t="n">
        <f aca="false">F860-E860</f>
        <v>0.04375</v>
      </c>
      <c r="H860" s="20" t="s">
        <v>313</v>
      </c>
      <c r="J860" s="20" t="s">
        <v>703</v>
      </c>
      <c r="K860" s="1" t="e">
        <f aca="false">_xlfn.xlookup(J860,REF!$D$2:$D$12,REF!$E$2:$E$12)</f>
        <v>#NAME?</v>
      </c>
      <c r="L860" s="1" t="s">
        <v>870</v>
      </c>
      <c r="M860" s="20" t="s">
        <v>288</v>
      </c>
      <c r="N860" s="20" t="s">
        <v>315</v>
      </c>
      <c r="O860" s="1" t="s">
        <v>871</v>
      </c>
      <c r="P860" s="1" t="str">
        <f aca="false">_xlfn.CONCAT(B860,C860,D860,E860,F860)</f>
        <v>UFV LENÇOIS PAULISTAInverter(MBUS-14)46357.606944444446357.606944444446357.6506944444</v>
      </c>
      <c r="Q860" s="1" t="str">
        <f aca="false">_xlfn.CONCAT(H860,I860,J860)</f>
        <v>DPRTRF</v>
      </c>
    </row>
    <row r="861" customFormat="false" ht="15" hidden="true" customHeight="false" outlineLevel="0" collapsed="false">
      <c r="B861" s="1" t="s">
        <v>869</v>
      </c>
      <c r="C861" s="1" t="s">
        <v>277</v>
      </c>
      <c r="D861" s="14" t="n">
        <v>46357.6069444444</v>
      </c>
      <c r="E861" s="14" t="n">
        <v>46357.6069444444</v>
      </c>
      <c r="F861" s="14" t="n">
        <v>46357.6506944444</v>
      </c>
      <c r="G861" s="15" t="n">
        <f aca="false">F861-E861</f>
        <v>0.04375</v>
      </c>
      <c r="H861" s="20" t="s">
        <v>313</v>
      </c>
      <c r="J861" s="20" t="s">
        <v>703</v>
      </c>
      <c r="K861" s="1" t="e">
        <f aca="false">_xlfn.xlookup(J861,REF!$D$2:$D$12,REF!$E$2:$E$12)</f>
        <v>#NAME?</v>
      </c>
      <c r="L861" s="1" t="s">
        <v>870</v>
      </c>
      <c r="M861" s="20" t="s">
        <v>288</v>
      </c>
      <c r="N861" s="20" t="s">
        <v>315</v>
      </c>
      <c r="O861" s="1" t="s">
        <v>871</v>
      </c>
      <c r="P861" s="1" t="str">
        <f aca="false">_xlfn.CONCAT(B861,C861,D861,E861,F861)</f>
        <v>UFV LENÇOIS PAULISTAInverter(MBUS-12)46357.606944444446357.606944444446357.6506944444</v>
      </c>
      <c r="Q861" s="1" t="str">
        <f aca="false">_xlfn.CONCAT(H861,I861,J861)</f>
        <v>DPRTRF</v>
      </c>
    </row>
    <row r="862" customFormat="false" ht="15" hidden="true" customHeight="false" outlineLevel="0" collapsed="false">
      <c r="B862" s="1" t="s">
        <v>869</v>
      </c>
      <c r="C862" s="1" t="s">
        <v>279</v>
      </c>
      <c r="D862" s="14" t="n">
        <v>46357.6069444444</v>
      </c>
      <c r="E862" s="14" t="n">
        <v>46357.6069444444</v>
      </c>
      <c r="F862" s="14" t="n">
        <v>46357.6506944444</v>
      </c>
      <c r="G862" s="15" t="n">
        <f aca="false">F862-E862</f>
        <v>0.04375</v>
      </c>
      <c r="H862" s="20" t="s">
        <v>313</v>
      </c>
      <c r="J862" s="20" t="s">
        <v>703</v>
      </c>
      <c r="K862" s="1" t="e">
        <f aca="false">_xlfn.xlookup(J862,REF!$D$2:$D$12,REF!$E$2:$E$12)</f>
        <v>#NAME?</v>
      </c>
      <c r="L862" s="1" t="s">
        <v>870</v>
      </c>
      <c r="M862" s="20" t="s">
        <v>288</v>
      </c>
      <c r="N862" s="20" t="s">
        <v>315</v>
      </c>
      <c r="O862" s="1" t="s">
        <v>871</v>
      </c>
      <c r="P862" s="1" t="str">
        <f aca="false">_xlfn.CONCAT(B862,C862,D862,E862,F862)</f>
        <v>UFV LENÇOIS PAULISTAInverter(MBUS-15)46357.606944444446357.606944444446357.6506944444</v>
      </c>
      <c r="Q862" s="1" t="str">
        <f aca="false">_xlfn.CONCAT(H862,I862,J862)</f>
        <v>DPRTRF</v>
      </c>
    </row>
    <row r="863" customFormat="false" ht="15" hidden="true" customHeight="false" outlineLevel="0" collapsed="false">
      <c r="B863" s="1" t="s">
        <v>872</v>
      </c>
      <c r="C863" s="1" t="s">
        <v>280</v>
      </c>
      <c r="D863" s="14" t="n">
        <v>46357.125</v>
      </c>
      <c r="E863" s="14" t="n">
        <v>46357.125</v>
      </c>
      <c r="F863" s="14" t="n">
        <v>46357.3020833333</v>
      </c>
      <c r="G863" s="15" t="n">
        <f aca="false">F863-E863</f>
        <v>0.177083333333333</v>
      </c>
      <c r="H863" s="20" t="s">
        <v>248</v>
      </c>
      <c r="J863" s="20" t="s">
        <v>256</v>
      </c>
      <c r="K863" s="1" t="e">
        <f aca="false">_xlfn.xlookup(J863,REF!$D$2:$D$12,REF!$E$2:$E$12)</f>
        <v>#NAME?</v>
      </c>
      <c r="L863" s="1" t="s">
        <v>873</v>
      </c>
      <c r="M863" s="20" t="s">
        <v>258</v>
      </c>
      <c r="N863" s="20" t="s">
        <v>259</v>
      </c>
      <c r="O863" s="1" t="s">
        <v>736</v>
      </c>
      <c r="P863" s="1" t="str">
        <f aca="false">_xlfn.CONCAT(B863,C863,D863,E863,F863)</f>
        <v>Clareira de Araçu - UFV 1Inverter(MBUS-14)46357.12546357.12546357.3020833333</v>
      </c>
      <c r="Q863" s="1" t="str">
        <f aca="false">_xlfn.CONCAT(H863,I863,J863)</f>
        <v>DAURDE</v>
      </c>
    </row>
    <row r="864" customFormat="false" ht="15" hidden="true" customHeight="false" outlineLevel="0" collapsed="false">
      <c r="B864" s="1" t="s">
        <v>872</v>
      </c>
      <c r="C864" s="1" t="s">
        <v>279</v>
      </c>
      <c r="D864" s="14" t="n">
        <v>46357.125</v>
      </c>
      <c r="E864" s="14" t="n">
        <v>46357.125</v>
      </c>
      <c r="F864" s="14" t="n">
        <v>46357.3020833333</v>
      </c>
      <c r="G864" s="15" t="n">
        <f aca="false">F864-E864</f>
        <v>0.177083333333333</v>
      </c>
      <c r="H864" s="20" t="s">
        <v>248</v>
      </c>
      <c r="J864" s="20" t="s">
        <v>256</v>
      </c>
      <c r="K864" s="1" t="e">
        <f aca="false">_xlfn.xlookup(J864,REF!$D$2:$D$12,REF!$E$2:$E$12)</f>
        <v>#NAME?</v>
      </c>
      <c r="L864" s="1" t="s">
        <v>873</v>
      </c>
      <c r="M864" s="20" t="s">
        <v>258</v>
      </c>
      <c r="N864" s="20" t="s">
        <v>259</v>
      </c>
      <c r="O864" s="1" t="s">
        <v>736</v>
      </c>
      <c r="P864" s="1" t="str">
        <f aca="false">_xlfn.CONCAT(B864,C864,D864,E864,F864)</f>
        <v>Clareira de Araçu - UFV 1Inverter(MBUS-15)46357.12546357.12546357.3020833333</v>
      </c>
      <c r="Q864" s="1" t="str">
        <f aca="false">_xlfn.CONCAT(H864,I864,J864)</f>
        <v>DAURDE</v>
      </c>
    </row>
    <row r="865" customFormat="false" ht="15" hidden="true" customHeight="false" outlineLevel="0" collapsed="false">
      <c r="B865" s="1" t="s">
        <v>872</v>
      </c>
      <c r="C865" s="1" t="s">
        <v>690</v>
      </c>
      <c r="D865" s="14" t="n">
        <v>46357.125</v>
      </c>
      <c r="E865" s="14" t="n">
        <v>46357.125</v>
      </c>
      <c r="F865" s="14" t="n">
        <v>46357.3020833333</v>
      </c>
      <c r="G865" s="15" t="n">
        <f aca="false">F865-E865</f>
        <v>0.177083333333333</v>
      </c>
      <c r="H865" s="20" t="s">
        <v>248</v>
      </c>
      <c r="J865" s="20" t="s">
        <v>256</v>
      </c>
      <c r="K865" s="1" t="e">
        <f aca="false">_xlfn.xlookup(J865,REF!$D$2:$D$12,REF!$E$2:$E$12)</f>
        <v>#NAME?</v>
      </c>
      <c r="L865" s="1" t="s">
        <v>873</v>
      </c>
      <c r="M865" s="20" t="s">
        <v>258</v>
      </c>
      <c r="N865" s="20" t="s">
        <v>259</v>
      </c>
      <c r="O865" s="1" t="s">
        <v>736</v>
      </c>
      <c r="P865" s="1" t="str">
        <f aca="false">_xlfn.CONCAT(B865,C865,D865,E865,F865)</f>
        <v>Clareira de Araçu - UFV 1Inverter(MBUS-16)46357.12546357.12546357.3020833333</v>
      </c>
      <c r="Q865" s="1" t="str">
        <f aca="false">_xlfn.CONCAT(H865,I865,J865)</f>
        <v>DAURDE</v>
      </c>
    </row>
    <row r="866" customFormat="false" ht="15" hidden="true" customHeight="false" outlineLevel="0" collapsed="false">
      <c r="B866" s="1" t="s">
        <v>872</v>
      </c>
      <c r="C866" s="1" t="s">
        <v>277</v>
      </c>
      <c r="D866" s="14" t="n">
        <v>46357.125</v>
      </c>
      <c r="E866" s="14" t="n">
        <v>46357.125</v>
      </c>
      <c r="F866" s="14" t="n">
        <v>46357.3020833333</v>
      </c>
      <c r="G866" s="15" t="n">
        <f aca="false">F866-E866</f>
        <v>0.177083333333333</v>
      </c>
      <c r="H866" s="20" t="s">
        <v>248</v>
      </c>
      <c r="J866" s="20" t="s">
        <v>256</v>
      </c>
      <c r="K866" s="1" t="e">
        <f aca="false">_xlfn.xlookup(J866,REF!$D$2:$D$12,REF!$E$2:$E$12)</f>
        <v>#NAME?</v>
      </c>
      <c r="L866" s="1" t="s">
        <v>873</v>
      </c>
      <c r="M866" s="20" t="s">
        <v>258</v>
      </c>
      <c r="N866" s="20" t="s">
        <v>259</v>
      </c>
      <c r="O866" s="1" t="s">
        <v>736</v>
      </c>
      <c r="P866" s="1" t="str">
        <f aca="false">_xlfn.CONCAT(B866,C866,D866,E866,F866)</f>
        <v>Clareira de Araçu - UFV 1Inverter(MBUS-12)46357.12546357.12546357.3020833333</v>
      </c>
      <c r="Q866" s="1" t="str">
        <f aca="false">_xlfn.CONCAT(H866,I866,J866)</f>
        <v>DAURDE</v>
      </c>
    </row>
    <row r="867" customFormat="false" ht="15" hidden="true" customHeight="false" outlineLevel="0" collapsed="false">
      <c r="B867" s="1" t="s">
        <v>872</v>
      </c>
      <c r="C867" s="1" t="s">
        <v>247</v>
      </c>
      <c r="D867" s="14" t="n">
        <v>46357.125</v>
      </c>
      <c r="E867" s="14" t="n">
        <v>46357.125</v>
      </c>
      <c r="F867" s="14" t="n">
        <v>46357.3020833333</v>
      </c>
      <c r="G867" s="15" t="n">
        <f aca="false">F867-E867</f>
        <v>0.177083333333333</v>
      </c>
      <c r="H867" s="20" t="s">
        <v>248</v>
      </c>
      <c r="J867" s="20" t="s">
        <v>256</v>
      </c>
      <c r="K867" s="1" t="e">
        <f aca="false">_xlfn.xlookup(J867,REF!$D$2:$D$12,REF!$E$2:$E$12)</f>
        <v>#NAME?</v>
      </c>
      <c r="L867" s="1" t="s">
        <v>873</v>
      </c>
      <c r="M867" s="20" t="s">
        <v>258</v>
      </c>
      <c r="N867" s="20" t="s">
        <v>259</v>
      </c>
      <c r="O867" s="1" t="s">
        <v>736</v>
      </c>
      <c r="P867" s="1" t="str">
        <f aca="false">_xlfn.CONCAT(B867,C867,D867,E867,F867)</f>
        <v>Clareira de Araçu - UFV 1Inverter(MBUS-13)46357.12546357.12546357.3020833333</v>
      </c>
      <c r="Q867" s="1" t="str">
        <f aca="false">_xlfn.CONCAT(H867,I867,J867)</f>
        <v>DAURDE</v>
      </c>
    </row>
    <row r="868" customFormat="false" ht="15" hidden="true" customHeight="false" outlineLevel="0" collapsed="false">
      <c r="B868" s="1" t="s">
        <v>874</v>
      </c>
      <c r="C868" s="1" t="s">
        <v>396</v>
      </c>
      <c r="D868" s="14" t="n">
        <v>46357.125</v>
      </c>
      <c r="E868" s="14" t="n">
        <v>46357.125</v>
      </c>
      <c r="F868" s="14" t="n">
        <v>46357.3020833333</v>
      </c>
      <c r="G868" s="15" t="n">
        <f aca="false">F868-E868</f>
        <v>0.177083333333333</v>
      </c>
      <c r="H868" s="20" t="s">
        <v>248</v>
      </c>
      <c r="J868" s="20" t="s">
        <v>256</v>
      </c>
      <c r="K868" s="1" t="e">
        <f aca="false">_xlfn.xlookup(J868,REF!$D$2:$D$12,REF!$E$2:$E$12)</f>
        <v>#NAME?</v>
      </c>
      <c r="L868" s="1" t="s">
        <v>873</v>
      </c>
      <c r="M868" s="20" t="s">
        <v>258</v>
      </c>
      <c r="N868" s="20" t="s">
        <v>259</v>
      </c>
      <c r="O868" s="1" t="s">
        <v>736</v>
      </c>
      <c r="P868" s="1" t="str">
        <f aca="false">_xlfn.CONCAT(B868,C868,D868,E868,F868)</f>
        <v>Clareira de Araçu - UFV 2215KTL-H3(MBUS-12)46357.12546357.12546357.3020833333</v>
      </c>
      <c r="Q868" s="1" t="str">
        <f aca="false">_xlfn.CONCAT(H868,I868,J868)</f>
        <v>DAURDE</v>
      </c>
    </row>
    <row r="869" customFormat="false" ht="15" hidden="true" customHeight="false" outlineLevel="0" collapsed="false">
      <c r="B869" s="1" t="s">
        <v>874</v>
      </c>
      <c r="C869" s="1" t="s">
        <v>734</v>
      </c>
      <c r="D869" s="14" t="n">
        <v>46357.125</v>
      </c>
      <c r="E869" s="14" t="n">
        <v>46357.125</v>
      </c>
      <c r="F869" s="14" t="n">
        <v>46357.3020833333</v>
      </c>
      <c r="G869" s="15" t="n">
        <f aca="false">F869-E869</f>
        <v>0.177083333333333</v>
      </c>
      <c r="H869" s="20" t="s">
        <v>248</v>
      </c>
      <c r="J869" s="20" t="s">
        <v>256</v>
      </c>
      <c r="K869" s="1" t="e">
        <f aca="false">_xlfn.xlookup(J869,REF!$D$2:$D$12,REF!$E$2:$E$12)</f>
        <v>#NAME?</v>
      </c>
      <c r="L869" s="1" t="s">
        <v>873</v>
      </c>
      <c r="M869" s="20" t="s">
        <v>258</v>
      </c>
      <c r="N869" s="20" t="s">
        <v>259</v>
      </c>
      <c r="O869" s="1" t="s">
        <v>736</v>
      </c>
      <c r="P869" s="1" t="str">
        <f aca="false">_xlfn.CONCAT(B869,C869,D869,E869,F869)</f>
        <v>Clareira de Araçu - UFV 2100KTL-H1(MBUS-14)46357.12546357.12546357.3020833333</v>
      </c>
      <c r="Q869" s="1" t="str">
        <f aca="false">_xlfn.CONCAT(H869,I869,J869)</f>
        <v>DAURDE</v>
      </c>
    </row>
    <row r="870" customFormat="false" ht="15" hidden="true" customHeight="false" outlineLevel="0" collapsed="false">
      <c r="B870" s="1" t="s">
        <v>874</v>
      </c>
      <c r="C870" s="1" t="s">
        <v>397</v>
      </c>
      <c r="D870" s="14" t="n">
        <v>46357.125</v>
      </c>
      <c r="E870" s="14" t="n">
        <v>46357.125</v>
      </c>
      <c r="F870" s="14" t="n">
        <v>46357.3020833333</v>
      </c>
      <c r="G870" s="15" t="n">
        <f aca="false">F870-E870</f>
        <v>0.177083333333333</v>
      </c>
      <c r="H870" s="20" t="s">
        <v>248</v>
      </c>
      <c r="J870" s="20" t="s">
        <v>256</v>
      </c>
      <c r="K870" s="1" t="e">
        <f aca="false">_xlfn.xlookup(J870,REF!$D$2:$D$12,REF!$E$2:$E$12)</f>
        <v>#NAME?</v>
      </c>
      <c r="L870" s="1" t="s">
        <v>873</v>
      </c>
      <c r="M870" s="20" t="s">
        <v>258</v>
      </c>
      <c r="N870" s="20" t="s">
        <v>259</v>
      </c>
      <c r="O870" s="1" t="s">
        <v>736</v>
      </c>
      <c r="P870" s="1" t="str">
        <f aca="false">_xlfn.CONCAT(B870,C870,D870,E870,F870)</f>
        <v>Clareira de Araçu - UFV 2215KTL-H3(MBUS-13)46357.12546357.12546357.3020833333</v>
      </c>
      <c r="Q870" s="1" t="str">
        <f aca="false">_xlfn.CONCAT(H870,I870,J870)</f>
        <v>DAURDE</v>
      </c>
    </row>
    <row r="871" s="42" customFormat="true" ht="15" hidden="true" customHeight="false" outlineLevel="0" collapsed="false">
      <c r="A871" s="38"/>
      <c r="B871" s="39" t="s">
        <v>866</v>
      </c>
      <c r="C871" s="39" t="s">
        <v>627</v>
      </c>
      <c r="D871" s="31" t="n">
        <v>46365.3333333333</v>
      </c>
      <c r="E871" s="31" t="n">
        <v>46365.3333333333</v>
      </c>
      <c r="F871" s="31"/>
      <c r="G871" s="40" t="n">
        <f aca="false">F871-E871</f>
        <v>-46365.3333333333</v>
      </c>
      <c r="H871" s="39" t="s">
        <v>313</v>
      </c>
      <c r="I871" s="41"/>
      <c r="J871" s="39" t="s">
        <v>703</v>
      </c>
      <c r="K871" s="39" t="e">
        <f aca="false">_xlfn.xlookup(J871,REF!$D$2:$D$12,REF!$E$2:$E$12)</f>
        <v>#NAME?</v>
      </c>
      <c r="L871" s="39" t="s">
        <v>862</v>
      </c>
      <c r="M871" s="39" t="s">
        <v>288</v>
      </c>
      <c r="N871" s="39" t="s">
        <v>315</v>
      </c>
      <c r="O871" s="39" t="s">
        <v>875</v>
      </c>
      <c r="P871" s="1" t="str">
        <f aca="false">_xlfn.CONCAT(B871,C871,D871,E871,F871)</f>
        <v>VARJÃO 2 - UFV 2.1215KTL-H0(MBUS-12)46365.333333333346365.3333333333</v>
      </c>
      <c r="Q871" s="1" t="str">
        <f aca="false">_xlfn.CONCAT(H871,I871,J871)</f>
        <v>DPRTRF</v>
      </c>
    </row>
    <row r="872" s="42" customFormat="true" ht="15" hidden="true" customHeight="false" outlineLevel="0" collapsed="false">
      <c r="A872" s="38"/>
      <c r="B872" s="39" t="s">
        <v>866</v>
      </c>
      <c r="C872" s="39" t="s">
        <v>629</v>
      </c>
      <c r="D872" s="31" t="n">
        <v>46365.3333333333</v>
      </c>
      <c r="E872" s="31" t="n">
        <v>46365.3333333333</v>
      </c>
      <c r="F872" s="31"/>
      <c r="G872" s="40" t="n">
        <f aca="false">F872-E872</f>
        <v>-46365.3333333333</v>
      </c>
      <c r="H872" s="39" t="s">
        <v>313</v>
      </c>
      <c r="I872" s="41"/>
      <c r="J872" s="39" t="s">
        <v>703</v>
      </c>
      <c r="K872" s="39" t="e">
        <f aca="false">_xlfn.xlookup(J872,REF!$D$2:$D$12,REF!$E$2:$E$12)</f>
        <v>#NAME?</v>
      </c>
      <c r="L872" s="39" t="s">
        <v>862</v>
      </c>
      <c r="M872" s="39" t="s">
        <v>288</v>
      </c>
      <c r="N872" s="39" t="s">
        <v>315</v>
      </c>
      <c r="O872" s="39" t="s">
        <v>875</v>
      </c>
      <c r="P872" s="1" t="str">
        <f aca="false">_xlfn.CONCAT(B872,C872,D872,E872,F872)</f>
        <v>VARJÃO 2 - UFV 2.1215KTL-H0(MBUS-13)46365.333333333346365.3333333333</v>
      </c>
      <c r="Q872" s="1" t="str">
        <f aca="false">_xlfn.CONCAT(H872,I872,J872)</f>
        <v>DPRTRF</v>
      </c>
    </row>
    <row r="873" s="42" customFormat="true" ht="15" hidden="true" customHeight="false" outlineLevel="0" collapsed="false">
      <c r="A873" s="38"/>
      <c r="B873" s="39" t="s">
        <v>866</v>
      </c>
      <c r="C873" s="39" t="s">
        <v>282</v>
      </c>
      <c r="D873" s="31" t="n">
        <v>46365.3333333333</v>
      </c>
      <c r="E873" s="31" t="n">
        <v>46365.3333333333</v>
      </c>
      <c r="F873" s="31"/>
      <c r="G873" s="40" t="n">
        <f aca="false">F873-E873</f>
        <v>-46365.3333333333</v>
      </c>
      <c r="H873" s="39" t="s">
        <v>313</v>
      </c>
      <c r="I873" s="41"/>
      <c r="J873" s="39" t="s">
        <v>703</v>
      </c>
      <c r="K873" s="39" t="e">
        <f aca="false">_xlfn.xlookup(J873,REF!$D$2:$D$12,REF!$E$2:$E$12)</f>
        <v>#NAME?</v>
      </c>
      <c r="L873" s="39" t="s">
        <v>862</v>
      </c>
      <c r="M873" s="39" t="s">
        <v>288</v>
      </c>
      <c r="N873" s="39" t="s">
        <v>315</v>
      </c>
      <c r="O873" s="39" t="s">
        <v>875</v>
      </c>
      <c r="P873" s="1" t="str">
        <f aca="false">_xlfn.CONCAT(B873,C873,D873,E873,F873)</f>
        <v>VARJÃO 2 - UFV 2.1215KTL-H0(MBUS-14)46365.333333333346365.3333333333</v>
      </c>
      <c r="Q873" s="1" t="str">
        <f aca="false">_xlfn.CONCAT(H873,I873,J873)</f>
        <v>DPRTRF</v>
      </c>
    </row>
    <row r="874" s="42" customFormat="true" ht="15" hidden="true" customHeight="false" outlineLevel="0" collapsed="false">
      <c r="A874" s="38"/>
      <c r="B874" s="39" t="s">
        <v>866</v>
      </c>
      <c r="C874" s="39" t="s">
        <v>630</v>
      </c>
      <c r="D874" s="31" t="n">
        <v>46365.3333333333</v>
      </c>
      <c r="E874" s="31" t="n">
        <v>46365.3333333333</v>
      </c>
      <c r="F874" s="31"/>
      <c r="G874" s="40" t="n">
        <f aca="false">F874-E874</f>
        <v>-46365.3333333333</v>
      </c>
      <c r="H874" s="39" t="s">
        <v>313</v>
      </c>
      <c r="I874" s="41"/>
      <c r="J874" s="39" t="s">
        <v>703</v>
      </c>
      <c r="K874" s="39" t="e">
        <f aca="false">_xlfn.xlookup(J874,REF!$D$2:$D$12,REF!$E$2:$E$12)</f>
        <v>#NAME?</v>
      </c>
      <c r="L874" s="39" t="s">
        <v>862</v>
      </c>
      <c r="M874" s="39" t="s">
        <v>288</v>
      </c>
      <c r="N874" s="39" t="s">
        <v>315</v>
      </c>
      <c r="O874" s="39" t="s">
        <v>875</v>
      </c>
      <c r="P874" s="1" t="str">
        <f aca="false">_xlfn.CONCAT(B874,C874,D874,E874,F874)</f>
        <v>VARJÃO 2 - UFV 2.1215KTL-H0(MBUS-15)46365.333333333346365.3333333333</v>
      </c>
      <c r="Q874" s="1" t="str">
        <f aca="false">_xlfn.CONCAT(H874,I874,J874)</f>
        <v>DPRTRF</v>
      </c>
    </row>
    <row r="875" s="42" customFormat="true" ht="15" hidden="true" customHeight="false" outlineLevel="0" collapsed="false">
      <c r="A875" s="38"/>
      <c r="B875" s="39" t="s">
        <v>866</v>
      </c>
      <c r="C875" s="39" t="s">
        <v>631</v>
      </c>
      <c r="D875" s="31" t="n">
        <v>46365.3333333333</v>
      </c>
      <c r="E875" s="31" t="n">
        <v>46365.3333333333</v>
      </c>
      <c r="F875" s="31"/>
      <c r="G875" s="40" t="n">
        <f aca="false">F875-E875</f>
        <v>-46365.3333333333</v>
      </c>
      <c r="H875" s="39" t="s">
        <v>313</v>
      </c>
      <c r="I875" s="41"/>
      <c r="J875" s="39" t="s">
        <v>703</v>
      </c>
      <c r="K875" s="39" t="e">
        <f aca="false">_xlfn.xlookup(J875,REF!$D$2:$D$12,REF!$E$2:$E$12)</f>
        <v>#NAME?</v>
      </c>
      <c r="L875" s="39" t="s">
        <v>862</v>
      </c>
      <c r="M875" s="39" t="s">
        <v>288</v>
      </c>
      <c r="N875" s="39" t="s">
        <v>315</v>
      </c>
      <c r="O875" s="39" t="s">
        <v>875</v>
      </c>
      <c r="P875" s="1" t="str">
        <f aca="false">_xlfn.CONCAT(B875,C875,D875,E875,F875)</f>
        <v>VARJÃO 2 - UFV 2.1215KTL-H0(MBUS-16)46365.333333333346365.3333333333</v>
      </c>
      <c r="Q875" s="1" t="str">
        <f aca="false">_xlfn.CONCAT(H875,I875,J875)</f>
        <v>DPRTRF</v>
      </c>
    </row>
    <row r="876" customFormat="false" ht="15" hidden="true" customHeight="false" outlineLevel="0" collapsed="false">
      <c r="B876" s="1" t="s">
        <v>697</v>
      </c>
      <c r="C876" s="1" t="s">
        <v>247</v>
      </c>
      <c r="D876" s="14" t="n">
        <v>46375.4166666667</v>
      </c>
      <c r="E876" s="14" t="n">
        <v>46375.4166666667</v>
      </c>
      <c r="F876" s="14" t="n">
        <v>46375.4409722222</v>
      </c>
      <c r="G876" s="15" t="n">
        <f aca="false">F876-E876</f>
        <v>0.0243055555555556</v>
      </c>
      <c r="H876" s="20" t="s">
        <v>313</v>
      </c>
      <c r="J876" s="20" t="s">
        <v>230</v>
      </c>
      <c r="K876" s="1" t="e">
        <f aca="false">_xlfn.xlookup(J876,REF!$D$2:$D$12,REF!$E$2:$E$12)</f>
        <v>#NAME?</v>
      </c>
      <c r="L876" s="1" t="s">
        <v>876</v>
      </c>
      <c r="M876" s="20" t="s">
        <v>288</v>
      </c>
      <c r="N876" s="20" t="s">
        <v>252</v>
      </c>
      <c r="O876" s="1" t="s">
        <v>877</v>
      </c>
      <c r="P876" s="1" t="str">
        <f aca="false">_xlfn.CONCAT(B876,C876,D876,E876,F876)</f>
        <v>BC Formoso1.1Inverter(MBUS-13)46375.416666666746375.416666666746375.4409722222</v>
      </c>
      <c r="Q876" s="1" t="str">
        <f aca="false">_xlfn.CONCAT(H876,I876,J876)</f>
        <v>DPRUFV</v>
      </c>
    </row>
    <row r="877" customFormat="false" ht="15" hidden="true" customHeight="false" outlineLevel="0" collapsed="false">
      <c r="B877" s="1" t="s">
        <v>697</v>
      </c>
      <c r="C877" s="1" t="s">
        <v>277</v>
      </c>
      <c r="D877" s="14" t="n">
        <v>46375.4166666667</v>
      </c>
      <c r="E877" s="14" t="n">
        <v>46375.4166666667</v>
      </c>
      <c r="F877" s="14" t="n">
        <v>46375.4409722222</v>
      </c>
      <c r="G877" s="15" t="n">
        <f aca="false">F877-E877</f>
        <v>0.0243055555555556</v>
      </c>
      <c r="H877" s="20" t="s">
        <v>313</v>
      </c>
      <c r="J877" s="20" t="s">
        <v>230</v>
      </c>
      <c r="K877" s="1" t="e">
        <f aca="false">_xlfn.xlookup(J877,REF!$D$2:$D$12,REF!$E$2:$E$12)</f>
        <v>#NAME?</v>
      </c>
      <c r="L877" s="1" t="s">
        <v>876</v>
      </c>
      <c r="M877" s="20" t="s">
        <v>288</v>
      </c>
      <c r="N877" s="20" t="s">
        <v>252</v>
      </c>
      <c r="O877" s="1" t="s">
        <v>877</v>
      </c>
      <c r="P877" s="1" t="str">
        <f aca="false">_xlfn.CONCAT(B877,C877,D877,E877,F877)</f>
        <v>BC Formoso1.1Inverter(MBUS-12)46375.416666666746375.416666666746375.4409722222</v>
      </c>
      <c r="Q877" s="1" t="str">
        <f aca="false">_xlfn.CONCAT(H877,I877,J877)</f>
        <v>DPRUFV</v>
      </c>
    </row>
    <row r="878" customFormat="false" ht="15" hidden="true" customHeight="false" outlineLevel="0" collapsed="false">
      <c r="B878" s="1" t="s">
        <v>697</v>
      </c>
      <c r="C878" s="1" t="s">
        <v>279</v>
      </c>
      <c r="D878" s="14" t="n">
        <v>46375.4166666667</v>
      </c>
      <c r="E878" s="14" t="n">
        <v>46375.4166666667</v>
      </c>
      <c r="F878" s="14" t="n">
        <v>46375.4409722222</v>
      </c>
      <c r="G878" s="15" t="n">
        <f aca="false">F878-E878</f>
        <v>0.0243055555555556</v>
      </c>
      <c r="H878" s="20" t="s">
        <v>313</v>
      </c>
      <c r="J878" s="20" t="s">
        <v>230</v>
      </c>
      <c r="K878" s="1" t="e">
        <f aca="false">_xlfn.xlookup(J878,REF!$D$2:$D$12,REF!$E$2:$E$12)</f>
        <v>#NAME?</v>
      </c>
      <c r="L878" s="1" t="s">
        <v>876</v>
      </c>
      <c r="M878" s="20" t="s">
        <v>288</v>
      </c>
      <c r="N878" s="20" t="s">
        <v>252</v>
      </c>
      <c r="O878" s="1" t="s">
        <v>877</v>
      </c>
      <c r="P878" s="1" t="str">
        <f aca="false">_xlfn.CONCAT(B878,C878,D878,E878,F878)</f>
        <v>BC Formoso1.1Inverter(MBUS-15)46375.416666666746375.416666666746375.4409722222</v>
      </c>
      <c r="Q878" s="1" t="str">
        <f aca="false">_xlfn.CONCAT(H878,I878,J878)</f>
        <v>DPRUFV</v>
      </c>
    </row>
    <row r="879" customFormat="false" ht="15" hidden="true" customHeight="false" outlineLevel="0" collapsed="false">
      <c r="B879" s="1" t="s">
        <v>697</v>
      </c>
      <c r="C879" s="1" t="s">
        <v>280</v>
      </c>
      <c r="D879" s="14" t="n">
        <v>46375.4166666667</v>
      </c>
      <c r="E879" s="14" t="n">
        <v>46375.4166666667</v>
      </c>
      <c r="F879" s="14" t="n">
        <v>46375.4409722222</v>
      </c>
      <c r="G879" s="15" t="n">
        <f aca="false">F879-E879</f>
        <v>0.0243055555555556</v>
      </c>
      <c r="H879" s="20" t="s">
        <v>313</v>
      </c>
      <c r="J879" s="20" t="s">
        <v>230</v>
      </c>
      <c r="K879" s="1" t="e">
        <f aca="false">_xlfn.xlookup(J879,REF!$D$2:$D$12,REF!$E$2:$E$12)</f>
        <v>#NAME?</v>
      </c>
      <c r="L879" s="1" t="s">
        <v>876</v>
      </c>
      <c r="M879" s="20" t="s">
        <v>288</v>
      </c>
      <c r="N879" s="20" t="s">
        <v>252</v>
      </c>
      <c r="O879" s="1" t="s">
        <v>877</v>
      </c>
      <c r="P879" s="1" t="str">
        <f aca="false">_xlfn.CONCAT(B879,C879,D879,E879,F879)</f>
        <v>BC Formoso1.1Inverter(MBUS-14)46375.416666666746375.416666666746375.4409722222</v>
      </c>
      <c r="Q879" s="1" t="str">
        <f aca="false">_xlfn.CONCAT(H879,I879,J879)</f>
        <v>DPRUFV</v>
      </c>
    </row>
    <row r="880" customFormat="false" ht="15" hidden="true" customHeight="false" outlineLevel="0" collapsed="false">
      <c r="B880" s="1" t="s">
        <v>330</v>
      </c>
      <c r="C880" s="1" t="s">
        <v>277</v>
      </c>
      <c r="D880" s="14" t="n">
        <v>46375.45</v>
      </c>
      <c r="E880" s="14" t="n">
        <v>46375.45</v>
      </c>
      <c r="F880" s="14" t="n">
        <v>46375.4736111111</v>
      </c>
      <c r="G880" s="15" t="n">
        <f aca="false">F880-E880</f>
        <v>0.0236111111111111</v>
      </c>
      <c r="H880" s="20" t="s">
        <v>313</v>
      </c>
      <c r="J880" s="20" t="s">
        <v>230</v>
      </c>
      <c r="K880" s="1" t="e">
        <f aca="false">_xlfn.xlookup(J880,REF!$D$2:$D$12,REF!$E$2:$E$12)</f>
        <v>#NAME?</v>
      </c>
      <c r="L880" s="1" t="s">
        <v>876</v>
      </c>
      <c r="M880" s="20" t="s">
        <v>288</v>
      </c>
      <c r="N880" s="20" t="s">
        <v>252</v>
      </c>
      <c r="O880" s="1" t="s">
        <v>877</v>
      </c>
      <c r="P880" s="1" t="str">
        <f aca="false">_xlfn.CONCAT(B880,C880,D880,E880,F880)</f>
        <v>BC Formoso2.1Inverter(MBUS-12)46375.4546375.4546375.4736111111</v>
      </c>
      <c r="Q880" s="1" t="str">
        <f aca="false">_xlfn.CONCAT(H880,I880,J880)</f>
        <v>DPRUFV</v>
      </c>
    </row>
    <row r="881" customFormat="false" ht="15" hidden="true" customHeight="false" outlineLevel="0" collapsed="false">
      <c r="B881" s="1" t="s">
        <v>330</v>
      </c>
      <c r="C881" s="1" t="s">
        <v>280</v>
      </c>
      <c r="D881" s="14" t="n">
        <v>46375.45</v>
      </c>
      <c r="E881" s="14" t="n">
        <v>46375.45</v>
      </c>
      <c r="F881" s="14" t="n">
        <v>46375.4736111111</v>
      </c>
      <c r="G881" s="15" t="n">
        <f aca="false">F881-E881</f>
        <v>0.0236111111111111</v>
      </c>
      <c r="H881" s="20" t="s">
        <v>313</v>
      </c>
      <c r="J881" s="20" t="s">
        <v>230</v>
      </c>
      <c r="K881" s="1" t="e">
        <f aca="false">_xlfn.xlookup(J881,REF!$D$2:$D$12,REF!$E$2:$E$12)</f>
        <v>#NAME?</v>
      </c>
      <c r="L881" s="1" t="s">
        <v>876</v>
      </c>
      <c r="M881" s="20" t="s">
        <v>288</v>
      </c>
      <c r="N881" s="20" t="s">
        <v>252</v>
      </c>
      <c r="O881" s="1" t="s">
        <v>877</v>
      </c>
      <c r="P881" s="1" t="str">
        <f aca="false">_xlfn.CONCAT(B881,C881,D881,E881,F881)</f>
        <v>BC Formoso2.1Inverter(MBUS-14)46375.4546375.4546375.4736111111</v>
      </c>
      <c r="Q881" s="1" t="str">
        <f aca="false">_xlfn.CONCAT(H881,I881,J881)</f>
        <v>DPRUFV</v>
      </c>
    </row>
    <row r="882" customFormat="false" ht="15" hidden="true" customHeight="false" outlineLevel="0" collapsed="false">
      <c r="B882" s="1" t="s">
        <v>330</v>
      </c>
      <c r="C882" s="1" t="s">
        <v>247</v>
      </c>
      <c r="D882" s="14" t="n">
        <v>46375.45</v>
      </c>
      <c r="E882" s="14" t="n">
        <v>46375.45</v>
      </c>
      <c r="F882" s="14" t="n">
        <v>46375.4736111111</v>
      </c>
      <c r="G882" s="15" t="n">
        <f aca="false">F882-E882</f>
        <v>0.0236111111111111</v>
      </c>
      <c r="H882" s="20" t="s">
        <v>313</v>
      </c>
      <c r="J882" s="20" t="s">
        <v>230</v>
      </c>
      <c r="K882" s="1" t="e">
        <f aca="false">_xlfn.xlookup(J882,REF!$D$2:$D$12,REF!$E$2:$E$12)</f>
        <v>#NAME?</v>
      </c>
      <c r="L882" s="1" t="s">
        <v>876</v>
      </c>
      <c r="M882" s="20" t="s">
        <v>288</v>
      </c>
      <c r="N882" s="20" t="s">
        <v>252</v>
      </c>
      <c r="O882" s="1" t="s">
        <v>877</v>
      </c>
      <c r="P882" s="1" t="str">
        <f aca="false">_xlfn.CONCAT(B882,C882,D882,E882,F882)</f>
        <v>BC Formoso2.1Inverter(MBUS-13)46375.4546375.4546375.4736111111</v>
      </c>
      <c r="Q882" s="1" t="str">
        <f aca="false">_xlfn.CONCAT(H882,I882,J882)</f>
        <v>DPRUFV</v>
      </c>
    </row>
    <row r="883" customFormat="false" ht="15" hidden="true" customHeight="false" outlineLevel="0" collapsed="false">
      <c r="B883" s="1" t="s">
        <v>330</v>
      </c>
      <c r="C883" s="1" t="s">
        <v>255</v>
      </c>
      <c r="D883" s="14" t="n">
        <v>46375.45</v>
      </c>
      <c r="E883" s="14" t="n">
        <v>46375.45</v>
      </c>
      <c r="F883" s="14" t="n">
        <v>46375.4736111111</v>
      </c>
      <c r="G883" s="15" t="n">
        <f aca="false">F883-E883</f>
        <v>0.0236111111111111</v>
      </c>
      <c r="H883" s="20" t="s">
        <v>313</v>
      </c>
      <c r="J883" s="20" t="s">
        <v>230</v>
      </c>
      <c r="K883" s="1" t="e">
        <f aca="false">_xlfn.xlookup(J883,REF!$D$2:$D$12,REF!$E$2:$E$12)</f>
        <v>#NAME?</v>
      </c>
      <c r="L883" s="1" t="s">
        <v>876</v>
      </c>
      <c r="M883" s="20" t="s">
        <v>288</v>
      </c>
      <c r="N883" s="20" t="s">
        <v>252</v>
      </c>
      <c r="O883" s="1" t="s">
        <v>877</v>
      </c>
      <c r="P883" s="1" t="str">
        <f aca="false">_xlfn.CONCAT(B883,C883,D883,E883,F883)</f>
        <v>BC Formoso2.1Inverter(MBUS-1)46375.4546375.4546375.4736111111</v>
      </c>
      <c r="Q883" s="1" t="str">
        <f aca="false">_xlfn.CONCAT(H883,I883,J883)</f>
        <v>DPRUFV</v>
      </c>
    </row>
    <row r="884" customFormat="false" ht="15" hidden="true" customHeight="false" outlineLevel="0" collapsed="false">
      <c r="B884" s="1" t="s">
        <v>622</v>
      </c>
      <c r="C884" s="1" t="s">
        <v>280</v>
      </c>
      <c r="D884" s="14" t="n">
        <v>46375.475</v>
      </c>
      <c r="E884" s="14" t="n">
        <v>46375.475</v>
      </c>
      <c r="F884" s="14" t="n">
        <v>46375.4993055556</v>
      </c>
      <c r="G884" s="15" t="n">
        <f aca="false">F884-E884</f>
        <v>0.0243055555555556</v>
      </c>
      <c r="H884" s="20" t="s">
        <v>313</v>
      </c>
      <c r="J884" s="20" t="s">
        <v>230</v>
      </c>
      <c r="K884" s="1" t="e">
        <f aca="false">_xlfn.xlookup(J884,REF!$D$2:$D$12,REF!$E$2:$E$12)</f>
        <v>#NAME?</v>
      </c>
      <c r="L884" s="1" t="s">
        <v>876</v>
      </c>
      <c r="M884" s="20" t="s">
        <v>288</v>
      </c>
      <c r="N884" s="20" t="s">
        <v>252</v>
      </c>
      <c r="O884" s="1" t="s">
        <v>877</v>
      </c>
      <c r="P884" s="1" t="str">
        <f aca="false">_xlfn.CONCAT(B884,C884,D884,E884,F884)</f>
        <v>BC Formoso2.2Inverter(MBUS-14)46375.47546375.47546375.4993055556</v>
      </c>
      <c r="Q884" s="1" t="str">
        <f aca="false">_xlfn.CONCAT(H884,I884,J884)</f>
        <v>DPRUFV</v>
      </c>
    </row>
    <row r="885" customFormat="false" ht="15" hidden="true" customHeight="false" outlineLevel="0" collapsed="false">
      <c r="B885" s="1" t="s">
        <v>622</v>
      </c>
      <c r="C885" s="1" t="s">
        <v>247</v>
      </c>
      <c r="D885" s="14" t="n">
        <v>46375.475</v>
      </c>
      <c r="E885" s="14" t="n">
        <v>46375.475</v>
      </c>
      <c r="F885" s="14" t="n">
        <v>46375.4993055556</v>
      </c>
      <c r="G885" s="15" t="n">
        <f aca="false">F885-E885</f>
        <v>0.0243055555555556</v>
      </c>
      <c r="H885" s="20" t="s">
        <v>313</v>
      </c>
      <c r="J885" s="20" t="s">
        <v>230</v>
      </c>
      <c r="K885" s="1" t="e">
        <f aca="false">_xlfn.xlookup(J885,REF!$D$2:$D$12,REF!$E$2:$E$12)</f>
        <v>#NAME?</v>
      </c>
      <c r="L885" s="1" t="s">
        <v>876</v>
      </c>
      <c r="M885" s="20" t="s">
        <v>288</v>
      </c>
      <c r="N885" s="20" t="s">
        <v>252</v>
      </c>
      <c r="O885" s="1" t="s">
        <v>877</v>
      </c>
      <c r="P885" s="1" t="str">
        <f aca="false">_xlfn.CONCAT(B885,C885,D885,E885,F885)</f>
        <v>BC Formoso2.2Inverter(MBUS-13)46375.47546375.47546375.4993055556</v>
      </c>
      <c r="Q885" s="1" t="str">
        <f aca="false">_xlfn.CONCAT(H885,I885,J885)</f>
        <v>DPRUFV</v>
      </c>
    </row>
    <row r="886" customFormat="false" ht="15" hidden="true" customHeight="false" outlineLevel="0" collapsed="false">
      <c r="B886" s="1" t="s">
        <v>622</v>
      </c>
      <c r="C886" s="1" t="s">
        <v>277</v>
      </c>
      <c r="D886" s="14" t="n">
        <v>46375.475</v>
      </c>
      <c r="E886" s="14" t="n">
        <v>46375.475</v>
      </c>
      <c r="F886" s="14" t="n">
        <v>46375.4993055556</v>
      </c>
      <c r="G886" s="15" t="n">
        <f aca="false">F886-E886</f>
        <v>0.0243055555555556</v>
      </c>
      <c r="H886" s="20" t="s">
        <v>313</v>
      </c>
      <c r="J886" s="20" t="s">
        <v>230</v>
      </c>
      <c r="K886" s="1" t="e">
        <f aca="false">_xlfn.xlookup(J886,REF!$D$2:$D$12,REF!$E$2:$E$12)</f>
        <v>#NAME?</v>
      </c>
      <c r="L886" s="1" t="s">
        <v>876</v>
      </c>
      <c r="M886" s="20" t="s">
        <v>288</v>
      </c>
      <c r="N886" s="20" t="s">
        <v>252</v>
      </c>
      <c r="O886" s="1" t="s">
        <v>877</v>
      </c>
      <c r="P886" s="1" t="str">
        <f aca="false">_xlfn.CONCAT(B886,C886,D886,E886,F886)</f>
        <v>BC Formoso2.2Inverter(MBUS-12)46375.47546375.47546375.4993055556</v>
      </c>
      <c r="Q886" s="1" t="str">
        <f aca="false">_xlfn.CONCAT(H886,I886,J886)</f>
        <v>DPRUFV</v>
      </c>
    </row>
    <row r="887" customFormat="false" ht="15" hidden="true" customHeight="false" outlineLevel="0" collapsed="false">
      <c r="B887" s="1" t="s">
        <v>622</v>
      </c>
      <c r="C887" s="1" t="s">
        <v>255</v>
      </c>
      <c r="D887" s="14" t="n">
        <v>46375.475</v>
      </c>
      <c r="E887" s="14" t="n">
        <v>46375.475</v>
      </c>
      <c r="F887" s="14" t="n">
        <v>46375.4993055556</v>
      </c>
      <c r="G887" s="15" t="n">
        <f aca="false">F887-E887</f>
        <v>0.0243055555555556</v>
      </c>
      <c r="H887" s="20" t="s">
        <v>313</v>
      </c>
      <c r="J887" s="20" t="s">
        <v>230</v>
      </c>
      <c r="K887" s="1" t="e">
        <f aca="false">_xlfn.xlookup(J887,REF!$D$2:$D$12,REF!$E$2:$E$12)</f>
        <v>#NAME?</v>
      </c>
      <c r="L887" s="1" t="s">
        <v>876</v>
      </c>
      <c r="M887" s="20" t="s">
        <v>288</v>
      </c>
      <c r="N887" s="20" t="s">
        <v>252</v>
      </c>
      <c r="O887" s="1" t="s">
        <v>877</v>
      </c>
      <c r="P887" s="1" t="str">
        <f aca="false">_xlfn.CONCAT(B887,C887,D887,E887,F887)</f>
        <v>BC Formoso2.2Inverter(MBUS-1)46375.47546375.47546375.4993055556</v>
      </c>
      <c r="Q887" s="1" t="str">
        <f aca="false">_xlfn.CONCAT(H887,I887,J887)</f>
        <v>DPRUFV</v>
      </c>
    </row>
    <row r="888" customFormat="false" ht="15" hidden="false" customHeight="false" outlineLevel="0" collapsed="false">
      <c r="B888" s="1" t="s">
        <v>878</v>
      </c>
      <c r="C888" s="1" t="s">
        <v>505</v>
      </c>
      <c r="D888" s="14" t="n">
        <v>46373.7465277778</v>
      </c>
      <c r="E888" s="14" t="n">
        <v>46373.7465277778</v>
      </c>
      <c r="F888" s="14" t="n">
        <v>46373.7638888889</v>
      </c>
      <c r="G888" s="15" t="n">
        <f aca="false">F888-E888</f>
        <v>0.0173611111111111</v>
      </c>
      <c r="H888" s="20" t="s">
        <v>445</v>
      </c>
      <c r="I888" s="1" t="s">
        <v>263</v>
      </c>
      <c r="J888" s="20" t="s">
        <v>264</v>
      </c>
      <c r="K888" s="1" t="e">
        <f aca="false">_xlfn.xlookup(J888,REF!$D$2:$D$12,REF!$E$2:$E$12)</f>
        <v>#NAME?</v>
      </c>
      <c r="L888" s="1" t="s">
        <v>449</v>
      </c>
      <c r="M888" s="20" t="s">
        <v>418</v>
      </c>
      <c r="N888" s="20" t="s">
        <v>252</v>
      </c>
      <c r="O888" s="1" t="s">
        <v>419</v>
      </c>
      <c r="P888" s="1" t="str">
        <f aca="false">_xlfn.CONCAT(B888,C888,D888,E888,F888)</f>
        <v>Araçu IInverter7146373.746527777846373.746527777846373.7638888889</v>
      </c>
      <c r="Q888" s="1" t="str">
        <f aca="false">_xlfn.CONCAT(H888,I888,J888)</f>
        <v>LIGRFOCOM</v>
      </c>
    </row>
    <row r="889" customFormat="false" ht="15" hidden="false" customHeight="false" outlineLevel="0" collapsed="false">
      <c r="B889" s="1" t="s">
        <v>878</v>
      </c>
      <c r="C889" s="1" t="s">
        <v>506</v>
      </c>
      <c r="D889" s="14" t="n">
        <v>46373.7465277778</v>
      </c>
      <c r="E889" s="14" t="n">
        <v>46373.7465277778</v>
      </c>
      <c r="F889" s="14" t="n">
        <v>46373.7638888889</v>
      </c>
      <c r="G889" s="15" t="n">
        <f aca="false">F889-E889</f>
        <v>0.0173611111111111</v>
      </c>
      <c r="H889" s="20" t="s">
        <v>445</v>
      </c>
      <c r="I889" s="1" t="s">
        <v>263</v>
      </c>
      <c r="J889" s="20" t="s">
        <v>264</v>
      </c>
      <c r="K889" s="1" t="e">
        <f aca="false">_xlfn.xlookup(J889,REF!$D$2:$D$12,REF!$E$2:$E$12)</f>
        <v>#NAME?</v>
      </c>
      <c r="L889" s="1" t="s">
        <v>449</v>
      </c>
      <c r="M889" s="20" t="s">
        <v>418</v>
      </c>
      <c r="N889" s="20" t="s">
        <v>252</v>
      </c>
      <c r="O889" s="1" t="s">
        <v>419</v>
      </c>
      <c r="P889" s="1" t="str">
        <f aca="false">_xlfn.CONCAT(B889,C889,D889,E889,F889)</f>
        <v>Araçu IInverter7246373.746527777846373.746527777846373.7638888889</v>
      </c>
      <c r="Q889" s="1" t="str">
        <f aca="false">_xlfn.CONCAT(H889,I889,J889)</f>
        <v>LIGRFOCOM</v>
      </c>
    </row>
    <row r="890" customFormat="false" ht="15" hidden="false" customHeight="false" outlineLevel="0" collapsed="false">
      <c r="B890" s="1" t="s">
        <v>878</v>
      </c>
      <c r="C890" s="1" t="s">
        <v>507</v>
      </c>
      <c r="D890" s="14" t="n">
        <v>46373.7465277778</v>
      </c>
      <c r="E890" s="14" t="n">
        <v>46373.7465277778</v>
      </c>
      <c r="F890" s="14" t="n">
        <v>46373.7638888889</v>
      </c>
      <c r="G890" s="15" t="n">
        <f aca="false">F890-E890</f>
        <v>0.0173611111111111</v>
      </c>
      <c r="H890" s="20" t="s">
        <v>445</v>
      </c>
      <c r="I890" s="1" t="s">
        <v>263</v>
      </c>
      <c r="J890" s="20" t="s">
        <v>264</v>
      </c>
      <c r="K890" s="1" t="e">
        <f aca="false">_xlfn.xlookup(J890,REF!$D$2:$D$12,REF!$E$2:$E$12)</f>
        <v>#NAME?</v>
      </c>
      <c r="L890" s="1" t="s">
        <v>449</v>
      </c>
      <c r="M890" s="20" t="s">
        <v>418</v>
      </c>
      <c r="N890" s="20" t="s">
        <v>252</v>
      </c>
      <c r="O890" s="1" t="s">
        <v>419</v>
      </c>
      <c r="P890" s="1" t="str">
        <f aca="false">_xlfn.CONCAT(B890,C890,D890,E890,F890)</f>
        <v>Araçu IInverter7346373.746527777846373.746527777846373.7638888889</v>
      </c>
      <c r="Q890" s="1" t="str">
        <f aca="false">_xlfn.CONCAT(H890,I890,J890)</f>
        <v>LIGRFOCOM</v>
      </c>
    </row>
    <row r="891" customFormat="false" ht="15" hidden="false" customHeight="false" outlineLevel="0" collapsed="false">
      <c r="B891" s="1" t="s">
        <v>878</v>
      </c>
      <c r="C891" s="1" t="s">
        <v>508</v>
      </c>
      <c r="D891" s="14" t="n">
        <v>46373.7465277778</v>
      </c>
      <c r="E891" s="14" t="n">
        <v>46373.7465277778</v>
      </c>
      <c r="F891" s="14" t="n">
        <v>46373.7638888889</v>
      </c>
      <c r="G891" s="15" t="n">
        <f aca="false">F891-E891</f>
        <v>0.0173611111111111</v>
      </c>
      <c r="H891" s="20" t="s">
        <v>445</v>
      </c>
      <c r="I891" s="1" t="s">
        <v>263</v>
      </c>
      <c r="J891" s="20" t="s">
        <v>264</v>
      </c>
      <c r="K891" s="1" t="e">
        <f aca="false">_xlfn.xlookup(J891,REF!$D$2:$D$12,REF!$E$2:$E$12)</f>
        <v>#NAME?</v>
      </c>
      <c r="L891" s="1" t="s">
        <v>449</v>
      </c>
      <c r="M891" s="20" t="s">
        <v>418</v>
      </c>
      <c r="N891" s="20" t="s">
        <v>252</v>
      </c>
      <c r="O891" s="1" t="s">
        <v>419</v>
      </c>
      <c r="P891" s="1" t="str">
        <f aca="false">_xlfn.CONCAT(B891,C891,D891,E891,F891)</f>
        <v>Araçu IInverter7446373.746527777846373.746527777846373.7638888889</v>
      </c>
      <c r="Q891" s="1" t="str">
        <f aca="false">_xlfn.CONCAT(H891,I891,J891)</f>
        <v>LIGRFOCOM</v>
      </c>
    </row>
    <row r="892" customFormat="false" ht="15" hidden="false" customHeight="false" outlineLevel="0" collapsed="false">
      <c r="B892" s="1" t="s">
        <v>878</v>
      </c>
      <c r="C892" s="1" t="s">
        <v>509</v>
      </c>
      <c r="D892" s="14" t="n">
        <v>46373.7465277778</v>
      </c>
      <c r="E892" s="14" t="n">
        <v>46373.7465277778</v>
      </c>
      <c r="F892" s="14" t="n">
        <v>46373.7638888889</v>
      </c>
      <c r="G892" s="15" t="n">
        <f aca="false">F892-E892</f>
        <v>0.0173611111111111</v>
      </c>
      <c r="H892" s="20" t="s">
        <v>445</v>
      </c>
      <c r="I892" s="1" t="s">
        <v>263</v>
      </c>
      <c r="J892" s="20" t="s">
        <v>264</v>
      </c>
      <c r="K892" s="1" t="e">
        <f aca="false">_xlfn.xlookup(J892,REF!$D$2:$D$12,REF!$E$2:$E$12)</f>
        <v>#NAME?</v>
      </c>
      <c r="L892" s="1" t="s">
        <v>449</v>
      </c>
      <c r="M892" s="20" t="s">
        <v>418</v>
      </c>
      <c r="N892" s="20" t="s">
        <v>252</v>
      </c>
      <c r="O892" s="1" t="s">
        <v>419</v>
      </c>
      <c r="P892" s="1" t="str">
        <f aca="false">_xlfn.CONCAT(B892,C892,D892,E892,F892)</f>
        <v>Araçu IInverter7546373.746527777846373.746527777846373.7638888889</v>
      </c>
      <c r="Q892" s="1" t="str">
        <f aca="false">_xlfn.CONCAT(H892,I892,J892)</f>
        <v>LIGRFOCOM</v>
      </c>
    </row>
    <row r="893" customFormat="false" ht="15" hidden="false" customHeight="false" outlineLevel="0" collapsed="false">
      <c r="B893" s="1" t="s">
        <v>878</v>
      </c>
      <c r="C893" s="1" t="s">
        <v>510</v>
      </c>
      <c r="D893" s="14" t="n">
        <v>46373.7465277778</v>
      </c>
      <c r="E893" s="14" t="n">
        <v>46373.7465277778</v>
      </c>
      <c r="F893" s="14" t="n">
        <v>46373.7638888889</v>
      </c>
      <c r="G893" s="15" t="n">
        <f aca="false">F893-E893</f>
        <v>0.0173611111111111</v>
      </c>
      <c r="H893" s="20" t="s">
        <v>445</v>
      </c>
      <c r="I893" s="1" t="s">
        <v>263</v>
      </c>
      <c r="J893" s="20" t="s">
        <v>264</v>
      </c>
      <c r="K893" s="1" t="e">
        <f aca="false">_xlfn.xlookup(J893,REF!$D$2:$D$12,REF!$E$2:$E$12)</f>
        <v>#NAME?</v>
      </c>
      <c r="L893" s="1" t="s">
        <v>449</v>
      </c>
      <c r="M893" s="20" t="s">
        <v>418</v>
      </c>
      <c r="N893" s="20" t="s">
        <v>252</v>
      </c>
      <c r="O893" s="1" t="s">
        <v>419</v>
      </c>
      <c r="P893" s="1" t="str">
        <f aca="false">_xlfn.CONCAT(B893,C893,D893,E893,F893)</f>
        <v>Araçu IInverter7646373.746527777846373.746527777846373.7638888889</v>
      </c>
      <c r="Q893" s="1" t="str">
        <f aca="false">_xlfn.CONCAT(H893,I893,J893)</f>
        <v>LIGRFOCOM</v>
      </c>
    </row>
    <row r="894" customFormat="false" ht="15" hidden="false" customHeight="false" outlineLevel="0" collapsed="false">
      <c r="B894" s="1" t="s">
        <v>878</v>
      </c>
      <c r="C894" s="1" t="s">
        <v>511</v>
      </c>
      <c r="D894" s="14" t="n">
        <v>46373.7465277778</v>
      </c>
      <c r="E894" s="14" t="n">
        <v>46373.7465277778</v>
      </c>
      <c r="F894" s="14" t="n">
        <v>46373.7638888889</v>
      </c>
      <c r="G894" s="15" t="n">
        <f aca="false">F894-E894</f>
        <v>0.0173611111111111</v>
      </c>
      <c r="H894" s="20" t="s">
        <v>445</v>
      </c>
      <c r="I894" s="1" t="s">
        <v>263</v>
      </c>
      <c r="J894" s="20" t="s">
        <v>264</v>
      </c>
      <c r="K894" s="1" t="e">
        <f aca="false">_xlfn.xlookup(J894,REF!$D$2:$D$12,REF!$E$2:$E$12)</f>
        <v>#NAME?</v>
      </c>
      <c r="L894" s="1" t="s">
        <v>449</v>
      </c>
      <c r="M894" s="20" t="s">
        <v>418</v>
      </c>
      <c r="N894" s="20" t="s">
        <v>252</v>
      </c>
      <c r="O894" s="1" t="s">
        <v>419</v>
      </c>
      <c r="P894" s="1" t="str">
        <f aca="false">_xlfn.CONCAT(B894,C894,D894,E894,F894)</f>
        <v>Araçu IInverter7746373.746527777846373.746527777846373.7638888889</v>
      </c>
      <c r="Q894" s="1" t="str">
        <f aca="false">_xlfn.CONCAT(H894,I894,J894)</f>
        <v>LIGRFOCOM</v>
      </c>
    </row>
    <row r="895" customFormat="false" ht="15" hidden="false" customHeight="false" outlineLevel="0" collapsed="false">
      <c r="B895" s="1" t="s">
        <v>838</v>
      </c>
      <c r="C895" s="1" t="s">
        <v>839</v>
      </c>
      <c r="D895" s="14" t="n">
        <v>46373.7465277778</v>
      </c>
      <c r="E895" s="14" t="n">
        <v>46373.7465277778</v>
      </c>
      <c r="F895" s="14" t="n">
        <v>46373.7638888889</v>
      </c>
      <c r="G895" s="15" t="n">
        <f aca="false">F895-E895</f>
        <v>0.0173611111111111</v>
      </c>
      <c r="H895" s="20" t="s">
        <v>445</v>
      </c>
      <c r="I895" s="1" t="s">
        <v>263</v>
      </c>
      <c r="J895" s="20" t="s">
        <v>264</v>
      </c>
      <c r="K895" s="1" t="e">
        <f aca="false">_xlfn.xlookup(J895,REF!$D$2:$D$12,REF!$E$2:$E$12)</f>
        <v>#NAME?</v>
      </c>
      <c r="L895" s="1" t="s">
        <v>449</v>
      </c>
      <c r="M895" s="20" t="s">
        <v>418</v>
      </c>
      <c r="N895" s="20" t="s">
        <v>252</v>
      </c>
      <c r="O895" s="1" t="s">
        <v>419</v>
      </c>
      <c r="P895" s="1" t="str">
        <f aca="false">_xlfn.CONCAT(B895,C895,D895,E895,F895)</f>
        <v>Araçu IIAraçu 2.1 inv 146373.746527777846373.746527777846373.7638888889</v>
      </c>
      <c r="Q895" s="1" t="str">
        <f aca="false">_xlfn.CONCAT(H895,I895,J895)</f>
        <v>LIGRFOCOM</v>
      </c>
    </row>
    <row r="896" customFormat="false" ht="15" hidden="false" customHeight="false" outlineLevel="0" collapsed="false">
      <c r="B896" s="1" t="s">
        <v>838</v>
      </c>
      <c r="C896" s="1" t="s">
        <v>840</v>
      </c>
      <c r="D896" s="14" t="n">
        <v>46373.7465277778</v>
      </c>
      <c r="E896" s="14" t="n">
        <v>46373.7465277778</v>
      </c>
      <c r="F896" s="14" t="n">
        <v>46373.7638888889</v>
      </c>
      <c r="G896" s="15" t="n">
        <f aca="false">F896-E896</f>
        <v>0.0173611111111111</v>
      </c>
      <c r="H896" s="20" t="s">
        <v>445</v>
      </c>
      <c r="I896" s="1" t="s">
        <v>263</v>
      </c>
      <c r="J896" s="20" t="s">
        <v>264</v>
      </c>
      <c r="K896" s="1" t="e">
        <f aca="false">_xlfn.xlookup(J896,REF!$D$2:$D$12,REF!$E$2:$E$12)</f>
        <v>#NAME?</v>
      </c>
      <c r="L896" s="1" t="s">
        <v>449</v>
      </c>
      <c r="M896" s="20" t="s">
        <v>418</v>
      </c>
      <c r="N896" s="20" t="s">
        <v>252</v>
      </c>
      <c r="O896" s="1" t="s">
        <v>419</v>
      </c>
      <c r="P896" s="1" t="str">
        <f aca="false">_xlfn.CONCAT(B896,C896,D896,E896,F896)</f>
        <v>Araçu IIAraçu 2.1 inv 246373.746527777846373.746527777846373.7638888889</v>
      </c>
      <c r="Q896" s="1" t="str">
        <f aca="false">_xlfn.CONCAT(H896,I896,J896)</f>
        <v>LIGRFOCOM</v>
      </c>
    </row>
    <row r="897" customFormat="false" ht="15" hidden="false" customHeight="false" outlineLevel="0" collapsed="false">
      <c r="B897" s="1" t="s">
        <v>838</v>
      </c>
      <c r="C897" s="1" t="s">
        <v>841</v>
      </c>
      <c r="D897" s="14" t="n">
        <v>46373.7465277778</v>
      </c>
      <c r="E897" s="14" t="n">
        <v>46373.7465277778</v>
      </c>
      <c r="F897" s="14" t="n">
        <v>46373.7638888889</v>
      </c>
      <c r="G897" s="15" t="n">
        <f aca="false">F897-E897</f>
        <v>0.0173611111111111</v>
      </c>
      <c r="H897" s="20" t="s">
        <v>445</v>
      </c>
      <c r="I897" s="1" t="s">
        <v>263</v>
      </c>
      <c r="J897" s="20" t="s">
        <v>264</v>
      </c>
      <c r="K897" s="1" t="e">
        <f aca="false">_xlfn.xlookup(J897,REF!$D$2:$D$12,REF!$E$2:$E$12)</f>
        <v>#NAME?</v>
      </c>
      <c r="L897" s="1" t="s">
        <v>449</v>
      </c>
      <c r="M897" s="20" t="s">
        <v>418</v>
      </c>
      <c r="N897" s="20" t="s">
        <v>252</v>
      </c>
      <c r="O897" s="1" t="s">
        <v>419</v>
      </c>
      <c r="P897" s="1" t="str">
        <f aca="false">_xlfn.CONCAT(B897,C897,D897,E897,F897)</f>
        <v>Araçu IIAraçu 2.1 inv 346373.746527777846373.746527777846373.7638888889</v>
      </c>
      <c r="Q897" s="1" t="str">
        <f aca="false">_xlfn.CONCAT(H897,I897,J897)</f>
        <v>LIGRFOCOM</v>
      </c>
    </row>
    <row r="898" customFormat="false" ht="15" hidden="false" customHeight="false" outlineLevel="0" collapsed="false">
      <c r="B898" s="1" t="s">
        <v>879</v>
      </c>
      <c r="C898" s="1" t="s">
        <v>842</v>
      </c>
      <c r="D898" s="14" t="n">
        <v>46373.7465277778</v>
      </c>
      <c r="E898" s="14" t="n">
        <v>46373.7465277778</v>
      </c>
      <c r="F898" s="14" t="n">
        <v>46373.7638888889</v>
      </c>
      <c r="G898" s="15" t="n">
        <f aca="false">F898-E898</f>
        <v>0.0173611111111111</v>
      </c>
      <c r="H898" s="20" t="s">
        <v>445</v>
      </c>
      <c r="I898" s="1" t="s">
        <v>263</v>
      </c>
      <c r="J898" s="20" t="s">
        <v>264</v>
      </c>
      <c r="K898" s="1" t="e">
        <f aca="false">_xlfn.xlookup(J898,REF!$D$2:$D$12,REF!$E$2:$E$12)</f>
        <v>#NAME?</v>
      </c>
      <c r="L898" s="1" t="s">
        <v>449</v>
      </c>
      <c r="M898" s="20" t="s">
        <v>418</v>
      </c>
      <c r="N898" s="20" t="s">
        <v>252</v>
      </c>
      <c r="O898" s="1" t="s">
        <v>419</v>
      </c>
      <c r="P898" s="1" t="str">
        <f aca="false">_xlfn.CONCAT(B898,C898,D898,E898,F898)</f>
        <v>Araçu IIIAraçu 2.2 inv.146373.746527777846373.746527777846373.7638888889</v>
      </c>
      <c r="Q898" s="1" t="str">
        <f aca="false">_xlfn.CONCAT(H898,I898,J898)</f>
        <v>LIGRFOCOM</v>
      </c>
    </row>
    <row r="899" customFormat="false" ht="15" hidden="false" customHeight="false" outlineLevel="0" collapsed="false">
      <c r="B899" s="1" t="s">
        <v>879</v>
      </c>
      <c r="C899" s="1" t="s">
        <v>843</v>
      </c>
      <c r="D899" s="14" t="n">
        <v>46373.7465277778</v>
      </c>
      <c r="E899" s="14" t="n">
        <v>46373.7465277778</v>
      </c>
      <c r="F899" s="14" t="n">
        <v>46373.7638888889</v>
      </c>
      <c r="G899" s="15" t="n">
        <f aca="false">F899-E899</f>
        <v>0.0173611111111111</v>
      </c>
      <c r="H899" s="20" t="s">
        <v>445</v>
      </c>
      <c r="I899" s="1" t="s">
        <v>263</v>
      </c>
      <c r="J899" s="20" t="s">
        <v>264</v>
      </c>
      <c r="K899" s="1" t="e">
        <f aca="false">_xlfn.xlookup(J899,REF!$D$2:$D$12,REF!$E$2:$E$12)</f>
        <v>#NAME?</v>
      </c>
      <c r="L899" s="1" t="s">
        <v>449</v>
      </c>
      <c r="M899" s="20" t="s">
        <v>418</v>
      </c>
      <c r="N899" s="20" t="s">
        <v>252</v>
      </c>
      <c r="O899" s="1" t="s">
        <v>419</v>
      </c>
      <c r="P899" s="1" t="str">
        <f aca="false">_xlfn.CONCAT(B899,C899,D899,E899,F899)</f>
        <v>Araçu IIIAraçu 2.2 inv .246373.746527777846373.746527777846373.7638888889</v>
      </c>
      <c r="Q899" s="1" t="str">
        <f aca="false">_xlfn.CONCAT(H899,I899,J899)</f>
        <v>LIGRFOCOM</v>
      </c>
    </row>
    <row r="900" customFormat="false" ht="15" hidden="false" customHeight="false" outlineLevel="0" collapsed="false">
      <c r="B900" s="1" t="s">
        <v>879</v>
      </c>
      <c r="C900" s="1" t="s">
        <v>844</v>
      </c>
      <c r="D900" s="14" t="n">
        <v>46373.7465277778</v>
      </c>
      <c r="E900" s="14" t="n">
        <v>46373.7465277778</v>
      </c>
      <c r="F900" s="14" t="n">
        <v>46373.7638888889</v>
      </c>
      <c r="G900" s="15" t="n">
        <f aca="false">F900-E900</f>
        <v>0.0173611111111111</v>
      </c>
      <c r="H900" s="20" t="s">
        <v>445</v>
      </c>
      <c r="I900" s="1" t="s">
        <v>263</v>
      </c>
      <c r="J900" s="20" t="s">
        <v>264</v>
      </c>
      <c r="K900" s="1" t="e">
        <f aca="false">_xlfn.xlookup(J900,REF!$D$2:$D$12,REF!$E$2:$E$12)</f>
        <v>#NAME?</v>
      </c>
      <c r="L900" s="1" t="s">
        <v>449</v>
      </c>
      <c r="M900" s="20" t="s">
        <v>418</v>
      </c>
      <c r="N900" s="20" t="s">
        <v>252</v>
      </c>
      <c r="O900" s="1" t="s">
        <v>419</v>
      </c>
      <c r="P900" s="1" t="str">
        <f aca="false">_xlfn.CONCAT(B900,C900,D900,E900,F900)</f>
        <v>Araçu IIIAraçu 2.2 inv 346373.746527777846373.746527777846373.7638888889</v>
      </c>
      <c r="Q900" s="1" t="str">
        <f aca="false">_xlfn.CONCAT(H900,I900,J900)</f>
        <v>LIGRFOCOM</v>
      </c>
    </row>
    <row r="901" customFormat="false" ht="15" hidden="false" customHeight="false" outlineLevel="0" collapsed="false">
      <c r="B901" s="1" t="s">
        <v>792</v>
      </c>
      <c r="C901" s="1" t="s">
        <v>845</v>
      </c>
      <c r="D901" s="14" t="n">
        <v>46373.7465277778</v>
      </c>
      <c r="E901" s="14" t="n">
        <v>46373.7465277778</v>
      </c>
      <c r="F901" s="14" t="n">
        <v>46373.7638888889</v>
      </c>
      <c r="G901" s="15" t="n">
        <f aca="false">F901-E901</f>
        <v>0.0173611111111111</v>
      </c>
      <c r="H901" s="20" t="s">
        <v>445</v>
      </c>
      <c r="I901" s="1" t="s">
        <v>263</v>
      </c>
      <c r="J901" s="20" t="s">
        <v>264</v>
      </c>
      <c r="K901" s="1" t="e">
        <f aca="false">_xlfn.xlookup(J901,REF!$D$2:$D$12,REF!$E$2:$E$12)</f>
        <v>#NAME?</v>
      </c>
      <c r="L901" s="1" t="s">
        <v>449</v>
      </c>
      <c r="M901" s="20" t="s">
        <v>418</v>
      </c>
      <c r="N901" s="20" t="s">
        <v>252</v>
      </c>
      <c r="O901" s="1" t="s">
        <v>419</v>
      </c>
      <c r="P901" s="1" t="str">
        <f aca="false">_xlfn.CONCAT(B901,C901,D901,E901,F901)</f>
        <v>Araçu IVAraçu 2.3inv 146373.746527777846373.746527777846373.7638888889</v>
      </c>
      <c r="Q901" s="1" t="str">
        <f aca="false">_xlfn.CONCAT(H901,I901,J901)</f>
        <v>LIGRFOCOM</v>
      </c>
    </row>
    <row r="902" customFormat="false" ht="15" hidden="false" customHeight="false" outlineLevel="0" collapsed="false">
      <c r="B902" s="1" t="s">
        <v>792</v>
      </c>
      <c r="C902" s="1" t="s">
        <v>846</v>
      </c>
      <c r="D902" s="14" t="n">
        <v>46373.7465277778</v>
      </c>
      <c r="E902" s="14" t="n">
        <v>46373.7465277778</v>
      </c>
      <c r="F902" s="14" t="n">
        <v>46373.7638888889</v>
      </c>
      <c r="G902" s="15" t="n">
        <f aca="false">F902-E902</f>
        <v>0.0173611111111111</v>
      </c>
      <c r="H902" s="20" t="s">
        <v>445</v>
      </c>
      <c r="I902" s="1" t="s">
        <v>263</v>
      </c>
      <c r="J902" s="20" t="s">
        <v>264</v>
      </c>
      <c r="K902" s="1" t="e">
        <f aca="false">_xlfn.xlookup(J902,REF!$D$2:$D$12,REF!$E$2:$E$12)</f>
        <v>#NAME?</v>
      </c>
      <c r="L902" s="1" t="s">
        <v>449</v>
      </c>
      <c r="M902" s="20" t="s">
        <v>418</v>
      </c>
      <c r="N902" s="20" t="s">
        <v>252</v>
      </c>
      <c r="O902" s="1" t="s">
        <v>419</v>
      </c>
      <c r="P902" s="1" t="str">
        <f aca="false">_xlfn.CONCAT(B902,C902,D902,E902,F902)</f>
        <v>Araçu IVAraçu 2.3 inv 246373.746527777846373.746527777846373.7638888889</v>
      </c>
      <c r="Q902" s="1" t="str">
        <f aca="false">_xlfn.CONCAT(H902,I902,J902)</f>
        <v>LIGRFOCOM</v>
      </c>
    </row>
    <row r="903" customFormat="false" ht="15" hidden="false" customHeight="false" outlineLevel="0" collapsed="false">
      <c r="B903" s="1" t="s">
        <v>792</v>
      </c>
      <c r="C903" s="1" t="s">
        <v>847</v>
      </c>
      <c r="D903" s="14" t="n">
        <v>46373.7465277778</v>
      </c>
      <c r="E903" s="14" t="n">
        <v>46373.7465277778</v>
      </c>
      <c r="F903" s="14" t="n">
        <v>46373.7638888889</v>
      </c>
      <c r="G903" s="15" t="n">
        <f aca="false">F903-E903</f>
        <v>0.0173611111111111</v>
      </c>
      <c r="H903" s="20" t="s">
        <v>445</v>
      </c>
      <c r="I903" s="1" t="s">
        <v>263</v>
      </c>
      <c r="J903" s="20" t="s">
        <v>264</v>
      </c>
      <c r="K903" s="1" t="e">
        <f aca="false">_xlfn.xlookup(J903,REF!$D$2:$D$12,REF!$E$2:$E$12)</f>
        <v>#NAME?</v>
      </c>
      <c r="L903" s="1" t="s">
        <v>449</v>
      </c>
      <c r="M903" s="20" t="s">
        <v>418</v>
      </c>
      <c r="N903" s="20" t="s">
        <v>252</v>
      </c>
      <c r="O903" s="1" t="s">
        <v>419</v>
      </c>
      <c r="P903" s="1" t="str">
        <f aca="false">_xlfn.CONCAT(B903,C903,D903,E903,F903)</f>
        <v>Araçu IVAraçu 2.3 inv 446373.746527777846373.746527777846373.7638888889</v>
      </c>
      <c r="Q903" s="1" t="str">
        <f aca="false">_xlfn.CONCAT(H903,I903,J903)</f>
        <v>LIGRFOCOM</v>
      </c>
    </row>
    <row r="904" customFormat="false" ht="15" hidden="false" customHeight="false" outlineLevel="0" collapsed="false">
      <c r="B904" s="1" t="s">
        <v>792</v>
      </c>
      <c r="C904" s="1" t="s">
        <v>848</v>
      </c>
      <c r="D904" s="14" t="n">
        <v>46373.7465277778</v>
      </c>
      <c r="E904" s="14" t="n">
        <v>46373.7465277778</v>
      </c>
      <c r="F904" s="14" t="n">
        <v>46373.7638888889</v>
      </c>
      <c r="G904" s="15" t="n">
        <f aca="false">F904-E904</f>
        <v>0.0173611111111111</v>
      </c>
      <c r="H904" s="20" t="s">
        <v>445</v>
      </c>
      <c r="I904" s="1" t="s">
        <v>263</v>
      </c>
      <c r="J904" s="20" t="s">
        <v>264</v>
      </c>
      <c r="K904" s="1" t="e">
        <f aca="false">_xlfn.xlookup(J904,REF!$D$2:$D$12,REF!$E$2:$E$12)</f>
        <v>#NAME?</v>
      </c>
      <c r="L904" s="1" t="s">
        <v>449</v>
      </c>
      <c r="M904" s="20" t="s">
        <v>418</v>
      </c>
      <c r="N904" s="20" t="s">
        <v>252</v>
      </c>
      <c r="O904" s="1" t="s">
        <v>419</v>
      </c>
      <c r="P904" s="1" t="str">
        <f aca="false">_xlfn.CONCAT(B904,C904,D904,E904,F904)</f>
        <v>Araçu IVAraçu.2.3 inv 546373.746527777846373.746527777846373.7638888889</v>
      </c>
      <c r="Q904" s="1" t="str">
        <f aca="false">_xlfn.CONCAT(H904,I904,J904)</f>
        <v>LIGRFOCOM</v>
      </c>
    </row>
    <row r="905" customFormat="false" ht="15" hidden="false" customHeight="false" outlineLevel="0" collapsed="false">
      <c r="B905" s="1" t="s">
        <v>792</v>
      </c>
      <c r="C905" s="1" t="s">
        <v>849</v>
      </c>
      <c r="D905" s="14" t="n">
        <v>46373.7465277778</v>
      </c>
      <c r="E905" s="14" t="n">
        <v>46373.7465277778</v>
      </c>
      <c r="F905" s="14" t="n">
        <v>46373.7638888889</v>
      </c>
      <c r="G905" s="15" t="n">
        <f aca="false">F905-E905</f>
        <v>0.0173611111111111</v>
      </c>
      <c r="H905" s="20" t="s">
        <v>445</v>
      </c>
      <c r="I905" s="1" t="s">
        <v>263</v>
      </c>
      <c r="J905" s="20" t="s">
        <v>264</v>
      </c>
      <c r="K905" s="1" t="e">
        <f aca="false">_xlfn.xlookup(J905,REF!$D$2:$D$12,REF!$E$2:$E$12)</f>
        <v>#NAME?</v>
      </c>
      <c r="L905" s="1" t="s">
        <v>449</v>
      </c>
      <c r="M905" s="20" t="s">
        <v>418</v>
      </c>
      <c r="N905" s="20" t="s">
        <v>252</v>
      </c>
      <c r="O905" s="1" t="s">
        <v>419</v>
      </c>
      <c r="P905" s="1" t="str">
        <f aca="false">_xlfn.CONCAT(B905,C905,D905,E905,F905)</f>
        <v>Araçu IVAraçu 2.3 inv46373.746527777846373.746527777846373.7638888889</v>
      </c>
      <c r="Q905" s="1" t="str">
        <f aca="false">_xlfn.CONCAT(H905,I905,J905)</f>
        <v>LIGRFOCOM</v>
      </c>
    </row>
    <row r="906" customFormat="false" ht="15" hidden="false" customHeight="false" outlineLevel="0" collapsed="false">
      <c r="B906" s="1" t="s">
        <v>792</v>
      </c>
      <c r="C906" s="1" t="s">
        <v>850</v>
      </c>
      <c r="D906" s="14" t="n">
        <v>46373.7465277778</v>
      </c>
      <c r="E906" s="14" t="n">
        <v>46373.7465277778</v>
      </c>
      <c r="F906" s="14" t="n">
        <v>46373.7638888889</v>
      </c>
      <c r="G906" s="15" t="n">
        <f aca="false">F906-E906</f>
        <v>0.0173611111111111</v>
      </c>
      <c r="H906" s="20" t="s">
        <v>445</v>
      </c>
      <c r="I906" s="1" t="s">
        <v>263</v>
      </c>
      <c r="J906" s="20" t="s">
        <v>264</v>
      </c>
      <c r="K906" s="1" t="e">
        <f aca="false">_xlfn.xlookup(J906,REF!$D$2:$D$12,REF!$E$2:$E$12)</f>
        <v>#NAME?</v>
      </c>
      <c r="L906" s="1" t="s">
        <v>449</v>
      </c>
      <c r="M906" s="20" t="s">
        <v>418</v>
      </c>
      <c r="N906" s="20" t="s">
        <v>252</v>
      </c>
      <c r="O906" s="1" t="s">
        <v>419</v>
      </c>
      <c r="P906" s="1" t="str">
        <f aca="false">_xlfn.CONCAT(B906,C906,D906,E906,F906)</f>
        <v>Araçu IVAraçu 2.3 inv 646373.746527777846373.746527777846373.7638888889</v>
      </c>
      <c r="Q906" s="1" t="str">
        <f aca="false">_xlfn.CONCAT(H906,I906,J906)</f>
        <v>LIGRFOCOM</v>
      </c>
    </row>
    <row r="907" customFormat="false" ht="15" hidden="false" customHeight="false" outlineLevel="0" collapsed="false">
      <c r="B907" s="1" t="s">
        <v>685</v>
      </c>
      <c r="C907" s="1" t="s">
        <v>255</v>
      </c>
      <c r="D907" s="14" t="n">
        <v>46371.125</v>
      </c>
      <c r="E907" s="14" t="n">
        <v>46371.125</v>
      </c>
      <c r="F907" s="14" t="n">
        <v>46371.3229166667</v>
      </c>
      <c r="G907" s="15" t="n">
        <f aca="false">F907-E907</f>
        <v>0.197916666666667</v>
      </c>
      <c r="H907" s="20" t="s">
        <v>445</v>
      </c>
      <c r="I907" s="1" t="s">
        <v>263</v>
      </c>
      <c r="J907" s="20" t="s">
        <v>264</v>
      </c>
      <c r="K907" s="1" t="e">
        <f aca="false">_xlfn.xlookup(J907,REF!$D$2:$D$12,REF!$E$2:$E$12)</f>
        <v>#NAME?</v>
      </c>
      <c r="L907" s="1" t="s">
        <v>449</v>
      </c>
      <c r="M907" s="20" t="s">
        <v>418</v>
      </c>
      <c r="N907" s="20" t="s">
        <v>252</v>
      </c>
      <c r="O907" s="1" t="s">
        <v>419</v>
      </c>
      <c r="P907" s="1" t="str">
        <f aca="false">_xlfn.CONCAT(B907,C907,D907,E907,F907)</f>
        <v>BC Camarao1.1Inverter(MBUS-1)46371.12546371.12546371.3229166667</v>
      </c>
      <c r="Q907" s="1" t="str">
        <f aca="false">_xlfn.CONCAT(H907,I907,J907)</f>
        <v>LIGRFOCOM</v>
      </c>
    </row>
    <row r="908" customFormat="false" ht="15" hidden="false" customHeight="false" outlineLevel="0" collapsed="false">
      <c r="B908" s="1" t="s">
        <v>685</v>
      </c>
      <c r="C908" s="1" t="s">
        <v>396</v>
      </c>
      <c r="D908" s="14" t="n">
        <v>46371.125</v>
      </c>
      <c r="E908" s="14" t="n">
        <v>46371.125</v>
      </c>
      <c r="F908" s="14" t="n">
        <v>46371.3229166667</v>
      </c>
      <c r="G908" s="15" t="n">
        <f aca="false">F908-E908</f>
        <v>0.197916666666667</v>
      </c>
      <c r="H908" s="20" t="s">
        <v>445</v>
      </c>
      <c r="I908" s="1" t="s">
        <v>263</v>
      </c>
      <c r="J908" s="20" t="s">
        <v>264</v>
      </c>
      <c r="K908" s="1" t="e">
        <f aca="false">_xlfn.xlookup(J908,REF!$D$2:$D$12,REF!$E$2:$E$12)</f>
        <v>#NAME?</v>
      </c>
      <c r="L908" s="1" t="s">
        <v>449</v>
      </c>
      <c r="M908" s="20" t="s">
        <v>418</v>
      </c>
      <c r="N908" s="20" t="s">
        <v>252</v>
      </c>
      <c r="O908" s="1" t="s">
        <v>419</v>
      </c>
      <c r="P908" s="1" t="str">
        <f aca="false">_xlfn.CONCAT(B908,C908,D908,E908,F908)</f>
        <v>BC Camarao1.1215KTL-H3(MBUS-12)46371.12546371.12546371.3229166667</v>
      </c>
      <c r="Q908" s="1" t="str">
        <f aca="false">_xlfn.CONCAT(H908,I908,J908)</f>
        <v>LIGRFOCOM</v>
      </c>
    </row>
    <row r="909" customFormat="false" ht="15" hidden="false" customHeight="false" outlineLevel="0" collapsed="false">
      <c r="B909" s="1" t="s">
        <v>685</v>
      </c>
      <c r="C909" s="1" t="s">
        <v>397</v>
      </c>
      <c r="D909" s="14" t="n">
        <v>46371.125</v>
      </c>
      <c r="E909" s="14" t="n">
        <v>46371.125</v>
      </c>
      <c r="F909" s="14" t="n">
        <v>46371.3229166667</v>
      </c>
      <c r="G909" s="15" t="n">
        <f aca="false">F909-E909</f>
        <v>0.197916666666667</v>
      </c>
      <c r="H909" s="20" t="s">
        <v>445</v>
      </c>
      <c r="I909" s="1" t="s">
        <v>263</v>
      </c>
      <c r="J909" s="20" t="s">
        <v>264</v>
      </c>
      <c r="K909" s="1" t="e">
        <f aca="false">_xlfn.xlookup(J909,REF!$D$2:$D$12,REF!$E$2:$E$12)</f>
        <v>#NAME?</v>
      </c>
      <c r="L909" s="1" t="s">
        <v>449</v>
      </c>
      <c r="M909" s="20" t="s">
        <v>418</v>
      </c>
      <c r="N909" s="20" t="s">
        <v>252</v>
      </c>
      <c r="O909" s="1" t="s">
        <v>419</v>
      </c>
      <c r="P909" s="1" t="str">
        <f aca="false">_xlfn.CONCAT(B909,C909,D909,E909,F909)</f>
        <v>BC Camarao1.1215KTL-H3(MBUS-13)46371.12546371.12546371.3229166667</v>
      </c>
      <c r="Q909" s="1" t="str">
        <f aca="false">_xlfn.CONCAT(H909,I909,J909)</f>
        <v>LIGRFOCOM</v>
      </c>
    </row>
    <row r="910" customFormat="false" ht="15" hidden="false" customHeight="false" outlineLevel="0" collapsed="false">
      <c r="B910" s="1" t="s">
        <v>685</v>
      </c>
      <c r="C910" s="1" t="s">
        <v>391</v>
      </c>
      <c r="D910" s="14" t="n">
        <v>46371.125</v>
      </c>
      <c r="E910" s="14" t="n">
        <v>46371.125</v>
      </c>
      <c r="F910" s="14" t="n">
        <v>46371.3229166667</v>
      </c>
      <c r="G910" s="15" t="n">
        <f aca="false">F910-E910</f>
        <v>0.197916666666667</v>
      </c>
      <c r="H910" s="20" t="s">
        <v>445</v>
      </c>
      <c r="I910" s="1" t="s">
        <v>263</v>
      </c>
      <c r="J910" s="20" t="s">
        <v>264</v>
      </c>
      <c r="K910" s="1" t="e">
        <f aca="false">_xlfn.xlookup(J910,REF!$D$2:$D$12,REF!$E$2:$E$12)</f>
        <v>#NAME?</v>
      </c>
      <c r="L910" s="1" t="s">
        <v>449</v>
      </c>
      <c r="M910" s="20" t="s">
        <v>418</v>
      </c>
      <c r="N910" s="20" t="s">
        <v>252</v>
      </c>
      <c r="O910" s="1" t="s">
        <v>419</v>
      </c>
      <c r="P910" s="1" t="str">
        <f aca="false">_xlfn.CONCAT(B910,C910,D910,E910,F910)</f>
        <v>BC Camarao1.1215KTL-H3(MBUS-16)46371.12546371.12546371.3229166667</v>
      </c>
      <c r="Q910" s="1" t="str">
        <f aca="false">_xlfn.CONCAT(H910,I910,J910)</f>
        <v>LIGRFOCOM</v>
      </c>
    </row>
    <row r="911" customFormat="false" ht="15" hidden="false" customHeight="false" outlineLevel="0" collapsed="false">
      <c r="B911" s="1" t="s">
        <v>685</v>
      </c>
      <c r="C911" s="1" t="s">
        <v>395</v>
      </c>
      <c r="D911" s="14" t="n">
        <v>46371.125</v>
      </c>
      <c r="E911" s="14" t="n">
        <v>46371.125</v>
      </c>
      <c r="F911" s="14" t="n">
        <v>46371.3229166667</v>
      </c>
      <c r="G911" s="15" t="n">
        <f aca="false">F911-E911</f>
        <v>0.197916666666667</v>
      </c>
      <c r="H911" s="20" t="s">
        <v>445</v>
      </c>
      <c r="I911" s="1" t="s">
        <v>263</v>
      </c>
      <c r="J911" s="20" t="s">
        <v>264</v>
      </c>
      <c r="K911" s="1" t="e">
        <f aca="false">_xlfn.xlookup(J911,REF!$D$2:$D$12,REF!$E$2:$E$12)</f>
        <v>#NAME?</v>
      </c>
      <c r="L911" s="1" t="s">
        <v>449</v>
      </c>
      <c r="M911" s="20" t="s">
        <v>418</v>
      </c>
      <c r="N911" s="20" t="s">
        <v>252</v>
      </c>
      <c r="O911" s="1" t="s">
        <v>419</v>
      </c>
      <c r="P911" s="1" t="str">
        <f aca="false">_xlfn.CONCAT(B911,C911,D911,E911,F911)</f>
        <v>BC Camarao1.1215KTL-H3(MBUS-15)46371.12546371.12546371.3229166667</v>
      </c>
      <c r="Q911" s="1" t="str">
        <f aca="false">_xlfn.CONCAT(H911,I911,J911)</f>
        <v>LIGRFOCOM</v>
      </c>
    </row>
    <row r="912" customFormat="false" ht="15" hidden="false" customHeight="false" outlineLevel="0" collapsed="false">
      <c r="B912" s="1" t="s">
        <v>390</v>
      </c>
      <c r="C912" s="1" t="s">
        <v>391</v>
      </c>
      <c r="D912" s="14" t="n">
        <v>46371.3541666667</v>
      </c>
      <c r="E912" s="14" t="n">
        <v>46371.3541666667</v>
      </c>
      <c r="F912" s="14" t="n">
        <v>46371.3597222222</v>
      </c>
      <c r="G912" s="15" t="n">
        <f aca="false">F912-E912</f>
        <v>0.00555555555555556</v>
      </c>
      <c r="H912" s="20" t="s">
        <v>445</v>
      </c>
      <c r="I912" s="1" t="s">
        <v>263</v>
      </c>
      <c r="J912" s="20" t="s">
        <v>264</v>
      </c>
      <c r="K912" s="1" t="e">
        <f aca="false">_xlfn.xlookup(J912,REF!$D$2:$D$12,REF!$E$2:$E$12)</f>
        <v>#NAME?</v>
      </c>
      <c r="L912" s="1" t="s">
        <v>449</v>
      </c>
      <c r="M912" s="20" t="s">
        <v>418</v>
      </c>
      <c r="N912" s="20" t="s">
        <v>252</v>
      </c>
      <c r="O912" s="1" t="s">
        <v>419</v>
      </c>
      <c r="P912" s="1" t="str">
        <f aca="false">_xlfn.CONCAT(B912,C912,D912,E912,F912)</f>
        <v>BC Camarao1.3215KTL-H3(MBUS-16)46371.354166666746371.354166666746371.3597222222</v>
      </c>
      <c r="Q912" s="1" t="str">
        <f aca="false">_xlfn.CONCAT(H912,I912,J912)</f>
        <v>LIGRFOCOM</v>
      </c>
    </row>
    <row r="913" customFormat="false" ht="15" hidden="false" customHeight="false" outlineLevel="0" collapsed="false">
      <c r="B913" s="1" t="s">
        <v>390</v>
      </c>
      <c r="C913" s="1" t="s">
        <v>394</v>
      </c>
      <c r="D913" s="14" t="n">
        <v>46371.3541666667</v>
      </c>
      <c r="E913" s="14" t="n">
        <v>46371.3541666667</v>
      </c>
      <c r="F913" s="14" t="n">
        <v>46371.3597222222</v>
      </c>
      <c r="G913" s="15" t="n">
        <f aca="false">F913-E913</f>
        <v>0.00555555555555556</v>
      </c>
      <c r="H913" s="20" t="s">
        <v>445</v>
      </c>
      <c r="I913" s="1" t="s">
        <v>263</v>
      </c>
      <c r="J913" s="20" t="s">
        <v>264</v>
      </c>
      <c r="K913" s="1" t="e">
        <f aca="false">_xlfn.xlookup(J913,REF!$D$2:$D$12,REF!$E$2:$E$12)</f>
        <v>#NAME?</v>
      </c>
      <c r="L913" s="1" t="s">
        <v>449</v>
      </c>
      <c r="M913" s="20" t="s">
        <v>418</v>
      </c>
      <c r="N913" s="20" t="s">
        <v>252</v>
      </c>
      <c r="O913" s="1" t="s">
        <v>419</v>
      </c>
      <c r="P913" s="1" t="str">
        <f aca="false">_xlfn.CONCAT(B913,C913,D913,E913,F913)</f>
        <v>BC Camarao1.3215KTL-H3(MBUS-14)46371.354166666746371.354166666746371.3597222222</v>
      </c>
      <c r="Q913" s="1" t="str">
        <f aca="false">_xlfn.CONCAT(H913,I913,J913)</f>
        <v>LIGRFOCOM</v>
      </c>
    </row>
    <row r="914" customFormat="false" ht="15" hidden="false" customHeight="false" outlineLevel="0" collapsed="false">
      <c r="B914" s="1" t="s">
        <v>390</v>
      </c>
      <c r="C914" s="1" t="s">
        <v>395</v>
      </c>
      <c r="D914" s="14" t="n">
        <v>46371.3541666667</v>
      </c>
      <c r="E914" s="14" t="n">
        <v>46371.3541666667</v>
      </c>
      <c r="F914" s="14" t="n">
        <v>46371.3597222222</v>
      </c>
      <c r="G914" s="15" t="n">
        <f aca="false">F914-E914</f>
        <v>0.00555555555555556</v>
      </c>
      <c r="H914" s="20" t="s">
        <v>445</v>
      </c>
      <c r="I914" s="1" t="s">
        <v>263</v>
      </c>
      <c r="J914" s="20" t="s">
        <v>264</v>
      </c>
      <c r="K914" s="1" t="e">
        <f aca="false">_xlfn.xlookup(J914,REF!$D$2:$D$12,REF!$E$2:$E$12)</f>
        <v>#NAME?</v>
      </c>
      <c r="L914" s="1" t="s">
        <v>449</v>
      </c>
      <c r="M914" s="20" t="s">
        <v>418</v>
      </c>
      <c r="N914" s="20" t="s">
        <v>252</v>
      </c>
      <c r="O914" s="1" t="s">
        <v>419</v>
      </c>
      <c r="P914" s="1" t="str">
        <f aca="false">_xlfn.CONCAT(B914,C914,D914,E914,F914)</f>
        <v>BC Camarao1.3215KTL-H3(MBUS-15)46371.354166666746371.354166666746371.3597222222</v>
      </c>
      <c r="Q914" s="1" t="str">
        <f aca="false">_xlfn.CONCAT(H914,I914,J914)</f>
        <v>LIGRFOCOM</v>
      </c>
    </row>
    <row r="915" customFormat="false" ht="15" hidden="false" customHeight="false" outlineLevel="0" collapsed="false">
      <c r="B915" s="1" t="s">
        <v>390</v>
      </c>
      <c r="C915" s="1" t="s">
        <v>396</v>
      </c>
      <c r="D915" s="14" t="n">
        <v>46371.3541666667</v>
      </c>
      <c r="E915" s="14" t="n">
        <v>46371.3541666667</v>
      </c>
      <c r="F915" s="14" t="n">
        <v>46371.3597222222</v>
      </c>
      <c r="G915" s="15" t="n">
        <f aca="false">F915-E915</f>
        <v>0.00555555555555556</v>
      </c>
      <c r="H915" s="20" t="s">
        <v>445</v>
      </c>
      <c r="I915" s="1" t="s">
        <v>263</v>
      </c>
      <c r="J915" s="20" t="s">
        <v>264</v>
      </c>
      <c r="K915" s="1" t="e">
        <f aca="false">_xlfn.xlookup(J915,REF!$D$2:$D$12,REF!$E$2:$E$12)</f>
        <v>#NAME?</v>
      </c>
      <c r="L915" s="1" t="s">
        <v>449</v>
      </c>
      <c r="M915" s="20" t="s">
        <v>418</v>
      </c>
      <c r="N915" s="20" t="s">
        <v>252</v>
      </c>
      <c r="O915" s="1" t="s">
        <v>419</v>
      </c>
      <c r="P915" s="1" t="str">
        <f aca="false">_xlfn.CONCAT(B915,C915,D915,E915,F915)</f>
        <v>BC Camarao1.3215KTL-H3(MBUS-12)46371.354166666746371.354166666746371.3597222222</v>
      </c>
      <c r="Q915" s="1" t="str">
        <f aca="false">_xlfn.CONCAT(H915,I915,J915)</f>
        <v>LIGRFOCOM</v>
      </c>
    </row>
    <row r="916" customFormat="false" ht="15" hidden="false" customHeight="false" outlineLevel="0" collapsed="false">
      <c r="B916" s="1" t="s">
        <v>390</v>
      </c>
      <c r="C916" s="1" t="s">
        <v>397</v>
      </c>
      <c r="D916" s="14" t="n">
        <v>46371.3541666667</v>
      </c>
      <c r="E916" s="14" t="n">
        <v>46371.3541666667</v>
      </c>
      <c r="F916" s="14" t="n">
        <v>46371.3597222222</v>
      </c>
      <c r="G916" s="15" t="n">
        <f aca="false">F916-E916</f>
        <v>0.00555555555555556</v>
      </c>
      <c r="H916" s="20" t="s">
        <v>445</v>
      </c>
      <c r="I916" s="1" t="s">
        <v>263</v>
      </c>
      <c r="J916" s="20" t="s">
        <v>264</v>
      </c>
      <c r="K916" s="1" t="e">
        <f aca="false">_xlfn.xlookup(J916,REF!$D$2:$D$12,REF!$E$2:$E$12)</f>
        <v>#NAME?</v>
      </c>
      <c r="L916" s="1" t="s">
        <v>449</v>
      </c>
      <c r="M916" s="20" t="s">
        <v>418</v>
      </c>
      <c r="N916" s="20" t="s">
        <v>252</v>
      </c>
      <c r="O916" s="1" t="s">
        <v>419</v>
      </c>
      <c r="P916" s="1" t="str">
        <f aca="false">_xlfn.CONCAT(B916,C916,D916,E916,F916)</f>
        <v>BC Camarao1.3215KTL-H3(MBUS-13)46371.354166666746371.354166666746371.3597222222</v>
      </c>
      <c r="Q916" s="1" t="str">
        <f aca="false">_xlfn.CONCAT(H916,I916,J916)</f>
        <v>LIGRFOCOM</v>
      </c>
    </row>
    <row r="917" customFormat="false" ht="15" hidden="false" customHeight="false" outlineLevel="0" collapsed="false">
      <c r="B917" s="1" t="s">
        <v>672</v>
      </c>
      <c r="C917" s="1" t="s">
        <v>291</v>
      </c>
      <c r="D917" s="14" t="n">
        <v>46372.2465277778</v>
      </c>
      <c r="E917" s="14" t="n">
        <v>46372.2465277778</v>
      </c>
      <c r="F917" s="14" t="n">
        <v>46372.5833333333</v>
      </c>
      <c r="G917" s="15" t="n">
        <f aca="false">F917-E917</f>
        <v>0.336805555555556</v>
      </c>
      <c r="H917" s="20" t="s">
        <v>445</v>
      </c>
      <c r="I917" s="1" t="s">
        <v>263</v>
      </c>
      <c r="J917" s="20" t="s">
        <v>264</v>
      </c>
      <c r="K917" s="1" t="e">
        <f aca="false">_xlfn.xlookup(J917,REF!$D$2:$D$12,REF!$E$2:$E$12)</f>
        <v>#NAME?</v>
      </c>
      <c r="L917" s="1" t="s">
        <v>880</v>
      </c>
      <c r="M917" s="20" t="s">
        <v>418</v>
      </c>
      <c r="N917" s="20" t="s">
        <v>252</v>
      </c>
      <c r="O917" s="1" t="s">
        <v>419</v>
      </c>
      <c r="P917" s="1" t="str">
        <f aca="false">_xlfn.CONCAT(B917,C917,D917,E917,F917)</f>
        <v>BC BomSucessoSG60KTL46372.246527777846372.246527777846372.5833333333</v>
      </c>
      <c r="Q917" s="1" t="str">
        <f aca="false">_xlfn.CONCAT(H917,I917,J917)</f>
        <v>LIGRFOCOM</v>
      </c>
    </row>
    <row r="918" customFormat="false" ht="15" hidden="false" customHeight="false" outlineLevel="0" collapsed="false">
      <c r="B918" s="1" t="s">
        <v>672</v>
      </c>
      <c r="C918" s="1" t="s">
        <v>674</v>
      </c>
      <c r="D918" s="14" t="n">
        <v>46372.2465277778</v>
      </c>
      <c r="E918" s="14" t="n">
        <v>46372.2465277778</v>
      </c>
      <c r="F918" s="14" t="n">
        <v>46372.5833333333</v>
      </c>
      <c r="G918" s="15" t="n">
        <f aca="false">F918-E918</f>
        <v>0.336805555555556</v>
      </c>
      <c r="H918" s="20" t="s">
        <v>445</v>
      </c>
      <c r="I918" s="1" t="s">
        <v>263</v>
      </c>
      <c r="J918" s="20" t="s">
        <v>264</v>
      </c>
      <c r="K918" s="1" t="e">
        <f aca="false">_xlfn.xlookup(J918,REF!$D$2:$D$12,REF!$E$2:$E$12)</f>
        <v>#NAME?</v>
      </c>
      <c r="L918" s="1" t="s">
        <v>880</v>
      </c>
      <c r="M918" s="20" t="s">
        <v>418</v>
      </c>
      <c r="N918" s="20" t="s">
        <v>252</v>
      </c>
      <c r="O918" s="1" t="s">
        <v>419</v>
      </c>
      <c r="P918" s="1" t="str">
        <f aca="false">_xlfn.CONCAT(B918,C918,D918,E918,F918)</f>
        <v>BC BomSucessoABB_0146372.246527777846372.246527777846372.5833333333</v>
      </c>
      <c r="Q918" s="1" t="str">
        <f aca="false">_xlfn.CONCAT(H918,I918,J918)</f>
        <v>LIGRFOCOM</v>
      </c>
    </row>
    <row r="919" customFormat="false" ht="15" hidden="false" customHeight="false" outlineLevel="0" collapsed="false">
      <c r="B919" s="1" t="s">
        <v>672</v>
      </c>
      <c r="C919" s="1" t="s">
        <v>675</v>
      </c>
      <c r="D919" s="14" t="n">
        <v>46372.2465277778</v>
      </c>
      <c r="E919" s="14" t="n">
        <v>46372.2465277778</v>
      </c>
      <c r="F919" s="14" t="n">
        <v>46372.5833333333</v>
      </c>
      <c r="G919" s="15" t="n">
        <f aca="false">F919-E919</f>
        <v>0.336805555555556</v>
      </c>
      <c r="H919" s="20" t="s">
        <v>445</v>
      </c>
      <c r="I919" s="1" t="s">
        <v>263</v>
      </c>
      <c r="J919" s="20" t="s">
        <v>264</v>
      </c>
      <c r="K919" s="1" t="e">
        <f aca="false">_xlfn.xlookup(J919,REF!$D$2:$D$12,REF!$E$2:$E$12)</f>
        <v>#NAME?</v>
      </c>
      <c r="L919" s="1" t="s">
        <v>880</v>
      </c>
      <c r="M919" s="20" t="s">
        <v>418</v>
      </c>
      <c r="N919" s="20" t="s">
        <v>252</v>
      </c>
      <c r="O919" s="1" t="s">
        <v>419</v>
      </c>
      <c r="P919" s="1" t="str">
        <f aca="false">_xlfn.CONCAT(B919,C919,D919,E919,F919)</f>
        <v>BC BomSucessoABB_0246372.246527777846372.246527777846372.5833333333</v>
      </c>
      <c r="Q919" s="1" t="str">
        <f aca="false">_xlfn.CONCAT(H919,I919,J919)</f>
        <v>LIGRFOCOM</v>
      </c>
    </row>
    <row r="920" customFormat="false" ht="15" hidden="false" customHeight="false" outlineLevel="0" collapsed="false">
      <c r="B920" s="1" t="s">
        <v>672</v>
      </c>
      <c r="C920" s="1" t="s">
        <v>676</v>
      </c>
      <c r="D920" s="14" t="n">
        <v>46372.2465277778</v>
      </c>
      <c r="E920" s="14" t="n">
        <v>46372.2465277778</v>
      </c>
      <c r="F920" s="14" t="n">
        <v>46372.5833333333</v>
      </c>
      <c r="G920" s="15" t="n">
        <f aca="false">F920-E920</f>
        <v>0.336805555555556</v>
      </c>
      <c r="H920" s="20" t="s">
        <v>445</v>
      </c>
      <c r="I920" s="1" t="s">
        <v>263</v>
      </c>
      <c r="J920" s="20" t="s">
        <v>264</v>
      </c>
      <c r="K920" s="1" t="e">
        <f aca="false">_xlfn.xlookup(J920,REF!$D$2:$D$12,REF!$E$2:$E$12)</f>
        <v>#NAME?</v>
      </c>
      <c r="L920" s="1" t="s">
        <v>880</v>
      </c>
      <c r="M920" s="20" t="s">
        <v>418</v>
      </c>
      <c r="N920" s="20" t="s">
        <v>252</v>
      </c>
      <c r="O920" s="1" t="s">
        <v>419</v>
      </c>
      <c r="P920" s="1" t="str">
        <f aca="false">_xlfn.CONCAT(B920,C920,D920,E920,F920)</f>
        <v>BC BomSucessoABB_0346372.246527777846372.246527777846372.5833333333</v>
      </c>
      <c r="Q920" s="1" t="str">
        <f aca="false">_xlfn.CONCAT(H920,I920,J920)</f>
        <v>LIGRFOCOM</v>
      </c>
    </row>
    <row r="921" customFormat="false" ht="15" hidden="false" customHeight="false" outlineLevel="0" collapsed="false">
      <c r="B921" s="1" t="s">
        <v>672</v>
      </c>
      <c r="C921" s="1" t="s">
        <v>677</v>
      </c>
      <c r="D921" s="14" t="n">
        <v>46372.2465277778</v>
      </c>
      <c r="E921" s="14" t="n">
        <v>46372.2465277778</v>
      </c>
      <c r="F921" s="14" t="n">
        <v>46372.5833333333</v>
      </c>
      <c r="G921" s="15" t="n">
        <f aca="false">F921-E921</f>
        <v>0.336805555555556</v>
      </c>
      <c r="H921" s="20" t="s">
        <v>445</v>
      </c>
      <c r="I921" s="1" t="s">
        <v>263</v>
      </c>
      <c r="J921" s="20" t="s">
        <v>264</v>
      </c>
      <c r="K921" s="1" t="e">
        <f aca="false">_xlfn.xlookup(J921,REF!$D$2:$D$12,REF!$E$2:$E$12)</f>
        <v>#NAME?</v>
      </c>
      <c r="L921" s="1" t="s">
        <v>880</v>
      </c>
      <c r="M921" s="20" t="s">
        <v>418</v>
      </c>
      <c r="N921" s="20" t="s">
        <v>252</v>
      </c>
      <c r="O921" s="1" t="s">
        <v>419</v>
      </c>
      <c r="P921" s="1" t="str">
        <f aca="false">_xlfn.CONCAT(B921,C921,D921,E921,F921)</f>
        <v>BC BomSucessoABB_0446372.246527777846372.246527777846372.5833333333</v>
      </c>
      <c r="Q921" s="1" t="str">
        <f aca="false">_xlfn.CONCAT(H921,I921,J921)</f>
        <v>LIGRFOCOM</v>
      </c>
    </row>
    <row r="922" customFormat="false" ht="15" hidden="false" customHeight="false" outlineLevel="0" collapsed="false">
      <c r="B922" s="1" t="s">
        <v>672</v>
      </c>
      <c r="C922" s="1" t="s">
        <v>678</v>
      </c>
      <c r="D922" s="14" t="n">
        <v>46372.2465277778</v>
      </c>
      <c r="E922" s="14" t="n">
        <v>46372.2465277778</v>
      </c>
      <c r="F922" s="14" t="n">
        <v>46372.5833333333</v>
      </c>
      <c r="G922" s="15" t="n">
        <f aca="false">F922-E922</f>
        <v>0.336805555555556</v>
      </c>
      <c r="H922" s="20" t="s">
        <v>445</v>
      </c>
      <c r="I922" s="1" t="s">
        <v>263</v>
      </c>
      <c r="J922" s="20" t="s">
        <v>264</v>
      </c>
      <c r="K922" s="1" t="e">
        <f aca="false">_xlfn.xlookup(J922,REF!$D$2:$D$12,REF!$E$2:$E$12)</f>
        <v>#NAME?</v>
      </c>
      <c r="L922" s="1" t="s">
        <v>880</v>
      </c>
      <c r="M922" s="20" t="s">
        <v>418</v>
      </c>
      <c r="N922" s="20" t="s">
        <v>252</v>
      </c>
      <c r="O922" s="1" t="s">
        <v>419</v>
      </c>
      <c r="P922" s="1" t="str">
        <f aca="false">_xlfn.CONCAT(B922,C922,D922,E922,F922)</f>
        <v>BC BomSucessoABB_0546372.246527777846372.246527777846372.5833333333</v>
      </c>
      <c r="Q922" s="1" t="str">
        <f aca="false">_xlfn.CONCAT(H922,I922,J922)</f>
        <v>LIGRFOCOM</v>
      </c>
    </row>
    <row r="923" customFormat="false" ht="15" hidden="false" customHeight="false" outlineLevel="0" collapsed="false">
      <c r="B923" s="1" t="s">
        <v>672</v>
      </c>
      <c r="C923" s="1" t="s">
        <v>679</v>
      </c>
      <c r="D923" s="14" t="n">
        <v>46372.2465277778</v>
      </c>
      <c r="E923" s="14" t="n">
        <v>46372.2465277778</v>
      </c>
      <c r="F923" s="14" t="n">
        <v>46372.5833333333</v>
      </c>
      <c r="G923" s="15" t="n">
        <f aca="false">F923-E923</f>
        <v>0.336805555555556</v>
      </c>
      <c r="H923" s="20" t="s">
        <v>445</v>
      </c>
      <c r="I923" s="1" t="s">
        <v>263</v>
      </c>
      <c r="J923" s="20" t="s">
        <v>264</v>
      </c>
      <c r="K923" s="1" t="e">
        <f aca="false">_xlfn.xlookup(J923,REF!$D$2:$D$12,REF!$E$2:$E$12)</f>
        <v>#NAME?</v>
      </c>
      <c r="L923" s="1" t="s">
        <v>880</v>
      </c>
      <c r="M923" s="20" t="s">
        <v>418</v>
      </c>
      <c r="N923" s="20" t="s">
        <v>252</v>
      </c>
      <c r="O923" s="1" t="s">
        <v>419</v>
      </c>
      <c r="P923" s="1" t="str">
        <f aca="false">_xlfn.CONCAT(B923,C923,D923,E923,F923)</f>
        <v>BC BomSucessoABB_0646372.246527777846372.246527777846372.5833333333</v>
      </c>
      <c r="Q923" s="1" t="str">
        <f aca="false">_xlfn.CONCAT(H923,I923,J923)</f>
        <v>LIGRFOCOM</v>
      </c>
    </row>
    <row r="924" customFormat="false" ht="15" hidden="false" customHeight="false" outlineLevel="0" collapsed="false">
      <c r="B924" s="1" t="s">
        <v>672</v>
      </c>
      <c r="C924" s="1" t="s">
        <v>680</v>
      </c>
      <c r="D924" s="14" t="n">
        <v>46372.2465277778</v>
      </c>
      <c r="E924" s="14" t="n">
        <v>46372.2465277778</v>
      </c>
      <c r="F924" s="14" t="n">
        <v>46372.5833333333</v>
      </c>
      <c r="G924" s="15" t="n">
        <f aca="false">F924-E924</f>
        <v>0.336805555555556</v>
      </c>
      <c r="H924" s="20" t="s">
        <v>445</v>
      </c>
      <c r="I924" s="1" t="s">
        <v>263</v>
      </c>
      <c r="J924" s="20" t="s">
        <v>264</v>
      </c>
      <c r="K924" s="1" t="e">
        <f aca="false">_xlfn.xlookup(J924,REF!$D$2:$D$12,REF!$E$2:$E$12)</f>
        <v>#NAME?</v>
      </c>
      <c r="L924" s="1" t="s">
        <v>880</v>
      </c>
      <c r="M924" s="20" t="s">
        <v>418</v>
      </c>
      <c r="N924" s="20" t="s">
        <v>252</v>
      </c>
      <c r="O924" s="1" t="s">
        <v>419</v>
      </c>
      <c r="P924" s="1" t="str">
        <f aca="false">_xlfn.CONCAT(B924,C924,D924,E924,F924)</f>
        <v>BC BomSucessoABB_0746372.246527777846372.246527777846372.5833333333</v>
      </c>
      <c r="Q924" s="1" t="str">
        <f aca="false">_xlfn.CONCAT(H924,I924,J924)</f>
        <v>LIGRFOCOM</v>
      </c>
    </row>
    <row r="925" customFormat="false" ht="15" hidden="false" customHeight="false" outlineLevel="0" collapsed="false">
      <c r="B925" s="1" t="s">
        <v>672</v>
      </c>
      <c r="C925" s="1" t="s">
        <v>681</v>
      </c>
      <c r="D925" s="14" t="n">
        <v>46372.2465277778</v>
      </c>
      <c r="E925" s="14" t="n">
        <v>46372.2465277778</v>
      </c>
      <c r="F925" s="14" t="n">
        <v>46372.5833333333</v>
      </c>
      <c r="G925" s="15" t="n">
        <f aca="false">F925-E925</f>
        <v>0.336805555555556</v>
      </c>
      <c r="H925" s="20" t="s">
        <v>445</v>
      </c>
      <c r="I925" s="1" t="s">
        <v>263</v>
      </c>
      <c r="J925" s="20" t="s">
        <v>264</v>
      </c>
      <c r="K925" s="1" t="e">
        <f aca="false">_xlfn.xlookup(J925,REF!$D$2:$D$12,REF!$E$2:$E$12)</f>
        <v>#NAME?</v>
      </c>
      <c r="L925" s="1" t="s">
        <v>880</v>
      </c>
      <c r="M925" s="20" t="s">
        <v>418</v>
      </c>
      <c r="N925" s="20" t="s">
        <v>252</v>
      </c>
      <c r="O925" s="1" t="s">
        <v>419</v>
      </c>
      <c r="P925" s="1" t="str">
        <f aca="false">_xlfn.CONCAT(B925,C925,D925,E925,F925)</f>
        <v>BC BomSucessoABB_0846372.246527777846372.246527777846372.5833333333</v>
      </c>
      <c r="Q925" s="1" t="str">
        <f aca="false">_xlfn.CONCAT(H925,I925,J925)</f>
        <v>LIGRFOCOM</v>
      </c>
    </row>
    <row r="926" customFormat="false" ht="15" hidden="false" customHeight="false" outlineLevel="0" collapsed="false">
      <c r="B926" s="1" t="s">
        <v>672</v>
      </c>
      <c r="C926" s="1" t="s">
        <v>682</v>
      </c>
      <c r="D926" s="14" t="n">
        <v>46372.2465277778</v>
      </c>
      <c r="E926" s="14" t="n">
        <v>46372.2465277778</v>
      </c>
      <c r="F926" s="14" t="n">
        <v>46372.5833333333</v>
      </c>
      <c r="G926" s="15" t="n">
        <f aca="false">F926-E926</f>
        <v>0.336805555555556</v>
      </c>
      <c r="H926" s="20" t="s">
        <v>445</v>
      </c>
      <c r="I926" s="1" t="s">
        <v>263</v>
      </c>
      <c r="J926" s="20" t="s">
        <v>264</v>
      </c>
      <c r="K926" s="1" t="e">
        <f aca="false">_xlfn.xlookup(J926,REF!$D$2:$D$12,REF!$E$2:$E$12)</f>
        <v>#NAME?</v>
      </c>
      <c r="L926" s="1" t="s">
        <v>880</v>
      </c>
      <c r="M926" s="20" t="s">
        <v>418</v>
      </c>
      <c r="N926" s="20" t="s">
        <v>252</v>
      </c>
      <c r="O926" s="1" t="s">
        <v>419</v>
      </c>
      <c r="P926" s="1" t="str">
        <f aca="false">_xlfn.CONCAT(B926,C926,D926,E926,F926)</f>
        <v>BC BomSucessoABB_0946372.246527777846372.246527777846372.5833333333</v>
      </c>
      <c r="Q926" s="1" t="str">
        <f aca="false">_xlfn.CONCAT(H926,I926,J926)</f>
        <v>LIGRFOCOM</v>
      </c>
    </row>
    <row r="927" customFormat="false" ht="15" hidden="false" customHeight="false" outlineLevel="0" collapsed="false">
      <c r="B927" s="1" t="s">
        <v>672</v>
      </c>
      <c r="C927" s="1" t="s">
        <v>683</v>
      </c>
      <c r="D927" s="14" t="n">
        <v>46372.2465277778</v>
      </c>
      <c r="E927" s="14" t="n">
        <v>46372.2465277778</v>
      </c>
      <c r="F927" s="14" t="n">
        <v>46372.5833333333</v>
      </c>
      <c r="G927" s="15" t="n">
        <f aca="false">F927-E927</f>
        <v>0.336805555555556</v>
      </c>
      <c r="H927" s="20" t="s">
        <v>445</v>
      </c>
      <c r="I927" s="1" t="s">
        <v>263</v>
      </c>
      <c r="J927" s="20" t="s">
        <v>264</v>
      </c>
      <c r="K927" s="1" t="e">
        <f aca="false">_xlfn.xlookup(J927,REF!$D$2:$D$12,REF!$E$2:$E$12)</f>
        <v>#NAME?</v>
      </c>
      <c r="L927" s="1" t="s">
        <v>880</v>
      </c>
      <c r="M927" s="20" t="s">
        <v>418</v>
      </c>
      <c r="N927" s="20" t="s">
        <v>252</v>
      </c>
      <c r="O927" s="1" t="s">
        <v>419</v>
      </c>
      <c r="P927" s="1" t="str">
        <f aca="false">_xlfn.CONCAT(B927,C927,D927,E927,F927)</f>
        <v>BC BomSucessoABB_1046372.246527777846372.246527777846372.5833333333</v>
      </c>
      <c r="Q927" s="1" t="str">
        <f aca="false">_xlfn.CONCAT(H927,I927,J927)</f>
        <v>LIGRFOCOM</v>
      </c>
    </row>
    <row r="928" customFormat="false" ht="15" hidden="false" customHeight="false" outlineLevel="0" collapsed="false">
      <c r="B928" s="1" t="s">
        <v>672</v>
      </c>
      <c r="C928" s="1" t="s">
        <v>684</v>
      </c>
      <c r="D928" s="14" t="n">
        <v>46372.2465277778</v>
      </c>
      <c r="E928" s="14" t="n">
        <v>46372.2465277778</v>
      </c>
      <c r="F928" s="14" t="n">
        <v>46372.5833333333</v>
      </c>
      <c r="G928" s="15" t="n">
        <f aca="false">F928-E928</f>
        <v>0.336805555555556</v>
      </c>
      <c r="H928" s="20" t="s">
        <v>445</v>
      </c>
      <c r="I928" s="1" t="s">
        <v>263</v>
      </c>
      <c r="J928" s="20" t="s">
        <v>264</v>
      </c>
      <c r="K928" s="1" t="e">
        <f aca="false">_xlfn.xlookup(J928,REF!$D$2:$D$12,REF!$E$2:$E$12)</f>
        <v>#NAME?</v>
      </c>
      <c r="L928" s="1" t="s">
        <v>880</v>
      </c>
      <c r="M928" s="20" t="s">
        <v>418</v>
      </c>
      <c r="N928" s="20" t="s">
        <v>252</v>
      </c>
      <c r="O928" s="1" t="s">
        <v>419</v>
      </c>
      <c r="P928" s="1" t="str">
        <f aca="false">_xlfn.CONCAT(B928,C928,D928,E928,F928)</f>
        <v>BC BomSucessoABB_1146372.246527777846372.246527777846372.5833333333</v>
      </c>
      <c r="Q928" s="1" t="str">
        <f aca="false">_xlfn.CONCAT(H928,I928,J928)</f>
        <v>LIGRFOCOM</v>
      </c>
    </row>
    <row r="929" s="48" customFormat="true" ht="15" hidden="true" customHeight="false" outlineLevel="0" collapsed="false">
      <c r="A929" s="43"/>
      <c r="B929" s="44" t="s">
        <v>254</v>
      </c>
      <c r="C929" s="44" t="s">
        <v>255</v>
      </c>
      <c r="D929" s="45" t="n">
        <v>46013.4527777778</v>
      </c>
      <c r="E929" s="45" t="n">
        <v>46013.4527777778</v>
      </c>
      <c r="F929" s="45" t="n">
        <v>46013.4597222222</v>
      </c>
      <c r="G929" s="46" t="n">
        <f aca="false">F929-E929</f>
        <v>0.00694444444444444</v>
      </c>
      <c r="H929" s="44" t="s">
        <v>248</v>
      </c>
      <c r="I929" s="44"/>
      <c r="J929" s="44" t="s">
        <v>256</v>
      </c>
      <c r="K929" s="44" t="s">
        <v>430</v>
      </c>
      <c r="L929" s="44" t="s">
        <v>881</v>
      </c>
      <c r="M929" s="44" t="s">
        <v>258</v>
      </c>
      <c r="N929" s="44" t="s">
        <v>379</v>
      </c>
      <c r="O929" s="44" t="s">
        <v>399</v>
      </c>
      <c r="P929" s="47" t="str">
        <f aca="false">_xlfn.CONCAT(B929,C929,D929,E929,F929)</f>
        <v>BC Aracu5.1Inverter(MBUS-1)46013.452777777846013.452777777846013.4597222222</v>
      </c>
      <c r="Q929" s="44" t="str">
        <f aca="false">_xlfn.CONCAT(H929,I929,J929)</f>
        <v>DAURDE</v>
      </c>
    </row>
    <row r="930" s="48" customFormat="true" ht="15" hidden="true" customHeight="false" outlineLevel="0" collapsed="false">
      <c r="A930" s="43"/>
      <c r="B930" s="44" t="s">
        <v>307</v>
      </c>
      <c r="C930" s="44" t="s">
        <v>255</v>
      </c>
      <c r="D930" s="45" t="n">
        <v>46013.4527777778</v>
      </c>
      <c r="E930" s="45" t="n">
        <v>46013.4527777778</v>
      </c>
      <c r="F930" s="45" t="n">
        <v>46013.4597222222</v>
      </c>
      <c r="G930" s="46" t="n">
        <f aca="false">F930-E930</f>
        <v>0.00694444444444444</v>
      </c>
      <c r="H930" s="44" t="s">
        <v>248</v>
      </c>
      <c r="I930" s="44"/>
      <c r="J930" s="44" t="s">
        <v>256</v>
      </c>
      <c r="K930" s="44" t="s">
        <v>430</v>
      </c>
      <c r="L930" s="44" t="s">
        <v>881</v>
      </c>
      <c r="M930" s="44" t="s">
        <v>258</v>
      </c>
      <c r="N930" s="44" t="s">
        <v>379</v>
      </c>
      <c r="O930" s="44" t="s">
        <v>399</v>
      </c>
      <c r="P930" s="47" t="str">
        <f aca="false">_xlfn.CONCAT(B930,C930,D930,E930,F930)</f>
        <v>BC Aracu5.2Inverter(MBUS-1)46013.452777777846013.452777777846013.4597222222</v>
      </c>
      <c r="Q930" s="44" t="str">
        <f aca="false">_xlfn.CONCAT(H930,I930,J930)</f>
        <v>DAURDE</v>
      </c>
    </row>
    <row r="931" s="48" customFormat="true" ht="15" hidden="true" customHeight="false" outlineLevel="0" collapsed="false">
      <c r="A931" s="43"/>
      <c r="B931" s="44" t="s">
        <v>308</v>
      </c>
      <c r="C931" s="44" t="s">
        <v>255</v>
      </c>
      <c r="D931" s="45" t="n">
        <v>46013.4527777778</v>
      </c>
      <c r="E931" s="45" t="n">
        <v>46013.4527777778</v>
      </c>
      <c r="F931" s="45" t="n">
        <v>46013.4597222222</v>
      </c>
      <c r="G931" s="46" t="n">
        <f aca="false">F931-E931</f>
        <v>0.00694444444444444</v>
      </c>
      <c r="H931" s="44" t="s">
        <v>248</v>
      </c>
      <c r="I931" s="44"/>
      <c r="J931" s="44" t="s">
        <v>256</v>
      </c>
      <c r="K931" s="44" t="s">
        <v>430</v>
      </c>
      <c r="L931" s="44" t="s">
        <v>881</v>
      </c>
      <c r="M931" s="44" t="s">
        <v>258</v>
      </c>
      <c r="N931" s="44" t="s">
        <v>379</v>
      </c>
      <c r="O931" s="44" t="s">
        <v>399</v>
      </c>
      <c r="P931" s="47" t="str">
        <f aca="false">_xlfn.CONCAT(B931,C931,D931,E931,F931)</f>
        <v>BC Aracu5.3Inverter(MBUS-1)46013.452777777846013.452777777846013.4597222222</v>
      </c>
      <c r="Q931" s="44" t="str">
        <f aca="false">_xlfn.CONCAT(H931,I931,J931)</f>
        <v>DAURDE</v>
      </c>
    </row>
    <row r="932" s="48" customFormat="true" ht="15" hidden="true" customHeight="false" outlineLevel="0" collapsed="false">
      <c r="A932" s="43"/>
      <c r="B932" s="44" t="s">
        <v>309</v>
      </c>
      <c r="C932" s="44" t="s">
        <v>255</v>
      </c>
      <c r="D932" s="45" t="n">
        <v>46013.4527777778</v>
      </c>
      <c r="E932" s="45" t="n">
        <v>46013.4527777778</v>
      </c>
      <c r="F932" s="45" t="n">
        <v>46013.4597222222</v>
      </c>
      <c r="G932" s="46" t="n">
        <f aca="false">F932-E932</f>
        <v>0.00694444444444444</v>
      </c>
      <c r="H932" s="44" t="s">
        <v>248</v>
      </c>
      <c r="I932" s="44"/>
      <c r="J932" s="44" t="s">
        <v>256</v>
      </c>
      <c r="K932" s="44" t="s">
        <v>430</v>
      </c>
      <c r="L932" s="44" t="s">
        <v>881</v>
      </c>
      <c r="M932" s="44" t="s">
        <v>258</v>
      </c>
      <c r="N932" s="44" t="s">
        <v>379</v>
      </c>
      <c r="O932" s="44" t="s">
        <v>399</v>
      </c>
      <c r="P932" s="47" t="str">
        <f aca="false">_xlfn.CONCAT(B932,C932,D932,E932,F932)</f>
        <v>BC Aracu5.4Inverter(MBUS-1)46013.452777777846013.452777777846013.4597222222</v>
      </c>
      <c r="Q932" s="44" t="str">
        <f aca="false">_xlfn.CONCAT(H932,I932,J932)</f>
        <v>DAURDE</v>
      </c>
    </row>
    <row r="933" s="48" customFormat="true" ht="15" hidden="true" customHeight="false" outlineLevel="0" collapsed="false">
      <c r="A933" s="43"/>
      <c r="B933" s="44" t="s">
        <v>310</v>
      </c>
      <c r="C933" s="44" t="s">
        <v>255</v>
      </c>
      <c r="D933" s="45" t="n">
        <v>46013.4527777778</v>
      </c>
      <c r="E933" s="45" t="n">
        <v>46013.4527777778</v>
      </c>
      <c r="F933" s="45" t="n">
        <v>46013.4597222222</v>
      </c>
      <c r="G933" s="46" t="n">
        <f aca="false">F933-E933</f>
        <v>0.00694444444444444</v>
      </c>
      <c r="H933" s="44" t="s">
        <v>248</v>
      </c>
      <c r="I933" s="44"/>
      <c r="J933" s="44" t="s">
        <v>256</v>
      </c>
      <c r="K933" s="44" t="s">
        <v>430</v>
      </c>
      <c r="L933" s="44" t="s">
        <v>881</v>
      </c>
      <c r="M933" s="44" t="s">
        <v>258</v>
      </c>
      <c r="N933" s="44" t="s">
        <v>379</v>
      </c>
      <c r="O933" s="44" t="s">
        <v>399</v>
      </c>
      <c r="P933" s="47" t="str">
        <f aca="false">_xlfn.CONCAT(B933,C933,D933,E933,F933)</f>
        <v>BC Aracu5.5Inverter(MBUS-1)46013.452777777846013.452777777846013.4597222222</v>
      </c>
      <c r="Q933" s="44" t="str">
        <f aca="false">_xlfn.CONCAT(H933,I933,J933)</f>
        <v>DAURDE</v>
      </c>
    </row>
    <row r="934" s="48" customFormat="true" ht="15" hidden="true" customHeight="false" outlineLevel="0" collapsed="false">
      <c r="A934" s="43"/>
      <c r="B934" s="44" t="s">
        <v>254</v>
      </c>
      <c r="C934" s="44" t="s">
        <v>255</v>
      </c>
      <c r="D934" s="45" t="n">
        <v>46013.4923611111</v>
      </c>
      <c r="E934" s="45" t="n">
        <v>46013.4923611111</v>
      </c>
      <c r="F934" s="45" t="n">
        <v>46013.5027777778</v>
      </c>
      <c r="G934" s="46" t="n">
        <f aca="false">F934-E934</f>
        <v>0.0104166666666667</v>
      </c>
      <c r="H934" s="44" t="s">
        <v>248</v>
      </c>
      <c r="I934" s="44"/>
      <c r="J934" s="44" t="s">
        <v>256</v>
      </c>
      <c r="K934" s="44" t="s">
        <v>430</v>
      </c>
      <c r="L934" s="44" t="s">
        <v>881</v>
      </c>
      <c r="M934" s="44" t="s">
        <v>258</v>
      </c>
      <c r="N934" s="44" t="s">
        <v>379</v>
      </c>
      <c r="O934" s="44" t="s">
        <v>399</v>
      </c>
      <c r="P934" s="47" t="str">
        <f aca="false">_xlfn.CONCAT(B934,C934,D934,E934,F934)</f>
        <v>BC Aracu5.1Inverter(MBUS-1)46013.492361111146013.492361111146013.5027777778</v>
      </c>
      <c r="Q934" s="44" t="str">
        <f aca="false">_xlfn.CONCAT(H934,I934,J934)</f>
        <v>DAURDE</v>
      </c>
    </row>
    <row r="935" s="48" customFormat="true" ht="15" hidden="true" customHeight="false" outlineLevel="0" collapsed="false">
      <c r="A935" s="43"/>
      <c r="B935" s="44" t="s">
        <v>307</v>
      </c>
      <c r="C935" s="44" t="s">
        <v>255</v>
      </c>
      <c r="D935" s="45" t="n">
        <v>46013.4923611111</v>
      </c>
      <c r="E935" s="45" t="n">
        <v>46013.4923611111</v>
      </c>
      <c r="F935" s="45" t="n">
        <v>46013.5027777778</v>
      </c>
      <c r="G935" s="46" t="n">
        <f aca="false">F935-E935</f>
        <v>0.0104166666666667</v>
      </c>
      <c r="H935" s="44" t="s">
        <v>248</v>
      </c>
      <c r="I935" s="44"/>
      <c r="J935" s="44" t="s">
        <v>256</v>
      </c>
      <c r="K935" s="44" t="s">
        <v>430</v>
      </c>
      <c r="L935" s="44" t="s">
        <v>881</v>
      </c>
      <c r="M935" s="44" t="s">
        <v>258</v>
      </c>
      <c r="N935" s="44" t="s">
        <v>379</v>
      </c>
      <c r="O935" s="44" t="s">
        <v>399</v>
      </c>
      <c r="P935" s="47" t="str">
        <f aca="false">_xlfn.CONCAT(B935,C935,D935,E935,F935)</f>
        <v>BC Aracu5.2Inverter(MBUS-1)46013.492361111146013.492361111146013.5027777778</v>
      </c>
      <c r="Q935" s="44" t="str">
        <f aca="false">_xlfn.CONCAT(H935,I935,J935)</f>
        <v>DAURDE</v>
      </c>
    </row>
    <row r="936" s="48" customFormat="true" ht="15" hidden="true" customHeight="false" outlineLevel="0" collapsed="false">
      <c r="A936" s="43"/>
      <c r="B936" s="44" t="s">
        <v>308</v>
      </c>
      <c r="C936" s="44" t="s">
        <v>255</v>
      </c>
      <c r="D936" s="45" t="n">
        <v>46013.4923611111</v>
      </c>
      <c r="E936" s="45" t="n">
        <v>46013.4923611111</v>
      </c>
      <c r="F936" s="45" t="n">
        <v>46013.5027777778</v>
      </c>
      <c r="G936" s="46" t="n">
        <f aca="false">F936-E936</f>
        <v>0.0104166666666667</v>
      </c>
      <c r="H936" s="44" t="s">
        <v>248</v>
      </c>
      <c r="I936" s="44"/>
      <c r="J936" s="44" t="s">
        <v>256</v>
      </c>
      <c r="K936" s="44" t="s">
        <v>430</v>
      </c>
      <c r="L936" s="44" t="s">
        <v>881</v>
      </c>
      <c r="M936" s="44" t="s">
        <v>258</v>
      </c>
      <c r="N936" s="44" t="s">
        <v>379</v>
      </c>
      <c r="O936" s="44" t="s">
        <v>399</v>
      </c>
      <c r="P936" s="47" t="str">
        <f aca="false">_xlfn.CONCAT(B936,C936,D936,E936,F936)</f>
        <v>BC Aracu5.3Inverter(MBUS-1)46013.492361111146013.492361111146013.5027777778</v>
      </c>
      <c r="Q936" s="44" t="str">
        <f aca="false">_xlfn.CONCAT(H936,I936,J936)</f>
        <v>DAURDE</v>
      </c>
    </row>
    <row r="937" s="48" customFormat="true" ht="15" hidden="true" customHeight="false" outlineLevel="0" collapsed="false">
      <c r="A937" s="43"/>
      <c r="B937" s="44" t="s">
        <v>309</v>
      </c>
      <c r="C937" s="44" t="s">
        <v>255</v>
      </c>
      <c r="D937" s="45" t="n">
        <v>46013.4923611111</v>
      </c>
      <c r="E937" s="45" t="n">
        <v>46013.4923611111</v>
      </c>
      <c r="F937" s="45" t="n">
        <v>46013.5027777778</v>
      </c>
      <c r="G937" s="46" t="n">
        <f aca="false">F937-E937</f>
        <v>0.0104166666666667</v>
      </c>
      <c r="H937" s="44" t="s">
        <v>248</v>
      </c>
      <c r="I937" s="44"/>
      <c r="J937" s="44" t="s">
        <v>256</v>
      </c>
      <c r="K937" s="44" t="s">
        <v>430</v>
      </c>
      <c r="L937" s="44" t="s">
        <v>881</v>
      </c>
      <c r="M937" s="44" t="s">
        <v>258</v>
      </c>
      <c r="N937" s="44" t="s">
        <v>379</v>
      </c>
      <c r="O937" s="44" t="s">
        <v>399</v>
      </c>
      <c r="P937" s="47" t="str">
        <f aca="false">_xlfn.CONCAT(B937,C937,D937,E937,F937)</f>
        <v>BC Aracu5.4Inverter(MBUS-1)46013.492361111146013.492361111146013.5027777778</v>
      </c>
      <c r="Q937" s="44" t="str">
        <f aca="false">_xlfn.CONCAT(H937,I937,J937)</f>
        <v>DAURDE</v>
      </c>
    </row>
    <row r="938" s="48" customFormat="true" ht="15" hidden="true" customHeight="false" outlineLevel="0" collapsed="false">
      <c r="A938" s="43"/>
      <c r="B938" s="44" t="s">
        <v>310</v>
      </c>
      <c r="C938" s="44" t="s">
        <v>255</v>
      </c>
      <c r="D938" s="45" t="n">
        <v>46013.4923611111</v>
      </c>
      <c r="E938" s="45" t="n">
        <v>46013.4923611111</v>
      </c>
      <c r="F938" s="45" t="n">
        <v>46013.5027777778</v>
      </c>
      <c r="G938" s="46" t="n">
        <f aca="false">F938-E938</f>
        <v>0.0104166666666667</v>
      </c>
      <c r="H938" s="44" t="s">
        <v>248</v>
      </c>
      <c r="I938" s="44"/>
      <c r="J938" s="44" t="s">
        <v>256</v>
      </c>
      <c r="K938" s="44" t="s">
        <v>430</v>
      </c>
      <c r="L938" s="44" t="s">
        <v>881</v>
      </c>
      <c r="M938" s="44" t="s">
        <v>258</v>
      </c>
      <c r="N938" s="44" t="s">
        <v>379</v>
      </c>
      <c r="O938" s="44" t="s">
        <v>399</v>
      </c>
      <c r="P938" s="47" t="str">
        <f aca="false">_xlfn.CONCAT(B938,C938,D938,E938,F938)</f>
        <v>BC Aracu5.5Inverter(MBUS-1)46013.492361111146013.492361111146013.5027777778</v>
      </c>
      <c r="Q938" s="44" t="str">
        <f aca="false">_xlfn.CONCAT(H938,I938,J938)</f>
        <v>DAURDE</v>
      </c>
    </row>
    <row r="939" customFormat="false" ht="15" hidden="true" customHeight="false" outlineLevel="0" collapsed="false">
      <c r="A939" s="43"/>
      <c r="B939" s="44" t="s">
        <v>320</v>
      </c>
      <c r="C939" s="44" t="s">
        <v>323</v>
      </c>
      <c r="D939" s="45" t="n">
        <v>46013.6493055556</v>
      </c>
      <c r="E939" s="45" t="n">
        <v>46013.6493055556</v>
      </c>
      <c r="F939" s="45" t="n">
        <v>46013.7083333333</v>
      </c>
      <c r="G939" s="46" t="n">
        <f aca="false">F939-E939</f>
        <v>0.0590277777777778</v>
      </c>
      <c r="H939" s="44" t="s">
        <v>248</v>
      </c>
      <c r="I939" s="44"/>
      <c r="J939" s="44" t="s">
        <v>256</v>
      </c>
      <c r="K939" s="44" t="s">
        <v>430</v>
      </c>
      <c r="L939" s="44" t="s">
        <v>275</v>
      </c>
      <c r="M939" s="44" t="s">
        <v>258</v>
      </c>
      <c r="N939" s="44" t="s">
        <v>379</v>
      </c>
      <c r="O939" s="44" t="s">
        <v>882</v>
      </c>
      <c r="P939" s="47" t="str">
        <f aca="false">_xlfn.CONCAT(B939,C939,D939,E939,F939)</f>
        <v>BC Panama1.1CEREAL_00246013.649305555646013.649305555646013.7083333333</v>
      </c>
      <c r="Q939" s="44" t="str">
        <f aca="false">_xlfn.CONCAT(H939,I939,J939)</f>
        <v>DAURDE</v>
      </c>
    </row>
    <row r="940" customFormat="false" ht="15" hidden="true" customHeight="false" outlineLevel="0" collapsed="false">
      <c r="A940" s="43"/>
      <c r="B940" s="44" t="s">
        <v>320</v>
      </c>
      <c r="C940" s="44" t="s">
        <v>321</v>
      </c>
      <c r="D940" s="45" t="n">
        <v>46013.6493055556</v>
      </c>
      <c r="E940" s="45" t="n">
        <v>46013.6493055556</v>
      </c>
      <c r="F940" s="45" t="n">
        <v>46013.7083333333</v>
      </c>
      <c r="G940" s="46" t="n">
        <f aca="false">F940-E940</f>
        <v>0.0590277777777778</v>
      </c>
      <c r="H940" s="44" t="s">
        <v>248</v>
      </c>
      <c r="I940" s="44"/>
      <c r="J940" s="44" t="s">
        <v>256</v>
      </c>
      <c r="K940" s="44" t="s">
        <v>430</v>
      </c>
      <c r="L940" s="44" t="s">
        <v>275</v>
      </c>
      <c r="M940" s="44" t="s">
        <v>258</v>
      </c>
      <c r="N940" s="44" t="s">
        <v>379</v>
      </c>
      <c r="O940" s="44" t="s">
        <v>882</v>
      </c>
      <c r="P940" s="47" t="str">
        <f aca="false">_xlfn.CONCAT(B940,C940,D940,E940,F940)</f>
        <v>BC Panama1.1ITAPOAN 001 (COM1-001)_001_00146013.649305555646013.649305555646013.7083333333</v>
      </c>
      <c r="Q940" s="44" t="str">
        <f aca="false">_xlfn.CONCAT(H940,I940,J940)</f>
        <v>DAURDE</v>
      </c>
    </row>
    <row r="941" customFormat="false" ht="15" hidden="true" customHeight="false" outlineLevel="0" collapsed="false">
      <c r="A941" s="43"/>
      <c r="B941" s="44" t="s">
        <v>320</v>
      </c>
      <c r="C941" s="44" t="s">
        <v>324</v>
      </c>
      <c r="D941" s="45" t="n">
        <v>46013.6493055556</v>
      </c>
      <c r="E941" s="45" t="n">
        <v>46013.6493055556</v>
      </c>
      <c r="F941" s="45" t="n">
        <v>46013.7083333333</v>
      </c>
      <c r="G941" s="46" t="n">
        <f aca="false">F941-E941</f>
        <v>0.0590277777777778</v>
      </c>
      <c r="H941" s="44" t="s">
        <v>248</v>
      </c>
      <c r="I941" s="44"/>
      <c r="J941" s="44" t="s">
        <v>256</v>
      </c>
      <c r="K941" s="44" t="s">
        <v>430</v>
      </c>
      <c r="L941" s="44" t="s">
        <v>275</v>
      </c>
      <c r="M941" s="44" t="s">
        <v>258</v>
      </c>
      <c r="N941" s="44" t="s">
        <v>379</v>
      </c>
      <c r="O941" s="44" t="s">
        <v>882</v>
      </c>
      <c r="P941" s="47" t="str">
        <f aca="false">_xlfn.CONCAT(B941,C941,D941,E941,F941)</f>
        <v>BC Panama1.1ITAPOAN_00346013.649305555646013.649305555646013.7083333333</v>
      </c>
      <c r="Q941" s="44" t="str">
        <f aca="false">_xlfn.CONCAT(H941,I941,J941)</f>
        <v>DAURDE</v>
      </c>
    </row>
    <row r="942" customFormat="false" ht="15" hidden="true" customHeight="false" outlineLevel="0" collapsed="false">
      <c r="A942" s="43"/>
      <c r="B942" s="44" t="s">
        <v>325</v>
      </c>
      <c r="C942" s="44" t="s">
        <v>327</v>
      </c>
      <c r="D942" s="45" t="n">
        <v>46013.6493055556</v>
      </c>
      <c r="E942" s="45" t="n">
        <v>46013.6493055556</v>
      </c>
      <c r="F942" s="45" t="n">
        <v>46013.7083333333</v>
      </c>
      <c r="G942" s="46" t="n">
        <f aca="false">F942-E942</f>
        <v>0.0590277777777778</v>
      </c>
      <c r="H942" s="44" t="s">
        <v>248</v>
      </c>
      <c r="I942" s="44"/>
      <c r="J942" s="44" t="s">
        <v>256</v>
      </c>
      <c r="K942" s="44" t="s">
        <v>430</v>
      </c>
      <c r="L942" s="44" t="s">
        <v>275</v>
      </c>
      <c r="M942" s="44" t="s">
        <v>258</v>
      </c>
      <c r="N942" s="44" t="s">
        <v>379</v>
      </c>
      <c r="O942" s="44" t="s">
        <v>882</v>
      </c>
      <c r="P942" s="47" t="str">
        <f aca="false">_xlfn.CONCAT(B942,C942,D942,E942,F942)</f>
        <v>BC Panama1.2COOGED_00546013.649305555646013.649305555646013.7083333333</v>
      </c>
      <c r="Q942" s="44" t="str">
        <f aca="false">_xlfn.CONCAT(H942,I942,J942)</f>
        <v>DAURDE</v>
      </c>
    </row>
    <row r="943" customFormat="false" ht="15" hidden="true" customHeight="false" outlineLevel="0" collapsed="false">
      <c r="A943" s="43"/>
      <c r="B943" s="44" t="s">
        <v>325</v>
      </c>
      <c r="C943" s="44" t="s">
        <v>328</v>
      </c>
      <c r="D943" s="45" t="n">
        <v>46013.6493055556</v>
      </c>
      <c r="E943" s="45" t="n">
        <v>46013.6493055556</v>
      </c>
      <c r="F943" s="45" t="n">
        <v>46013.7083333333</v>
      </c>
      <c r="G943" s="46" t="n">
        <f aca="false">F943-E943</f>
        <v>0.0590277777777778</v>
      </c>
      <c r="H943" s="44" t="s">
        <v>248</v>
      </c>
      <c r="I943" s="44"/>
      <c r="J943" s="44" t="s">
        <v>256</v>
      </c>
      <c r="K943" s="44" t="s">
        <v>430</v>
      </c>
      <c r="L943" s="44" t="s">
        <v>275</v>
      </c>
      <c r="M943" s="44" t="s">
        <v>258</v>
      </c>
      <c r="N943" s="44" t="s">
        <v>379</v>
      </c>
      <c r="O943" s="44" t="s">
        <v>882</v>
      </c>
      <c r="P943" s="47" t="str">
        <f aca="false">_xlfn.CONCAT(B943,C943,D943,E943,F943)</f>
        <v>BC Panama1.2ART_00646013.649305555646013.649305555646013.7083333333</v>
      </c>
      <c r="Q943" s="44" t="str">
        <f aca="false">_xlfn.CONCAT(H943,I943,J943)</f>
        <v>DAURDE</v>
      </c>
    </row>
    <row r="944" customFormat="false" ht="15" hidden="true" customHeight="false" outlineLevel="0" collapsed="false">
      <c r="A944" s="43"/>
      <c r="B944" s="44" t="s">
        <v>325</v>
      </c>
      <c r="C944" s="44" t="s">
        <v>326</v>
      </c>
      <c r="D944" s="45" t="n">
        <v>46013.6493055556</v>
      </c>
      <c r="E944" s="45" t="n">
        <v>46013.6493055556</v>
      </c>
      <c r="F944" s="45" t="n">
        <v>46013.7083333333</v>
      </c>
      <c r="G944" s="46" t="n">
        <f aca="false">F944-E944</f>
        <v>0.0590277777777778</v>
      </c>
      <c r="H944" s="44" t="s">
        <v>248</v>
      </c>
      <c r="I944" s="44"/>
      <c r="J944" s="44" t="s">
        <v>256</v>
      </c>
      <c r="K944" s="44" t="s">
        <v>430</v>
      </c>
      <c r="L944" s="44" t="s">
        <v>275</v>
      </c>
      <c r="M944" s="44" t="s">
        <v>258</v>
      </c>
      <c r="N944" s="44" t="s">
        <v>379</v>
      </c>
      <c r="O944" s="44" t="s">
        <v>882</v>
      </c>
      <c r="P944" s="47" t="str">
        <f aca="false">_xlfn.CONCAT(B944,C944,D944,E944,F944)</f>
        <v>BC Panama1.2ART_00446013.649305555646013.649305555646013.7083333333</v>
      </c>
      <c r="Q944" s="44" t="str">
        <f aca="false">_xlfn.CONCAT(H944,I944,J944)</f>
        <v>DAURDE</v>
      </c>
    </row>
    <row r="945" customFormat="false" ht="15" hidden="true" customHeight="false" outlineLevel="0" collapsed="false">
      <c r="A945" s="43"/>
      <c r="B945" s="44" t="s">
        <v>325</v>
      </c>
      <c r="C945" s="44" t="s">
        <v>329</v>
      </c>
      <c r="D945" s="45" t="n">
        <v>46013.6493055556</v>
      </c>
      <c r="E945" s="45" t="n">
        <v>46013.6493055556</v>
      </c>
      <c r="F945" s="45" t="n">
        <v>46013.7083333333</v>
      </c>
      <c r="G945" s="46" t="n">
        <f aca="false">F945-E945</f>
        <v>0.0590277777777778</v>
      </c>
      <c r="H945" s="44" t="s">
        <v>248</v>
      </c>
      <c r="I945" s="44"/>
      <c r="J945" s="44" t="s">
        <v>256</v>
      </c>
      <c r="K945" s="44" t="s">
        <v>430</v>
      </c>
      <c r="L945" s="44" t="s">
        <v>275</v>
      </c>
      <c r="M945" s="44" t="s">
        <v>258</v>
      </c>
      <c r="N945" s="44" t="s">
        <v>379</v>
      </c>
      <c r="O945" s="44" t="s">
        <v>882</v>
      </c>
      <c r="P945" s="47" t="str">
        <f aca="false">_xlfn.CONCAT(B945,C945,D945,E945,F945)</f>
        <v>BC Panama1.2RADIO_00746013.649305555646013.649305555646013.7083333333</v>
      </c>
      <c r="Q945" s="44" t="str">
        <f aca="false">_xlfn.CONCAT(H945,I945,J945)</f>
        <v>DAURDE</v>
      </c>
    </row>
    <row r="946" customFormat="false" ht="15" hidden="false" customHeight="false" outlineLevel="0" collapsed="false">
      <c r="B946" s="1" t="s">
        <v>797</v>
      </c>
      <c r="C946" s="1" t="s">
        <v>280</v>
      </c>
      <c r="D946" s="14" t="n">
        <v>46363.5659722222</v>
      </c>
      <c r="E946" s="14" t="n">
        <v>46363.5659722222</v>
      </c>
      <c r="F946" s="14" t="n">
        <v>46363.625</v>
      </c>
      <c r="G946" s="15" t="n">
        <f aca="false">F946-E946</f>
        <v>0.0590277777777778</v>
      </c>
      <c r="H946" s="20" t="s">
        <v>445</v>
      </c>
      <c r="I946" s="1" t="s">
        <v>263</v>
      </c>
      <c r="J946" s="20" t="s">
        <v>264</v>
      </c>
      <c r="K946" s="1" t="e">
        <f aca="false">_xlfn.xlookup(J946,REF!$D$2:$D$12,REF!$E$2:$E$12)</f>
        <v>#NAME?</v>
      </c>
      <c r="L946" s="1" t="s">
        <v>449</v>
      </c>
      <c r="M946" s="20" t="s">
        <v>418</v>
      </c>
      <c r="N946" s="20" t="s">
        <v>252</v>
      </c>
      <c r="O946" s="1" t="s">
        <v>860</v>
      </c>
      <c r="P946" s="1" t="str">
        <f aca="false">_xlfn.CONCAT(B946,C946,D946,E946,F946)</f>
        <v>BC Turvania1.1Inverter(MBUS-14)46363.565972222246363.565972222246363.625</v>
      </c>
      <c r="Q946" s="1" t="str">
        <f aca="false">_xlfn.CONCAT(H946,I946,J946)</f>
        <v>LIGRFOCOM</v>
      </c>
    </row>
    <row r="947" customFormat="false" ht="15" hidden="false" customHeight="false" outlineLevel="0" collapsed="false">
      <c r="B947" s="1" t="s">
        <v>797</v>
      </c>
      <c r="C947" s="1" t="s">
        <v>279</v>
      </c>
      <c r="D947" s="14" t="n">
        <v>46363.5659722222</v>
      </c>
      <c r="E947" s="14" t="n">
        <v>46363.5659722222</v>
      </c>
      <c r="F947" s="14" t="n">
        <v>46363.625</v>
      </c>
      <c r="G947" s="15" t="n">
        <f aca="false">F947-E947</f>
        <v>0.0590277777777778</v>
      </c>
      <c r="H947" s="20" t="s">
        <v>445</v>
      </c>
      <c r="I947" s="1" t="s">
        <v>263</v>
      </c>
      <c r="J947" s="20" t="s">
        <v>264</v>
      </c>
      <c r="K947" s="1" t="e">
        <f aca="false">_xlfn.xlookup(J947,REF!$D$2:$D$12,REF!$E$2:$E$12)</f>
        <v>#NAME?</v>
      </c>
      <c r="L947" s="1" t="s">
        <v>449</v>
      </c>
      <c r="M947" s="20" t="s">
        <v>418</v>
      </c>
      <c r="N947" s="20" t="s">
        <v>252</v>
      </c>
      <c r="O947" s="1" t="s">
        <v>860</v>
      </c>
      <c r="P947" s="1" t="str">
        <f aca="false">_xlfn.CONCAT(B947,C947,D947,E947,F947)</f>
        <v>BC Turvania1.1Inverter(MBUS-15)46363.565972222246363.565972222246363.625</v>
      </c>
      <c r="Q947" s="1" t="str">
        <f aca="false">_xlfn.CONCAT(H947,I947,J947)</f>
        <v>LIGRFOCOM</v>
      </c>
    </row>
    <row r="948" customFormat="false" ht="15" hidden="false" customHeight="false" outlineLevel="0" collapsed="false">
      <c r="B948" s="1" t="s">
        <v>797</v>
      </c>
      <c r="C948" s="1" t="s">
        <v>277</v>
      </c>
      <c r="D948" s="14" t="n">
        <v>46363.5659722222</v>
      </c>
      <c r="E948" s="14" t="n">
        <v>46363.5659722222</v>
      </c>
      <c r="F948" s="14" t="n">
        <v>46363.625</v>
      </c>
      <c r="G948" s="15" t="n">
        <f aca="false">F948-E948</f>
        <v>0.0590277777777778</v>
      </c>
      <c r="H948" s="20" t="s">
        <v>445</v>
      </c>
      <c r="I948" s="1" t="s">
        <v>263</v>
      </c>
      <c r="J948" s="20" t="s">
        <v>264</v>
      </c>
      <c r="K948" s="1" t="e">
        <f aca="false">_xlfn.xlookup(J948,REF!$D$2:$D$12,REF!$E$2:$E$12)</f>
        <v>#NAME?</v>
      </c>
      <c r="L948" s="1" t="s">
        <v>449</v>
      </c>
      <c r="M948" s="20" t="s">
        <v>418</v>
      </c>
      <c r="N948" s="20" t="s">
        <v>252</v>
      </c>
      <c r="O948" s="1" t="s">
        <v>860</v>
      </c>
      <c r="P948" s="1" t="str">
        <f aca="false">_xlfn.CONCAT(B948,C948,D948,E948,F948)</f>
        <v>BC Turvania1.1Inverter(MBUS-12)46363.565972222246363.565972222246363.625</v>
      </c>
      <c r="Q948" s="1" t="str">
        <f aca="false">_xlfn.CONCAT(H948,I948,J948)</f>
        <v>LIGRFOCOM</v>
      </c>
    </row>
    <row r="949" customFormat="false" ht="15" hidden="false" customHeight="false" outlineLevel="0" collapsed="false">
      <c r="B949" s="1" t="s">
        <v>797</v>
      </c>
      <c r="C949" s="1" t="s">
        <v>247</v>
      </c>
      <c r="D949" s="14" t="n">
        <v>46363.5659722222</v>
      </c>
      <c r="E949" s="14" t="n">
        <v>46363.5659722222</v>
      </c>
      <c r="F949" s="14" t="n">
        <v>46363.625</v>
      </c>
      <c r="G949" s="15" t="n">
        <f aca="false">F949-E949</f>
        <v>0.0590277777777778</v>
      </c>
      <c r="H949" s="20" t="s">
        <v>445</v>
      </c>
      <c r="I949" s="1" t="s">
        <v>263</v>
      </c>
      <c r="J949" s="20" t="s">
        <v>264</v>
      </c>
      <c r="K949" s="1" t="e">
        <f aca="false">_xlfn.xlookup(J949,REF!$D$2:$D$12,REF!$E$2:$E$12)</f>
        <v>#NAME?</v>
      </c>
      <c r="L949" s="1" t="s">
        <v>449</v>
      </c>
      <c r="M949" s="20" t="s">
        <v>418</v>
      </c>
      <c r="N949" s="20" t="s">
        <v>252</v>
      </c>
      <c r="O949" s="1" t="s">
        <v>860</v>
      </c>
      <c r="P949" s="1" t="str">
        <f aca="false">_xlfn.CONCAT(B949,C949,D949,E949,F949)</f>
        <v>BC Turvania1.1Inverter(MBUS-13)46363.565972222246363.565972222246363.625</v>
      </c>
      <c r="Q949" s="1" t="str">
        <f aca="false">_xlfn.CONCAT(H949,I949,J949)</f>
        <v>LIGRFOCOM</v>
      </c>
    </row>
    <row r="950" customFormat="false" ht="15" hidden="false" customHeight="false" outlineLevel="0" collapsed="false">
      <c r="B950" s="1" t="s">
        <v>883</v>
      </c>
      <c r="C950" s="1" t="s">
        <v>280</v>
      </c>
      <c r="D950" s="14" t="n">
        <v>46363.5659722222</v>
      </c>
      <c r="E950" s="14" t="n">
        <v>46363.5659722222</v>
      </c>
      <c r="F950" s="14" t="n">
        <v>46363.625</v>
      </c>
      <c r="G950" s="15" t="n">
        <f aca="false">F950-E950</f>
        <v>0.0590277777777778</v>
      </c>
      <c r="H950" s="20" t="s">
        <v>445</v>
      </c>
      <c r="I950" s="1" t="s">
        <v>263</v>
      </c>
      <c r="J950" s="20" t="s">
        <v>264</v>
      </c>
      <c r="K950" s="1" t="e">
        <f aca="false">_xlfn.xlookup(J950,REF!$D$2:$D$12,REF!$E$2:$E$12)</f>
        <v>#NAME?</v>
      </c>
      <c r="L950" s="1" t="s">
        <v>449</v>
      </c>
      <c r="M950" s="20" t="s">
        <v>418</v>
      </c>
      <c r="N950" s="20" t="s">
        <v>252</v>
      </c>
      <c r="O950" s="1" t="s">
        <v>860</v>
      </c>
      <c r="P950" s="1" t="str">
        <f aca="false">_xlfn.CONCAT(B950,C950,D950,E950,F950)</f>
        <v>BC Turvania1.2Inverter(MBUS-14)46363.565972222246363.565972222246363.625</v>
      </c>
      <c r="Q950" s="1" t="str">
        <f aca="false">_xlfn.CONCAT(H950,I950,J950)</f>
        <v>LIGRFOCOM</v>
      </c>
    </row>
    <row r="951" customFormat="false" ht="15" hidden="false" customHeight="false" outlineLevel="0" collapsed="false">
      <c r="B951" s="1" t="s">
        <v>883</v>
      </c>
      <c r="C951" s="1" t="s">
        <v>247</v>
      </c>
      <c r="D951" s="14" t="n">
        <v>46363.5659722222</v>
      </c>
      <c r="E951" s="14" t="n">
        <v>46363.5659722222</v>
      </c>
      <c r="F951" s="14" t="n">
        <v>46363.625</v>
      </c>
      <c r="G951" s="15" t="n">
        <f aca="false">F951-E951</f>
        <v>0.0590277777777778</v>
      </c>
      <c r="H951" s="20" t="s">
        <v>445</v>
      </c>
      <c r="I951" s="1" t="s">
        <v>263</v>
      </c>
      <c r="J951" s="20" t="s">
        <v>264</v>
      </c>
      <c r="K951" s="1" t="e">
        <f aca="false">_xlfn.xlookup(J951,REF!$D$2:$D$12,REF!$E$2:$E$12)</f>
        <v>#NAME?</v>
      </c>
      <c r="L951" s="1" t="s">
        <v>449</v>
      </c>
      <c r="M951" s="20" t="s">
        <v>418</v>
      </c>
      <c r="N951" s="20" t="s">
        <v>252</v>
      </c>
      <c r="O951" s="1" t="s">
        <v>860</v>
      </c>
      <c r="P951" s="1" t="str">
        <f aca="false">_xlfn.CONCAT(B951,C951,D951,E951,F951)</f>
        <v>BC Turvania1.2Inverter(MBUS-13)46363.565972222246363.565972222246363.625</v>
      </c>
      <c r="Q951" s="1" t="str">
        <f aca="false">_xlfn.CONCAT(H951,I951,J951)</f>
        <v>LIGRFOCOM</v>
      </c>
    </row>
    <row r="952" customFormat="false" ht="15" hidden="false" customHeight="false" outlineLevel="0" collapsed="false">
      <c r="B952" s="1" t="s">
        <v>883</v>
      </c>
      <c r="C952" s="1" t="s">
        <v>277</v>
      </c>
      <c r="D952" s="14" t="n">
        <v>46363.5659722222</v>
      </c>
      <c r="E952" s="14" t="n">
        <v>46363.5659722222</v>
      </c>
      <c r="F952" s="14" t="n">
        <v>46363.625</v>
      </c>
      <c r="G952" s="15" t="n">
        <f aca="false">F952-E952</f>
        <v>0.0590277777777778</v>
      </c>
      <c r="H952" s="20" t="s">
        <v>445</v>
      </c>
      <c r="I952" s="1" t="s">
        <v>263</v>
      </c>
      <c r="J952" s="20" t="s">
        <v>264</v>
      </c>
      <c r="K952" s="1" t="e">
        <f aca="false">_xlfn.xlookup(J952,REF!$D$2:$D$12,REF!$E$2:$E$12)</f>
        <v>#NAME?</v>
      </c>
      <c r="L952" s="1" t="s">
        <v>449</v>
      </c>
      <c r="M952" s="20" t="s">
        <v>418</v>
      </c>
      <c r="N952" s="20" t="s">
        <v>252</v>
      </c>
      <c r="O952" s="1" t="s">
        <v>860</v>
      </c>
      <c r="P952" s="1" t="str">
        <f aca="false">_xlfn.CONCAT(B952,C952,D952,E952,F952)</f>
        <v>BC Turvania1.2Inverter(MBUS-12)46363.565972222246363.565972222246363.625</v>
      </c>
      <c r="Q952" s="1" t="str">
        <f aca="false">_xlfn.CONCAT(H952,I952,J952)</f>
        <v>LIGRFOCOM</v>
      </c>
    </row>
    <row r="953" customFormat="false" ht="15" hidden="false" customHeight="false" outlineLevel="0" collapsed="false">
      <c r="B953" s="1" t="s">
        <v>883</v>
      </c>
      <c r="C953" s="1" t="s">
        <v>279</v>
      </c>
      <c r="D953" s="14" t="n">
        <v>46363.5659722222</v>
      </c>
      <c r="E953" s="14" t="n">
        <v>46363.5659722222</v>
      </c>
      <c r="F953" s="14" t="n">
        <v>46363.625</v>
      </c>
      <c r="G953" s="15" t="n">
        <f aca="false">F953-E953</f>
        <v>0.0590277777777778</v>
      </c>
      <c r="H953" s="20" t="s">
        <v>445</v>
      </c>
      <c r="I953" s="1" t="s">
        <v>263</v>
      </c>
      <c r="J953" s="20" t="s">
        <v>264</v>
      </c>
      <c r="K953" s="1" t="e">
        <f aca="false">_xlfn.xlookup(J953,REF!$D$2:$D$12,REF!$E$2:$E$12)</f>
        <v>#NAME?</v>
      </c>
      <c r="L953" s="1" t="s">
        <v>449</v>
      </c>
      <c r="M953" s="20" t="s">
        <v>418</v>
      </c>
      <c r="N953" s="20" t="s">
        <v>252</v>
      </c>
      <c r="O953" s="1" t="s">
        <v>860</v>
      </c>
      <c r="P953" s="1" t="str">
        <f aca="false">_xlfn.CONCAT(B953,C953,D953,E953,F953)</f>
        <v>BC Turvania1.2Inverter(MBUS-15)46363.565972222246363.565972222246363.625</v>
      </c>
      <c r="Q953" s="1" t="str">
        <f aca="false">_xlfn.CONCAT(H953,I953,J953)</f>
        <v>LIGRFOCOM</v>
      </c>
    </row>
    <row r="954" customFormat="false" ht="15" hidden="false" customHeight="false" outlineLevel="0" collapsed="false">
      <c r="B954" s="1" t="s">
        <v>246</v>
      </c>
      <c r="C954" s="1" t="s">
        <v>247</v>
      </c>
      <c r="D954" s="14" t="n">
        <v>46363.5659722222</v>
      </c>
      <c r="E954" s="14" t="n">
        <v>46363.5659722222</v>
      </c>
      <c r="F954" s="14" t="n">
        <v>46363.625</v>
      </c>
      <c r="G954" s="15" t="n">
        <f aca="false">F954-E954</f>
        <v>0.0590277777777778</v>
      </c>
      <c r="H954" s="20" t="s">
        <v>445</v>
      </c>
      <c r="I954" s="1" t="s">
        <v>263</v>
      </c>
      <c r="J954" s="20" t="s">
        <v>264</v>
      </c>
      <c r="K954" s="1" t="e">
        <f aca="false">_xlfn.xlookup(J954,REF!$D$2:$D$12,REF!$E$2:$E$12)</f>
        <v>#NAME?</v>
      </c>
      <c r="L954" s="1" t="s">
        <v>449</v>
      </c>
      <c r="M954" s="20" t="s">
        <v>418</v>
      </c>
      <c r="N954" s="20" t="s">
        <v>252</v>
      </c>
      <c r="O954" s="1" t="s">
        <v>860</v>
      </c>
      <c r="P954" s="1" t="str">
        <f aca="false">_xlfn.CONCAT(B954,C954,D954,E954,F954)</f>
        <v>BC Turvania1.3Inverter(MBUS-13)46363.565972222246363.565972222246363.625</v>
      </c>
      <c r="Q954" s="1" t="str">
        <f aca="false">_xlfn.CONCAT(H954,I954,J954)</f>
        <v>LIGRFOCOM</v>
      </c>
    </row>
    <row r="955" customFormat="false" ht="15" hidden="false" customHeight="false" outlineLevel="0" collapsed="false">
      <c r="B955" s="1" t="s">
        <v>246</v>
      </c>
      <c r="C955" s="1" t="s">
        <v>280</v>
      </c>
      <c r="D955" s="14" t="n">
        <v>46363.5659722222</v>
      </c>
      <c r="E955" s="14" t="n">
        <v>46363.5659722222</v>
      </c>
      <c r="F955" s="14" t="n">
        <v>46363.625</v>
      </c>
      <c r="G955" s="15" t="n">
        <f aca="false">F955-E955</f>
        <v>0.0590277777777778</v>
      </c>
      <c r="H955" s="20" t="s">
        <v>445</v>
      </c>
      <c r="I955" s="1" t="s">
        <v>263</v>
      </c>
      <c r="J955" s="20" t="s">
        <v>264</v>
      </c>
      <c r="K955" s="1" t="e">
        <f aca="false">_xlfn.xlookup(J955,REF!$D$2:$D$12,REF!$E$2:$E$12)</f>
        <v>#NAME?</v>
      </c>
      <c r="L955" s="1" t="s">
        <v>449</v>
      </c>
      <c r="M955" s="20" t="s">
        <v>418</v>
      </c>
      <c r="N955" s="20" t="s">
        <v>252</v>
      </c>
      <c r="O955" s="1" t="s">
        <v>860</v>
      </c>
      <c r="P955" s="1" t="str">
        <f aca="false">_xlfn.CONCAT(B955,C955,D955,E955,F955)</f>
        <v>BC Turvania1.3Inverter(MBUS-14)46363.565972222246363.565972222246363.625</v>
      </c>
      <c r="Q955" s="1" t="str">
        <f aca="false">_xlfn.CONCAT(H955,I955,J955)</f>
        <v>LIGRFOCOM</v>
      </c>
    </row>
    <row r="956" customFormat="false" ht="15" hidden="false" customHeight="false" outlineLevel="0" collapsed="false">
      <c r="B956" s="1" t="s">
        <v>246</v>
      </c>
      <c r="C956" s="1" t="s">
        <v>279</v>
      </c>
      <c r="D956" s="14" t="n">
        <v>46363.5659722222</v>
      </c>
      <c r="E956" s="14" t="n">
        <v>46363.5659722222</v>
      </c>
      <c r="F956" s="14" t="n">
        <v>46363.625</v>
      </c>
      <c r="G956" s="15" t="n">
        <f aca="false">F956-E956</f>
        <v>0.0590277777777778</v>
      </c>
      <c r="H956" s="20" t="s">
        <v>445</v>
      </c>
      <c r="I956" s="1" t="s">
        <v>263</v>
      </c>
      <c r="J956" s="20" t="s">
        <v>264</v>
      </c>
      <c r="K956" s="1" t="e">
        <f aca="false">_xlfn.xlookup(J956,REF!$D$2:$D$12,REF!$E$2:$E$12)</f>
        <v>#NAME?</v>
      </c>
      <c r="L956" s="1" t="s">
        <v>449</v>
      </c>
      <c r="M956" s="20" t="s">
        <v>418</v>
      </c>
      <c r="N956" s="20" t="s">
        <v>252</v>
      </c>
      <c r="O956" s="1" t="s">
        <v>860</v>
      </c>
      <c r="P956" s="1" t="str">
        <f aca="false">_xlfn.CONCAT(B956,C956,D956,E956,F956)</f>
        <v>BC Turvania1.3Inverter(MBUS-15)46363.565972222246363.565972222246363.625</v>
      </c>
      <c r="Q956" s="1" t="str">
        <f aca="false">_xlfn.CONCAT(H956,I956,J956)</f>
        <v>LIGRFOCOM</v>
      </c>
    </row>
    <row r="957" customFormat="false" ht="15" hidden="false" customHeight="false" outlineLevel="0" collapsed="false">
      <c r="B957" s="1" t="s">
        <v>246</v>
      </c>
      <c r="C957" s="1" t="s">
        <v>255</v>
      </c>
      <c r="D957" s="14" t="n">
        <v>46363.5659722222</v>
      </c>
      <c r="E957" s="14" t="n">
        <v>46363.5659722222</v>
      </c>
      <c r="F957" s="14" t="n">
        <v>46363.625</v>
      </c>
      <c r="G957" s="15" t="n">
        <f aca="false">F957-E957</f>
        <v>0.0590277777777778</v>
      </c>
      <c r="H957" s="20" t="s">
        <v>445</v>
      </c>
      <c r="I957" s="1" t="s">
        <v>263</v>
      </c>
      <c r="J957" s="20" t="s">
        <v>264</v>
      </c>
      <c r="K957" s="1" t="e">
        <f aca="false">_xlfn.xlookup(J957,REF!$D$2:$D$12,REF!$E$2:$E$12)</f>
        <v>#NAME?</v>
      </c>
      <c r="L957" s="1" t="s">
        <v>449</v>
      </c>
      <c r="M957" s="20" t="s">
        <v>418</v>
      </c>
      <c r="N957" s="20" t="s">
        <v>252</v>
      </c>
      <c r="O957" s="1" t="s">
        <v>860</v>
      </c>
      <c r="P957" s="1" t="str">
        <f aca="false">_xlfn.CONCAT(B957,C957,D957,E957,F957)</f>
        <v>BC Turvania1.3Inverter(MBUS-1)46363.565972222246363.565972222246363.625</v>
      </c>
      <c r="Q957" s="1" t="str">
        <f aca="false">_xlfn.CONCAT(H957,I957,J957)</f>
        <v>LIGRFOCOM</v>
      </c>
    </row>
    <row r="958" customFormat="false" ht="15" hidden="false" customHeight="false" outlineLevel="0" collapsed="false">
      <c r="B958" s="1" t="s">
        <v>884</v>
      </c>
      <c r="C958" s="1" t="s">
        <v>280</v>
      </c>
      <c r="D958" s="14" t="n">
        <v>46363.5659722222</v>
      </c>
      <c r="E958" s="14" t="n">
        <v>46363.5659722222</v>
      </c>
      <c r="F958" s="14" t="n">
        <v>46363.625</v>
      </c>
      <c r="G958" s="15" t="n">
        <f aca="false">F958-E958</f>
        <v>0.0590277777777778</v>
      </c>
      <c r="H958" s="20" t="s">
        <v>445</v>
      </c>
      <c r="I958" s="1" t="s">
        <v>263</v>
      </c>
      <c r="J958" s="20" t="s">
        <v>264</v>
      </c>
      <c r="K958" s="1" t="e">
        <f aca="false">_xlfn.xlookup(J958,REF!$D$2:$D$12,REF!$E$2:$E$12)</f>
        <v>#NAME?</v>
      </c>
      <c r="L958" s="1" t="s">
        <v>449</v>
      </c>
      <c r="M958" s="20" t="s">
        <v>418</v>
      </c>
      <c r="N958" s="20" t="s">
        <v>252</v>
      </c>
      <c r="O958" s="1" t="s">
        <v>860</v>
      </c>
      <c r="P958" s="1" t="str">
        <f aca="false">_xlfn.CONCAT(B958,C958,D958,E958,F958)</f>
        <v>BC Turvania1.4Inverter(MBUS-14)46363.565972222246363.565972222246363.625</v>
      </c>
      <c r="Q958" s="1" t="str">
        <f aca="false">_xlfn.CONCAT(H958,I958,J958)</f>
        <v>LIGRFOCOM</v>
      </c>
    </row>
    <row r="959" customFormat="false" ht="15" hidden="false" customHeight="false" outlineLevel="0" collapsed="false">
      <c r="B959" s="1" t="s">
        <v>884</v>
      </c>
      <c r="C959" s="1" t="s">
        <v>279</v>
      </c>
      <c r="D959" s="14" t="n">
        <v>46363.5659722222</v>
      </c>
      <c r="E959" s="14" t="n">
        <v>46363.5659722222</v>
      </c>
      <c r="F959" s="14" t="n">
        <v>46363.625</v>
      </c>
      <c r="G959" s="15" t="n">
        <f aca="false">F959-E959</f>
        <v>0.0590277777777778</v>
      </c>
      <c r="H959" s="20" t="s">
        <v>445</v>
      </c>
      <c r="I959" s="1" t="s">
        <v>263</v>
      </c>
      <c r="J959" s="20" t="s">
        <v>264</v>
      </c>
      <c r="K959" s="1" t="e">
        <f aca="false">_xlfn.xlookup(J959,REF!$D$2:$D$12,REF!$E$2:$E$12)</f>
        <v>#NAME?</v>
      </c>
      <c r="L959" s="1" t="s">
        <v>449</v>
      </c>
      <c r="M959" s="20" t="s">
        <v>418</v>
      </c>
      <c r="N959" s="20" t="s">
        <v>252</v>
      </c>
      <c r="O959" s="1" t="s">
        <v>860</v>
      </c>
      <c r="P959" s="1" t="str">
        <f aca="false">_xlfn.CONCAT(B959,C959,D959,E959,F959)</f>
        <v>BC Turvania1.4Inverter(MBUS-15)46363.565972222246363.565972222246363.625</v>
      </c>
      <c r="Q959" s="1" t="str">
        <f aca="false">_xlfn.CONCAT(H959,I959,J959)</f>
        <v>LIGRFOCOM</v>
      </c>
    </row>
    <row r="960" customFormat="false" ht="15" hidden="false" customHeight="false" outlineLevel="0" collapsed="false">
      <c r="B960" s="1" t="s">
        <v>884</v>
      </c>
      <c r="C960" s="1" t="s">
        <v>247</v>
      </c>
      <c r="D960" s="14" t="n">
        <v>46363.5659722222</v>
      </c>
      <c r="E960" s="14" t="n">
        <v>46363.5659722222</v>
      </c>
      <c r="F960" s="14" t="n">
        <v>46363.625</v>
      </c>
      <c r="G960" s="15" t="n">
        <f aca="false">F960-E960</f>
        <v>0.0590277777777778</v>
      </c>
      <c r="H960" s="20" t="s">
        <v>445</v>
      </c>
      <c r="I960" s="1" t="s">
        <v>263</v>
      </c>
      <c r="J960" s="20" t="s">
        <v>264</v>
      </c>
      <c r="K960" s="1" t="e">
        <f aca="false">_xlfn.xlookup(J960,REF!$D$2:$D$12,REF!$E$2:$E$12)</f>
        <v>#NAME?</v>
      </c>
      <c r="L960" s="1" t="s">
        <v>449</v>
      </c>
      <c r="M960" s="20" t="s">
        <v>418</v>
      </c>
      <c r="N960" s="20" t="s">
        <v>252</v>
      </c>
      <c r="O960" s="1" t="s">
        <v>860</v>
      </c>
      <c r="P960" s="1" t="str">
        <f aca="false">_xlfn.CONCAT(B960,C960,D960,E960,F960)</f>
        <v>BC Turvania1.4Inverter(MBUS-13)46363.565972222246363.565972222246363.625</v>
      </c>
      <c r="Q960" s="1" t="str">
        <f aca="false">_xlfn.CONCAT(H960,I960,J960)</f>
        <v>LIGRFOCOM</v>
      </c>
    </row>
    <row r="961" customFormat="false" ht="15" hidden="false" customHeight="false" outlineLevel="0" collapsed="false">
      <c r="B961" s="1" t="s">
        <v>884</v>
      </c>
      <c r="C961" s="1" t="s">
        <v>277</v>
      </c>
      <c r="D961" s="14" t="n">
        <v>46363.5659722222</v>
      </c>
      <c r="E961" s="14" t="n">
        <v>46363.5659722222</v>
      </c>
      <c r="F961" s="14" t="n">
        <v>46363.625</v>
      </c>
      <c r="G961" s="15" t="n">
        <f aca="false">F961-E961</f>
        <v>0.0590277777777778</v>
      </c>
      <c r="H961" s="20" t="s">
        <v>445</v>
      </c>
      <c r="I961" s="1" t="s">
        <v>263</v>
      </c>
      <c r="J961" s="20" t="s">
        <v>264</v>
      </c>
      <c r="K961" s="1" t="e">
        <f aca="false">_xlfn.xlookup(J961,REF!$D$2:$D$12,REF!$E$2:$E$12)</f>
        <v>#NAME?</v>
      </c>
      <c r="L961" s="1" t="s">
        <v>449</v>
      </c>
      <c r="M961" s="20" t="s">
        <v>418</v>
      </c>
      <c r="N961" s="20" t="s">
        <v>252</v>
      </c>
      <c r="O961" s="1" t="s">
        <v>860</v>
      </c>
      <c r="P961" s="1" t="str">
        <f aca="false">_xlfn.CONCAT(B961,C961,D961,E961,F961)</f>
        <v>BC Turvania1.4Inverter(MBUS-12)46363.565972222246363.565972222246363.625</v>
      </c>
      <c r="Q961" s="1" t="str">
        <f aca="false">_xlfn.CONCAT(H961,I961,J961)</f>
        <v>LIGRFOCOM</v>
      </c>
    </row>
    <row r="962" customFormat="false" ht="15" hidden="false" customHeight="false" outlineLevel="0" collapsed="false">
      <c r="B962" s="1" t="s">
        <v>885</v>
      </c>
      <c r="C962" s="1" t="s">
        <v>247</v>
      </c>
      <c r="D962" s="14" t="n">
        <v>46363.5659722222</v>
      </c>
      <c r="E962" s="14" t="n">
        <v>46363.5659722222</v>
      </c>
      <c r="F962" s="14" t="n">
        <v>46363.625</v>
      </c>
      <c r="G962" s="15" t="n">
        <f aca="false">F962-E962</f>
        <v>0.0590277777777778</v>
      </c>
      <c r="H962" s="20" t="s">
        <v>445</v>
      </c>
      <c r="I962" s="1" t="s">
        <v>263</v>
      </c>
      <c r="J962" s="20" t="s">
        <v>264</v>
      </c>
      <c r="K962" s="1" t="e">
        <f aca="false">_xlfn.xlookup(J962,REF!$D$2:$D$12,REF!$E$2:$E$12)</f>
        <v>#NAME?</v>
      </c>
      <c r="L962" s="1" t="s">
        <v>449</v>
      </c>
      <c r="M962" s="20" t="s">
        <v>418</v>
      </c>
      <c r="N962" s="20" t="s">
        <v>252</v>
      </c>
      <c r="O962" s="1" t="s">
        <v>860</v>
      </c>
      <c r="P962" s="1" t="str">
        <f aca="false">_xlfn.CONCAT(B962,C962,D962,E962,F962)</f>
        <v>BC Turvania1.5Inverter(MBUS-13)46363.565972222246363.565972222246363.625</v>
      </c>
      <c r="Q962" s="1" t="str">
        <f aca="false">_xlfn.CONCAT(H962,I962,J962)</f>
        <v>LIGRFOCOM</v>
      </c>
    </row>
    <row r="963" customFormat="false" ht="15" hidden="false" customHeight="false" outlineLevel="0" collapsed="false">
      <c r="B963" s="1" t="s">
        <v>885</v>
      </c>
      <c r="C963" s="1" t="s">
        <v>277</v>
      </c>
      <c r="D963" s="14" t="n">
        <v>46363.5659722222</v>
      </c>
      <c r="E963" s="14" t="n">
        <v>46363.5659722222</v>
      </c>
      <c r="F963" s="14" t="n">
        <v>46363.625</v>
      </c>
      <c r="G963" s="15" t="n">
        <f aca="false">F963-E963</f>
        <v>0.0590277777777778</v>
      </c>
      <c r="H963" s="20" t="s">
        <v>445</v>
      </c>
      <c r="I963" s="1" t="s">
        <v>263</v>
      </c>
      <c r="J963" s="20" t="s">
        <v>264</v>
      </c>
      <c r="K963" s="1" t="e">
        <f aca="false">_xlfn.xlookup(J963,REF!$D$2:$D$12,REF!$E$2:$E$12)</f>
        <v>#NAME?</v>
      </c>
      <c r="L963" s="1" t="s">
        <v>449</v>
      </c>
      <c r="M963" s="20" t="s">
        <v>418</v>
      </c>
      <c r="N963" s="20" t="s">
        <v>252</v>
      </c>
      <c r="O963" s="1" t="s">
        <v>860</v>
      </c>
      <c r="P963" s="1" t="str">
        <f aca="false">_xlfn.CONCAT(B963,C963,D963,E963,F963)</f>
        <v>BC Turvania1.5Inverter(MBUS-12)46363.565972222246363.565972222246363.625</v>
      </c>
      <c r="Q963" s="1" t="str">
        <f aca="false">_xlfn.CONCAT(H963,I963,J963)</f>
        <v>LIGRFOCOM</v>
      </c>
    </row>
    <row r="964" customFormat="false" ht="15" hidden="false" customHeight="false" outlineLevel="0" collapsed="false">
      <c r="B964" s="1" t="s">
        <v>885</v>
      </c>
      <c r="C964" s="1" t="s">
        <v>280</v>
      </c>
      <c r="D964" s="14" t="n">
        <v>46363.5659722222</v>
      </c>
      <c r="E964" s="14" t="n">
        <v>46363.5659722222</v>
      </c>
      <c r="F964" s="14" t="n">
        <v>46363.625</v>
      </c>
      <c r="G964" s="15" t="n">
        <f aca="false">F964-E964</f>
        <v>0.0590277777777778</v>
      </c>
      <c r="H964" s="20" t="s">
        <v>445</v>
      </c>
      <c r="I964" s="1" t="s">
        <v>263</v>
      </c>
      <c r="J964" s="20" t="s">
        <v>264</v>
      </c>
      <c r="K964" s="1" t="e">
        <f aca="false">_xlfn.xlookup(J964,REF!$D$2:$D$12,REF!$E$2:$E$12)</f>
        <v>#NAME?</v>
      </c>
      <c r="L964" s="1" t="s">
        <v>449</v>
      </c>
      <c r="M964" s="20" t="s">
        <v>418</v>
      </c>
      <c r="N964" s="20" t="s">
        <v>252</v>
      </c>
      <c r="O964" s="1" t="s">
        <v>860</v>
      </c>
      <c r="P964" s="1" t="str">
        <f aca="false">_xlfn.CONCAT(B964,C964,D964,E964,F964)</f>
        <v>BC Turvania1.5Inverter(MBUS-14)46363.565972222246363.565972222246363.625</v>
      </c>
      <c r="Q964" s="1" t="str">
        <f aca="false">_xlfn.CONCAT(H964,I964,J964)</f>
        <v>LIGRFOCOM</v>
      </c>
    </row>
    <row r="965" customFormat="false" ht="15" hidden="false" customHeight="false" outlineLevel="0" collapsed="false">
      <c r="B965" s="1" t="s">
        <v>885</v>
      </c>
      <c r="C965" s="1" t="s">
        <v>255</v>
      </c>
      <c r="D965" s="14" t="n">
        <v>46363.5659722222</v>
      </c>
      <c r="E965" s="14" t="n">
        <v>46363.5659722222</v>
      </c>
      <c r="F965" s="14" t="n">
        <v>46363.625</v>
      </c>
      <c r="G965" s="15" t="n">
        <f aca="false">F965-E965</f>
        <v>0.0590277777777778</v>
      </c>
      <c r="H965" s="20" t="s">
        <v>445</v>
      </c>
      <c r="I965" s="1" t="s">
        <v>263</v>
      </c>
      <c r="J965" s="20" t="s">
        <v>264</v>
      </c>
      <c r="K965" s="1" t="e">
        <f aca="false">_xlfn.xlookup(J965,REF!$D$2:$D$12,REF!$E$2:$E$12)</f>
        <v>#NAME?</v>
      </c>
      <c r="L965" s="1" t="s">
        <v>449</v>
      </c>
      <c r="M965" s="20" t="s">
        <v>418</v>
      </c>
      <c r="N965" s="20" t="s">
        <v>252</v>
      </c>
      <c r="O965" s="1" t="s">
        <v>860</v>
      </c>
      <c r="P965" s="1" t="str">
        <f aca="false">_xlfn.CONCAT(B965,C965,D965,E965,F965)</f>
        <v>BC Turvania1.5Inverter(MBUS-1)46363.565972222246363.565972222246363.625</v>
      </c>
      <c r="Q965" s="1" t="str">
        <f aca="false">_xlfn.CONCAT(H965,I965,J965)</f>
        <v>LIGRFOCOM</v>
      </c>
    </row>
    <row r="966" customFormat="false" ht="15" hidden="true" customHeight="false" outlineLevel="0" collapsed="false">
      <c r="B966" s="1" t="s">
        <v>816</v>
      </c>
      <c r="C966" s="1" t="s">
        <v>817</v>
      </c>
      <c r="D966" s="14" t="n">
        <v>46366.5972222222</v>
      </c>
      <c r="E966" s="14" t="n">
        <v>46366.5972222222</v>
      </c>
      <c r="F966" s="14" t="n">
        <v>46366.71875</v>
      </c>
      <c r="G966" s="15" t="n">
        <f aca="false">F966-E966</f>
        <v>0.121527777777778</v>
      </c>
      <c r="H966" s="20" t="s">
        <v>313</v>
      </c>
      <c r="J966" s="20" t="s">
        <v>230</v>
      </c>
      <c r="K966" s="1" t="e">
        <f aca="false">_xlfn.xlookup(J966,REF!$D$2:$D$12,REF!$E$2:$E$12)</f>
        <v>#NAME?</v>
      </c>
      <c r="L966" s="1" t="s">
        <v>886</v>
      </c>
      <c r="M966" s="20" t="s">
        <v>288</v>
      </c>
      <c r="N966" s="20" t="s">
        <v>315</v>
      </c>
      <c r="O966" s="1" t="s">
        <v>887</v>
      </c>
      <c r="P966" s="1" t="str">
        <f aca="false">_xlfn.CONCAT(B966,C966,D966,E966,F966)</f>
        <v>Rio Monte IIISG60KTL(COM1-008)_001_01646366.597222222246366.597222222246366.71875</v>
      </c>
      <c r="Q966" s="1" t="str">
        <f aca="false">_xlfn.CONCAT(H966,I966,J966)</f>
        <v>DPRUFV</v>
      </c>
    </row>
    <row r="967" customFormat="false" ht="15" hidden="true" customHeight="false" outlineLevel="0" collapsed="false">
      <c r="B967" s="1" t="s">
        <v>816</v>
      </c>
      <c r="C967" s="1" t="s">
        <v>818</v>
      </c>
      <c r="D967" s="14" t="n">
        <v>46366.5972222222</v>
      </c>
      <c r="E967" s="14" t="n">
        <v>46366.5972222222</v>
      </c>
      <c r="F967" s="14" t="n">
        <v>46366.71875</v>
      </c>
      <c r="G967" s="15" t="n">
        <f aca="false">F967-E967</f>
        <v>0.121527777777778</v>
      </c>
      <c r="H967" s="20" t="s">
        <v>313</v>
      </c>
      <c r="J967" s="20" t="s">
        <v>230</v>
      </c>
      <c r="K967" s="1" t="e">
        <f aca="false">_xlfn.xlookup(J967,REF!$D$2:$D$12,REF!$E$2:$E$12)</f>
        <v>#NAME?</v>
      </c>
      <c r="L967" s="1" t="s">
        <v>886</v>
      </c>
      <c r="M967" s="20" t="s">
        <v>288</v>
      </c>
      <c r="N967" s="20" t="s">
        <v>315</v>
      </c>
      <c r="O967" s="1" t="s">
        <v>887</v>
      </c>
      <c r="P967" s="1" t="str">
        <f aca="false">_xlfn.CONCAT(B967,C967,D967,E967,F967)</f>
        <v>Rio Monte IIISG60KTL(COM1-009)_001_01046366.597222222246366.597222222246366.71875</v>
      </c>
      <c r="Q967" s="1" t="str">
        <f aca="false">_xlfn.CONCAT(H967,I967,J967)</f>
        <v>DPRUFV</v>
      </c>
    </row>
    <row r="968" customFormat="false" ht="15" hidden="true" customHeight="false" outlineLevel="0" collapsed="false">
      <c r="B968" s="1" t="s">
        <v>816</v>
      </c>
      <c r="C968" s="1" t="s">
        <v>819</v>
      </c>
      <c r="D968" s="14" t="n">
        <v>46366.5972222222</v>
      </c>
      <c r="E968" s="14" t="n">
        <v>46366.5972222222</v>
      </c>
      <c r="F968" s="14" t="n">
        <v>46366.71875</v>
      </c>
      <c r="G968" s="15" t="n">
        <f aca="false">F968-E968</f>
        <v>0.121527777777778</v>
      </c>
      <c r="H968" s="20" t="s">
        <v>313</v>
      </c>
      <c r="J968" s="20" t="s">
        <v>230</v>
      </c>
      <c r="K968" s="1" t="e">
        <f aca="false">_xlfn.xlookup(J968,REF!$D$2:$D$12,REF!$E$2:$E$12)</f>
        <v>#NAME?</v>
      </c>
      <c r="L968" s="1" t="s">
        <v>886</v>
      </c>
      <c r="M968" s="20" t="s">
        <v>288</v>
      </c>
      <c r="N968" s="20" t="s">
        <v>315</v>
      </c>
      <c r="O968" s="1" t="s">
        <v>887</v>
      </c>
      <c r="P968" s="1" t="str">
        <f aca="false">_xlfn.CONCAT(B968,C968,D968,E968,F968)</f>
        <v>Rio Monte IIISG60KTL(COM1-010)_001_01246366.597222222246366.597222222246366.71875</v>
      </c>
      <c r="Q968" s="1" t="str">
        <f aca="false">_xlfn.CONCAT(H968,I968,J968)</f>
        <v>DPRUFV</v>
      </c>
    </row>
    <row r="969" customFormat="false" ht="15" hidden="true" customHeight="false" outlineLevel="0" collapsed="false">
      <c r="B969" s="1" t="s">
        <v>816</v>
      </c>
      <c r="C969" s="1" t="s">
        <v>820</v>
      </c>
      <c r="D969" s="14" t="n">
        <v>46366.5972222222</v>
      </c>
      <c r="E969" s="14" t="n">
        <v>46366.5972222222</v>
      </c>
      <c r="F969" s="14" t="n">
        <v>46366.71875</v>
      </c>
      <c r="G969" s="15" t="n">
        <f aca="false">F969-E969</f>
        <v>0.121527777777778</v>
      </c>
      <c r="H969" s="20" t="s">
        <v>313</v>
      </c>
      <c r="J969" s="20" t="s">
        <v>230</v>
      </c>
      <c r="K969" s="1" t="e">
        <f aca="false">_xlfn.xlookup(J969,REF!$D$2:$D$12,REF!$E$2:$E$12)</f>
        <v>#NAME?</v>
      </c>
      <c r="L969" s="1" t="s">
        <v>886</v>
      </c>
      <c r="M969" s="20" t="s">
        <v>288</v>
      </c>
      <c r="N969" s="20" t="s">
        <v>315</v>
      </c>
      <c r="O969" s="1" t="s">
        <v>887</v>
      </c>
      <c r="P969" s="1" t="str">
        <f aca="false">_xlfn.CONCAT(B969,C969,D969,E969,F969)</f>
        <v>Rio Monte IIISG60KTL(COM1-011)_001_00246366.597222222246366.597222222246366.71875</v>
      </c>
      <c r="Q969" s="1" t="str">
        <f aca="false">_xlfn.CONCAT(H969,I969,J969)</f>
        <v>DPRUFV</v>
      </c>
    </row>
    <row r="970" customFormat="false" ht="15" hidden="true" customHeight="false" outlineLevel="0" collapsed="false">
      <c r="B970" s="1" t="s">
        <v>816</v>
      </c>
      <c r="C970" s="1" t="s">
        <v>821</v>
      </c>
      <c r="D970" s="14" t="n">
        <v>46366.5972222222</v>
      </c>
      <c r="E970" s="14" t="n">
        <v>46366.5972222222</v>
      </c>
      <c r="F970" s="14" t="n">
        <v>46366.71875</v>
      </c>
      <c r="G970" s="15" t="n">
        <f aca="false">F970-E970</f>
        <v>0.121527777777778</v>
      </c>
      <c r="H970" s="20" t="s">
        <v>313</v>
      </c>
      <c r="J970" s="20" t="s">
        <v>230</v>
      </c>
      <c r="K970" s="1" t="e">
        <f aca="false">_xlfn.xlookup(J970,REF!$D$2:$D$12,REF!$E$2:$E$12)</f>
        <v>#NAME?</v>
      </c>
      <c r="L970" s="1" t="s">
        <v>886</v>
      </c>
      <c r="M970" s="20" t="s">
        <v>288</v>
      </c>
      <c r="N970" s="20" t="s">
        <v>315</v>
      </c>
      <c r="O970" s="1" t="s">
        <v>887</v>
      </c>
      <c r="P970" s="1" t="str">
        <f aca="false">_xlfn.CONCAT(B970,C970,D970,E970,F970)</f>
        <v>Rio Monte IIISG60KTL(COM1-012)_001_01546366.597222222246366.597222222246366.71875</v>
      </c>
      <c r="Q970" s="1" t="str">
        <f aca="false">_xlfn.CONCAT(H970,I970,J970)</f>
        <v>DPRUFV</v>
      </c>
    </row>
    <row r="971" customFormat="false" ht="15" hidden="true" customHeight="false" outlineLevel="0" collapsed="false">
      <c r="B971" s="1" t="s">
        <v>816</v>
      </c>
      <c r="C971" s="1" t="s">
        <v>822</v>
      </c>
      <c r="D971" s="14" t="n">
        <v>46366.5972222222</v>
      </c>
      <c r="E971" s="14" t="n">
        <v>46366.5972222222</v>
      </c>
      <c r="F971" s="14" t="n">
        <v>46366.71875</v>
      </c>
      <c r="G971" s="15" t="n">
        <f aca="false">F971-E971</f>
        <v>0.121527777777778</v>
      </c>
      <c r="H971" s="20" t="s">
        <v>313</v>
      </c>
      <c r="J971" s="20" t="s">
        <v>230</v>
      </c>
      <c r="K971" s="1" t="e">
        <f aca="false">_xlfn.xlookup(J971,REF!$D$2:$D$12,REF!$E$2:$E$12)</f>
        <v>#NAME?</v>
      </c>
      <c r="L971" s="1" t="s">
        <v>886</v>
      </c>
      <c r="M971" s="20" t="s">
        <v>288</v>
      </c>
      <c r="N971" s="20" t="s">
        <v>315</v>
      </c>
      <c r="O971" s="1" t="s">
        <v>887</v>
      </c>
      <c r="P971" s="1" t="str">
        <f aca="false">_xlfn.CONCAT(B971,C971,D971,E971,F971)</f>
        <v>Rio Monte IIISG60KTL(COM1-013)_001_00346366.597222222246366.597222222246366.71875</v>
      </c>
      <c r="Q971" s="1" t="str">
        <f aca="false">_xlfn.CONCAT(H971,I971,J971)</f>
        <v>DPRUFV</v>
      </c>
    </row>
    <row r="972" customFormat="false" ht="15" hidden="true" customHeight="false" outlineLevel="0" collapsed="false">
      <c r="B972" s="1" t="s">
        <v>816</v>
      </c>
      <c r="C972" s="1" t="s">
        <v>823</v>
      </c>
      <c r="D972" s="14" t="n">
        <v>46366.5972222222</v>
      </c>
      <c r="E972" s="14" t="n">
        <v>46366.5972222222</v>
      </c>
      <c r="F972" s="14" t="n">
        <v>46366.71875</v>
      </c>
      <c r="G972" s="15" t="n">
        <f aca="false">F972-E972</f>
        <v>0.121527777777778</v>
      </c>
      <c r="H972" s="20" t="s">
        <v>313</v>
      </c>
      <c r="J972" s="20" t="s">
        <v>230</v>
      </c>
      <c r="K972" s="1" t="e">
        <f aca="false">_xlfn.xlookup(J972,REF!$D$2:$D$12,REF!$E$2:$E$12)</f>
        <v>#NAME?</v>
      </c>
      <c r="L972" s="1" t="s">
        <v>886</v>
      </c>
      <c r="M972" s="20" t="s">
        <v>288</v>
      </c>
      <c r="N972" s="20" t="s">
        <v>315</v>
      </c>
      <c r="O972" s="1" t="s">
        <v>887</v>
      </c>
      <c r="P972" s="1" t="str">
        <f aca="false">_xlfn.CONCAT(B972,C972,D972,E972,F972)</f>
        <v>Rio Monte IIISG60KTL(COM1-014)_001_00446366.597222222246366.597222222246366.71875</v>
      </c>
      <c r="Q972" s="1" t="str">
        <f aca="false">_xlfn.CONCAT(H972,I972,J972)</f>
        <v>DPRUFV</v>
      </c>
    </row>
    <row r="973" customFormat="false" ht="15" hidden="true" customHeight="false" outlineLevel="0" collapsed="false">
      <c r="B973" s="1" t="s">
        <v>816</v>
      </c>
      <c r="C973" s="1" t="s">
        <v>824</v>
      </c>
      <c r="D973" s="14" t="n">
        <v>46366.5972222222</v>
      </c>
      <c r="E973" s="14" t="n">
        <v>46366.5972222222</v>
      </c>
      <c r="F973" s="14" t="n">
        <v>46366.71875</v>
      </c>
      <c r="G973" s="15" t="n">
        <f aca="false">F973-E973</f>
        <v>0.121527777777778</v>
      </c>
      <c r="H973" s="20" t="s">
        <v>313</v>
      </c>
      <c r="J973" s="20" t="s">
        <v>230</v>
      </c>
      <c r="K973" s="1" t="e">
        <f aca="false">_xlfn.xlookup(J973,REF!$D$2:$D$12,REF!$E$2:$E$12)</f>
        <v>#NAME?</v>
      </c>
      <c r="L973" s="1" t="s">
        <v>886</v>
      </c>
      <c r="M973" s="20" t="s">
        <v>288</v>
      </c>
      <c r="N973" s="20" t="s">
        <v>315</v>
      </c>
      <c r="O973" s="1" t="s">
        <v>887</v>
      </c>
      <c r="P973" s="1" t="str">
        <f aca="false">_xlfn.CONCAT(B973,C973,D973,E973,F973)</f>
        <v>Rio Monte IIISG60KTL(COM1-015)_001_01346366.597222222246366.597222222246366.71875</v>
      </c>
      <c r="Q973" s="1" t="str">
        <f aca="false">_xlfn.CONCAT(H973,I973,J973)</f>
        <v>DPRUFV</v>
      </c>
    </row>
    <row r="974" customFormat="false" ht="15" hidden="true" customHeight="false" outlineLevel="0" collapsed="false">
      <c r="B974" s="1" t="s">
        <v>816</v>
      </c>
      <c r="C974" s="1" t="s">
        <v>825</v>
      </c>
      <c r="D974" s="14" t="n">
        <v>46366.5972222222</v>
      </c>
      <c r="E974" s="14" t="n">
        <v>46366.5972222222</v>
      </c>
      <c r="F974" s="14" t="n">
        <v>46366.71875</v>
      </c>
      <c r="G974" s="15" t="n">
        <f aca="false">F974-E974</f>
        <v>0.121527777777778</v>
      </c>
      <c r="H974" s="20" t="s">
        <v>313</v>
      </c>
      <c r="J974" s="20" t="s">
        <v>230</v>
      </c>
      <c r="K974" s="1" t="e">
        <f aca="false">_xlfn.xlookup(J974,REF!$D$2:$D$12,REF!$E$2:$E$12)</f>
        <v>#NAME?</v>
      </c>
      <c r="L974" s="1" t="s">
        <v>886</v>
      </c>
      <c r="M974" s="20" t="s">
        <v>288</v>
      </c>
      <c r="N974" s="20" t="s">
        <v>315</v>
      </c>
      <c r="O974" s="1" t="s">
        <v>887</v>
      </c>
      <c r="P974" s="1" t="str">
        <f aca="false">_xlfn.CONCAT(B974,C974,D974,E974,F974)</f>
        <v>Rio Monte IIISG60KTL(COM1-016)_001_01446366.597222222246366.597222222246366.71875</v>
      </c>
      <c r="Q974" s="1" t="str">
        <f aca="false">_xlfn.CONCAT(H974,I974,J974)</f>
        <v>DPRUFV</v>
      </c>
    </row>
    <row r="975" customFormat="false" ht="15" hidden="true" customHeight="false" outlineLevel="0" collapsed="false">
      <c r="B975" s="1" t="s">
        <v>816</v>
      </c>
      <c r="C975" s="1" t="s">
        <v>826</v>
      </c>
      <c r="D975" s="14" t="n">
        <v>46366.5972222222</v>
      </c>
      <c r="E975" s="14" t="n">
        <v>46366.5972222222</v>
      </c>
      <c r="F975" s="14" t="n">
        <v>46366.71875</v>
      </c>
      <c r="G975" s="15" t="n">
        <f aca="false">F975-E975</f>
        <v>0.121527777777778</v>
      </c>
      <c r="H975" s="20" t="s">
        <v>313</v>
      </c>
      <c r="J975" s="20" t="s">
        <v>230</v>
      </c>
      <c r="K975" s="1" t="e">
        <f aca="false">_xlfn.xlookup(J975,REF!$D$2:$D$12,REF!$E$2:$E$12)</f>
        <v>#NAME?</v>
      </c>
      <c r="L975" s="1" t="s">
        <v>886</v>
      </c>
      <c r="M975" s="20" t="s">
        <v>288</v>
      </c>
      <c r="N975" s="20" t="s">
        <v>315</v>
      </c>
      <c r="O975" s="1" t="s">
        <v>887</v>
      </c>
      <c r="P975" s="1" t="str">
        <f aca="false">_xlfn.CONCAT(B975,C975,D975,E975,F975)</f>
        <v>Rio Monte IIISG60KTL(COM1-017)_001_00846366.597222222246366.597222222246366.71875</v>
      </c>
      <c r="Q975" s="1" t="str">
        <f aca="false">_xlfn.CONCAT(H975,I975,J975)</f>
        <v>DPRUFV</v>
      </c>
    </row>
    <row r="976" customFormat="false" ht="15" hidden="true" customHeight="false" outlineLevel="0" collapsed="false">
      <c r="A976" s="43"/>
      <c r="B976" s="44" t="s">
        <v>740</v>
      </c>
      <c r="C976" s="44" t="s">
        <v>741</v>
      </c>
      <c r="D976" s="45" t="n">
        <v>46014.6527777778</v>
      </c>
      <c r="E976" s="45" t="n">
        <v>46014.6527777778</v>
      </c>
      <c r="F976" s="45" t="n">
        <v>46014.6944444444</v>
      </c>
      <c r="G976" s="46" t="n">
        <f aca="false">F976-E976</f>
        <v>0.0416666666666667</v>
      </c>
      <c r="H976" s="44" t="s">
        <v>248</v>
      </c>
      <c r="I976" s="44"/>
      <c r="J976" s="44" t="s">
        <v>249</v>
      </c>
      <c r="K976" s="44" t="s">
        <v>439</v>
      </c>
      <c r="L976" s="44" t="s">
        <v>888</v>
      </c>
      <c r="M976" s="44" t="s">
        <v>251</v>
      </c>
      <c r="N976" s="44" t="s">
        <v>252</v>
      </c>
      <c r="O976" s="44" t="s">
        <v>889</v>
      </c>
      <c r="P976" s="47" t="str">
        <f aca="false">_xlfn.CONCAT(B976,C976,D976,E976,F976)</f>
        <v>BC Vazante1.3Inversor 146014.652777777846014.652777777846014.6944444444</v>
      </c>
      <c r="Q976" s="44" t="str">
        <f aca="false">_xlfn.CONCAT(H976,I976,J976)</f>
        <v>DAUINV</v>
      </c>
    </row>
    <row r="977" customFormat="false" ht="15" hidden="true" customHeight="false" outlineLevel="0" collapsed="false">
      <c r="A977" s="43"/>
      <c r="B977" s="44" t="s">
        <v>740</v>
      </c>
      <c r="C977" s="44" t="s">
        <v>742</v>
      </c>
      <c r="D977" s="45" t="n">
        <v>46014.6527777778</v>
      </c>
      <c r="E977" s="45" t="n">
        <v>46014.6527777778</v>
      </c>
      <c r="F977" s="45" t="n">
        <v>46014.6944444444</v>
      </c>
      <c r="G977" s="46" t="n">
        <f aca="false">F977-E977</f>
        <v>0.0416666666666667</v>
      </c>
      <c r="H977" s="44" t="s">
        <v>248</v>
      </c>
      <c r="I977" s="44"/>
      <c r="J977" s="44" t="s">
        <v>249</v>
      </c>
      <c r="K977" s="44" t="s">
        <v>439</v>
      </c>
      <c r="L977" s="44" t="s">
        <v>888</v>
      </c>
      <c r="M977" s="44" t="s">
        <v>251</v>
      </c>
      <c r="N977" s="44" t="s">
        <v>252</v>
      </c>
      <c r="O977" s="44" t="s">
        <v>889</v>
      </c>
      <c r="P977" s="47" t="str">
        <f aca="false">_xlfn.CONCAT(B977,C977,D977,E977,F977)</f>
        <v>BC Vazante1.3Inversor 246014.652777777846014.652777777846014.6944444444</v>
      </c>
      <c r="Q977" s="44" t="str">
        <f aca="false">_xlfn.CONCAT(H977,I977,J977)</f>
        <v>DAUINV</v>
      </c>
    </row>
    <row r="978" customFormat="false" ht="15" hidden="true" customHeight="false" outlineLevel="0" collapsed="false">
      <c r="A978" s="43"/>
      <c r="B978" s="44" t="s">
        <v>740</v>
      </c>
      <c r="C978" s="44" t="s">
        <v>743</v>
      </c>
      <c r="D978" s="45" t="n">
        <v>46014.6527777778</v>
      </c>
      <c r="E978" s="45" t="n">
        <v>46014.6527777778</v>
      </c>
      <c r="F978" s="45" t="n">
        <v>46014.6944444444</v>
      </c>
      <c r="G978" s="46" t="n">
        <f aca="false">F978-E978</f>
        <v>0.0416666666666667</v>
      </c>
      <c r="H978" s="44" t="s">
        <v>248</v>
      </c>
      <c r="I978" s="44"/>
      <c r="J978" s="44" t="s">
        <v>249</v>
      </c>
      <c r="K978" s="44" t="s">
        <v>439</v>
      </c>
      <c r="L978" s="44" t="s">
        <v>888</v>
      </c>
      <c r="M978" s="44" t="s">
        <v>251</v>
      </c>
      <c r="N978" s="44" t="s">
        <v>252</v>
      </c>
      <c r="O978" s="44" t="s">
        <v>889</v>
      </c>
      <c r="P978" s="47" t="str">
        <f aca="false">_xlfn.CONCAT(B978,C978,D978,E978,F978)</f>
        <v>BC Vazante1.3Inversor 346014.652777777846014.652777777846014.6944444444</v>
      </c>
      <c r="Q978" s="44" t="str">
        <f aca="false">_xlfn.CONCAT(H978,I978,J978)</f>
        <v>DAUINV</v>
      </c>
    </row>
    <row r="979" customFormat="false" ht="15" hidden="true" customHeight="false" outlineLevel="0" collapsed="false">
      <c r="A979" s="43"/>
      <c r="B979" s="44" t="s">
        <v>740</v>
      </c>
      <c r="C979" s="44" t="s">
        <v>744</v>
      </c>
      <c r="D979" s="45" t="n">
        <v>46014.6527777778</v>
      </c>
      <c r="E979" s="45" t="n">
        <v>46014.6527777778</v>
      </c>
      <c r="F979" s="45" t="n">
        <v>46014.6944444444</v>
      </c>
      <c r="G979" s="46" t="n">
        <f aca="false">F979-E979</f>
        <v>0.0416666666666667</v>
      </c>
      <c r="H979" s="44" t="s">
        <v>248</v>
      </c>
      <c r="I979" s="44"/>
      <c r="J979" s="44" t="s">
        <v>249</v>
      </c>
      <c r="K979" s="44" t="s">
        <v>439</v>
      </c>
      <c r="L979" s="44" t="s">
        <v>888</v>
      </c>
      <c r="M979" s="44" t="s">
        <v>251</v>
      </c>
      <c r="N979" s="44" t="s">
        <v>252</v>
      </c>
      <c r="O979" s="44" t="s">
        <v>889</v>
      </c>
      <c r="P979" s="47" t="str">
        <f aca="false">_xlfn.CONCAT(B979,C979,D979,E979,F979)</f>
        <v>BC Vazante1.3Inversor 446014.652777777846014.652777777846014.6944444444</v>
      </c>
      <c r="Q979" s="44" t="str">
        <f aca="false">_xlfn.CONCAT(H979,I979,J979)</f>
        <v>DAUINV</v>
      </c>
    </row>
    <row r="980" customFormat="false" ht="15" hidden="true" customHeight="false" outlineLevel="0" collapsed="false">
      <c r="A980" s="43"/>
      <c r="B980" s="44" t="s">
        <v>740</v>
      </c>
      <c r="C980" s="44" t="s">
        <v>745</v>
      </c>
      <c r="D980" s="45" t="n">
        <v>46014.6527777778</v>
      </c>
      <c r="E980" s="45" t="n">
        <v>46014.6527777778</v>
      </c>
      <c r="F980" s="45" t="n">
        <v>46014.6944444444</v>
      </c>
      <c r="G980" s="46" t="n">
        <f aca="false">F980-E980</f>
        <v>0.0416666666666667</v>
      </c>
      <c r="H980" s="44" t="s">
        <v>248</v>
      </c>
      <c r="I980" s="44"/>
      <c r="J980" s="44" t="s">
        <v>249</v>
      </c>
      <c r="K980" s="44" t="s">
        <v>439</v>
      </c>
      <c r="L980" s="44" t="s">
        <v>888</v>
      </c>
      <c r="M980" s="44" t="s">
        <v>251</v>
      </c>
      <c r="N980" s="44" t="s">
        <v>252</v>
      </c>
      <c r="O980" s="44" t="s">
        <v>889</v>
      </c>
      <c r="P980" s="47" t="str">
        <f aca="false">_xlfn.CONCAT(B980,C980,D980,E980,F980)</f>
        <v>BC Vazante1.3Inversor 546014.652777777846014.652777777846014.6944444444</v>
      </c>
      <c r="Q980" s="44" t="str">
        <f aca="false">_xlfn.CONCAT(H980,I980,J980)</f>
        <v>DAUINV</v>
      </c>
    </row>
    <row r="981" customFormat="false" ht="15" hidden="true" customHeight="false" outlineLevel="0" collapsed="false">
      <c r="A981" s="43"/>
      <c r="B981" s="44" t="s">
        <v>740</v>
      </c>
      <c r="C981" s="44" t="s">
        <v>746</v>
      </c>
      <c r="D981" s="45" t="n">
        <v>46014.6527777778</v>
      </c>
      <c r="E981" s="45" t="n">
        <v>46014.6527777778</v>
      </c>
      <c r="F981" s="45" t="n">
        <v>46014.6944444444</v>
      </c>
      <c r="G981" s="46" t="n">
        <f aca="false">F981-E981</f>
        <v>0.0416666666666667</v>
      </c>
      <c r="H981" s="44" t="s">
        <v>248</v>
      </c>
      <c r="I981" s="44"/>
      <c r="J981" s="44" t="s">
        <v>249</v>
      </c>
      <c r="K981" s="44" t="s">
        <v>439</v>
      </c>
      <c r="L981" s="44" t="s">
        <v>888</v>
      </c>
      <c r="M981" s="44" t="s">
        <v>251</v>
      </c>
      <c r="N981" s="44" t="s">
        <v>252</v>
      </c>
      <c r="O981" s="44" t="s">
        <v>889</v>
      </c>
      <c r="P981" s="47" t="str">
        <f aca="false">_xlfn.CONCAT(B981,C981,D981,E981,F981)</f>
        <v>BC Vazante1.3Inversor 646014.652777777846014.652777777846014.6944444444</v>
      </c>
      <c r="Q981" s="44" t="str">
        <f aca="false">_xlfn.CONCAT(H981,I981,J981)</f>
        <v>DAUINV</v>
      </c>
    </row>
    <row r="982" customFormat="false" ht="15" hidden="true" customHeight="false" outlineLevel="0" collapsed="false">
      <c r="A982" s="43"/>
      <c r="B982" s="44" t="s">
        <v>740</v>
      </c>
      <c r="C982" s="44" t="s">
        <v>747</v>
      </c>
      <c r="D982" s="45" t="n">
        <v>46014.6527777778</v>
      </c>
      <c r="E982" s="45" t="n">
        <v>46014.6527777778</v>
      </c>
      <c r="F982" s="45" t="n">
        <v>46014.6944444444</v>
      </c>
      <c r="G982" s="46" t="n">
        <f aca="false">F982-E982</f>
        <v>0.0416666666666667</v>
      </c>
      <c r="H982" s="44" t="s">
        <v>248</v>
      </c>
      <c r="I982" s="44"/>
      <c r="J982" s="44" t="s">
        <v>249</v>
      </c>
      <c r="K982" s="44" t="s">
        <v>439</v>
      </c>
      <c r="L982" s="44" t="s">
        <v>888</v>
      </c>
      <c r="M982" s="44" t="s">
        <v>251</v>
      </c>
      <c r="N982" s="44" t="s">
        <v>252</v>
      </c>
      <c r="O982" s="44" t="s">
        <v>889</v>
      </c>
      <c r="P982" s="47" t="str">
        <f aca="false">_xlfn.CONCAT(B982,C982,D982,E982,F982)</f>
        <v>BC Vazante1.3Inversor 746014.652777777846014.652777777846014.6944444444</v>
      </c>
      <c r="Q982" s="44" t="str">
        <f aca="false">_xlfn.CONCAT(H982,I982,J982)</f>
        <v>DAUINV</v>
      </c>
    </row>
    <row r="983" customFormat="false" ht="15" hidden="true" customHeight="false" outlineLevel="0" collapsed="false">
      <c r="A983" s="43"/>
      <c r="B983" s="44" t="s">
        <v>740</v>
      </c>
      <c r="C983" s="44" t="s">
        <v>748</v>
      </c>
      <c r="D983" s="45" t="n">
        <v>46014.6527777778</v>
      </c>
      <c r="E983" s="45" t="n">
        <v>46014.6527777778</v>
      </c>
      <c r="F983" s="45" t="n">
        <v>46014.6944444444</v>
      </c>
      <c r="G983" s="46" t="n">
        <f aca="false">F983-E983</f>
        <v>0.0416666666666667</v>
      </c>
      <c r="H983" s="44" t="s">
        <v>248</v>
      </c>
      <c r="I983" s="44"/>
      <c r="J983" s="44" t="s">
        <v>249</v>
      </c>
      <c r="K983" s="44" t="s">
        <v>439</v>
      </c>
      <c r="L983" s="44" t="s">
        <v>888</v>
      </c>
      <c r="M983" s="44" t="s">
        <v>251</v>
      </c>
      <c r="N983" s="44" t="s">
        <v>252</v>
      </c>
      <c r="O983" s="44" t="s">
        <v>889</v>
      </c>
      <c r="P983" s="47" t="str">
        <f aca="false">_xlfn.CONCAT(B983,C983,D983,E983,F983)</f>
        <v>BC Vazante1.3Inversor 846014.652777777846014.652777777846014.6944444444</v>
      </c>
      <c r="Q983" s="44" t="str">
        <f aca="false">_xlfn.CONCAT(H983,I983,J983)</f>
        <v>DAUINV</v>
      </c>
    </row>
    <row r="984" customFormat="false" ht="15" hidden="true" customHeight="false" outlineLevel="0" collapsed="false">
      <c r="A984" s="43"/>
      <c r="B984" s="44" t="s">
        <v>740</v>
      </c>
      <c r="C984" s="44" t="s">
        <v>749</v>
      </c>
      <c r="D984" s="45" t="n">
        <v>46014.6527777778</v>
      </c>
      <c r="E984" s="45" t="n">
        <v>46014.6527777778</v>
      </c>
      <c r="F984" s="45" t="n">
        <v>46014.6944444444</v>
      </c>
      <c r="G984" s="46" t="n">
        <f aca="false">F984-E984</f>
        <v>0.0416666666666667</v>
      </c>
      <c r="H984" s="44" t="s">
        <v>248</v>
      </c>
      <c r="I984" s="44"/>
      <c r="J984" s="44" t="s">
        <v>249</v>
      </c>
      <c r="K984" s="44" t="s">
        <v>439</v>
      </c>
      <c r="L984" s="44" t="s">
        <v>888</v>
      </c>
      <c r="M984" s="44" t="s">
        <v>251</v>
      </c>
      <c r="N984" s="44" t="s">
        <v>252</v>
      </c>
      <c r="O984" s="44" t="s">
        <v>889</v>
      </c>
      <c r="P984" s="47" t="str">
        <f aca="false">_xlfn.CONCAT(B984,C984,D984,E984,F984)</f>
        <v>BC Vazante1.3Inversor 946014.652777777846014.652777777846014.6944444444</v>
      </c>
      <c r="Q984" s="44" t="str">
        <f aca="false">_xlfn.CONCAT(H984,I984,J984)</f>
        <v>DAUINV</v>
      </c>
    </row>
    <row r="985" customFormat="false" ht="15" hidden="true" customHeight="false" outlineLevel="0" collapsed="false">
      <c r="A985" s="43"/>
      <c r="B985" s="44" t="s">
        <v>575</v>
      </c>
      <c r="C985" s="44" t="s">
        <v>277</v>
      </c>
      <c r="D985" s="45" t="n">
        <v>46015.5423611111</v>
      </c>
      <c r="E985" s="45" t="n">
        <v>46015.5423611111</v>
      </c>
      <c r="F985" s="45" t="n">
        <v>46015.6805555556</v>
      </c>
      <c r="G985" s="46" t="n">
        <f aca="false">F985-E985</f>
        <v>0.138194444444444</v>
      </c>
      <c r="H985" s="44" t="s">
        <v>248</v>
      </c>
      <c r="I985" s="44"/>
      <c r="J985" s="44" t="s">
        <v>256</v>
      </c>
      <c r="K985" s="44" t="s">
        <v>430</v>
      </c>
      <c r="L985" s="44" t="s">
        <v>890</v>
      </c>
      <c r="M985" s="44" t="s">
        <v>258</v>
      </c>
      <c r="N985" s="44" t="s">
        <v>379</v>
      </c>
      <c r="O985" s="44" t="s">
        <v>891</v>
      </c>
      <c r="P985" s="47" t="str">
        <f aca="false">_xlfn.CONCAT(B985,C985,D985,E985,F985)</f>
        <v>BC Ibiuna 1.1Inverter(MBUS-12)46015.542361111146015.542361111146015.6805555556</v>
      </c>
      <c r="Q985" s="44" t="str">
        <f aca="false">_xlfn.CONCAT(H985,I985,J985)</f>
        <v>DAURDE</v>
      </c>
    </row>
    <row r="986" customFormat="false" ht="15" hidden="true" customHeight="false" outlineLevel="0" collapsed="false">
      <c r="A986" s="43"/>
      <c r="B986" s="44" t="s">
        <v>575</v>
      </c>
      <c r="C986" s="44" t="s">
        <v>247</v>
      </c>
      <c r="D986" s="45" t="n">
        <v>46015.5423611111</v>
      </c>
      <c r="E986" s="45" t="n">
        <v>46015.5423611111</v>
      </c>
      <c r="F986" s="45" t="n">
        <v>46015.6805555556</v>
      </c>
      <c r="G986" s="46" t="n">
        <f aca="false">F986-E986</f>
        <v>0.138194444444444</v>
      </c>
      <c r="H986" s="44" t="s">
        <v>248</v>
      </c>
      <c r="I986" s="44"/>
      <c r="J986" s="44" t="s">
        <v>256</v>
      </c>
      <c r="K986" s="44" t="s">
        <v>430</v>
      </c>
      <c r="L986" s="44" t="s">
        <v>890</v>
      </c>
      <c r="M986" s="44" t="s">
        <v>258</v>
      </c>
      <c r="N986" s="44" t="s">
        <v>379</v>
      </c>
      <c r="O986" s="44" t="s">
        <v>891</v>
      </c>
      <c r="P986" s="47" t="str">
        <f aca="false">_xlfn.CONCAT(B986,C986,D986,E986,F986)</f>
        <v>BC Ibiuna 1.1Inverter(MBUS-13)46015.542361111146015.542361111146015.6805555556</v>
      </c>
      <c r="Q986" s="44" t="str">
        <f aca="false">_xlfn.CONCAT(H986,I986,J986)</f>
        <v>DAURDE</v>
      </c>
    </row>
    <row r="987" customFormat="false" ht="15" hidden="true" customHeight="false" outlineLevel="0" collapsed="false">
      <c r="A987" s="43"/>
      <c r="B987" s="44" t="s">
        <v>575</v>
      </c>
      <c r="C987" s="44" t="s">
        <v>280</v>
      </c>
      <c r="D987" s="45" t="n">
        <v>46015.5423611111</v>
      </c>
      <c r="E987" s="45" t="n">
        <v>46015.5423611111</v>
      </c>
      <c r="F987" s="45" t="n">
        <v>46015.6805555556</v>
      </c>
      <c r="G987" s="46" t="n">
        <f aca="false">F987-E987</f>
        <v>0.138194444444444</v>
      </c>
      <c r="H987" s="44" t="s">
        <v>248</v>
      </c>
      <c r="I987" s="44"/>
      <c r="J987" s="44" t="s">
        <v>256</v>
      </c>
      <c r="K987" s="44" t="s">
        <v>430</v>
      </c>
      <c r="L987" s="44" t="s">
        <v>890</v>
      </c>
      <c r="M987" s="44" t="s">
        <v>258</v>
      </c>
      <c r="N987" s="44" t="s">
        <v>379</v>
      </c>
      <c r="O987" s="44" t="s">
        <v>891</v>
      </c>
      <c r="P987" s="47" t="str">
        <f aca="false">_xlfn.CONCAT(B987,C987,D987,E987,F987)</f>
        <v>BC Ibiuna 1.1Inverter(MBUS-14)46015.542361111146015.542361111146015.6805555556</v>
      </c>
      <c r="Q987" s="44" t="str">
        <f aca="false">_xlfn.CONCAT(H987,I987,J987)</f>
        <v>DAURDE</v>
      </c>
    </row>
    <row r="988" customFormat="false" ht="15" hidden="true" customHeight="false" outlineLevel="0" collapsed="false">
      <c r="A988" s="43"/>
      <c r="B988" s="44" t="s">
        <v>575</v>
      </c>
      <c r="C988" s="44" t="s">
        <v>279</v>
      </c>
      <c r="D988" s="45" t="n">
        <v>46015.5423611111</v>
      </c>
      <c r="E988" s="45" t="n">
        <v>46015.5423611111</v>
      </c>
      <c r="F988" s="45" t="n">
        <v>46015.6805555556</v>
      </c>
      <c r="G988" s="46" t="n">
        <f aca="false">F988-E988</f>
        <v>0.138194444444444</v>
      </c>
      <c r="H988" s="44" t="s">
        <v>248</v>
      </c>
      <c r="I988" s="44"/>
      <c r="J988" s="44" t="s">
        <v>256</v>
      </c>
      <c r="K988" s="44" t="s">
        <v>430</v>
      </c>
      <c r="L988" s="44" t="s">
        <v>890</v>
      </c>
      <c r="M988" s="44" t="s">
        <v>258</v>
      </c>
      <c r="N988" s="44" t="s">
        <v>379</v>
      </c>
      <c r="O988" s="44" t="s">
        <v>891</v>
      </c>
      <c r="P988" s="47" t="str">
        <f aca="false">_xlfn.CONCAT(B988,C988,D988,E988,F988)</f>
        <v>BC Ibiuna 1.1Inverter(MBUS-15)46015.542361111146015.542361111146015.6805555556</v>
      </c>
      <c r="Q988" s="44" t="str">
        <f aca="false">_xlfn.CONCAT(H988,I988,J988)</f>
        <v>DAURDE</v>
      </c>
    </row>
    <row r="989" customFormat="false" ht="15" hidden="true" customHeight="false" outlineLevel="0" collapsed="false">
      <c r="A989" s="43"/>
      <c r="B989" s="44" t="s">
        <v>577</v>
      </c>
      <c r="C989" s="44" t="s">
        <v>277</v>
      </c>
      <c r="D989" s="45" t="n">
        <v>46015.5423611111</v>
      </c>
      <c r="E989" s="45" t="n">
        <v>46015.5423611111</v>
      </c>
      <c r="F989" s="45" t="n">
        <v>46015.6805555556</v>
      </c>
      <c r="G989" s="46" t="n">
        <f aca="false">F989-E989</f>
        <v>0.138194444444444</v>
      </c>
      <c r="H989" s="44" t="s">
        <v>248</v>
      </c>
      <c r="I989" s="44"/>
      <c r="J989" s="44" t="s">
        <v>256</v>
      </c>
      <c r="K989" s="44" t="s">
        <v>430</v>
      </c>
      <c r="L989" s="44" t="s">
        <v>890</v>
      </c>
      <c r="M989" s="44" t="s">
        <v>258</v>
      </c>
      <c r="N989" s="44" t="s">
        <v>379</v>
      </c>
      <c r="O989" s="44" t="s">
        <v>891</v>
      </c>
      <c r="P989" s="47" t="str">
        <f aca="false">_xlfn.CONCAT(B989,C989,D989,E989,F989)</f>
        <v>BC Ibiuna 1.2Inverter(MBUS-12)46015.542361111146015.542361111146015.6805555556</v>
      </c>
      <c r="Q989" s="44" t="str">
        <f aca="false">_xlfn.CONCAT(H989,I989,J989)</f>
        <v>DAURDE</v>
      </c>
    </row>
    <row r="990" customFormat="false" ht="15" hidden="true" customHeight="false" outlineLevel="0" collapsed="false">
      <c r="A990" s="43"/>
      <c r="B990" s="44" t="s">
        <v>577</v>
      </c>
      <c r="C990" s="44" t="s">
        <v>247</v>
      </c>
      <c r="D990" s="45" t="n">
        <v>46015.5423611111</v>
      </c>
      <c r="E990" s="45" t="n">
        <v>46015.5423611111</v>
      </c>
      <c r="F990" s="45" t="n">
        <v>46015.6805555556</v>
      </c>
      <c r="G990" s="46" t="n">
        <f aca="false">F990-E990</f>
        <v>0.138194444444444</v>
      </c>
      <c r="H990" s="44" t="s">
        <v>248</v>
      </c>
      <c r="I990" s="44"/>
      <c r="J990" s="44" t="s">
        <v>256</v>
      </c>
      <c r="K990" s="44" t="s">
        <v>430</v>
      </c>
      <c r="L990" s="44" t="s">
        <v>890</v>
      </c>
      <c r="M990" s="44" t="s">
        <v>258</v>
      </c>
      <c r="N990" s="44" t="s">
        <v>379</v>
      </c>
      <c r="O990" s="44" t="s">
        <v>891</v>
      </c>
      <c r="P990" s="47" t="str">
        <f aca="false">_xlfn.CONCAT(B990,C990,D990,E990,F990)</f>
        <v>BC Ibiuna 1.2Inverter(MBUS-13)46015.542361111146015.542361111146015.6805555556</v>
      </c>
      <c r="Q990" s="44" t="str">
        <f aca="false">_xlfn.CONCAT(H990,I990,J990)</f>
        <v>DAURDE</v>
      </c>
    </row>
    <row r="991" customFormat="false" ht="15" hidden="true" customHeight="false" outlineLevel="0" collapsed="false">
      <c r="A991" s="43"/>
      <c r="B991" s="44" t="s">
        <v>577</v>
      </c>
      <c r="C991" s="44" t="s">
        <v>280</v>
      </c>
      <c r="D991" s="45" t="n">
        <v>46015.5423611111</v>
      </c>
      <c r="E991" s="45" t="n">
        <v>46015.5423611111</v>
      </c>
      <c r="F991" s="45" t="n">
        <v>46015.6805555556</v>
      </c>
      <c r="G991" s="46" t="n">
        <f aca="false">F991-E991</f>
        <v>0.138194444444444</v>
      </c>
      <c r="H991" s="44" t="s">
        <v>248</v>
      </c>
      <c r="I991" s="44"/>
      <c r="J991" s="44" t="s">
        <v>256</v>
      </c>
      <c r="K991" s="44" t="s">
        <v>430</v>
      </c>
      <c r="L991" s="44" t="s">
        <v>890</v>
      </c>
      <c r="M991" s="44" t="s">
        <v>258</v>
      </c>
      <c r="N991" s="44" t="s">
        <v>379</v>
      </c>
      <c r="O991" s="44" t="s">
        <v>891</v>
      </c>
      <c r="P991" s="47" t="str">
        <f aca="false">_xlfn.CONCAT(B991,C991,D991,E991,F991)</f>
        <v>BC Ibiuna 1.2Inverter(MBUS-14)46015.542361111146015.542361111146015.6805555556</v>
      </c>
      <c r="Q991" s="44" t="str">
        <f aca="false">_xlfn.CONCAT(H991,I991,J991)</f>
        <v>DAURDE</v>
      </c>
    </row>
    <row r="992" customFormat="false" ht="15" hidden="true" customHeight="true" outlineLevel="0" collapsed="false">
      <c r="A992" s="43"/>
      <c r="B992" s="44" t="s">
        <v>577</v>
      </c>
      <c r="C992" s="44" t="s">
        <v>279</v>
      </c>
      <c r="D992" s="45" t="n">
        <v>46015.5423611111</v>
      </c>
      <c r="E992" s="45" t="n">
        <v>46015.5423611111</v>
      </c>
      <c r="F992" s="45" t="n">
        <v>46015.6805555556</v>
      </c>
      <c r="G992" s="46" t="n">
        <f aca="false">F992-E992</f>
        <v>0.138194444444444</v>
      </c>
      <c r="H992" s="44" t="s">
        <v>248</v>
      </c>
      <c r="I992" s="44"/>
      <c r="J992" s="44" t="s">
        <v>256</v>
      </c>
      <c r="K992" s="44" t="s">
        <v>430</v>
      </c>
      <c r="L992" s="44" t="s">
        <v>890</v>
      </c>
      <c r="M992" s="44" t="s">
        <v>258</v>
      </c>
      <c r="N992" s="44" t="s">
        <v>379</v>
      </c>
      <c r="O992" s="44" t="s">
        <v>891</v>
      </c>
      <c r="P992" s="47" t="str">
        <f aca="false">_xlfn.CONCAT(B992,C992,D992,E992,F992)</f>
        <v>BC Ibiuna 1.2Inverter(MBUS-15)46015.542361111146015.542361111146015.6805555556</v>
      </c>
      <c r="Q992" s="44" t="str">
        <f aca="false">_xlfn.CONCAT(H992,I992,J992)</f>
        <v>DAURDE</v>
      </c>
    </row>
    <row r="993" customFormat="false" ht="15" hidden="true" customHeight="false" outlineLevel="0" collapsed="false">
      <c r="A993" s="43"/>
      <c r="B993" s="44" t="s">
        <v>254</v>
      </c>
      <c r="C993" s="44" t="s">
        <v>255</v>
      </c>
      <c r="D993" s="45" t="n">
        <v>46015.5729166667</v>
      </c>
      <c r="E993" s="45" t="n">
        <v>46015.5729166667</v>
      </c>
      <c r="F993" s="45" t="n">
        <v>46015.5826388889</v>
      </c>
      <c r="G993" s="46" t="n">
        <f aca="false">F993-E993</f>
        <v>0.00972222222222222</v>
      </c>
      <c r="H993" s="44" t="s">
        <v>248</v>
      </c>
      <c r="I993" s="44"/>
      <c r="J993" s="44" t="s">
        <v>256</v>
      </c>
      <c r="K993" s="44" t="s">
        <v>430</v>
      </c>
      <c r="L993" s="44" t="s">
        <v>881</v>
      </c>
      <c r="M993" s="44" t="s">
        <v>258</v>
      </c>
      <c r="N993" s="44" t="s">
        <v>379</v>
      </c>
      <c r="O993" s="44" t="s">
        <v>399</v>
      </c>
      <c r="P993" s="47" t="str">
        <f aca="false">_xlfn.CONCAT(B993,C993,D993,E993,F993)</f>
        <v>BC Aracu5.1Inverter(MBUS-1)46015.572916666746015.572916666746015.5826388889</v>
      </c>
      <c r="Q993" s="44" t="str">
        <f aca="false">_xlfn.CONCAT(H993,I993,J993)</f>
        <v>DAURDE</v>
      </c>
    </row>
    <row r="994" customFormat="false" ht="15" hidden="true" customHeight="false" outlineLevel="0" collapsed="false">
      <c r="A994" s="43"/>
      <c r="B994" s="44" t="s">
        <v>307</v>
      </c>
      <c r="C994" s="44" t="s">
        <v>255</v>
      </c>
      <c r="D994" s="45" t="n">
        <v>46015.5729166667</v>
      </c>
      <c r="E994" s="45" t="n">
        <v>46015.5729166667</v>
      </c>
      <c r="F994" s="45" t="n">
        <v>46015.5826388889</v>
      </c>
      <c r="G994" s="46" t="n">
        <f aca="false">F994-E994</f>
        <v>0.00972222222222222</v>
      </c>
      <c r="H994" s="44" t="s">
        <v>248</v>
      </c>
      <c r="I994" s="44"/>
      <c r="J994" s="44" t="s">
        <v>256</v>
      </c>
      <c r="K994" s="44" t="s">
        <v>430</v>
      </c>
      <c r="L994" s="44" t="s">
        <v>881</v>
      </c>
      <c r="M994" s="44" t="s">
        <v>258</v>
      </c>
      <c r="N994" s="44" t="s">
        <v>379</v>
      </c>
      <c r="O994" s="44" t="s">
        <v>399</v>
      </c>
      <c r="P994" s="47" t="str">
        <f aca="false">_xlfn.CONCAT(B994,C994,D994,E994,F994)</f>
        <v>BC Aracu5.2Inverter(MBUS-1)46015.572916666746015.572916666746015.5826388889</v>
      </c>
      <c r="Q994" s="44" t="str">
        <f aca="false">_xlfn.CONCAT(H994,I994,J994)</f>
        <v>DAURDE</v>
      </c>
    </row>
    <row r="995" customFormat="false" ht="15" hidden="true" customHeight="false" outlineLevel="0" collapsed="false">
      <c r="A995" s="43"/>
      <c r="B995" s="44" t="s">
        <v>308</v>
      </c>
      <c r="C995" s="44" t="s">
        <v>255</v>
      </c>
      <c r="D995" s="45" t="n">
        <v>46015.5729166667</v>
      </c>
      <c r="E995" s="45" t="n">
        <v>46015.5729166667</v>
      </c>
      <c r="F995" s="45" t="n">
        <v>46015.5826388889</v>
      </c>
      <c r="G995" s="46" t="n">
        <f aca="false">F995-E995</f>
        <v>0.00972222222222222</v>
      </c>
      <c r="H995" s="44" t="s">
        <v>248</v>
      </c>
      <c r="I995" s="44"/>
      <c r="J995" s="44" t="s">
        <v>256</v>
      </c>
      <c r="K995" s="44" t="s">
        <v>430</v>
      </c>
      <c r="L995" s="44" t="s">
        <v>881</v>
      </c>
      <c r="M995" s="44" t="s">
        <v>258</v>
      </c>
      <c r="N995" s="44" t="s">
        <v>379</v>
      </c>
      <c r="O995" s="44" t="s">
        <v>399</v>
      </c>
      <c r="P995" s="47" t="str">
        <f aca="false">_xlfn.CONCAT(B995,C995,D995,E995,F995)</f>
        <v>BC Aracu5.3Inverter(MBUS-1)46015.572916666746015.572916666746015.5826388889</v>
      </c>
      <c r="Q995" s="44" t="str">
        <f aca="false">_xlfn.CONCAT(H995,I995,J995)</f>
        <v>DAURDE</v>
      </c>
    </row>
    <row r="996" customFormat="false" ht="15" hidden="true" customHeight="false" outlineLevel="0" collapsed="false">
      <c r="A996" s="43"/>
      <c r="B996" s="44" t="s">
        <v>309</v>
      </c>
      <c r="C996" s="44" t="s">
        <v>255</v>
      </c>
      <c r="D996" s="45" t="n">
        <v>46015.5729166667</v>
      </c>
      <c r="E996" s="45" t="n">
        <v>46015.5729166667</v>
      </c>
      <c r="F996" s="45" t="n">
        <v>46015.5826388889</v>
      </c>
      <c r="G996" s="46" t="n">
        <f aca="false">F996-E996</f>
        <v>0.00972222222222222</v>
      </c>
      <c r="H996" s="44" t="s">
        <v>248</v>
      </c>
      <c r="I996" s="44"/>
      <c r="J996" s="44" t="s">
        <v>256</v>
      </c>
      <c r="K996" s="44" t="s">
        <v>430</v>
      </c>
      <c r="L996" s="44" t="s">
        <v>881</v>
      </c>
      <c r="M996" s="44" t="s">
        <v>258</v>
      </c>
      <c r="N996" s="44" t="s">
        <v>379</v>
      </c>
      <c r="O996" s="44" t="s">
        <v>399</v>
      </c>
      <c r="P996" s="47" t="str">
        <f aca="false">_xlfn.CONCAT(B996,C996,D996,E996,F996)</f>
        <v>BC Aracu5.4Inverter(MBUS-1)46015.572916666746015.572916666746015.5826388889</v>
      </c>
      <c r="Q996" s="44" t="str">
        <f aca="false">_xlfn.CONCAT(H996,I996,J996)</f>
        <v>DAURDE</v>
      </c>
    </row>
    <row r="997" customFormat="false" ht="15" hidden="true" customHeight="false" outlineLevel="0" collapsed="false">
      <c r="A997" s="43"/>
      <c r="B997" s="44" t="s">
        <v>310</v>
      </c>
      <c r="C997" s="44" t="s">
        <v>255</v>
      </c>
      <c r="D997" s="45" t="n">
        <v>46015.5729166667</v>
      </c>
      <c r="E997" s="45" t="n">
        <v>46015.5729166667</v>
      </c>
      <c r="F997" s="45" t="n">
        <v>46015.5826388889</v>
      </c>
      <c r="G997" s="46" t="n">
        <f aca="false">F997-E997</f>
        <v>0.00972222222222222</v>
      </c>
      <c r="H997" s="44" t="s">
        <v>248</v>
      </c>
      <c r="I997" s="44"/>
      <c r="J997" s="44" t="s">
        <v>256</v>
      </c>
      <c r="K997" s="44" t="s">
        <v>430</v>
      </c>
      <c r="L997" s="44" t="s">
        <v>881</v>
      </c>
      <c r="M997" s="44" t="s">
        <v>258</v>
      </c>
      <c r="N997" s="44" t="s">
        <v>379</v>
      </c>
      <c r="O997" s="44" t="s">
        <v>399</v>
      </c>
      <c r="P997" s="47" t="str">
        <f aca="false">_xlfn.CONCAT(B997,C997,D997,E997,F997)</f>
        <v>BC Aracu5.5Inverter(MBUS-1)46015.572916666746015.572916666746015.5826388889</v>
      </c>
      <c r="Q997" s="44" t="str">
        <f aca="false">_xlfn.CONCAT(H997,I997,J997)</f>
        <v>DAURDE</v>
      </c>
    </row>
    <row r="998" customFormat="false" ht="15" hidden="false" customHeight="false" outlineLevel="0" collapsed="false">
      <c r="B998" s="1" t="s">
        <v>866</v>
      </c>
      <c r="C998" s="1" t="s">
        <v>627</v>
      </c>
      <c r="D998" s="14" t="n">
        <v>46001.7506944445</v>
      </c>
      <c r="E998" s="14" t="n">
        <v>46001.7506944445</v>
      </c>
      <c r="F998" s="14" t="n">
        <v>46002.5</v>
      </c>
      <c r="G998" s="15" t="n">
        <f aca="false">+F998-E998</f>
        <v>0.749305555555556</v>
      </c>
      <c r="H998" s="20" t="s">
        <v>445</v>
      </c>
      <c r="I998" s="1" t="s">
        <v>263</v>
      </c>
      <c r="J998" s="20" t="s">
        <v>264</v>
      </c>
      <c r="K998" s="1" t="e">
        <f aca="false">_xlfn.xlookup(J998,REF!$D$2:$D$12,REF!$E$2:$E$12)</f>
        <v>#NAME?</v>
      </c>
      <c r="L998" s="1" t="s">
        <v>449</v>
      </c>
      <c r="M998" s="20" t="s">
        <v>418</v>
      </c>
      <c r="N998" s="20" t="s">
        <v>450</v>
      </c>
      <c r="O998" s="1" t="s">
        <v>892</v>
      </c>
      <c r="P998" s="1" t="str">
        <f aca="false">_xlfn.CONCAT(B998,C998,D998,E998,F998)</f>
        <v>VARJÃO 2 - UFV 2.1215KTL-H0(MBUS-12)46001.750694444546001.750694444546002.5</v>
      </c>
      <c r="Q998" s="1" t="str">
        <f aca="false">_xlfn.CONCAT(H998,I998,J998)</f>
        <v>LIGRFOCOM</v>
      </c>
    </row>
    <row r="999" customFormat="false" ht="15" hidden="false" customHeight="false" outlineLevel="0" collapsed="false">
      <c r="B999" s="1" t="s">
        <v>866</v>
      </c>
      <c r="C999" s="1" t="s">
        <v>629</v>
      </c>
      <c r="D999" s="14" t="n">
        <v>46001.7506944445</v>
      </c>
      <c r="E999" s="14" t="n">
        <v>46001.7506944445</v>
      </c>
      <c r="F999" s="14" t="n">
        <v>46002.5</v>
      </c>
      <c r="G999" s="15" t="n">
        <f aca="false">F999-E999</f>
        <v>0.749305555555556</v>
      </c>
      <c r="H999" s="20" t="s">
        <v>445</v>
      </c>
      <c r="I999" s="1" t="s">
        <v>263</v>
      </c>
      <c r="J999" s="20" t="s">
        <v>264</v>
      </c>
      <c r="K999" s="1" t="e">
        <f aca="false">_xlfn.xlookup(J999,REF!$D$2:$D$12,REF!$E$2:$E$12)</f>
        <v>#NAME?</v>
      </c>
      <c r="L999" s="1" t="s">
        <v>449</v>
      </c>
      <c r="M999" s="20" t="s">
        <v>418</v>
      </c>
      <c r="N999" s="20" t="s">
        <v>450</v>
      </c>
      <c r="O999" s="1" t="s">
        <v>892</v>
      </c>
      <c r="P999" s="1" t="str">
        <f aca="false">_xlfn.CONCAT(B999,C999,D999,E999,F999)</f>
        <v>VARJÃO 2 - UFV 2.1215KTL-H0(MBUS-13)46001.750694444546001.750694444546002.5</v>
      </c>
      <c r="Q999" s="1" t="str">
        <f aca="false">_xlfn.CONCAT(H999,I999,J999)</f>
        <v>LIGRFOCOM</v>
      </c>
    </row>
    <row r="1000" customFormat="false" ht="15" hidden="false" customHeight="false" outlineLevel="0" collapsed="false">
      <c r="B1000" s="1" t="s">
        <v>866</v>
      </c>
      <c r="C1000" s="1" t="s">
        <v>282</v>
      </c>
      <c r="D1000" s="14" t="n">
        <v>46001.7506944445</v>
      </c>
      <c r="E1000" s="14" t="n">
        <v>46001.7506944445</v>
      </c>
      <c r="F1000" s="14" t="n">
        <v>46002.5</v>
      </c>
      <c r="G1000" s="15" t="n">
        <f aca="false">F1000-E1000</f>
        <v>0.749305555555556</v>
      </c>
      <c r="H1000" s="20" t="s">
        <v>445</v>
      </c>
      <c r="I1000" s="1" t="s">
        <v>263</v>
      </c>
      <c r="J1000" s="20" t="s">
        <v>264</v>
      </c>
      <c r="K1000" s="1" t="e">
        <f aca="false">_xlfn.xlookup(J1000,REF!$D$2:$D$12,REF!$E$2:$E$12)</f>
        <v>#NAME?</v>
      </c>
      <c r="L1000" s="1" t="s">
        <v>449</v>
      </c>
      <c r="M1000" s="20" t="s">
        <v>418</v>
      </c>
      <c r="N1000" s="20" t="s">
        <v>450</v>
      </c>
      <c r="O1000" s="1" t="s">
        <v>892</v>
      </c>
      <c r="P1000" s="1" t="str">
        <f aca="false">_xlfn.CONCAT(B1000,C1000,D1000,E1000,F1000)</f>
        <v>VARJÃO 2 - UFV 2.1215KTL-H0(MBUS-14)46001.750694444546001.750694444546002.5</v>
      </c>
      <c r="Q1000" s="1" t="str">
        <f aca="false">_xlfn.CONCAT(H1000,I1000,J1000)</f>
        <v>LIGRFOCOM</v>
      </c>
    </row>
    <row r="1001" customFormat="false" ht="15" hidden="false" customHeight="false" outlineLevel="0" collapsed="false">
      <c r="B1001" s="1" t="s">
        <v>866</v>
      </c>
      <c r="C1001" s="1" t="s">
        <v>630</v>
      </c>
      <c r="D1001" s="14" t="n">
        <v>46001.7506944445</v>
      </c>
      <c r="E1001" s="14" t="n">
        <v>46001.7506944445</v>
      </c>
      <c r="F1001" s="14" t="n">
        <v>46002.5</v>
      </c>
      <c r="G1001" s="15" t="n">
        <f aca="false">F1001-E1001</f>
        <v>0.749305555555556</v>
      </c>
      <c r="H1001" s="20" t="s">
        <v>445</v>
      </c>
      <c r="I1001" s="1" t="s">
        <v>263</v>
      </c>
      <c r="J1001" s="20" t="s">
        <v>264</v>
      </c>
      <c r="K1001" s="1" t="e">
        <f aca="false">_xlfn.xlookup(J1001,REF!$D$2:$D$12,REF!$E$2:$E$12)</f>
        <v>#NAME?</v>
      </c>
      <c r="L1001" s="1" t="s">
        <v>449</v>
      </c>
      <c r="M1001" s="20" t="s">
        <v>418</v>
      </c>
      <c r="N1001" s="20" t="s">
        <v>450</v>
      </c>
      <c r="O1001" s="1" t="s">
        <v>892</v>
      </c>
      <c r="P1001" s="1" t="str">
        <f aca="false">_xlfn.CONCAT(B1001,C1001,D1001,E1001,F1001)</f>
        <v>VARJÃO 2 - UFV 2.1215KTL-H0(MBUS-15)46001.750694444546001.750694444546002.5</v>
      </c>
      <c r="Q1001" s="1" t="str">
        <f aca="false">_xlfn.CONCAT(H1001,I1001,J1001)</f>
        <v>LIGRFOCOM</v>
      </c>
    </row>
    <row r="1002" customFormat="false" ht="15" hidden="false" customHeight="false" outlineLevel="0" collapsed="false">
      <c r="B1002" s="1" t="s">
        <v>866</v>
      </c>
      <c r="C1002" s="1" t="s">
        <v>631</v>
      </c>
      <c r="D1002" s="14" t="n">
        <v>46001.7506944445</v>
      </c>
      <c r="E1002" s="14" t="n">
        <v>46001.7506944445</v>
      </c>
      <c r="F1002" s="14" t="n">
        <v>46002.5</v>
      </c>
      <c r="G1002" s="15" t="n">
        <f aca="false">F1002-E1002</f>
        <v>0.749305555555556</v>
      </c>
      <c r="H1002" s="20" t="s">
        <v>445</v>
      </c>
      <c r="I1002" s="1" t="s">
        <v>263</v>
      </c>
      <c r="J1002" s="20" t="s">
        <v>264</v>
      </c>
      <c r="K1002" s="1" t="e">
        <f aca="false">_xlfn.xlookup(J1002,REF!$D$2:$D$12,REF!$E$2:$E$12)</f>
        <v>#NAME?</v>
      </c>
      <c r="L1002" s="1" t="s">
        <v>449</v>
      </c>
      <c r="M1002" s="20" t="s">
        <v>418</v>
      </c>
      <c r="N1002" s="20" t="s">
        <v>450</v>
      </c>
      <c r="O1002" s="1" t="s">
        <v>892</v>
      </c>
      <c r="P1002" s="1" t="str">
        <f aca="false">_xlfn.CONCAT(B1002,C1002,D1002,E1002,F1002)</f>
        <v>VARJÃO 2 - UFV 2.1215KTL-H0(MBUS-16)46001.750694444546001.750694444546002.5</v>
      </c>
      <c r="Q1002" s="1" t="str">
        <f aca="false">_xlfn.CONCAT(H1002,I1002,J1002)</f>
        <v>LIGRFOCOM</v>
      </c>
    </row>
    <row r="1003" customFormat="false" ht="15" hidden="false" customHeight="false" outlineLevel="0" collapsed="false">
      <c r="B1003" s="1" t="s">
        <v>867</v>
      </c>
      <c r="C1003" s="1" t="s">
        <v>629</v>
      </c>
      <c r="D1003" s="14" t="n">
        <v>46001.7506944445</v>
      </c>
      <c r="E1003" s="14" t="n">
        <v>46001.7506944445</v>
      </c>
      <c r="F1003" s="14" t="n">
        <v>46002.5</v>
      </c>
      <c r="G1003" s="15" t="n">
        <f aca="false">F1003-E1003</f>
        <v>0.749305555555556</v>
      </c>
      <c r="H1003" s="20" t="s">
        <v>445</v>
      </c>
      <c r="I1003" s="1" t="s">
        <v>263</v>
      </c>
      <c r="J1003" s="20" t="s">
        <v>264</v>
      </c>
      <c r="K1003" s="1" t="e">
        <f aca="false">_xlfn.xlookup(J1003,REF!$D$2:$D$12,REF!$E$2:$E$12)</f>
        <v>#NAME?</v>
      </c>
      <c r="L1003" s="1" t="s">
        <v>449</v>
      </c>
      <c r="M1003" s="20" t="s">
        <v>418</v>
      </c>
      <c r="N1003" s="20" t="s">
        <v>450</v>
      </c>
      <c r="O1003" s="1" t="s">
        <v>892</v>
      </c>
      <c r="P1003" s="1" t="str">
        <f aca="false">_xlfn.CONCAT(B1003,C1003,D1003,E1003,F1003)</f>
        <v>VARJÃO 2 - UFV 2.2215KTL-H0(MBUS-13)46001.750694444546001.750694444546002.5</v>
      </c>
      <c r="Q1003" s="1" t="str">
        <f aca="false">_xlfn.CONCAT(H1003,I1003,J1003)</f>
        <v>LIGRFOCOM</v>
      </c>
    </row>
    <row r="1004" customFormat="false" ht="15" hidden="false" customHeight="false" outlineLevel="0" collapsed="false">
      <c r="B1004" s="1" t="s">
        <v>867</v>
      </c>
      <c r="C1004" s="1" t="s">
        <v>282</v>
      </c>
      <c r="D1004" s="14" t="n">
        <v>46001.7506944445</v>
      </c>
      <c r="E1004" s="14" t="n">
        <v>46001.7506944445</v>
      </c>
      <c r="F1004" s="14" t="n">
        <v>46002.5</v>
      </c>
      <c r="G1004" s="15" t="n">
        <f aca="false">F1004-E1004</f>
        <v>0.749305555555556</v>
      </c>
      <c r="H1004" s="20" t="s">
        <v>445</v>
      </c>
      <c r="I1004" s="1" t="s">
        <v>263</v>
      </c>
      <c r="J1004" s="20" t="s">
        <v>264</v>
      </c>
      <c r="K1004" s="1" t="e">
        <f aca="false">_xlfn.xlookup(J1004,REF!$D$2:$D$12,REF!$E$2:$E$12)</f>
        <v>#NAME?</v>
      </c>
      <c r="L1004" s="1" t="s">
        <v>449</v>
      </c>
      <c r="M1004" s="20" t="s">
        <v>418</v>
      </c>
      <c r="N1004" s="20" t="s">
        <v>450</v>
      </c>
      <c r="O1004" s="1" t="s">
        <v>892</v>
      </c>
      <c r="P1004" s="1" t="str">
        <f aca="false">_xlfn.CONCAT(B1004,C1004,D1004,E1004,F1004)</f>
        <v>VARJÃO 2 - UFV 2.2215KTL-H0(MBUS-14)46001.750694444546001.750694444546002.5</v>
      </c>
      <c r="Q1004" s="1" t="str">
        <f aca="false">_xlfn.CONCAT(H1004,I1004,J1004)</f>
        <v>LIGRFOCOM</v>
      </c>
    </row>
    <row r="1005" customFormat="false" ht="15" hidden="false" customHeight="false" outlineLevel="0" collapsed="false">
      <c r="B1005" s="1" t="s">
        <v>867</v>
      </c>
      <c r="C1005" s="1" t="s">
        <v>630</v>
      </c>
      <c r="D1005" s="14" t="n">
        <v>46001.7506944445</v>
      </c>
      <c r="E1005" s="14" t="n">
        <v>46001.7506944445</v>
      </c>
      <c r="F1005" s="14" t="n">
        <v>46002.5</v>
      </c>
      <c r="G1005" s="15" t="n">
        <f aca="false">F1005-E1005</f>
        <v>0.749305555555556</v>
      </c>
      <c r="H1005" s="20" t="s">
        <v>445</v>
      </c>
      <c r="I1005" s="1" t="s">
        <v>263</v>
      </c>
      <c r="J1005" s="20" t="s">
        <v>264</v>
      </c>
      <c r="K1005" s="1" t="e">
        <f aca="false">_xlfn.xlookup(J1005,REF!$D$2:$D$12,REF!$E$2:$E$12)</f>
        <v>#NAME?</v>
      </c>
      <c r="L1005" s="1" t="s">
        <v>449</v>
      </c>
      <c r="M1005" s="20" t="s">
        <v>418</v>
      </c>
      <c r="N1005" s="20" t="s">
        <v>450</v>
      </c>
      <c r="O1005" s="1" t="s">
        <v>892</v>
      </c>
      <c r="P1005" s="1" t="str">
        <f aca="false">_xlfn.CONCAT(B1005,C1005,D1005,E1005,F1005)</f>
        <v>VARJÃO 2 - UFV 2.2215KTL-H0(MBUS-15)46001.750694444546001.750694444546002.5</v>
      </c>
      <c r="Q1005" s="1" t="str">
        <f aca="false">_xlfn.CONCAT(H1005,I1005,J1005)</f>
        <v>LIGRFOCOM</v>
      </c>
    </row>
    <row r="1006" customFormat="false" ht="15" hidden="false" customHeight="false" outlineLevel="0" collapsed="false">
      <c r="B1006" s="1" t="s">
        <v>867</v>
      </c>
      <c r="C1006" s="1" t="s">
        <v>631</v>
      </c>
      <c r="D1006" s="14" t="n">
        <v>46001.7506944445</v>
      </c>
      <c r="E1006" s="14" t="n">
        <v>46001.7506944445</v>
      </c>
      <c r="F1006" s="14" t="n">
        <v>46002.5</v>
      </c>
      <c r="G1006" s="15" t="n">
        <f aca="false">F1006-E1006</f>
        <v>0.749305555555556</v>
      </c>
      <c r="H1006" s="20" t="s">
        <v>445</v>
      </c>
      <c r="I1006" s="1" t="s">
        <v>263</v>
      </c>
      <c r="J1006" s="20" t="s">
        <v>264</v>
      </c>
      <c r="K1006" s="1" t="e">
        <f aca="false">_xlfn.xlookup(J1006,REF!$D$2:$D$12,REF!$E$2:$E$12)</f>
        <v>#NAME?</v>
      </c>
      <c r="L1006" s="1" t="s">
        <v>449</v>
      </c>
      <c r="M1006" s="20" t="s">
        <v>418</v>
      </c>
      <c r="N1006" s="20" t="s">
        <v>450</v>
      </c>
      <c r="O1006" s="1" t="s">
        <v>892</v>
      </c>
      <c r="P1006" s="1" t="str">
        <f aca="false">_xlfn.CONCAT(B1006,C1006,D1006,E1006,F1006)</f>
        <v>VARJÃO 2 - UFV 2.2215KTL-H0(MBUS-16)46001.750694444546001.750694444546002.5</v>
      </c>
      <c r="Q1006" s="1" t="str">
        <f aca="false">_xlfn.CONCAT(H1006,I1006,J1006)</f>
        <v>LIGRFOCOM</v>
      </c>
    </row>
    <row r="1007" customFormat="false" ht="15" hidden="false" customHeight="false" outlineLevel="0" collapsed="false">
      <c r="B1007" s="1" t="s">
        <v>867</v>
      </c>
      <c r="C1007" s="1" t="s">
        <v>627</v>
      </c>
      <c r="D1007" s="14" t="n">
        <v>46001.7506944445</v>
      </c>
      <c r="E1007" s="14" t="n">
        <v>46001.7506944445</v>
      </c>
      <c r="F1007" s="14" t="n">
        <v>46002.5</v>
      </c>
      <c r="G1007" s="15" t="n">
        <f aca="false">F1007-E1007</f>
        <v>0.749305555555556</v>
      </c>
      <c r="H1007" s="20" t="s">
        <v>445</v>
      </c>
      <c r="I1007" s="1" t="s">
        <v>263</v>
      </c>
      <c r="J1007" s="20" t="s">
        <v>264</v>
      </c>
      <c r="K1007" s="1" t="e">
        <f aca="false">_xlfn.xlookup(J1007,REF!$D$2:$D$12,REF!$E$2:$E$12)</f>
        <v>#NAME?</v>
      </c>
      <c r="L1007" s="1" t="s">
        <v>449</v>
      </c>
      <c r="M1007" s="20" t="s">
        <v>418</v>
      </c>
      <c r="N1007" s="20" t="s">
        <v>450</v>
      </c>
      <c r="O1007" s="1" t="s">
        <v>892</v>
      </c>
      <c r="P1007" s="1" t="str">
        <f aca="false">_xlfn.CONCAT(B1007,C1007,D1007,E1007,F1007)</f>
        <v>VARJÃO 2 - UFV 2.2215KTL-H0(MBUS-12)46001.750694444546001.750694444546002.5</v>
      </c>
      <c r="Q1007" s="1" t="str">
        <f aca="false">_xlfn.CONCAT(H1007,I1007,J1007)</f>
        <v>LIGRFOCOM</v>
      </c>
    </row>
    <row r="1008" customFormat="false" ht="15" hidden="false" customHeight="false" outlineLevel="0" collapsed="false">
      <c r="B1008" s="1" t="s">
        <v>868</v>
      </c>
      <c r="C1008" s="1" t="s">
        <v>634</v>
      </c>
      <c r="D1008" s="14" t="n">
        <v>46001.7506944445</v>
      </c>
      <c r="E1008" s="14" t="n">
        <v>46001.7506944445</v>
      </c>
      <c r="F1008" s="14" t="n">
        <v>46002.5</v>
      </c>
      <c r="G1008" s="15" t="n">
        <f aca="false">F1008-E1008</f>
        <v>0.749305555555556</v>
      </c>
      <c r="H1008" s="20" t="s">
        <v>445</v>
      </c>
      <c r="I1008" s="1" t="s">
        <v>263</v>
      </c>
      <c r="J1008" s="20" t="s">
        <v>264</v>
      </c>
      <c r="K1008" s="1" t="e">
        <f aca="false">_xlfn.xlookup(J1008,REF!$D$2:$D$12,REF!$E$2:$E$12)</f>
        <v>#NAME?</v>
      </c>
      <c r="L1008" s="1" t="s">
        <v>449</v>
      </c>
      <c r="M1008" s="20" t="s">
        <v>418</v>
      </c>
      <c r="N1008" s="20" t="s">
        <v>450</v>
      </c>
      <c r="O1008" s="1" t="s">
        <v>892</v>
      </c>
      <c r="P1008" s="1" t="str">
        <f aca="false">_xlfn.CONCAT(B1008,C1008,D1008,E1008,F1008)</f>
        <v>VARJÃO 2 - UFV 2.3100KTL-H1(MBUS-1)46001.750694444546001.750694444546002.5</v>
      </c>
      <c r="Q1008" s="1" t="str">
        <f aca="false">_xlfn.CONCAT(H1008,I1008,J1008)</f>
        <v>LIGRFOCOM</v>
      </c>
    </row>
    <row r="1009" customFormat="false" ht="15" hidden="false" customHeight="false" outlineLevel="0" collapsed="false">
      <c r="B1009" s="1" t="s">
        <v>868</v>
      </c>
      <c r="C1009" s="1" t="s">
        <v>629</v>
      </c>
      <c r="D1009" s="14" t="n">
        <v>46001.7506944445</v>
      </c>
      <c r="E1009" s="14" t="n">
        <v>46001.7506944445</v>
      </c>
      <c r="F1009" s="14" t="n">
        <v>46002.5</v>
      </c>
      <c r="G1009" s="15" t="n">
        <f aca="false">F1009-E1009</f>
        <v>0.749305555555556</v>
      </c>
      <c r="H1009" s="20" t="s">
        <v>445</v>
      </c>
      <c r="I1009" s="1" t="s">
        <v>263</v>
      </c>
      <c r="J1009" s="20" t="s">
        <v>264</v>
      </c>
      <c r="K1009" s="1" t="e">
        <f aca="false">_xlfn.xlookup(J1009,REF!$D$2:$D$12,REF!$E$2:$E$12)</f>
        <v>#NAME?</v>
      </c>
      <c r="L1009" s="1" t="s">
        <v>449</v>
      </c>
      <c r="M1009" s="20" t="s">
        <v>418</v>
      </c>
      <c r="N1009" s="20" t="s">
        <v>450</v>
      </c>
      <c r="O1009" s="1" t="s">
        <v>892</v>
      </c>
      <c r="P1009" s="1" t="str">
        <f aca="false">_xlfn.CONCAT(B1009,C1009,D1009,E1009,F1009)</f>
        <v>VARJÃO 2 - UFV 2.3215KTL-H0(MBUS-13)46001.750694444546001.750694444546002.5</v>
      </c>
      <c r="Q1009" s="1" t="str">
        <f aca="false">_xlfn.CONCAT(H1009,I1009,J1009)</f>
        <v>LIGRFOCOM</v>
      </c>
    </row>
    <row r="1010" customFormat="false" ht="15" hidden="false" customHeight="false" outlineLevel="0" collapsed="false">
      <c r="B1010" s="1" t="s">
        <v>868</v>
      </c>
      <c r="C1010" s="1" t="s">
        <v>627</v>
      </c>
      <c r="D1010" s="14" t="n">
        <v>46001.7506944445</v>
      </c>
      <c r="E1010" s="14" t="n">
        <v>46001.7506944445</v>
      </c>
      <c r="F1010" s="14" t="n">
        <v>46002.5</v>
      </c>
      <c r="G1010" s="15" t="n">
        <f aca="false">F1010-E1010</f>
        <v>0.749305555555556</v>
      </c>
      <c r="H1010" s="20" t="s">
        <v>445</v>
      </c>
      <c r="I1010" s="1" t="s">
        <v>263</v>
      </c>
      <c r="J1010" s="20" t="s">
        <v>264</v>
      </c>
      <c r="K1010" s="1" t="e">
        <f aca="false">_xlfn.xlookup(J1010,REF!$D$2:$D$12,REF!$E$2:$E$12)</f>
        <v>#NAME?</v>
      </c>
      <c r="L1010" s="1" t="s">
        <v>449</v>
      </c>
      <c r="M1010" s="20" t="s">
        <v>418</v>
      </c>
      <c r="N1010" s="20" t="s">
        <v>450</v>
      </c>
      <c r="O1010" s="1" t="s">
        <v>892</v>
      </c>
      <c r="P1010" s="1" t="str">
        <f aca="false">_xlfn.CONCAT(B1010,C1010,D1010,E1010,F1010)</f>
        <v>VARJÃO 2 - UFV 2.3215KTL-H0(MBUS-12)46001.750694444546001.750694444546002.5</v>
      </c>
      <c r="Q1010" s="1" t="str">
        <f aca="false">_xlfn.CONCAT(H1010,I1010,J1010)</f>
        <v>LIGRFOCOM</v>
      </c>
    </row>
    <row r="1011" customFormat="false" ht="15" hidden="true" customHeight="false" outlineLevel="0" collapsed="false">
      <c r="B1011" s="1" t="s">
        <v>816</v>
      </c>
      <c r="C1011" s="1" t="s">
        <v>817</v>
      </c>
      <c r="D1011" s="14" t="n">
        <v>45996.2569444444</v>
      </c>
      <c r="E1011" s="14" t="n">
        <v>45996.2569444444</v>
      </c>
      <c r="F1011" s="14" t="n">
        <v>45996.3833333333</v>
      </c>
      <c r="G1011" s="15" t="n">
        <f aca="false">F1011-E1011</f>
        <v>0.126388888888889</v>
      </c>
      <c r="H1011" s="20" t="s">
        <v>248</v>
      </c>
      <c r="J1011" s="20" t="s">
        <v>256</v>
      </c>
      <c r="K1011" s="1" t="e">
        <f aca="false">_xlfn.xlookup(J1011,REF!$D$2:$D$12,REF!$E$2:$E$12)</f>
        <v>#NAME?</v>
      </c>
      <c r="L1011" s="1" t="s">
        <v>893</v>
      </c>
      <c r="M1011" s="20" t="s">
        <v>258</v>
      </c>
      <c r="N1011" s="20" t="s">
        <v>259</v>
      </c>
      <c r="O1011" s="1" t="s">
        <v>760</v>
      </c>
      <c r="P1011" s="1" t="str">
        <f aca="false">_xlfn.CONCAT(B1011,C1011,D1011,E1011,F1011)</f>
        <v>Rio Monte IIISG60KTL(COM1-008)_001_01645996.256944444445996.256944444445996.3833333333</v>
      </c>
      <c r="Q1011" s="1" t="str">
        <f aca="false">_xlfn.CONCAT(H1011,I1011,J1011)</f>
        <v>DAURDE</v>
      </c>
    </row>
    <row r="1012" customFormat="false" ht="15" hidden="true" customHeight="false" outlineLevel="0" collapsed="false">
      <c r="B1012" s="1" t="s">
        <v>816</v>
      </c>
      <c r="C1012" s="1" t="s">
        <v>818</v>
      </c>
      <c r="D1012" s="14" t="n">
        <v>45996.2569444444</v>
      </c>
      <c r="E1012" s="14" t="n">
        <v>45996.2569444444</v>
      </c>
      <c r="F1012" s="14" t="n">
        <v>45996.3833333333</v>
      </c>
      <c r="G1012" s="15" t="n">
        <f aca="false">F1012-E1012</f>
        <v>0.126388888888889</v>
      </c>
      <c r="H1012" s="20" t="s">
        <v>248</v>
      </c>
      <c r="J1012" s="20" t="s">
        <v>256</v>
      </c>
      <c r="K1012" s="1" t="e">
        <f aca="false">_xlfn.xlookup(J1012,REF!$D$2:$D$12,REF!$E$2:$E$12)</f>
        <v>#NAME?</v>
      </c>
      <c r="L1012" s="1" t="s">
        <v>893</v>
      </c>
      <c r="M1012" s="20" t="s">
        <v>258</v>
      </c>
      <c r="N1012" s="20" t="s">
        <v>259</v>
      </c>
      <c r="O1012" s="1" t="s">
        <v>760</v>
      </c>
      <c r="P1012" s="1" t="str">
        <f aca="false">_xlfn.CONCAT(B1012,C1012,D1012,E1012,F1012)</f>
        <v>Rio Monte IIISG60KTL(COM1-009)_001_01045996.256944444445996.256944444445996.3833333333</v>
      </c>
      <c r="Q1012" s="1" t="str">
        <f aca="false">_xlfn.CONCAT(H1012,I1012,J1012)</f>
        <v>DAURDE</v>
      </c>
    </row>
    <row r="1013" customFormat="false" ht="15" hidden="true" customHeight="false" outlineLevel="0" collapsed="false">
      <c r="B1013" s="1" t="s">
        <v>816</v>
      </c>
      <c r="C1013" s="1" t="s">
        <v>819</v>
      </c>
      <c r="D1013" s="14" t="n">
        <v>45996.2569444444</v>
      </c>
      <c r="E1013" s="14" t="n">
        <v>45996.2569444444</v>
      </c>
      <c r="F1013" s="14" t="n">
        <v>45996.3833333333</v>
      </c>
      <c r="G1013" s="15" t="n">
        <f aca="false">F1013-E1013</f>
        <v>0.126388888888889</v>
      </c>
      <c r="H1013" s="20" t="s">
        <v>248</v>
      </c>
      <c r="J1013" s="20" t="s">
        <v>256</v>
      </c>
      <c r="K1013" s="1" t="e">
        <f aca="false">_xlfn.xlookup(J1013,REF!$D$2:$D$12,REF!$E$2:$E$12)</f>
        <v>#NAME?</v>
      </c>
      <c r="L1013" s="1" t="s">
        <v>893</v>
      </c>
      <c r="M1013" s="20" t="s">
        <v>258</v>
      </c>
      <c r="N1013" s="20" t="s">
        <v>259</v>
      </c>
      <c r="O1013" s="1" t="s">
        <v>760</v>
      </c>
      <c r="P1013" s="1" t="str">
        <f aca="false">_xlfn.CONCAT(B1013,C1013,D1013,E1013,F1013)</f>
        <v>Rio Monte IIISG60KTL(COM1-010)_001_01245996.256944444445996.256944444445996.3833333333</v>
      </c>
      <c r="Q1013" s="1" t="str">
        <f aca="false">_xlfn.CONCAT(H1013,I1013,J1013)</f>
        <v>DAURDE</v>
      </c>
    </row>
    <row r="1014" customFormat="false" ht="15" hidden="true" customHeight="false" outlineLevel="0" collapsed="false">
      <c r="B1014" s="1" t="s">
        <v>816</v>
      </c>
      <c r="C1014" s="1" t="s">
        <v>820</v>
      </c>
      <c r="D1014" s="14" t="n">
        <v>45996.2569444444</v>
      </c>
      <c r="E1014" s="14" t="n">
        <v>45996.2569444444</v>
      </c>
      <c r="F1014" s="14" t="n">
        <v>45996.3833333333</v>
      </c>
      <c r="G1014" s="15" t="n">
        <f aca="false">F1014-E1014</f>
        <v>0.126388888888889</v>
      </c>
      <c r="H1014" s="20" t="s">
        <v>248</v>
      </c>
      <c r="J1014" s="20" t="s">
        <v>256</v>
      </c>
      <c r="K1014" s="1" t="e">
        <f aca="false">_xlfn.xlookup(J1014,REF!$D$2:$D$12,REF!$E$2:$E$12)</f>
        <v>#NAME?</v>
      </c>
      <c r="L1014" s="1" t="s">
        <v>893</v>
      </c>
      <c r="M1014" s="20" t="s">
        <v>258</v>
      </c>
      <c r="N1014" s="20" t="s">
        <v>259</v>
      </c>
      <c r="O1014" s="1" t="s">
        <v>760</v>
      </c>
      <c r="P1014" s="1" t="str">
        <f aca="false">_xlfn.CONCAT(B1014,C1014,D1014,E1014,F1014)</f>
        <v>Rio Monte IIISG60KTL(COM1-011)_001_00245996.256944444445996.256944444445996.3833333333</v>
      </c>
      <c r="Q1014" s="1" t="str">
        <f aca="false">_xlfn.CONCAT(H1014,I1014,J1014)</f>
        <v>DAURDE</v>
      </c>
    </row>
    <row r="1015" customFormat="false" ht="15" hidden="true" customHeight="false" outlineLevel="0" collapsed="false">
      <c r="B1015" s="1" t="s">
        <v>816</v>
      </c>
      <c r="C1015" s="1" t="s">
        <v>821</v>
      </c>
      <c r="D1015" s="14" t="n">
        <v>45996.2569444444</v>
      </c>
      <c r="E1015" s="14" t="n">
        <v>45996.2569444444</v>
      </c>
      <c r="F1015" s="14" t="n">
        <v>45996.3833333333</v>
      </c>
      <c r="G1015" s="15" t="n">
        <f aca="false">F1015-E1015</f>
        <v>0.126388888888889</v>
      </c>
      <c r="H1015" s="20" t="s">
        <v>248</v>
      </c>
      <c r="J1015" s="20" t="s">
        <v>256</v>
      </c>
      <c r="K1015" s="1" t="e">
        <f aca="false">_xlfn.xlookup(J1015,REF!$D$2:$D$12,REF!$E$2:$E$12)</f>
        <v>#NAME?</v>
      </c>
      <c r="L1015" s="1" t="s">
        <v>893</v>
      </c>
      <c r="M1015" s="20" t="s">
        <v>258</v>
      </c>
      <c r="N1015" s="20" t="s">
        <v>259</v>
      </c>
      <c r="O1015" s="1" t="s">
        <v>760</v>
      </c>
      <c r="P1015" s="1" t="str">
        <f aca="false">_xlfn.CONCAT(B1015,C1015,D1015,E1015,F1015)</f>
        <v>Rio Monte IIISG60KTL(COM1-012)_001_01545996.256944444445996.256944444445996.3833333333</v>
      </c>
      <c r="Q1015" s="1" t="str">
        <f aca="false">_xlfn.CONCAT(H1015,I1015,J1015)</f>
        <v>DAURDE</v>
      </c>
    </row>
    <row r="1016" customFormat="false" ht="15" hidden="true" customHeight="false" outlineLevel="0" collapsed="false">
      <c r="B1016" s="1" t="s">
        <v>816</v>
      </c>
      <c r="C1016" s="1" t="s">
        <v>822</v>
      </c>
      <c r="D1016" s="14" t="n">
        <v>45996.2569444444</v>
      </c>
      <c r="E1016" s="14" t="n">
        <v>45996.2569444444</v>
      </c>
      <c r="F1016" s="14" t="n">
        <v>45996.3833333333</v>
      </c>
      <c r="G1016" s="15" t="n">
        <f aca="false">F1016-E1016</f>
        <v>0.126388888888889</v>
      </c>
      <c r="H1016" s="20" t="s">
        <v>248</v>
      </c>
      <c r="J1016" s="20" t="s">
        <v>256</v>
      </c>
      <c r="K1016" s="1" t="e">
        <f aca="false">_xlfn.xlookup(J1016,REF!$D$2:$D$12,REF!$E$2:$E$12)</f>
        <v>#NAME?</v>
      </c>
      <c r="L1016" s="1" t="s">
        <v>893</v>
      </c>
      <c r="M1016" s="20" t="s">
        <v>258</v>
      </c>
      <c r="N1016" s="20" t="s">
        <v>259</v>
      </c>
      <c r="O1016" s="1" t="s">
        <v>760</v>
      </c>
      <c r="P1016" s="1" t="str">
        <f aca="false">_xlfn.CONCAT(B1016,C1016,D1016,E1016,F1016)</f>
        <v>Rio Monte IIISG60KTL(COM1-013)_001_00345996.256944444445996.256944444445996.3833333333</v>
      </c>
      <c r="Q1016" s="1" t="str">
        <f aca="false">_xlfn.CONCAT(H1016,I1016,J1016)</f>
        <v>DAURDE</v>
      </c>
    </row>
    <row r="1017" customFormat="false" ht="15" hidden="true" customHeight="false" outlineLevel="0" collapsed="false">
      <c r="B1017" s="1" t="s">
        <v>816</v>
      </c>
      <c r="C1017" s="1" t="s">
        <v>823</v>
      </c>
      <c r="D1017" s="14" t="n">
        <v>45996.2569444444</v>
      </c>
      <c r="E1017" s="14" t="n">
        <v>45996.2569444444</v>
      </c>
      <c r="F1017" s="14" t="n">
        <v>45996.3833333333</v>
      </c>
      <c r="G1017" s="15" t="n">
        <f aca="false">F1017-E1017</f>
        <v>0.126388888888889</v>
      </c>
      <c r="H1017" s="20" t="s">
        <v>248</v>
      </c>
      <c r="J1017" s="20" t="s">
        <v>256</v>
      </c>
      <c r="K1017" s="1" t="e">
        <f aca="false">_xlfn.xlookup(J1017,REF!$D$2:$D$12,REF!$E$2:$E$12)</f>
        <v>#NAME?</v>
      </c>
      <c r="L1017" s="1" t="s">
        <v>893</v>
      </c>
      <c r="M1017" s="20" t="s">
        <v>258</v>
      </c>
      <c r="N1017" s="20" t="s">
        <v>259</v>
      </c>
      <c r="O1017" s="1" t="s">
        <v>760</v>
      </c>
      <c r="P1017" s="1" t="str">
        <f aca="false">_xlfn.CONCAT(B1017,C1017,D1017,E1017,F1017)</f>
        <v>Rio Monte IIISG60KTL(COM1-014)_001_00445996.256944444445996.256944444445996.3833333333</v>
      </c>
      <c r="Q1017" s="1" t="str">
        <f aca="false">_xlfn.CONCAT(H1017,I1017,J1017)</f>
        <v>DAURDE</v>
      </c>
    </row>
    <row r="1018" customFormat="false" ht="15" hidden="true" customHeight="false" outlineLevel="0" collapsed="false">
      <c r="B1018" s="1" t="s">
        <v>816</v>
      </c>
      <c r="C1018" s="1" t="s">
        <v>824</v>
      </c>
      <c r="D1018" s="14" t="n">
        <v>45996.2569444444</v>
      </c>
      <c r="E1018" s="14" t="n">
        <v>45996.2569444444</v>
      </c>
      <c r="F1018" s="14" t="n">
        <v>45996.3833333333</v>
      </c>
      <c r="G1018" s="15" t="n">
        <f aca="false">F1018-E1018</f>
        <v>0.126388888888889</v>
      </c>
      <c r="H1018" s="20" t="s">
        <v>248</v>
      </c>
      <c r="J1018" s="20" t="s">
        <v>256</v>
      </c>
      <c r="K1018" s="1" t="e">
        <f aca="false">_xlfn.xlookup(J1018,REF!$D$2:$D$12,REF!$E$2:$E$12)</f>
        <v>#NAME?</v>
      </c>
      <c r="L1018" s="1" t="s">
        <v>893</v>
      </c>
      <c r="M1018" s="20" t="s">
        <v>258</v>
      </c>
      <c r="N1018" s="20" t="s">
        <v>259</v>
      </c>
      <c r="O1018" s="1" t="s">
        <v>760</v>
      </c>
      <c r="P1018" s="1" t="str">
        <f aca="false">_xlfn.CONCAT(B1018,C1018,D1018,E1018,F1018)</f>
        <v>Rio Monte IIISG60KTL(COM1-015)_001_01345996.256944444445996.256944444445996.3833333333</v>
      </c>
      <c r="Q1018" s="1" t="str">
        <f aca="false">_xlfn.CONCAT(H1018,I1018,J1018)</f>
        <v>DAURDE</v>
      </c>
    </row>
    <row r="1019" customFormat="false" ht="15" hidden="true" customHeight="false" outlineLevel="0" collapsed="false">
      <c r="B1019" s="1" t="s">
        <v>816</v>
      </c>
      <c r="C1019" s="1" t="s">
        <v>825</v>
      </c>
      <c r="D1019" s="14" t="n">
        <v>45996.2569444444</v>
      </c>
      <c r="E1019" s="14" t="n">
        <v>45996.2569444444</v>
      </c>
      <c r="F1019" s="14" t="n">
        <v>45996.3833333333</v>
      </c>
      <c r="G1019" s="15" t="n">
        <f aca="false">F1019-E1019</f>
        <v>0.126388888888889</v>
      </c>
      <c r="H1019" s="20" t="s">
        <v>248</v>
      </c>
      <c r="J1019" s="20" t="s">
        <v>256</v>
      </c>
      <c r="K1019" s="1" t="e">
        <f aca="false">_xlfn.xlookup(J1019,REF!$D$2:$D$12,REF!$E$2:$E$12)</f>
        <v>#NAME?</v>
      </c>
      <c r="L1019" s="1" t="s">
        <v>893</v>
      </c>
      <c r="M1019" s="20" t="s">
        <v>258</v>
      </c>
      <c r="N1019" s="20" t="s">
        <v>259</v>
      </c>
      <c r="O1019" s="1" t="s">
        <v>760</v>
      </c>
      <c r="P1019" s="1" t="str">
        <f aca="false">_xlfn.CONCAT(B1019,C1019,D1019,E1019,F1019)</f>
        <v>Rio Monte IIISG60KTL(COM1-016)_001_01445996.256944444445996.256944444445996.3833333333</v>
      </c>
      <c r="Q1019" s="1" t="str">
        <f aca="false">_xlfn.CONCAT(H1019,I1019,J1019)</f>
        <v>DAURDE</v>
      </c>
    </row>
    <row r="1020" customFormat="false" ht="15" hidden="true" customHeight="false" outlineLevel="0" collapsed="false">
      <c r="B1020" s="1" t="s">
        <v>816</v>
      </c>
      <c r="C1020" s="1" t="s">
        <v>826</v>
      </c>
      <c r="D1020" s="14" t="n">
        <v>45996.2569444444</v>
      </c>
      <c r="E1020" s="14" t="n">
        <v>45996.2569444444</v>
      </c>
      <c r="F1020" s="14" t="n">
        <v>45996.3833333333</v>
      </c>
      <c r="G1020" s="15" t="n">
        <f aca="false">F1020-E1020</f>
        <v>0.126388888888889</v>
      </c>
      <c r="H1020" s="20" t="s">
        <v>248</v>
      </c>
      <c r="J1020" s="20" t="s">
        <v>256</v>
      </c>
      <c r="K1020" s="1" t="e">
        <f aca="false">_xlfn.xlookup(J1020,REF!$D$2:$D$12,REF!$E$2:$E$12)</f>
        <v>#NAME?</v>
      </c>
      <c r="L1020" s="1" t="s">
        <v>893</v>
      </c>
      <c r="M1020" s="20" t="s">
        <v>258</v>
      </c>
      <c r="N1020" s="20" t="s">
        <v>259</v>
      </c>
      <c r="O1020" s="1" t="s">
        <v>760</v>
      </c>
      <c r="P1020" s="1" t="str">
        <f aca="false">_xlfn.CONCAT(B1020,C1020,D1020,E1020,F1020)</f>
        <v>Rio Monte IIISG60KTL(COM1-017)_001_00845996.256944444445996.256944444445996.3833333333</v>
      </c>
      <c r="Q1020" s="1" t="str">
        <f aca="false">_xlfn.CONCAT(H1020,I1020,J1020)</f>
        <v>DAURDE</v>
      </c>
    </row>
    <row r="1021" customFormat="false" ht="15" hidden="false" customHeight="false" outlineLevel="0" collapsed="false">
      <c r="A1021" s="43"/>
      <c r="B1021" s="44" t="s">
        <v>276</v>
      </c>
      <c r="C1021" s="44" t="s">
        <v>247</v>
      </c>
      <c r="D1021" s="45" t="n">
        <v>46016.0138888889</v>
      </c>
      <c r="E1021" s="45" t="n">
        <v>46016.0138888889</v>
      </c>
      <c r="F1021" s="45" t="n">
        <v>46016.0763888889</v>
      </c>
      <c r="G1021" s="46" t="n">
        <f aca="false">F1021-E1021</f>
        <v>0.0625</v>
      </c>
      <c r="H1021" s="44" t="s">
        <v>445</v>
      </c>
      <c r="I1021" s="44" t="s">
        <v>263</v>
      </c>
      <c r="J1021" s="44" t="s">
        <v>264</v>
      </c>
      <c r="K1021" s="44" t="s">
        <v>456</v>
      </c>
      <c r="L1021" s="44" t="s">
        <v>894</v>
      </c>
      <c r="M1021" s="44" t="s">
        <v>266</v>
      </c>
      <c r="N1021" s="44" t="s">
        <v>252</v>
      </c>
      <c r="O1021" s="44" t="s">
        <v>895</v>
      </c>
      <c r="P1021" s="47" t="str">
        <f aca="false">_xlfn.CONCAT(B1021,C1021,D1021,E1021,F1021)</f>
        <v>ARAGUATINS 2.1Inverter(MBUS-13)46016.013888888946016.013888888946016.0763888889</v>
      </c>
      <c r="Q1021" s="44" t="str">
        <f aca="false">_xlfn.CONCAT(H1021,I1021,J1021)</f>
        <v>LIGRFOCOM</v>
      </c>
    </row>
    <row r="1022" customFormat="false" ht="15" hidden="false" customHeight="false" outlineLevel="0" collapsed="false">
      <c r="A1022" s="43"/>
      <c r="B1022" s="44" t="s">
        <v>276</v>
      </c>
      <c r="C1022" s="44" t="s">
        <v>277</v>
      </c>
      <c r="D1022" s="45" t="n">
        <v>46016.0138888889</v>
      </c>
      <c r="E1022" s="45" t="n">
        <v>46016.0138888889</v>
      </c>
      <c r="F1022" s="45" t="n">
        <v>46016.0763888889</v>
      </c>
      <c r="G1022" s="46" t="n">
        <f aca="false">F1022-E1022</f>
        <v>0.0625</v>
      </c>
      <c r="H1022" s="44" t="s">
        <v>445</v>
      </c>
      <c r="I1022" s="44" t="s">
        <v>263</v>
      </c>
      <c r="J1022" s="44" t="s">
        <v>264</v>
      </c>
      <c r="K1022" s="44" t="s">
        <v>456</v>
      </c>
      <c r="L1022" s="44" t="s">
        <v>894</v>
      </c>
      <c r="M1022" s="44" t="s">
        <v>266</v>
      </c>
      <c r="N1022" s="44" t="s">
        <v>252</v>
      </c>
      <c r="O1022" s="44" t="s">
        <v>895</v>
      </c>
      <c r="P1022" s="47" t="str">
        <f aca="false">_xlfn.CONCAT(B1022,C1022,D1022,E1022,F1022)</f>
        <v>ARAGUATINS 2.1Inverter(MBUS-12)46016.013888888946016.013888888946016.0763888889</v>
      </c>
      <c r="Q1022" s="44" t="str">
        <f aca="false">_xlfn.CONCAT(H1022,I1022,J1022)</f>
        <v>LIGRFOCOM</v>
      </c>
    </row>
    <row r="1023" customFormat="false" ht="15" hidden="false" customHeight="false" outlineLevel="0" collapsed="false">
      <c r="A1023" s="43"/>
      <c r="B1023" s="44" t="s">
        <v>276</v>
      </c>
      <c r="C1023" s="44" t="s">
        <v>279</v>
      </c>
      <c r="D1023" s="45" t="n">
        <v>46016.0138888889</v>
      </c>
      <c r="E1023" s="45" t="n">
        <v>46016.0138888889</v>
      </c>
      <c r="F1023" s="45" t="n">
        <v>46016.0763888889</v>
      </c>
      <c r="G1023" s="46" t="n">
        <f aca="false">F1023-E1023</f>
        <v>0.0625</v>
      </c>
      <c r="H1023" s="44" t="s">
        <v>445</v>
      </c>
      <c r="I1023" s="44" t="s">
        <v>263</v>
      </c>
      <c r="J1023" s="44" t="s">
        <v>264</v>
      </c>
      <c r="K1023" s="44" t="s">
        <v>456</v>
      </c>
      <c r="L1023" s="44" t="s">
        <v>894</v>
      </c>
      <c r="M1023" s="44" t="s">
        <v>266</v>
      </c>
      <c r="N1023" s="44" t="s">
        <v>252</v>
      </c>
      <c r="O1023" s="44" t="s">
        <v>895</v>
      </c>
      <c r="P1023" s="47" t="str">
        <f aca="false">_xlfn.CONCAT(B1023,C1023,D1023,E1023,F1023)</f>
        <v>ARAGUATINS 2.1Inverter(MBUS-15)46016.013888888946016.013888888946016.0763888889</v>
      </c>
      <c r="Q1023" s="44" t="str">
        <f aca="false">_xlfn.CONCAT(H1023,I1023,J1023)</f>
        <v>LIGRFOCOM</v>
      </c>
    </row>
    <row r="1024" customFormat="false" ht="15" hidden="false" customHeight="false" outlineLevel="0" collapsed="false">
      <c r="A1024" s="43"/>
      <c r="B1024" s="44" t="s">
        <v>276</v>
      </c>
      <c r="C1024" s="44" t="s">
        <v>280</v>
      </c>
      <c r="D1024" s="45" t="n">
        <v>46016.0138888889</v>
      </c>
      <c r="E1024" s="45" t="n">
        <v>46016.0138888889</v>
      </c>
      <c r="F1024" s="45" t="n">
        <v>46016.0763888889</v>
      </c>
      <c r="G1024" s="46" t="n">
        <f aca="false">F1024-E1024</f>
        <v>0.0625</v>
      </c>
      <c r="H1024" s="44" t="s">
        <v>445</v>
      </c>
      <c r="I1024" s="44" t="s">
        <v>263</v>
      </c>
      <c r="J1024" s="44" t="s">
        <v>264</v>
      </c>
      <c r="K1024" s="44" t="s">
        <v>456</v>
      </c>
      <c r="L1024" s="44" t="s">
        <v>894</v>
      </c>
      <c r="M1024" s="44" t="s">
        <v>266</v>
      </c>
      <c r="N1024" s="44" t="s">
        <v>252</v>
      </c>
      <c r="O1024" s="44" t="s">
        <v>895</v>
      </c>
      <c r="P1024" s="47" t="str">
        <f aca="false">_xlfn.CONCAT(B1024,C1024,D1024,E1024,F1024)</f>
        <v>ARAGUATINS 2.1Inverter(MBUS-14)46016.013888888946016.013888888946016.0763888889</v>
      </c>
      <c r="Q1024" s="44" t="str">
        <f aca="false">_xlfn.CONCAT(H1024,I1024,J1024)</f>
        <v>LIGRFOCOM</v>
      </c>
    </row>
    <row r="1025" customFormat="false" ht="15" hidden="true" customHeight="false" outlineLevel="0" collapsed="false">
      <c r="A1025" s="43"/>
      <c r="B1025" s="44" t="s">
        <v>697</v>
      </c>
      <c r="C1025" s="44" t="s">
        <v>247</v>
      </c>
      <c r="D1025" s="45" t="n">
        <v>46017.2131944444</v>
      </c>
      <c r="E1025" s="45" t="n">
        <v>46017.2131944444</v>
      </c>
      <c r="F1025" s="45" t="n">
        <v>46017.5833333333</v>
      </c>
      <c r="G1025" s="46" t="n">
        <f aca="false">F1025-E1025</f>
        <v>0.370138888888889</v>
      </c>
      <c r="H1025" s="44" t="s">
        <v>248</v>
      </c>
      <c r="I1025" s="44"/>
      <c r="J1025" s="44" t="s">
        <v>256</v>
      </c>
      <c r="K1025" s="44" t="s">
        <v>430</v>
      </c>
      <c r="L1025" s="44" t="s">
        <v>410</v>
      </c>
      <c r="M1025" s="44" t="s">
        <v>258</v>
      </c>
      <c r="N1025" s="44" t="s">
        <v>259</v>
      </c>
      <c r="O1025" s="44" t="s">
        <v>696</v>
      </c>
      <c r="P1025" s="47" t="str">
        <f aca="false">_xlfn.CONCAT(B1025,C1025,D1025,E1025,F1025)</f>
        <v>BC Formoso1.1Inverter(MBUS-13)46017.213194444446017.213194444446017.5833333333</v>
      </c>
      <c r="Q1025" s="44" t="str">
        <f aca="false">_xlfn.CONCAT(H1025,I1025,J1025)</f>
        <v>DAURDE</v>
      </c>
    </row>
    <row r="1026" customFormat="false" ht="15" hidden="true" customHeight="false" outlineLevel="0" collapsed="false">
      <c r="A1026" s="43"/>
      <c r="B1026" s="44" t="s">
        <v>697</v>
      </c>
      <c r="C1026" s="44" t="s">
        <v>277</v>
      </c>
      <c r="D1026" s="45" t="n">
        <v>46017.2131944444</v>
      </c>
      <c r="E1026" s="45" t="n">
        <v>46017.2131944444</v>
      </c>
      <c r="F1026" s="45" t="n">
        <v>46017.5833333333</v>
      </c>
      <c r="G1026" s="46" t="n">
        <f aca="false">F1026-E1026</f>
        <v>0.370138888888889</v>
      </c>
      <c r="H1026" s="44" t="s">
        <v>248</v>
      </c>
      <c r="I1026" s="44"/>
      <c r="J1026" s="44" t="s">
        <v>256</v>
      </c>
      <c r="K1026" s="44" t="s">
        <v>430</v>
      </c>
      <c r="L1026" s="44" t="s">
        <v>410</v>
      </c>
      <c r="M1026" s="44" t="s">
        <v>258</v>
      </c>
      <c r="N1026" s="44" t="s">
        <v>259</v>
      </c>
      <c r="O1026" s="44" t="s">
        <v>696</v>
      </c>
      <c r="P1026" s="47" t="str">
        <f aca="false">_xlfn.CONCAT(B1026,C1026,D1026,E1026,F1026)</f>
        <v>BC Formoso1.1Inverter(MBUS-12)46017.213194444446017.213194444446017.5833333333</v>
      </c>
      <c r="Q1026" s="44" t="str">
        <f aca="false">_xlfn.CONCAT(H1026,I1026,J1026)</f>
        <v>DAURDE</v>
      </c>
    </row>
    <row r="1027" customFormat="false" ht="15" hidden="true" customHeight="false" outlineLevel="0" collapsed="false">
      <c r="A1027" s="43"/>
      <c r="B1027" s="44" t="s">
        <v>697</v>
      </c>
      <c r="C1027" s="44" t="s">
        <v>279</v>
      </c>
      <c r="D1027" s="45" t="n">
        <v>46017.2131944444</v>
      </c>
      <c r="E1027" s="45" t="n">
        <v>46017.2131944444</v>
      </c>
      <c r="F1027" s="45" t="n">
        <v>46017.5833333333</v>
      </c>
      <c r="G1027" s="46" t="n">
        <f aca="false">F1027-E1027</f>
        <v>0.370138888888889</v>
      </c>
      <c r="H1027" s="44" t="s">
        <v>248</v>
      </c>
      <c r="I1027" s="44"/>
      <c r="J1027" s="44" t="s">
        <v>256</v>
      </c>
      <c r="K1027" s="44" t="s">
        <v>430</v>
      </c>
      <c r="L1027" s="44" t="s">
        <v>410</v>
      </c>
      <c r="M1027" s="44" t="s">
        <v>258</v>
      </c>
      <c r="N1027" s="44" t="s">
        <v>259</v>
      </c>
      <c r="O1027" s="44" t="s">
        <v>696</v>
      </c>
      <c r="P1027" s="47" t="str">
        <f aca="false">_xlfn.CONCAT(B1027,C1027,D1027,E1027,F1027)</f>
        <v>BC Formoso1.1Inverter(MBUS-15)46017.213194444446017.213194444446017.5833333333</v>
      </c>
      <c r="Q1027" s="44" t="str">
        <f aca="false">_xlfn.CONCAT(H1027,I1027,J1027)</f>
        <v>DAURDE</v>
      </c>
    </row>
    <row r="1028" customFormat="false" ht="15" hidden="true" customHeight="false" outlineLevel="0" collapsed="false">
      <c r="A1028" s="43"/>
      <c r="B1028" s="44" t="s">
        <v>697</v>
      </c>
      <c r="C1028" s="44" t="s">
        <v>280</v>
      </c>
      <c r="D1028" s="45" t="n">
        <v>46017.2131944444</v>
      </c>
      <c r="E1028" s="45" t="n">
        <v>46017.2131944444</v>
      </c>
      <c r="F1028" s="45" t="n">
        <v>46017.5833333333</v>
      </c>
      <c r="G1028" s="46" t="n">
        <f aca="false">F1028-E1028</f>
        <v>0.370138888888889</v>
      </c>
      <c r="H1028" s="44" t="s">
        <v>248</v>
      </c>
      <c r="I1028" s="44"/>
      <c r="J1028" s="44" t="s">
        <v>256</v>
      </c>
      <c r="K1028" s="44" t="s">
        <v>430</v>
      </c>
      <c r="L1028" s="44" t="s">
        <v>410</v>
      </c>
      <c r="M1028" s="44" t="s">
        <v>258</v>
      </c>
      <c r="N1028" s="44" t="s">
        <v>259</v>
      </c>
      <c r="O1028" s="44" t="s">
        <v>696</v>
      </c>
      <c r="P1028" s="47" t="str">
        <f aca="false">_xlfn.CONCAT(B1028,C1028,D1028,E1028,F1028)</f>
        <v>BC Formoso1.1Inverter(MBUS-14)46017.213194444446017.213194444446017.5833333333</v>
      </c>
      <c r="Q1028" s="44" t="str">
        <f aca="false">_xlfn.CONCAT(H1028,I1028,J1028)</f>
        <v>DAURDE</v>
      </c>
    </row>
    <row r="1029" customFormat="false" ht="15" hidden="true" customHeight="false" outlineLevel="0" collapsed="false">
      <c r="A1029" s="43"/>
      <c r="B1029" s="44" t="s">
        <v>698</v>
      </c>
      <c r="C1029" s="44" t="s">
        <v>247</v>
      </c>
      <c r="D1029" s="45" t="n">
        <v>46017.2131944444</v>
      </c>
      <c r="E1029" s="45" t="n">
        <v>46017.2131944444</v>
      </c>
      <c r="F1029" s="45" t="n">
        <v>46017.5833333333</v>
      </c>
      <c r="G1029" s="46" t="n">
        <f aca="false">F1029-E1029</f>
        <v>0.370138888888889</v>
      </c>
      <c r="H1029" s="44" t="s">
        <v>248</v>
      </c>
      <c r="I1029" s="44"/>
      <c r="J1029" s="44" t="s">
        <v>256</v>
      </c>
      <c r="K1029" s="44" t="s">
        <v>430</v>
      </c>
      <c r="L1029" s="44" t="s">
        <v>410</v>
      </c>
      <c r="M1029" s="44" t="s">
        <v>258</v>
      </c>
      <c r="N1029" s="44" t="s">
        <v>259</v>
      </c>
      <c r="O1029" s="44" t="s">
        <v>696</v>
      </c>
      <c r="P1029" s="47" t="str">
        <f aca="false">_xlfn.CONCAT(B1029,C1029,D1029,E1029,F1029)</f>
        <v>BC Formoso1.2Inverter(MBUS-13)46017.213194444446017.213194444446017.5833333333</v>
      </c>
      <c r="Q1029" s="44" t="str">
        <f aca="false">_xlfn.CONCAT(H1029,I1029,J1029)</f>
        <v>DAURDE</v>
      </c>
    </row>
    <row r="1030" customFormat="false" ht="15" hidden="true" customHeight="false" outlineLevel="0" collapsed="false">
      <c r="A1030" s="43"/>
      <c r="B1030" s="44" t="s">
        <v>698</v>
      </c>
      <c r="C1030" s="44" t="s">
        <v>277</v>
      </c>
      <c r="D1030" s="45" t="n">
        <v>46017.2131944444</v>
      </c>
      <c r="E1030" s="45" t="n">
        <v>46017.2131944444</v>
      </c>
      <c r="F1030" s="45" t="n">
        <v>46017.5833333333</v>
      </c>
      <c r="G1030" s="46" t="n">
        <f aca="false">F1030-E1030</f>
        <v>0.370138888888889</v>
      </c>
      <c r="H1030" s="44" t="s">
        <v>248</v>
      </c>
      <c r="I1030" s="44"/>
      <c r="J1030" s="44" t="s">
        <v>256</v>
      </c>
      <c r="K1030" s="44" t="s">
        <v>430</v>
      </c>
      <c r="L1030" s="44" t="s">
        <v>410</v>
      </c>
      <c r="M1030" s="44" t="s">
        <v>258</v>
      </c>
      <c r="N1030" s="44" t="s">
        <v>259</v>
      </c>
      <c r="O1030" s="44" t="s">
        <v>696</v>
      </c>
      <c r="P1030" s="47" t="str">
        <f aca="false">_xlfn.CONCAT(B1030,C1030,D1030,E1030,F1030)</f>
        <v>BC Formoso1.2Inverter(MBUS-12)46017.213194444446017.213194444446017.5833333333</v>
      </c>
      <c r="Q1030" s="44" t="str">
        <f aca="false">_xlfn.CONCAT(H1030,I1030,J1030)</f>
        <v>DAURDE</v>
      </c>
    </row>
    <row r="1031" customFormat="false" ht="15" hidden="true" customHeight="false" outlineLevel="0" collapsed="false">
      <c r="A1031" s="43"/>
      <c r="B1031" s="44" t="s">
        <v>698</v>
      </c>
      <c r="C1031" s="44" t="s">
        <v>279</v>
      </c>
      <c r="D1031" s="45" t="n">
        <v>46017.2131944444</v>
      </c>
      <c r="E1031" s="45" t="n">
        <v>46017.2131944444</v>
      </c>
      <c r="F1031" s="45" t="n">
        <v>46017.5833333333</v>
      </c>
      <c r="G1031" s="46" t="n">
        <f aca="false">F1031-E1031</f>
        <v>0.370138888888889</v>
      </c>
      <c r="H1031" s="44" t="s">
        <v>248</v>
      </c>
      <c r="I1031" s="44"/>
      <c r="J1031" s="44" t="s">
        <v>256</v>
      </c>
      <c r="K1031" s="44" t="s">
        <v>430</v>
      </c>
      <c r="L1031" s="44" t="s">
        <v>410</v>
      </c>
      <c r="M1031" s="44" t="s">
        <v>258</v>
      </c>
      <c r="N1031" s="44" t="s">
        <v>259</v>
      </c>
      <c r="O1031" s="44" t="s">
        <v>696</v>
      </c>
      <c r="P1031" s="47" t="str">
        <f aca="false">_xlfn.CONCAT(B1031,C1031,D1031,E1031,F1031)</f>
        <v>BC Formoso1.2Inverter(MBUS-15)46017.213194444446017.213194444446017.5833333333</v>
      </c>
      <c r="Q1031" s="44" t="str">
        <f aca="false">_xlfn.CONCAT(H1031,I1031,J1031)</f>
        <v>DAURDE</v>
      </c>
    </row>
    <row r="1032" customFormat="false" ht="15" hidden="true" customHeight="false" outlineLevel="0" collapsed="false">
      <c r="A1032" s="43"/>
      <c r="B1032" s="44" t="s">
        <v>698</v>
      </c>
      <c r="C1032" s="44" t="s">
        <v>280</v>
      </c>
      <c r="D1032" s="45" t="n">
        <v>46017.2131944444</v>
      </c>
      <c r="E1032" s="45" t="n">
        <v>46017.2131944444</v>
      </c>
      <c r="F1032" s="45" t="n">
        <v>46017.5833333333</v>
      </c>
      <c r="G1032" s="46" t="n">
        <f aca="false">F1032-E1032</f>
        <v>0.370138888888889</v>
      </c>
      <c r="H1032" s="44" t="s">
        <v>248</v>
      </c>
      <c r="I1032" s="44"/>
      <c r="J1032" s="44" t="s">
        <v>256</v>
      </c>
      <c r="K1032" s="44" t="s">
        <v>430</v>
      </c>
      <c r="L1032" s="44" t="s">
        <v>410</v>
      </c>
      <c r="M1032" s="44" t="s">
        <v>258</v>
      </c>
      <c r="N1032" s="44" t="s">
        <v>259</v>
      </c>
      <c r="O1032" s="44" t="s">
        <v>696</v>
      </c>
      <c r="P1032" s="47" t="str">
        <f aca="false">_xlfn.CONCAT(B1032,C1032,D1032,E1032,F1032)</f>
        <v>BC Formoso1.2Inverter(MBUS-14)46017.213194444446017.213194444446017.5833333333</v>
      </c>
      <c r="Q1032" s="44" t="str">
        <f aca="false">_xlfn.CONCAT(H1032,I1032,J1032)</f>
        <v>DAURDE</v>
      </c>
    </row>
    <row r="1033" customFormat="false" ht="15" hidden="true" customHeight="false" outlineLevel="0" collapsed="false">
      <c r="A1033" s="43"/>
      <c r="B1033" s="44" t="s">
        <v>699</v>
      </c>
      <c r="C1033" s="44" t="s">
        <v>247</v>
      </c>
      <c r="D1033" s="45" t="n">
        <v>46017.2131944444</v>
      </c>
      <c r="E1033" s="45" t="n">
        <v>46017.2131944444</v>
      </c>
      <c r="F1033" s="45" t="n">
        <v>46017.5833333333</v>
      </c>
      <c r="G1033" s="46" t="n">
        <f aca="false">F1033-E1033</f>
        <v>0.370138888888889</v>
      </c>
      <c r="H1033" s="44" t="s">
        <v>248</v>
      </c>
      <c r="I1033" s="44"/>
      <c r="J1033" s="44" t="s">
        <v>256</v>
      </c>
      <c r="K1033" s="44" t="s">
        <v>430</v>
      </c>
      <c r="L1033" s="44" t="s">
        <v>410</v>
      </c>
      <c r="M1033" s="44" t="s">
        <v>258</v>
      </c>
      <c r="N1033" s="44" t="s">
        <v>259</v>
      </c>
      <c r="O1033" s="44" t="s">
        <v>696</v>
      </c>
      <c r="P1033" s="47" t="str">
        <f aca="false">_xlfn.CONCAT(B1033,C1033,D1033,E1033,F1033)</f>
        <v>BC Formoso1.3Inverter(MBUS-13)46017.213194444446017.213194444446017.5833333333</v>
      </c>
      <c r="Q1033" s="44" t="str">
        <f aca="false">_xlfn.CONCAT(H1033,I1033,J1033)</f>
        <v>DAURDE</v>
      </c>
    </row>
    <row r="1034" customFormat="false" ht="15" hidden="true" customHeight="false" outlineLevel="0" collapsed="false">
      <c r="A1034" s="43"/>
      <c r="B1034" s="44" t="s">
        <v>699</v>
      </c>
      <c r="C1034" s="44" t="s">
        <v>277</v>
      </c>
      <c r="D1034" s="45" t="n">
        <v>46017.2131944444</v>
      </c>
      <c r="E1034" s="45" t="n">
        <v>46017.2131944444</v>
      </c>
      <c r="F1034" s="45" t="n">
        <v>46017.5833333333</v>
      </c>
      <c r="G1034" s="46" t="n">
        <f aca="false">F1034-E1034</f>
        <v>0.370138888888889</v>
      </c>
      <c r="H1034" s="44" t="s">
        <v>248</v>
      </c>
      <c r="I1034" s="44"/>
      <c r="J1034" s="44" t="s">
        <v>256</v>
      </c>
      <c r="K1034" s="44" t="s">
        <v>430</v>
      </c>
      <c r="L1034" s="44" t="s">
        <v>410</v>
      </c>
      <c r="M1034" s="44" t="s">
        <v>258</v>
      </c>
      <c r="N1034" s="44" t="s">
        <v>259</v>
      </c>
      <c r="O1034" s="44" t="s">
        <v>696</v>
      </c>
      <c r="P1034" s="47" t="str">
        <f aca="false">_xlfn.CONCAT(B1034,C1034,D1034,E1034,F1034)</f>
        <v>BC Formoso1.3Inverter(MBUS-12)46017.213194444446017.213194444446017.5833333333</v>
      </c>
      <c r="Q1034" s="44" t="str">
        <f aca="false">_xlfn.CONCAT(H1034,I1034,J1034)</f>
        <v>DAURDE</v>
      </c>
    </row>
    <row r="1035" customFormat="false" ht="15" hidden="true" customHeight="false" outlineLevel="0" collapsed="false">
      <c r="A1035" s="43"/>
      <c r="B1035" s="44" t="s">
        <v>330</v>
      </c>
      <c r="C1035" s="44" t="s">
        <v>277</v>
      </c>
      <c r="D1035" s="45" t="n">
        <v>46017.2131944444</v>
      </c>
      <c r="E1035" s="45" t="n">
        <v>46017.2131944444</v>
      </c>
      <c r="F1035" s="45" t="n">
        <v>46017.5833333333</v>
      </c>
      <c r="G1035" s="46" t="n">
        <f aca="false">F1035-E1035</f>
        <v>0.370138888888889</v>
      </c>
      <c r="H1035" s="44" t="s">
        <v>248</v>
      </c>
      <c r="I1035" s="44"/>
      <c r="J1035" s="44" t="s">
        <v>256</v>
      </c>
      <c r="K1035" s="44" t="s">
        <v>430</v>
      </c>
      <c r="L1035" s="44" t="s">
        <v>410</v>
      </c>
      <c r="M1035" s="44" t="s">
        <v>258</v>
      </c>
      <c r="N1035" s="44" t="s">
        <v>259</v>
      </c>
      <c r="O1035" s="44" t="s">
        <v>696</v>
      </c>
      <c r="P1035" s="47" t="str">
        <f aca="false">_xlfn.CONCAT(B1035,C1035,D1035,E1035,F1035)</f>
        <v>BC Formoso2.1Inverter(MBUS-12)46017.213194444446017.213194444446017.5833333333</v>
      </c>
      <c r="Q1035" s="44" t="str">
        <f aca="false">_xlfn.CONCAT(H1035,I1035,J1035)</f>
        <v>DAURDE</v>
      </c>
    </row>
    <row r="1036" customFormat="false" ht="15" hidden="true" customHeight="false" outlineLevel="0" collapsed="false">
      <c r="A1036" s="43"/>
      <c r="B1036" s="44" t="s">
        <v>330</v>
      </c>
      <c r="C1036" s="44" t="s">
        <v>280</v>
      </c>
      <c r="D1036" s="45" t="n">
        <v>46017.2131944444</v>
      </c>
      <c r="E1036" s="45" t="n">
        <v>46017.2131944444</v>
      </c>
      <c r="F1036" s="45" t="n">
        <v>46017.5833333333</v>
      </c>
      <c r="G1036" s="46" t="n">
        <f aca="false">F1036-E1036</f>
        <v>0.370138888888889</v>
      </c>
      <c r="H1036" s="44" t="s">
        <v>248</v>
      </c>
      <c r="I1036" s="44"/>
      <c r="J1036" s="44" t="s">
        <v>256</v>
      </c>
      <c r="K1036" s="44" t="s">
        <v>430</v>
      </c>
      <c r="L1036" s="44" t="s">
        <v>410</v>
      </c>
      <c r="M1036" s="44" t="s">
        <v>258</v>
      </c>
      <c r="N1036" s="44" t="s">
        <v>259</v>
      </c>
      <c r="O1036" s="44" t="s">
        <v>696</v>
      </c>
      <c r="P1036" s="47" t="str">
        <f aca="false">_xlfn.CONCAT(B1036,C1036,D1036,E1036,F1036)</f>
        <v>BC Formoso2.1Inverter(MBUS-14)46017.213194444446017.213194444446017.5833333333</v>
      </c>
      <c r="Q1036" s="44" t="str">
        <f aca="false">_xlfn.CONCAT(H1036,I1036,J1036)</f>
        <v>DAURDE</v>
      </c>
    </row>
    <row r="1037" customFormat="false" ht="15" hidden="true" customHeight="false" outlineLevel="0" collapsed="false">
      <c r="A1037" s="43"/>
      <c r="B1037" s="44" t="s">
        <v>330</v>
      </c>
      <c r="C1037" s="44" t="s">
        <v>247</v>
      </c>
      <c r="D1037" s="45" t="n">
        <v>46017.2131944444</v>
      </c>
      <c r="E1037" s="45" t="n">
        <v>46017.2131944444</v>
      </c>
      <c r="F1037" s="45" t="n">
        <v>46017.5833333333</v>
      </c>
      <c r="G1037" s="46" t="n">
        <f aca="false">F1037-E1037</f>
        <v>0.370138888888889</v>
      </c>
      <c r="H1037" s="44" t="s">
        <v>248</v>
      </c>
      <c r="I1037" s="44"/>
      <c r="J1037" s="44" t="s">
        <v>256</v>
      </c>
      <c r="K1037" s="44" t="s">
        <v>430</v>
      </c>
      <c r="L1037" s="44" t="s">
        <v>410</v>
      </c>
      <c r="M1037" s="44" t="s">
        <v>258</v>
      </c>
      <c r="N1037" s="44" t="s">
        <v>259</v>
      </c>
      <c r="O1037" s="44" t="s">
        <v>696</v>
      </c>
      <c r="P1037" s="47" t="str">
        <f aca="false">_xlfn.CONCAT(B1037,C1037,D1037,E1037,F1037)</f>
        <v>BC Formoso2.1Inverter(MBUS-13)46017.213194444446017.213194444446017.5833333333</v>
      </c>
      <c r="Q1037" s="44" t="str">
        <f aca="false">_xlfn.CONCAT(H1037,I1037,J1037)</f>
        <v>DAURDE</v>
      </c>
    </row>
    <row r="1038" customFormat="false" ht="15" hidden="true" customHeight="false" outlineLevel="0" collapsed="false">
      <c r="A1038" s="43"/>
      <c r="B1038" s="44" t="s">
        <v>330</v>
      </c>
      <c r="C1038" s="44" t="s">
        <v>255</v>
      </c>
      <c r="D1038" s="45" t="n">
        <v>46017.2131944444</v>
      </c>
      <c r="E1038" s="45" t="n">
        <v>46017.2131944444</v>
      </c>
      <c r="F1038" s="45" t="n">
        <v>46017.5833333333</v>
      </c>
      <c r="G1038" s="46" t="n">
        <f aca="false">F1038-E1038</f>
        <v>0.370138888888889</v>
      </c>
      <c r="H1038" s="44" t="s">
        <v>248</v>
      </c>
      <c r="I1038" s="44"/>
      <c r="J1038" s="44" t="s">
        <v>256</v>
      </c>
      <c r="K1038" s="44" t="s">
        <v>430</v>
      </c>
      <c r="L1038" s="44" t="s">
        <v>410</v>
      </c>
      <c r="M1038" s="44" t="s">
        <v>258</v>
      </c>
      <c r="N1038" s="44" t="s">
        <v>259</v>
      </c>
      <c r="O1038" s="44" t="s">
        <v>696</v>
      </c>
      <c r="P1038" s="47" t="str">
        <f aca="false">_xlfn.CONCAT(B1038,C1038,D1038,E1038,F1038)</f>
        <v>BC Formoso2.1Inverter(MBUS-1)46017.213194444446017.213194444446017.5833333333</v>
      </c>
      <c r="Q1038" s="44" t="str">
        <f aca="false">_xlfn.CONCAT(H1038,I1038,J1038)</f>
        <v>DAURDE</v>
      </c>
    </row>
    <row r="1039" customFormat="false" ht="15" hidden="true" customHeight="false" outlineLevel="0" collapsed="false">
      <c r="A1039" s="43"/>
      <c r="B1039" s="44" t="s">
        <v>622</v>
      </c>
      <c r="C1039" s="44" t="s">
        <v>280</v>
      </c>
      <c r="D1039" s="45" t="n">
        <v>46017.2131944444</v>
      </c>
      <c r="E1039" s="45" t="n">
        <v>46017.2131944444</v>
      </c>
      <c r="F1039" s="45" t="n">
        <v>46017.5833333333</v>
      </c>
      <c r="G1039" s="46" t="n">
        <f aca="false">F1039-E1039</f>
        <v>0.370138888888889</v>
      </c>
      <c r="H1039" s="44" t="s">
        <v>248</v>
      </c>
      <c r="I1039" s="44"/>
      <c r="J1039" s="44" t="s">
        <v>256</v>
      </c>
      <c r="K1039" s="44" t="s">
        <v>430</v>
      </c>
      <c r="L1039" s="44" t="s">
        <v>410</v>
      </c>
      <c r="M1039" s="44" t="s">
        <v>258</v>
      </c>
      <c r="N1039" s="44" t="s">
        <v>259</v>
      </c>
      <c r="O1039" s="44" t="s">
        <v>696</v>
      </c>
      <c r="P1039" s="47" t="str">
        <f aca="false">_xlfn.CONCAT(B1039,C1039,D1039,E1039,F1039)</f>
        <v>BC Formoso2.2Inverter(MBUS-14)46017.213194444446017.213194444446017.5833333333</v>
      </c>
      <c r="Q1039" s="44" t="str">
        <f aca="false">_xlfn.CONCAT(H1039,I1039,J1039)</f>
        <v>DAURDE</v>
      </c>
    </row>
    <row r="1040" customFormat="false" ht="15" hidden="true" customHeight="false" outlineLevel="0" collapsed="false">
      <c r="A1040" s="43"/>
      <c r="B1040" s="44" t="s">
        <v>622</v>
      </c>
      <c r="C1040" s="44" t="s">
        <v>247</v>
      </c>
      <c r="D1040" s="45" t="n">
        <v>46017.2131944444</v>
      </c>
      <c r="E1040" s="45" t="n">
        <v>46017.2131944444</v>
      </c>
      <c r="F1040" s="45" t="n">
        <v>46017.5833333333</v>
      </c>
      <c r="G1040" s="46" t="n">
        <f aca="false">F1040-E1040</f>
        <v>0.370138888888889</v>
      </c>
      <c r="H1040" s="44" t="s">
        <v>248</v>
      </c>
      <c r="I1040" s="44"/>
      <c r="J1040" s="44" t="s">
        <v>256</v>
      </c>
      <c r="K1040" s="44" t="s">
        <v>430</v>
      </c>
      <c r="L1040" s="44" t="s">
        <v>410</v>
      </c>
      <c r="M1040" s="44" t="s">
        <v>258</v>
      </c>
      <c r="N1040" s="44" t="s">
        <v>259</v>
      </c>
      <c r="O1040" s="44" t="s">
        <v>696</v>
      </c>
      <c r="P1040" s="47" t="str">
        <f aca="false">_xlfn.CONCAT(B1040,C1040,D1040,E1040,F1040)</f>
        <v>BC Formoso2.2Inverter(MBUS-13)46017.213194444446017.213194444446017.5833333333</v>
      </c>
      <c r="Q1040" s="44" t="str">
        <f aca="false">_xlfn.CONCAT(H1040,I1040,J1040)</f>
        <v>DAURDE</v>
      </c>
    </row>
    <row r="1041" customFormat="false" ht="15" hidden="true" customHeight="false" outlineLevel="0" collapsed="false">
      <c r="A1041" s="43"/>
      <c r="B1041" s="44" t="s">
        <v>622</v>
      </c>
      <c r="C1041" s="44" t="s">
        <v>277</v>
      </c>
      <c r="D1041" s="45" t="n">
        <v>46017.2131944444</v>
      </c>
      <c r="E1041" s="45" t="n">
        <v>46017.2131944444</v>
      </c>
      <c r="F1041" s="45" t="n">
        <v>46017.5833333333</v>
      </c>
      <c r="G1041" s="46" t="n">
        <f aca="false">F1041-E1041</f>
        <v>0.370138888888889</v>
      </c>
      <c r="H1041" s="44" t="s">
        <v>248</v>
      </c>
      <c r="I1041" s="44"/>
      <c r="J1041" s="44" t="s">
        <v>256</v>
      </c>
      <c r="K1041" s="44" t="s">
        <v>430</v>
      </c>
      <c r="L1041" s="44" t="s">
        <v>410</v>
      </c>
      <c r="M1041" s="44" t="s">
        <v>258</v>
      </c>
      <c r="N1041" s="44" t="s">
        <v>259</v>
      </c>
      <c r="O1041" s="44" t="s">
        <v>696</v>
      </c>
      <c r="P1041" s="47" t="str">
        <f aca="false">_xlfn.CONCAT(B1041,C1041,D1041,E1041,F1041)</f>
        <v>BC Formoso2.2Inverter(MBUS-12)46017.213194444446017.213194444446017.5833333333</v>
      </c>
      <c r="Q1041" s="44" t="str">
        <f aca="false">_xlfn.CONCAT(H1041,I1041,J1041)</f>
        <v>DAURDE</v>
      </c>
    </row>
    <row r="1042" customFormat="false" ht="15" hidden="true" customHeight="false" outlineLevel="0" collapsed="false">
      <c r="A1042" s="43"/>
      <c r="B1042" s="44" t="s">
        <v>622</v>
      </c>
      <c r="C1042" s="44" t="s">
        <v>255</v>
      </c>
      <c r="D1042" s="45" t="n">
        <v>46017.2131944444</v>
      </c>
      <c r="E1042" s="45" t="n">
        <v>46017.2131944444</v>
      </c>
      <c r="F1042" s="45" t="n">
        <v>46017.5833333333</v>
      </c>
      <c r="G1042" s="46" t="n">
        <f aca="false">F1042-E1042</f>
        <v>0.370138888888889</v>
      </c>
      <c r="H1042" s="44" t="s">
        <v>248</v>
      </c>
      <c r="I1042" s="44"/>
      <c r="J1042" s="44" t="s">
        <v>256</v>
      </c>
      <c r="K1042" s="44" t="s">
        <v>430</v>
      </c>
      <c r="L1042" s="44" t="s">
        <v>410</v>
      </c>
      <c r="M1042" s="44" t="s">
        <v>258</v>
      </c>
      <c r="N1042" s="44" t="s">
        <v>259</v>
      </c>
      <c r="O1042" s="44" t="s">
        <v>696</v>
      </c>
      <c r="P1042" s="47" t="str">
        <f aca="false">_xlfn.CONCAT(B1042,C1042,D1042,E1042,F1042)</f>
        <v>BC Formoso2.2Inverter(MBUS-1)46017.213194444446017.213194444446017.5833333333</v>
      </c>
      <c r="Q1042" s="44" t="str">
        <f aca="false">_xlfn.CONCAT(H1042,I1042,J1042)</f>
        <v>DAURDE</v>
      </c>
    </row>
    <row r="1043" customFormat="false" ht="15" hidden="true" customHeight="false" outlineLevel="0" collapsed="false">
      <c r="A1043" s="43"/>
      <c r="B1043" s="44" t="s">
        <v>332</v>
      </c>
      <c r="C1043" s="44" t="s">
        <v>247</v>
      </c>
      <c r="D1043" s="45" t="n">
        <v>46017.2131944444</v>
      </c>
      <c r="E1043" s="45" t="n">
        <v>46017.2131944444</v>
      </c>
      <c r="F1043" s="45" t="n">
        <v>46017.5833333333</v>
      </c>
      <c r="G1043" s="46" t="n">
        <f aca="false">F1043-E1043</f>
        <v>0.370138888888889</v>
      </c>
      <c r="H1043" s="44" t="s">
        <v>248</v>
      </c>
      <c r="I1043" s="44"/>
      <c r="J1043" s="44" t="s">
        <v>256</v>
      </c>
      <c r="K1043" s="44" t="s">
        <v>430</v>
      </c>
      <c r="L1043" s="44" t="s">
        <v>410</v>
      </c>
      <c r="M1043" s="44" t="s">
        <v>258</v>
      </c>
      <c r="N1043" s="44" t="s">
        <v>259</v>
      </c>
      <c r="O1043" s="44" t="s">
        <v>696</v>
      </c>
      <c r="P1043" s="47" t="str">
        <f aca="false">_xlfn.CONCAT(B1043,C1043,D1043,E1043,F1043)</f>
        <v>BC Formoso2.3Inverter(MBUS-13)46017.213194444446017.213194444446017.5833333333</v>
      </c>
      <c r="Q1043" s="44" t="str">
        <f aca="false">_xlfn.CONCAT(H1043,I1043,J1043)</f>
        <v>DAURDE</v>
      </c>
    </row>
    <row r="1044" customFormat="false" ht="15" hidden="true" customHeight="false" outlineLevel="0" collapsed="false">
      <c r="A1044" s="43"/>
      <c r="B1044" s="44" t="s">
        <v>332</v>
      </c>
      <c r="C1044" s="44" t="s">
        <v>277</v>
      </c>
      <c r="D1044" s="45" t="n">
        <v>46017.2131944444</v>
      </c>
      <c r="E1044" s="45" t="n">
        <v>46017.2131944444</v>
      </c>
      <c r="F1044" s="45" t="n">
        <v>46017.5833333333</v>
      </c>
      <c r="G1044" s="46" t="n">
        <f aca="false">F1044-E1044</f>
        <v>0.370138888888889</v>
      </c>
      <c r="H1044" s="44" t="s">
        <v>248</v>
      </c>
      <c r="I1044" s="44"/>
      <c r="J1044" s="44" t="s">
        <v>256</v>
      </c>
      <c r="K1044" s="44" t="s">
        <v>430</v>
      </c>
      <c r="L1044" s="44" t="s">
        <v>410</v>
      </c>
      <c r="M1044" s="44" t="s">
        <v>258</v>
      </c>
      <c r="N1044" s="44" t="s">
        <v>259</v>
      </c>
      <c r="O1044" s="44" t="s">
        <v>696</v>
      </c>
      <c r="P1044" s="47" t="str">
        <f aca="false">_xlfn.CONCAT(B1044,C1044,D1044,E1044,F1044)</f>
        <v>BC Formoso2.3Inverter(MBUS-12)46017.213194444446017.213194444446017.5833333333</v>
      </c>
      <c r="Q1044" s="44" t="str">
        <f aca="false">_xlfn.CONCAT(H1044,I1044,J1044)</f>
        <v>DAURDE</v>
      </c>
    </row>
    <row r="1045" customFormat="false" ht="15" hidden="true" customHeight="false" outlineLevel="0" collapsed="false">
      <c r="B1045" s="1" t="s">
        <v>816</v>
      </c>
      <c r="C1045" s="1" t="s">
        <v>817</v>
      </c>
      <c r="D1045" s="14" t="n">
        <v>45998.2777777778</v>
      </c>
      <c r="E1045" s="14" t="n">
        <v>45998.2777777778</v>
      </c>
      <c r="F1045" s="14" t="n">
        <v>45998.2902777778</v>
      </c>
      <c r="G1045" s="15" t="n">
        <f aca="false">F1045-E1045</f>
        <v>0.0125</v>
      </c>
      <c r="H1045" s="1" t="s">
        <v>248</v>
      </c>
      <c r="J1045" s="1" t="s">
        <v>256</v>
      </c>
      <c r="K1045" s="1" t="s">
        <v>430</v>
      </c>
      <c r="L1045" s="1" t="s">
        <v>893</v>
      </c>
      <c r="M1045" s="1" t="s">
        <v>258</v>
      </c>
      <c r="N1045" s="1" t="s">
        <v>259</v>
      </c>
      <c r="O1045" s="1" t="s">
        <v>760</v>
      </c>
      <c r="P1045" s="1" t="str">
        <f aca="false">_xlfn.CONCAT(B1045,C1045,D1045,E1045,F1045)</f>
        <v>Rio Monte IIISG60KTL(COM1-008)_001_01645998.277777777845998.277777777845998.2902777778</v>
      </c>
      <c r="Q1045" s="1" t="str">
        <f aca="false">_xlfn.CONCAT(H1045,I1045,J1045)</f>
        <v>DAURDE</v>
      </c>
    </row>
    <row r="1046" customFormat="false" ht="15" hidden="true" customHeight="false" outlineLevel="0" collapsed="false">
      <c r="B1046" s="1" t="s">
        <v>816</v>
      </c>
      <c r="C1046" s="1" t="s">
        <v>818</v>
      </c>
      <c r="D1046" s="14" t="n">
        <v>45998.2777777778</v>
      </c>
      <c r="E1046" s="14" t="n">
        <v>45998.2777777778</v>
      </c>
      <c r="F1046" s="14" t="n">
        <v>45998.2902777778</v>
      </c>
      <c r="G1046" s="15" t="n">
        <f aca="false">F1046-E1046</f>
        <v>0.0125</v>
      </c>
      <c r="H1046" s="1" t="s">
        <v>248</v>
      </c>
      <c r="J1046" s="1" t="s">
        <v>256</v>
      </c>
      <c r="K1046" s="1" t="s">
        <v>430</v>
      </c>
      <c r="L1046" s="1" t="s">
        <v>893</v>
      </c>
      <c r="M1046" s="1" t="s">
        <v>258</v>
      </c>
      <c r="N1046" s="1" t="s">
        <v>259</v>
      </c>
      <c r="O1046" s="1" t="s">
        <v>760</v>
      </c>
      <c r="P1046" s="1" t="str">
        <f aca="false">_xlfn.CONCAT(B1046,C1046,D1046,E1046,F1046)</f>
        <v>Rio Monte IIISG60KTL(COM1-009)_001_01045998.277777777845998.277777777845998.2902777778</v>
      </c>
      <c r="Q1046" s="1" t="str">
        <f aca="false">_xlfn.CONCAT(H1046,I1046,J1046)</f>
        <v>DAURDE</v>
      </c>
    </row>
    <row r="1047" customFormat="false" ht="15" hidden="true" customHeight="false" outlineLevel="0" collapsed="false">
      <c r="B1047" s="1" t="s">
        <v>816</v>
      </c>
      <c r="C1047" s="1" t="s">
        <v>819</v>
      </c>
      <c r="D1047" s="14" t="n">
        <v>45998.2777777778</v>
      </c>
      <c r="E1047" s="14" t="n">
        <v>45998.2777777778</v>
      </c>
      <c r="F1047" s="14" t="n">
        <v>45998.2902777778</v>
      </c>
      <c r="G1047" s="15" t="n">
        <f aca="false">F1047-E1047</f>
        <v>0.0125</v>
      </c>
      <c r="H1047" s="1" t="s">
        <v>248</v>
      </c>
      <c r="J1047" s="1" t="s">
        <v>256</v>
      </c>
      <c r="K1047" s="1" t="s">
        <v>430</v>
      </c>
      <c r="L1047" s="1" t="s">
        <v>893</v>
      </c>
      <c r="M1047" s="1" t="s">
        <v>258</v>
      </c>
      <c r="N1047" s="1" t="s">
        <v>259</v>
      </c>
      <c r="O1047" s="1" t="s">
        <v>760</v>
      </c>
      <c r="P1047" s="1" t="str">
        <f aca="false">_xlfn.CONCAT(B1047,C1047,D1047,E1047,F1047)</f>
        <v>Rio Monte IIISG60KTL(COM1-010)_001_01245998.277777777845998.277777777845998.2902777778</v>
      </c>
      <c r="Q1047" s="1" t="str">
        <f aca="false">_xlfn.CONCAT(H1047,I1047,J1047)</f>
        <v>DAURDE</v>
      </c>
    </row>
    <row r="1048" customFormat="false" ht="15" hidden="true" customHeight="false" outlineLevel="0" collapsed="false">
      <c r="B1048" s="1" t="s">
        <v>816</v>
      </c>
      <c r="C1048" s="1" t="s">
        <v>820</v>
      </c>
      <c r="D1048" s="14" t="n">
        <v>45998.2777777778</v>
      </c>
      <c r="E1048" s="14" t="n">
        <v>45998.2777777778</v>
      </c>
      <c r="F1048" s="14" t="n">
        <v>45998.2902777778</v>
      </c>
      <c r="G1048" s="15" t="n">
        <f aca="false">F1048-E1048</f>
        <v>0.0125</v>
      </c>
      <c r="H1048" s="1" t="s">
        <v>248</v>
      </c>
      <c r="J1048" s="1" t="s">
        <v>256</v>
      </c>
      <c r="K1048" s="1" t="s">
        <v>430</v>
      </c>
      <c r="L1048" s="1" t="s">
        <v>893</v>
      </c>
      <c r="M1048" s="1" t="s">
        <v>258</v>
      </c>
      <c r="N1048" s="1" t="s">
        <v>259</v>
      </c>
      <c r="O1048" s="1" t="s">
        <v>760</v>
      </c>
      <c r="P1048" s="1" t="str">
        <f aca="false">_xlfn.CONCAT(B1048,C1048,D1048,E1048,F1048)</f>
        <v>Rio Monte IIISG60KTL(COM1-011)_001_00245998.277777777845998.277777777845998.2902777778</v>
      </c>
      <c r="Q1048" s="1" t="str">
        <f aca="false">_xlfn.CONCAT(H1048,I1048,J1048)</f>
        <v>DAURDE</v>
      </c>
    </row>
    <row r="1049" customFormat="false" ht="15" hidden="true" customHeight="false" outlineLevel="0" collapsed="false">
      <c r="B1049" s="1" t="s">
        <v>816</v>
      </c>
      <c r="C1049" s="1" t="s">
        <v>821</v>
      </c>
      <c r="D1049" s="14" t="n">
        <v>45998.2777777778</v>
      </c>
      <c r="E1049" s="14" t="n">
        <v>45998.2777777778</v>
      </c>
      <c r="F1049" s="14" t="n">
        <v>45998.2902777778</v>
      </c>
      <c r="G1049" s="15" t="n">
        <f aca="false">F1049-E1049</f>
        <v>0.0125</v>
      </c>
      <c r="H1049" s="1" t="s">
        <v>248</v>
      </c>
      <c r="J1049" s="1" t="s">
        <v>256</v>
      </c>
      <c r="K1049" s="1" t="s">
        <v>430</v>
      </c>
      <c r="L1049" s="1" t="s">
        <v>893</v>
      </c>
      <c r="M1049" s="1" t="s">
        <v>258</v>
      </c>
      <c r="N1049" s="1" t="s">
        <v>259</v>
      </c>
      <c r="O1049" s="1" t="s">
        <v>760</v>
      </c>
      <c r="P1049" s="1" t="str">
        <f aca="false">_xlfn.CONCAT(B1049,C1049,D1049,E1049,F1049)</f>
        <v>Rio Monte IIISG60KTL(COM1-012)_001_01545998.277777777845998.277777777845998.2902777778</v>
      </c>
      <c r="Q1049" s="1" t="str">
        <f aca="false">_xlfn.CONCAT(H1049,I1049,J1049)</f>
        <v>DAURDE</v>
      </c>
    </row>
    <row r="1050" customFormat="false" ht="15" hidden="true" customHeight="false" outlineLevel="0" collapsed="false">
      <c r="B1050" s="1" t="s">
        <v>816</v>
      </c>
      <c r="C1050" s="1" t="s">
        <v>822</v>
      </c>
      <c r="D1050" s="14" t="n">
        <v>45998.2777777778</v>
      </c>
      <c r="E1050" s="14" t="n">
        <v>45998.2777777778</v>
      </c>
      <c r="F1050" s="14" t="n">
        <v>45998.2902777778</v>
      </c>
      <c r="G1050" s="15" t="n">
        <f aca="false">F1050-E1050</f>
        <v>0.0125</v>
      </c>
      <c r="H1050" s="1" t="s">
        <v>248</v>
      </c>
      <c r="J1050" s="1" t="s">
        <v>256</v>
      </c>
      <c r="K1050" s="1" t="s">
        <v>430</v>
      </c>
      <c r="L1050" s="1" t="s">
        <v>893</v>
      </c>
      <c r="M1050" s="1" t="s">
        <v>258</v>
      </c>
      <c r="N1050" s="1" t="s">
        <v>259</v>
      </c>
      <c r="O1050" s="1" t="s">
        <v>760</v>
      </c>
      <c r="P1050" s="1" t="str">
        <f aca="false">_xlfn.CONCAT(B1050,C1050,D1050,E1050,F1050)</f>
        <v>Rio Monte IIISG60KTL(COM1-013)_001_00345998.277777777845998.277777777845998.2902777778</v>
      </c>
      <c r="Q1050" s="1" t="str">
        <f aca="false">_xlfn.CONCAT(H1050,I1050,J1050)</f>
        <v>DAURDE</v>
      </c>
    </row>
    <row r="1051" customFormat="false" ht="15" hidden="true" customHeight="false" outlineLevel="0" collapsed="false">
      <c r="B1051" s="1" t="s">
        <v>816</v>
      </c>
      <c r="C1051" s="1" t="s">
        <v>823</v>
      </c>
      <c r="D1051" s="14" t="n">
        <v>45998.2777777778</v>
      </c>
      <c r="E1051" s="14" t="n">
        <v>45998.2777777778</v>
      </c>
      <c r="F1051" s="14" t="n">
        <v>45998.2902777778</v>
      </c>
      <c r="G1051" s="15" t="n">
        <f aca="false">F1051-E1051</f>
        <v>0.0125</v>
      </c>
      <c r="H1051" s="1" t="s">
        <v>248</v>
      </c>
      <c r="J1051" s="1" t="s">
        <v>256</v>
      </c>
      <c r="K1051" s="1" t="s">
        <v>430</v>
      </c>
      <c r="L1051" s="1" t="s">
        <v>893</v>
      </c>
      <c r="M1051" s="1" t="s">
        <v>258</v>
      </c>
      <c r="N1051" s="1" t="s">
        <v>259</v>
      </c>
      <c r="O1051" s="1" t="s">
        <v>760</v>
      </c>
      <c r="P1051" s="1" t="str">
        <f aca="false">_xlfn.CONCAT(B1051,C1051,D1051,E1051,F1051)</f>
        <v>Rio Monte IIISG60KTL(COM1-014)_001_00445998.277777777845998.277777777845998.2902777778</v>
      </c>
      <c r="Q1051" s="1" t="str">
        <f aca="false">_xlfn.CONCAT(H1051,I1051,J1051)</f>
        <v>DAURDE</v>
      </c>
    </row>
    <row r="1052" customFormat="false" ht="15" hidden="true" customHeight="false" outlineLevel="0" collapsed="false">
      <c r="B1052" s="1" t="s">
        <v>816</v>
      </c>
      <c r="C1052" s="1" t="s">
        <v>824</v>
      </c>
      <c r="D1052" s="14" t="n">
        <v>45998.2777777778</v>
      </c>
      <c r="E1052" s="14" t="n">
        <v>45998.2777777778</v>
      </c>
      <c r="F1052" s="14" t="n">
        <v>45998.2902777778</v>
      </c>
      <c r="G1052" s="15" t="n">
        <f aca="false">F1052-E1052</f>
        <v>0.0125</v>
      </c>
      <c r="H1052" s="1" t="s">
        <v>248</v>
      </c>
      <c r="J1052" s="1" t="s">
        <v>256</v>
      </c>
      <c r="K1052" s="1" t="s">
        <v>430</v>
      </c>
      <c r="L1052" s="1" t="s">
        <v>893</v>
      </c>
      <c r="M1052" s="1" t="s">
        <v>258</v>
      </c>
      <c r="N1052" s="1" t="s">
        <v>259</v>
      </c>
      <c r="O1052" s="1" t="s">
        <v>760</v>
      </c>
      <c r="P1052" s="1" t="str">
        <f aca="false">_xlfn.CONCAT(B1052,C1052,D1052,E1052,F1052)</f>
        <v>Rio Monte IIISG60KTL(COM1-015)_001_01345998.277777777845998.277777777845998.2902777778</v>
      </c>
      <c r="Q1052" s="1" t="str">
        <f aca="false">_xlfn.CONCAT(H1052,I1052,J1052)</f>
        <v>DAURDE</v>
      </c>
    </row>
    <row r="1053" customFormat="false" ht="15" hidden="true" customHeight="false" outlineLevel="0" collapsed="false">
      <c r="B1053" s="1" t="s">
        <v>816</v>
      </c>
      <c r="C1053" s="1" t="s">
        <v>825</v>
      </c>
      <c r="D1053" s="14" t="n">
        <v>45998.2777777778</v>
      </c>
      <c r="E1053" s="14" t="n">
        <v>45998.2777777778</v>
      </c>
      <c r="F1053" s="14" t="n">
        <v>45998.2902777778</v>
      </c>
      <c r="G1053" s="15" t="n">
        <f aca="false">F1053-E1053</f>
        <v>0.0125</v>
      </c>
      <c r="H1053" s="1" t="s">
        <v>248</v>
      </c>
      <c r="J1053" s="1" t="s">
        <v>256</v>
      </c>
      <c r="K1053" s="1" t="s">
        <v>430</v>
      </c>
      <c r="L1053" s="1" t="s">
        <v>893</v>
      </c>
      <c r="M1053" s="1" t="s">
        <v>258</v>
      </c>
      <c r="N1053" s="1" t="s">
        <v>259</v>
      </c>
      <c r="O1053" s="1" t="s">
        <v>760</v>
      </c>
      <c r="P1053" s="1" t="str">
        <f aca="false">_xlfn.CONCAT(B1053,C1053,D1053,E1053,F1053)</f>
        <v>Rio Monte IIISG60KTL(COM1-016)_001_01445998.277777777845998.277777777845998.2902777778</v>
      </c>
      <c r="Q1053" s="1" t="str">
        <f aca="false">_xlfn.CONCAT(H1053,I1053,J1053)</f>
        <v>DAURDE</v>
      </c>
    </row>
    <row r="1054" customFormat="false" ht="15" hidden="true" customHeight="false" outlineLevel="0" collapsed="false">
      <c r="B1054" s="1" t="s">
        <v>816</v>
      </c>
      <c r="C1054" s="1" t="s">
        <v>826</v>
      </c>
      <c r="D1054" s="14" t="n">
        <v>45998.2777777778</v>
      </c>
      <c r="E1054" s="14" t="n">
        <v>45998.2777777778</v>
      </c>
      <c r="F1054" s="14" t="n">
        <v>45998.2902777778</v>
      </c>
      <c r="G1054" s="15" t="n">
        <f aca="false">F1054-E1054</f>
        <v>0.0125</v>
      </c>
      <c r="H1054" s="1" t="s">
        <v>248</v>
      </c>
      <c r="J1054" s="1" t="s">
        <v>256</v>
      </c>
      <c r="K1054" s="1" t="s">
        <v>430</v>
      </c>
      <c r="L1054" s="1" t="s">
        <v>893</v>
      </c>
      <c r="M1054" s="1" t="s">
        <v>258</v>
      </c>
      <c r="N1054" s="1" t="s">
        <v>259</v>
      </c>
      <c r="O1054" s="1" t="s">
        <v>760</v>
      </c>
      <c r="P1054" s="1" t="str">
        <f aca="false">_xlfn.CONCAT(B1054,C1054,D1054,E1054,F1054)</f>
        <v>Rio Monte IIISG60KTL(COM1-017)_001_00845998.277777777845998.277777777845998.2902777778</v>
      </c>
      <c r="Q1054" s="1" t="str">
        <f aca="false">_xlfn.CONCAT(H1054,I1054,J1054)</f>
        <v>DAURDE</v>
      </c>
    </row>
    <row r="1055" customFormat="false" ht="15" hidden="true" customHeight="false" outlineLevel="0" collapsed="false">
      <c r="B1055" s="1" t="s">
        <v>896</v>
      </c>
      <c r="C1055" s="1" t="s">
        <v>651</v>
      </c>
      <c r="D1055" s="14" t="n">
        <v>45999.2409722222</v>
      </c>
      <c r="E1055" s="14" t="n">
        <v>45999.2409722222</v>
      </c>
      <c r="F1055" s="14" t="n">
        <v>45999.2465277778</v>
      </c>
      <c r="G1055" s="15" t="n">
        <f aca="false">F1055-E1055</f>
        <v>0.00555555555555556</v>
      </c>
      <c r="H1055" s="1" t="s">
        <v>248</v>
      </c>
      <c r="J1055" s="1" t="s">
        <v>256</v>
      </c>
      <c r="K1055" s="1" t="s">
        <v>430</v>
      </c>
      <c r="L1055" s="1" t="s">
        <v>893</v>
      </c>
      <c r="M1055" s="1" t="s">
        <v>258</v>
      </c>
      <c r="N1055" s="1" t="s">
        <v>259</v>
      </c>
      <c r="O1055" s="1" t="s">
        <v>760</v>
      </c>
      <c r="P1055" s="1" t="str">
        <f aca="false">_xlfn.CONCAT(B1055,C1055,D1055,E1055,F1055)</f>
        <v>Rio Bonito ISG36KTL-M-17_001_01745999.240972222245999.240972222245999.2465277778</v>
      </c>
      <c r="Q1055" s="1" t="str">
        <f aca="false">_xlfn.CONCAT(H1055,I1055,J1055)</f>
        <v>DAURDE</v>
      </c>
    </row>
    <row r="1056" customFormat="false" ht="15" hidden="true" customHeight="false" outlineLevel="0" collapsed="false">
      <c r="B1056" s="1" t="s">
        <v>896</v>
      </c>
      <c r="C1056" s="1" t="s">
        <v>653</v>
      </c>
      <c r="D1056" s="14" t="n">
        <v>45999.2409722222</v>
      </c>
      <c r="E1056" s="14" t="n">
        <v>45999.2409722222</v>
      </c>
      <c r="F1056" s="14" t="n">
        <v>45999.2465277778</v>
      </c>
      <c r="G1056" s="15" t="n">
        <f aca="false">F1056-E1056</f>
        <v>0.00555555555555556</v>
      </c>
      <c r="H1056" s="1" t="s">
        <v>248</v>
      </c>
      <c r="J1056" s="1" t="s">
        <v>256</v>
      </c>
      <c r="K1056" s="1" t="s">
        <v>430</v>
      </c>
      <c r="L1056" s="1" t="s">
        <v>893</v>
      </c>
      <c r="M1056" s="1" t="s">
        <v>258</v>
      </c>
      <c r="N1056" s="1" t="s">
        <v>259</v>
      </c>
      <c r="O1056" s="1" t="s">
        <v>760</v>
      </c>
      <c r="P1056" s="1" t="str">
        <f aca="false">_xlfn.CONCAT(B1056,C1056,D1056,E1056,F1056)</f>
        <v>Rio Bonito ISG60KTL-10_001_01045999.240972222245999.240972222245999.2465277778</v>
      </c>
      <c r="Q1056" s="1" t="str">
        <f aca="false">_xlfn.CONCAT(H1056,I1056,J1056)</f>
        <v>DAURDE</v>
      </c>
    </row>
    <row r="1057" customFormat="false" ht="15" hidden="true" customHeight="false" outlineLevel="0" collapsed="false">
      <c r="B1057" s="1" t="s">
        <v>896</v>
      </c>
      <c r="C1057" s="1" t="s">
        <v>654</v>
      </c>
      <c r="D1057" s="14" t="n">
        <v>45999.2409722222</v>
      </c>
      <c r="E1057" s="14" t="n">
        <v>45999.2409722222</v>
      </c>
      <c r="F1057" s="14" t="n">
        <v>45999.2465277778</v>
      </c>
      <c r="G1057" s="15" t="n">
        <f aca="false">F1057-E1057</f>
        <v>0.00555555555555556</v>
      </c>
      <c r="H1057" s="1" t="s">
        <v>248</v>
      </c>
      <c r="J1057" s="1" t="s">
        <v>256</v>
      </c>
      <c r="K1057" s="1" t="s">
        <v>430</v>
      </c>
      <c r="L1057" s="1" t="s">
        <v>893</v>
      </c>
      <c r="M1057" s="1" t="s">
        <v>258</v>
      </c>
      <c r="N1057" s="1" t="s">
        <v>259</v>
      </c>
      <c r="O1057" s="1" t="s">
        <v>760</v>
      </c>
      <c r="P1057" s="1" t="str">
        <f aca="false">_xlfn.CONCAT(B1057,C1057,D1057,E1057,F1057)</f>
        <v>Rio Bonito ISG60KTL-11_001_01145999.240972222245999.240972222245999.2465277778</v>
      </c>
      <c r="Q1057" s="1" t="str">
        <f aca="false">_xlfn.CONCAT(H1057,I1057,J1057)</f>
        <v>DAURDE</v>
      </c>
    </row>
    <row r="1058" customFormat="false" ht="15" hidden="true" customHeight="false" outlineLevel="0" collapsed="false">
      <c r="B1058" s="1" t="s">
        <v>896</v>
      </c>
      <c r="C1058" s="1" t="s">
        <v>655</v>
      </c>
      <c r="D1058" s="14" t="n">
        <v>45999.2409722222</v>
      </c>
      <c r="E1058" s="14" t="n">
        <v>45999.2409722222</v>
      </c>
      <c r="F1058" s="14" t="n">
        <v>45999.2465277778</v>
      </c>
      <c r="G1058" s="15" t="n">
        <f aca="false">F1058-E1058</f>
        <v>0.00555555555555556</v>
      </c>
      <c r="H1058" s="1" t="s">
        <v>248</v>
      </c>
      <c r="J1058" s="1" t="s">
        <v>256</v>
      </c>
      <c r="K1058" s="1" t="s">
        <v>430</v>
      </c>
      <c r="L1058" s="1" t="s">
        <v>893</v>
      </c>
      <c r="M1058" s="1" t="s">
        <v>258</v>
      </c>
      <c r="N1058" s="1" t="s">
        <v>259</v>
      </c>
      <c r="O1058" s="1" t="s">
        <v>760</v>
      </c>
      <c r="P1058" s="1" t="str">
        <f aca="false">_xlfn.CONCAT(B1058,C1058,D1058,E1058,F1058)</f>
        <v>Rio Bonito ISG60KTL-12_001_01245999.240972222245999.240972222245999.2465277778</v>
      </c>
      <c r="Q1058" s="1" t="str">
        <f aca="false">_xlfn.CONCAT(H1058,I1058,J1058)</f>
        <v>DAURDE</v>
      </c>
    </row>
    <row r="1059" customFormat="false" ht="15" hidden="true" customHeight="false" outlineLevel="0" collapsed="false">
      <c r="B1059" s="1" t="s">
        <v>896</v>
      </c>
      <c r="C1059" s="1" t="s">
        <v>656</v>
      </c>
      <c r="D1059" s="14" t="n">
        <v>45999.2409722222</v>
      </c>
      <c r="E1059" s="14" t="n">
        <v>45999.2409722222</v>
      </c>
      <c r="F1059" s="14" t="n">
        <v>45999.2465277778</v>
      </c>
      <c r="G1059" s="15" t="n">
        <f aca="false">F1059-E1059</f>
        <v>0.00555555555555556</v>
      </c>
      <c r="H1059" s="1" t="s">
        <v>248</v>
      </c>
      <c r="J1059" s="1" t="s">
        <v>256</v>
      </c>
      <c r="K1059" s="1" t="s">
        <v>430</v>
      </c>
      <c r="L1059" s="1" t="s">
        <v>893</v>
      </c>
      <c r="M1059" s="1" t="s">
        <v>258</v>
      </c>
      <c r="N1059" s="1" t="s">
        <v>259</v>
      </c>
      <c r="O1059" s="1" t="s">
        <v>760</v>
      </c>
      <c r="P1059" s="1" t="str">
        <f aca="false">_xlfn.CONCAT(B1059,C1059,D1059,E1059,F1059)</f>
        <v>Rio Bonito ISG60KTL-13_001_01345999.240972222245999.240972222245999.2465277778</v>
      </c>
      <c r="Q1059" s="1" t="str">
        <f aca="false">_xlfn.CONCAT(H1059,I1059,J1059)</f>
        <v>DAURDE</v>
      </c>
    </row>
    <row r="1060" customFormat="false" ht="15" hidden="true" customHeight="false" outlineLevel="0" collapsed="false">
      <c r="B1060" s="1" t="s">
        <v>896</v>
      </c>
      <c r="C1060" s="1" t="s">
        <v>657</v>
      </c>
      <c r="D1060" s="14" t="n">
        <v>45999.2409722222</v>
      </c>
      <c r="E1060" s="14" t="n">
        <v>45999.2409722222</v>
      </c>
      <c r="F1060" s="14" t="n">
        <v>45999.2465277778</v>
      </c>
      <c r="G1060" s="15" t="n">
        <f aca="false">F1060-E1060</f>
        <v>0.00555555555555556</v>
      </c>
      <c r="H1060" s="1" t="s">
        <v>248</v>
      </c>
      <c r="J1060" s="1" t="s">
        <v>256</v>
      </c>
      <c r="K1060" s="1" t="s">
        <v>430</v>
      </c>
      <c r="L1060" s="1" t="s">
        <v>893</v>
      </c>
      <c r="M1060" s="1" t="s">
        <v>258</v>
      </c>
      <c r="N1060" s="1" t="s">
        <v>259</v>
      </c>
      <c r="O1060" s="1" t="s">
        <v>760</v>
      </c>
      <c r="P1060" s="1" t="str">
        <f aca="false">_xlfn.CONCAT(B1060,C1060,D1060,E1060,F1060)</f>
        <v>Rio Bonito ISG60KTL-14_001_01445999.240972222245999.240972222245999.2465277778</v>
      </c>
      <c r="Q1060" s="1" t="str">
        <f aca="false">_xlfn.CONCAT(H1060,I1060,J1060)</f>
        <v>DAURDE</v>
      </c>
    </row>
    <row r="1061" customFormat="false" ht="15" hidden="true" customHeight="false" outlineLevel="0" collapsed="false">
      <c r="B1061" s="1" t="s">
        <v>896</v>
      </c>
      <c r="C1061" s="1" t="s">
        <v>658</v>
      </c>
      <c r="D1061" s="14" t="n">
        <v>45999.2409722222</v>
      </c>
      <c r="E1061" s="14" t="n">
        <v>45999.2409722222</v>
      </c>
      <c r="F1061" s="14" t="n">
        <v>45999.2465277778</v>
      </c>
      <c r="G1061" s="15" t="n">
        <f aca="false">F1061-E1061</f>
        <v>0.00555555555555556</v>
      </c>
      <c r="H1061" s="1" t="s">
        <v>248</v>
      </c>
      <c r="J1061" s="1" t="s">
        <v>256</v>
      </c>
      <c r="K1061" s="1" t="s">
        <v>430</v>
      </c>
      <c r="L1061" s="1" t="s">
        <v>893</v>
      </c>
      <c r="M1061" s="1" t="s">
        <v>258</v>
      </c>
      <c r="N1061" s="1" t="s">
        <v>259</v>
      </c>
      <c r="O1061" s="1" t="s">
        <v>760</v>
      </c>
      <c r="P1061" s="1" t="str">
        <f aca="false">_xlfn.CONCAT(B1061,C1061,D1061,E1061,F1061)</f>
        <v>Rio Bonito ISG60KTL-15_001_01545999.240972222245999.240972222245999.2465277778</v>
      </c>
      <c r="Q1061" s="1" t="str">
        <f aca="false">_xlfn.CONCAT(H1061,I1061,J1061)</f>
        <v>DAURDE</v>
      </c>
    </row>
    <row r="1062" customFormat="false" ht="15" hidden="true" customHeight="false" outlineLevel="0" collapsed="false">
      <c r="B1062" s="1" t="s">
        <v>896</v>
      </c>
      <c r="C1062" s="1" t="s">
        <v>659</v>
      </c>
      <c r="D1062" s="14" t="n">
        <v>45999.2409722222</v>
      </c>
      <c r="E1062" s="14" t="n">
        <v>45999.2409722222</v>
      </c>
      <c r="F1062" s="14" t="n">
        <v>45999.2465277778</v>
      </c>
      <c r="G1062" s="15" t="n">
        <f aca="false">F1062-E1062</f>
        <v>0.00555555555555556</v>
      </c>
      <c r="H1062" s="1" t="s">
        <v>248</v>
      </c>
      <c r="J1062" s="1" t="s">
        <v>256</v>
      </c>
      <c r="K1062" s="1" t="s">
        <v>430</v>
      </c>
      <c r="L1062" s="1" t="s">
        <v>893</v>
      </c>
      <c r="M1062" s="1" t="s">
        <v>258</v>
      </c>
      <c r="N1062" s="1" t="s">
        <v>259</v>
      </c>
      <c r="O1062" s="1" t="s">
        <v>760</v>
      </c>
      <c r="P1062" s="1" t="str">
        <f aca="false">_xlfn.CONCAT(B1062,C1062,D1062,E1062,F1062)</f>
        <v>Rio Bonito ISG60KTL-16_001_01645999.240972222245999.240972222245999.2465277778</v>
      </c>
      <c r="Q1062" s="1" t="str">
        <f aca="false">_xlfn.CONCAT(H1062,I1062,J1062)</f>
        <v>DAURDE</v>
      </c>
    </row>
    <row r="1063" customFormat="false" ht="15" hidden="true" customHeight="false" outlineLevel="0" collapsed="false">
      <c r="B1063" s="1" t="s">
        <v>896</v>
      </c>
      <c r="C1063" s="1" t="s">
        <v>660</v>
      </c>
      <c r="D1063" s="14" t="n">
        <v>45999.2409722222</v>
      </c>
      <c r="E1063" s="14" t="n">
        <v>45999.2409722222</v>
      </c>
      <c r="F1063" s="14" t="n">
        <v>45999.2465277778</v>
      </c>
      <c r="G1063" s="15" t="n">
        <f aca="false">F1063-E1063</f>
        <v>0.00555555555555556</v>
      </c>
      <c r="H1063" s="1" t="s">
        <v>248</v>
      </c>
      <c r="J1063" s="1" t="s">
        <v>256</v>
      </c>
      <c r="K1063" s="1" t="s">
        <v>430</v>
      </c>
      <c r="L1063" s="1" t="s">
        <v>893</v>
      </c>
      <c r="M1063" s="1" t="s">
        <v>258</v>
      </c>
      <c r="N1063" s="1" t="s">
        <v>259</v>
      </c>
      <c r="O1063" s="1" t="s">
        <v>760</v>
      </c>
      <c r="P1063" s="1" t="str">
        <f aca="false">_xlfn.CONCAT(B1063,C1063,D1063,E1063,F1063)</f>
        <v>Rio Bonito ISG60KTL-1_001_00145999.240972222245999.240972222245999.2465277778</v>
      </c>
      <c r="Q1063" s="1" t="str">
        <f aca="false">_xlfn.CONCAT(H1063,I1063,J1063)</f>
        <v>DAURDE</v>
      </c>
    </row>
    <row r="1064" customFormat="false" ht="15" hidden="true" customHeight="false" outlineLevel="0" collapsed="false">
      <c r="B1064" s="1" t="s">
        <v>896</v>
      </c>
      <c r="C1064" s="1" t="s">
        <v>661</v>
      </c>
      <c r="D1064" s="14" t="n">
        <v>45999.2409722222</v>
      </c>
      <c r="E1064" s="14" t="n">
        <v>45999.2409722222</v>
      </c>
      <c r="F1064" s="14" t="n">
        <v>45999.2465277778</v>
      </c>
      <c r="G1064" s="15" t="n">
        <f aca="false">F1064-E1064</f>
        <v>0.00555555555555556</v>
      </c>
      <c r="H1064" s="1" t="s">
        <v>248</v>
      </c>
      <c r="J1064" s="1" t="s">
        <v>256</v>
      </c>
      <c r="K1064" s="1" t="s">
        <v>430</v>
      </c>
      <c r="L1064" s="1" t="s">
        <v>893</v>
      </c>
      <c r="M1064" s="1" t="s">
        <v>258</v>
      </c>
      <c r="N1064" s="1" t="s">
        <v>259</v>
      </c>
      <c r="O1064" s="1" t="s">
        <v>760</v>
      </c>
      <c r="P1064" s="1" t="str">
        <f aca="false">_xlfn.CONCAT(B1064,C1064,D1064,E1064,F1064)</f>
        <v>Rio Bonito ISG60KTL-2_001_00245999.240972222245999.240972222245999.2465277778</v>
      </c>
      <c r="Q1064" s="1" t="str">
        <f aca="false">_xlfn.CONCAT(H1064,I1064,J1064)</f>
        <v>DAURDE</v>
      </c>
    </row>
    <row r="1065" customFormat="false" ht="15" hidden="true" customHeight="false" outlineLevel="0" collapsed="false">
      <c r="B1065" s="1" t="s">
        <v>896</v>
      </c>
      <c r="C1065" s="1" t="s">
        <v>662</v>
      </c>
      <c r="D1065" s="14" t="n">
        <v>45999.2409722222</v>
      </c>
      <c r="E1065" s="14" t="n">
        <v>45999.2409722222</v>
      </c>
      <c r="F1065" s="14" t="n">
        <v>45999.2465277778</v>
      </c>
      <c r="G1065" s="15" t="n">
        <f aca="false">F1065-E1065</f>
        <v>0.00555555555555556</v>
      </c>
      <c r="H1065" s="1" t="s">
        <v>248</v>
      </c>
      <c r="J1065" s="1" t="s">
        <v>256</v>
      </c>
      <c r="K1065" s="1" t="e">
        <f aca="false">_xlfn.xlookup(J1065,REF!$D$2:$D$12,REF!$E$2:$E$12)</f>
        <v>#NAME?</v>
      </c>
      <c r="L1065" s="1" t="s">
        <v>893</v>
      </c>
      <c r="M1065" s="1" t="s">
        <v>258</v>
      </c>
      <c r="N1065" s="1" t="s">
        <v>259</v>
      </c>
      <c r="O1065" s="1" t="s">
        <v>760</v>
      </c>
      <c r="P1065" s="1" t="str">
        <f aca="false">_xlfn.CONCAT(B1065,C1065,D1065,E1065,F1065)</f>
        <v>Rio Bonito ISG60KTL-3_001_00345999.240972222245999.240972222245999.2465277778</v>
      </c>
      <c r="Q1065" s="1" t="str">
        <f aca="false">_xlfn.CONCAT(H1065,I1065,J1065)</f>
        <v>DAURDE</v>
      </c>
    </row>
    <row r="1066" customFormat="false" ht="15" hidden="true" customHeight="false" outlineLevel="0" collapsed="false">
      <c r="B1066" s="1" t="s">
        <v>896</v>
      </c>
      <c r="C1066" s="1" t="s">
        <v>663</v>
      </c>
      <c r="D1066" s="14" t="n">
        <v>45999.2409722222</v>
      </c>
      <c r="E1066" s="14" t="n">
        <v>45999.2409722222</v>
      </c>
      <c r="F1066" s="14" t="n">
        <v>45999.2465277778</v>
      </c>
      <c r="G1066" s="15" t="n">
        <f aca="false">F1066-E1066</f>
        <v>0.00555555555555556</v>
      </c>
      <c r="H1066" s="1" t="s">
        <v>248</v>
      </c>
      <c r="J1066" s="1" t="s">
        <v>256</v>
      </c>
      <c r="K1066" s="1" t="e">
        <f aca="false">_xlfn.xlookup(J1066,REF!$D$2:$D$12,REF!$E$2:$E$12)</f>
        <v>#NAME?</v>
      </c>
      <c r="L1066" s="1" t="s">
        <v>893</v>
      </c>
      <c r="M1066" s="1" t="s">
        <v>258</v>
      </c>
      <c r="N1066" s="1" t="s">
        <v>259</v>
      </c>
      <c r="O1066" s="1" t="s">
        <v>760</v>
      </c>
      <c r="P1066" s="1" t="str">
        <f aca="false">_xlfn.CONCAT(B1066,C1066,D1066,E1066,F1066)</f>
        <v>Rio Bonito ISG60KTL-4_001_00445999.240972222245999.240972222245999.2465277778</v>
      </c>
      <c r="Q1066" s="1" t="str">
        <f aca="false">_xlfn.CONCAT(H1066,I1066,J1066)</f>
        <v>DAURDE</v>
      </c>
    </row>
    <row r="1067" customFormat="false" ht="15" hidden="true" customHeight="false" outlineLevel="0" collapsed="false">
      <c r="B1067" s="1" t="s">
        <v>896</v>
      </c>
      <c r="C1067" s="1" t="s">
        <v>664</v>
      </c>
      <c r="D1067" s="14" t="n">
        <v>45999.2409722222</v>
      </c>
      <c r="E1067" s="14" t="n">
        <v>45999.2409722222</v>
      </c>
      <c r="F1067" s="14" t="n">
        <v>45999.2465277778</v>
      </c>
      <c r="G1067" s="15" t="n">
        <f aca="false">F1067-E1067</f>
        <v>0.00555555555555556</v>
      </c>
      <c r="H1067" s="1" t="s">
        <v>248</v>
      </c>
      <c r="J1067" s="1" t="s">
        <v>256</v>
      </c>
      <c r="K1067" s="1" t="e">
        <f aca="false">_xlfn.xlookup(J1067,REF!$D$2:$D$12,REF!$E$2:$E$12)</f>
        <v>#NAME?</v>
      </c>
      <c r="L1067" s="1" t="s">
        <v>893</v>
      </c>
      <c r="M1067" s="1" t="s">
        <v>258</v>
      </c>
      <c r="N1067" s="1" t="s">
        <v>259</v>
      </c>
      <c r="O1067" s="1" t="s">
        <v>760</v>
      </c>
      <c r="P1067" s="1" t="str">
        <f aca="false">_xlfn.CONCAT(B1067,C1067,D1067,E1067,F1067)</f>
        <v>Rio Bonito ISG60KTL-5_001_00545999.240972222245999.240972222245999.2465277778</v>
      </c>
      <c r="Q1067" s="1" t="str">
        <f aca="false">_xlfn.CONCAT(H1067,I1067,J1067)</f>
        <v>DAURDE</v>
      </c>
    </row>
    <row r="1068" customFormat="false" ht="15" hidden="true" customHeight="false" outlineLevel="0" collapsed="false">
      <c r="B1068" s="1" t="s">
        <v>896</v>
      </c>
      <c r="C1068" s="1" t="s">
        <v>665</v>
      </c>
      <c r="D1068" s="14" t="n">
        <v>45999.2409722222</v>
      </c>
      <c r="E1068" s="14" t="n">
        <v>45999.2409722222</v>
      </c>
      <c r="F1068" s="14" t="n">
        <v>45999.2465277778</v>
      </c>
      <c r="G1068" s="15" t="n">
        <f aca="false">F1068-E1068</f>
        <v>0.00555555555555556</v>
      </c>
      <c r="H1068" s="1" t="s">
        <v>248</v>
      </c>
      <c r="J1068" s="1" t="s">
        <v>256</v>
      </c>
      <c r="K1068" s="1" t="e">
        <f aca="false">_xlfn.xlookup(J1068,REF!$D$2:$D$12,REF!$E$2:$E$12)</f>
        <v>#NAME?</v>
      </c>
      <c r="L1068" s="1" t="s">
        <v>893</v>
      </c>
      <c r="M1068" s="1" t="s">
        <v>258</v>
      </c>
      <c r="N1068" s="1" t="s">
        <v>259</v>
      </c>
      <c r="O1068" s="1" t="s">
        <v>760</v>
      </c>
      <c r="P1068" s="1" t="str">
        <f aca="false">_xlfn.CONCAT(B1068,C1068,D1068,E1068,F1068)</f>
        <v>Rio Bonito ISG60KTL-6_001_00645999.240972222245999.240972222245999.2465277778</v>
      </c>
      <c r="Q1068" s="1" t="str">
        <f aca="false">_xlfn.CONCAT(H1068,I1068,J1068)</f>
        <v>DAURDE</v>
      </c>
    </row>
    <row r="1069" customFormat="false" ht="15" hidden="true" customHeight="false" outlineLevel="0" collapsed="false">
      <c r="B1069" s="1" t="s">
        <v>896</v>
      </c>
      <c r="C1069" s="1" t="s">
        <v>666</v>
      </c>
      <c r="D1069" s="14" t="n">
        <v>45999.2409722222</v>
      </c>
      <c r="E1069" s="14" t="n">
        <v>45999.2409722222</v>
      </c>
      <c r="F1069" s="14" t="n">
        <v>45999.2465277778</v>
      </c>
      <c r="G1069" s="15" t="n">
        <f aca="false">F1069-E1069</f>
        <v>0.00555555555555556</v>
      </c>
      <c r="H1069" s="1" t="s">
        <v>248</v>
      </c>
      <c r="J1069" s="1" t="s">
        <v>256</v>
      </c>
      <c r="K1069" s="1" t="e">
        <f aca="false">_xlfn.xlookup(J1069,REF!$D$2:$D$12,REF!$E$2:$E$12)</f>
        <v>#NAME?</v>
      </c>
      <c r="L1069" s="1" t="s">
        <v>893</v>
      </c>
      <c r="M1069" s="1" t="s">
        <v>258</v>
      </c>
      <c r="N1069" s="1" t="s">
        <v>259</v>
      </c>
      <c r="O1069" s="1" t="s">
        <v>760</v>
      </c>
      <c r="P1069" s="1" t="str">
        <f aca="false">_xlfn.CONCAT(B1069,C1069,D1069,E1069,F1069)</f>
        <v>Rio Bonito ISG60KTL-7_001_00745999.240972222245999.240972222245999.2465277778</v>
      </c>
      <c r="Q1069" s="1" t="str">
        <f aca="false">_xlfn.CONCAT(H1069,I1069,J1069)</f>
        <v>DAURDE</v>
      </c>
    </row>
    <row r="1070" customFormat="false" ht="15" hidden="true" customHeight="false" outlineLevel="0" collapsed="false">
      <c r="B1070" s="1" t="s">
        <v>896</v>
      </c>
      <c r="C1070" s="1" t="s">
        <v>667</v>
      </c>
      <c r="D1070" s="14" t="n">
        <v>45999.2409722222</v>
      </c>
      <c r="E1070" s="14" t="n">
        <v>45999.2409722222</v>
      </c>
      <c r="F1070" s="14" t="n">
        <v>45999.2465277778</v>
      </c>
      <c r="G1070" s="15" t="n">
        <f aca="false">F1070-E1070</f>
        <v>0.00555555555555556</v>
      </c>
      <c r="H1070" s="1" t="s">
        <v>248</v>
      </c>
      <c r="J1070" s="1" t="s">
        <v>256</v>
      </c>
      <c r="K1070" s="1" t="e">
        <f aca="false">_xlfn.xlookup(J1070,REF!$D$2:$D$12,REF!$E$2:$E$12)</f>
        <v>#NAME?</v>
      </c>
      <c r="L1070" s="1" t="s">
        <v>893</v>
      </c>
      <c r="M1070" s="1" t="s">
        <v>258</v>
      </c>
      <c r="N1070" s="1" t="s">
        <v>259</v>
      </c>
      <c r="O1070" s="1" t="s">
        <v>760</v>
      </c>
      <c r="P1070" s="1" t="str">
        <f aca="false">_xlfn.CONCAT(B1070,C1070,D1070,E1070,F1070)</f>
        <v>Rio Bonito ISG60KTL-8_001_00845999.240972222245999.240972222245999.2465277778</v>
      </c>
      <c r="Q1070" s="1" t="str">
        <f aca="false">_xlfn.CONCAT(H1070,I1070,J1070)</f>
        <v>DAURDE</v>
      </c>
    </row>
    <row r="1071" customFormat="false" ht="15" hidden="true" customHeight="false" outlineLevel="0" collapsed="false">
      <c r="B1071" s="1" t="s">
        <v>896</v>
      </c>
      <c r="C1071" s="1" t="s">
        <v>668</v>
      </c>
      <c r="D1071" s="14" t="n">
        <v>45999.2409722222</v>
      </c>
      <c r="E1071" s="14" t="n">
        <v>45999.2409722222</v>
      </c>
      <c r="F1071" s="14" t="n">
        <v>45999.2465277778</v>
      </c>
      <c r="G1071" s="15" t="n">
        <f aca="false">F1071-E1071</f>
        <v>0.00555555555555556</v>
      </c>
      <c r="H1071" s="1" t="s">
        <v>248</v>
      </c>
      <c r="J1071" s="1" t="s">
        <v>256</v>
      </c>
      <c r="K1071" s="1" t="e">
        <f aca="false">_xlfn.xlookup(J1071,REF!$D$2:$D$12,REF!$E$2:$E$12)</f>
        <v>#NAME?</v>
      </c>
      <c r="L1071" s="1" t="s">
        <v>893</v>
      </c>
      <c r="M1071" s="1" t="s">
        <v>258</v>
      </c>
      <c r="N1071" s="1" t="s">
        <v>259</v>
      </c>
      <c r="O1071" s="1" t="s">
        <v>760</v>
      </c>
      <c r="P1071" s="1" t="str">
        <f aca="false">_xlfn.CONCAT(B1071,C1071,D1071,E1071,F1071)</f>
        <v>Rio Bonito ISG60KTL-9_001_00945999.240972222245999.240972222245999.2465277778</v>
      </c>
      <c r="Q1071" s="1" t="str">
        <f aca="false">_xlfn.CONCAT(H1071,I1071,J1071)</f>
        <v>DAURDE</v>
      </c>
    </row>
    <row r="1072" customFormat="false" ht="15" hidden="true" customHeight="false" outlineLevel="0" collapsed="false">
      <c r="B1072" s="1" t="s">
        <v>897</v>
      </c>
      <c r="C1072" s="1" t="s">
        <v>898</v>
      </c>
      <c r="D1072" s="14" t="n">
        <v>46002.5618055556</v>
      </c>
      <c r="E1072" s="14" t="n">
        <v>46002.5618055556</v>
      </c>
      <c r="F1072" s="14" t="n">
        <v>46002.7847222222</v>
      </c>
      <c r="G1072" s="15" t="n">
        <f aca="false">F1072-E1072</f>
        <v>0.222916666666667</v>
      </c>
      <c r="H1072" s="20" t="s">
        <v>313</v>
      </c>
      <c r="J1072" s="20" t="s">
        <v>230</v>
      </c>
      <c r="K1072" s="1" t="e">
        <f aca="false">_xlfn.xlookup(J1072,REF!$D$2:$D$12,REF!$E$2:$E$12)</f>
        <v>#NAME?</v>
      </c>
      <c r="L1072" s="1" t="s">
        <v>886</v>
      </c>
      <c r="M1072" s="20" t="s">
        <v>288</v>
      </c>
      <c r="N1072" s="20" t="s">
        <v>315</v>
      </c>
      <c r="O1072" s="1" t="s">
        <v>887</v>
      </c>
      <c r="P1072" s="1" t="str">
        <f aca="false">_xlfn.CONCAT(B1072,C1072,D1072,E1072,F1072)</f>
        <v>Barra do Garças IInverter__546002.561805555646002.561805555646002.7847222222</v>
      </c>
      <c r="Q1072" s="1" t="str">
        <f aca="false">_xlfn.CONCAT(H1072,I1072,J1072)</f>
        <v>DPRUFV</v>
      </c>
    </row>
    <row r="1073" customFormat="false" ht="15" hidden="true" customHeight="false" outlineLevel="0" collapsed="false">
      <c r="B1073" s="1" t="s">
        <v>897</v>
      </c>
      <c r="C1073" s="1" t="s">
        <v>899</v>
      </c>
      <c r="D1073" s="14" t="n">
        <v>46002.5618055556</v>
      </c>
      <c r="E1073" s="14" t="n">
        <v>46002.5618055556</v>
      </c>
      <c r="F1073" s="14" t="n">
        <v>46002.7847222222</v>
      </c>
      <c r="G1073" s="15" t="n">
        <f aca="false">F1073-E1073</f>
        <v>0.222916666666667</v>
      </c>
      <c r="H1073" s="20" t="s">
        <v>313</v>
      </c>
      <c r="J1073" s="20" t="s">
        <v>230</v>
      </c>
      <c r="K1073" s="1" t="e">
        <f aca="false">_xlfn.xlookup(J1073,REF!$D$2:$D$12,REF!$E$2:$E$12)</f>
        <v>#NAME?</v>
      </c>
      <c r="L1073" s="1" t="s">
        <v>886</v>
      </c>
      <c r="M1073" s="20" t="s">
        <v>288</v>
      </c>
      <c r="N1073" s="20" t="s">
        <v>315</v>
      </c>
      <c r="O1073" s="1" t="s">
        <v>887</v>
      </c>
      <c r="P1073" s="1" t="str">
        <f aca="false">_xlfn.CONCAT(B1073,C1073,D1073,E1073,F1073)</f>
        <v>Barra do Garças IInverter__146002.561805555646002.561805555646002.7847222222</v>
      </c>
      <c r="Q1073" s="1" t="str">
        <f aca="false">_xlfn.CONCAT(H1073,I1073,J1073)</f>
        <v>DPRUFV</v>
      </c>
    </row>
    <row r="1074" customFormat="false" ht="15" hidden="true" customHeight="false" outlineLevel="0" collapsed="false">
      <c r="B1074" s="1" t="s">
        <v>900</v>
      </c>
      <c r="C1074" s="1" t="s">
        <v>901</v>
      </c>
      <c r="D1074" s="14" t="n">
        <v>46002.5618055556</v>
      </c>
      <c r="E1074" s="14" t="n">
        <v>46002.5618055556</v>
      </c>
      <c r="F1074" s="14" t="n">
        <v>46002.7847222222</v>
      </c>
      <c r="G1074" s="15" t="n">
        <f aca="false">F1074-E1074</f>
        <v>0.222916666666667</v>
      </c>
      <c r="H1074" s="20" t="s">
        <v>313</v>
      </c>
      <c r="J1074" s="20" t="s">
        <v>230</v>
      </c>
      <c r="K1074" s="1" t="e">
        <f aca="false">_xlfn.xlookup(J1074,REF!$D$2:$D$12,REF!$E$2:$E$12)</f>
        <v>#NAME?</v>
      </c>
      <c r="L1074" s="1" t="s">
        <v>886</v>
      </c>
      <c r="M1074" s="20" t="s">
        <v>288</v>
      </c>
      <c r="N1074" s="20" t="s">
        <v>315</v>
      </c>
      <c r="O1074" s="1" t="s">
        <v>887</v>
      </c>
      <c r="P1074" s="1" t="str">
        <f aca="false">_xlfn.CONCAT(B1074,C1074,D1074,E1074,F1074)</f>
        <v>Barra do Garças IIInverter__446002.561805555646002.561805555646002.7847222222</v>
      </c>
      <c r="Q1074" s="1" t="str">
        <f aca="false">_xlfn.CONCAT(H1074,I1074,J1074)</f>
        <v>DPRUFV</v>
      </c>
    </row>
    <row r="1075" customFormat="false" ht="15" hidden="true" customHeight="false" outlineLevel="0" collapsed="false">
      <c r="B1075" s="1" t="s">
        <v>900</v>
      </c>
      <c r="C1075" s="1" t="s">
        <v>902</v>
      </c>
      <c r="D1075" s="14" t="n">
        <v>46002.5618055556</v>
      </c>
      <c r="E1075" s="14" t="n">
        <v>46002.5618055556</v>
      </c>
      <c r="F1075" s="14" t="n">
        <v>46002.7847222222</v>
      </c>
      <c r="G1075" s="15" t="n">
        <f aca="false">F1075-E1075</f>
        <v>0.222916666666667</v>
      </c>
      <c r="H1075" s="20" t="s">
        <v>313</v>
      </c>
      <c r="J1075" s="20" t="s">
        <v>230</v>
      </c>
      <c r="K1075" s="1" t="e">
        <f aca="false">_xlfn.xlookup(J1075,REF!$D$2:$D$12,REF!$E$2:$E$12)</f>
        <v>#NAME?</v>
      </c>
      <c r="L1075" s="1" t="s">
        <v>886</v>
      </c>
      <c r="M1075" s="20" t="s">
        <v>288</v>
      </c>
      <c r="N1075" s="20" t="s">
        <v>315</v>
      </c>
      <c r="O1075" s="1" t="s">
        <v>887</v>
      </c>
      <c r="P1075" s="1" t="str">
        <f aca="false">_xlfn.CONCAT(B1075,C1075,D1075,E1075,F1075)</f>
        <v>Barra do Garças IIInverter__346002.561805555646002.561805555646002.7847222222</v>
      </c>
      <c r="Q1075" s="1" t="str">
        <f aca="false">_xlfn.CONCAT(H1075,I1075,J1075)</f>
        <v>DPRUFV</v>
      </c>
    </row>
    <row r="1076" customFormat="false" ht="15" hidden="true" customHeight="false" outlineLevel="0" collapsed="false">
      <c r="B1076" s="1" t="s">
        <v>900</v>
      </c>
      <c r="C1076" s="1" t="s">
        <v>903</v>
      </c>
      <c r="D1076" s="14" t="n">
        <v>46002.5618055556</v>
      </c>
      <c r="E1076" s="14" t="n">
        <v>46002.5618055556</v>
      </c>
      <c r="F1076" s="14" t="n">
        <v>46002.7847222222</v>
      </c>
      <c r="G1076" s="15" t="n">
        <f aca="false">F1076-E1076</f>
        <v>0.222916666666667</v>
      </c>
      <c r="H1076" s="20" t="s">
        <v>313</v>
      </c>
      <c r="J1076" s="20" t="s">
        <v>230</v>
      </c>
      <c r="K1076" s="1" t="e">
        <f aca="false">_xlfn.xlookup(J1076,REF!$D$2:$D$12,REF!$E$2:$E$12)</f>
        <v>#NAME?</v>
      </c>
      <c r="L1076" s="1" t="s">
        <v>886</v>
      </c>
      <c r="M1076" s="20" t="s">
        <v>288</v>
      </c>
      <c r="N1076" s="20" t="s">
        <v>315</v>
      </c>
      <c r="O1076" s="1" t="s">
        <v>887</v>
      </c>
      <c r="P1076" s="1" t="str">
        <f aca="false">_xlfn.CONCAT(B1076,C1076,D1076,E1076,F1076)</f>
        <v>Barra do Garças IIInverter__246002.561805555646002.561805555646002.7847222222</v>
      </c>
      <c r="Q1076" s="1" t="str">
        <f aca="false">_xlfn.CONCAT(H1076,I1076,J1076)</f>
        <v>DPRUFV</v>
      </c>
    </row>
    <row r="1077" customFormat="false" ht="15" hidden="true" customHeight="false" outlineLevel="0" collapsed="false">
      <c r="B1077" s="1" t="s">
        <v>900</v>
      </c>
      <c r="C1077" s="1" t="s">
        <v>904</v>
      </c>
      <c r="D1077" s="14" t="n">
        <v>46002.5618055556</v>
      </c>
      <c r="E1077" s="14" t="n">
        <v>46002.5618055556</v>
      </c>
      <c r="F1077" s="14" t="n">
        <v>46002.7847222222</v>
      </c>
      <c r="G1077" s="15" t="n">
        <f aca="false">F1077-E1077</f>
        <v>0.222916666666667</v>
      </c>
      <c r="H1077" s="20" t="s">
        <v>313</v>
      </c>
      <c r="J1077" s="20" t="s">
        <v>230</v>
      </c>
      <c r="K1077" s="1" t="e">
        <f aca="false">_xlfn.xlookup(J1077,REF!$D$2:$D$12,REF!$E$2:$E$12)</f>
        <v>#NAME?</v>
      </c>
      <c r="L1077" s="1" t="s">
        <v>886</v>
      </c>
      <c r="M1077" s="20" t="s">
        <v>288</v>
      </c>
      <c r="N1077" s="20" t="s">
        <v>315</v>
      </c>
      <c r="O1077" s="1" t="s">
        <v>887</v>
      </c>
      <c r="P1077" s="1" t="str">
        <f aca="false">_xlfn.CONCAT(B1077,C1077,D1077,E1077,F1077)</f>
        <v>Barra do Garças IIInverter__746002.561805555646002.561805555646002.7847222222</v>
      </c>
      <c r="Q1077" s="1" t="str">
        <f aca="false">_xlfn.CONCAT(H1077,I1077,J1077)</f>
        <v>DPRUFV</v>
      </c>
    </row>
    <row r="1078" customFormat="false" ht="15" hidden="true" customHeight="false" outlineLevel="0" collapsed="false">
      <c r="B1078" s="1" t="s">
        <v>905</v>
      </c>
      <c r="C1078" s="1" t="s">
        <v>906</v>
      </c>
      <c r="D1078" s="14" t="n">
        <v>46002.5618055556</v>
      </c>
      <c r="E1078" s="14" t="n">
        <v>46002.5618055556</v>
      </c>
      <c r="F1078" s="14" t="n">
        <v>46002.7847222222</v>
      </c>
      <c r="G1078" s="15" t="n">
        <f aca="false">F1078-E1078</f>
        <v>0.222916666666667</v>
      </c>
      <c r="H1078" s="20" t="s">
        <v>313</v>
      </c>
      <c r="J1078" s="20" t="s">
        <v>230</v>
      </c>
      <c r="K1078" s="1" t="e">
        <f aca="false">_xlfn.xlookup(J1078,REF!$D$2:$D$12,REF!$E$2:$E$12)</f>
        <v>#NAME?</v>
      </c>
      <c r="L1078" s="1" t="s">
        <v>886</v>
      </c>
      <c r="M1078" s="20" t="s">
        <v>288</v>
      </c>
      <c r="N1078" s="20" t="s">
        <v>315</v>
      </c>
      <c r="O1078" s="1" t="s">
        <v>887</v>
      </c>
      <c r="P1078" s="1" t="str">
        <f aca="false">_xlfn.CONCAT(B1078,C1078,D1078,E1078,F1078)</f>
        <v>Barra do Garças IIIInverter__946002.561805555646002.561805555646002.7847222222</v>
      </c>
      <c r="Q1078" s="1" t="str">
        <f aca="false">_xlfn.CONCAT(H1078,I1078,J1078)</f>
        <v>DPRUFV</v>
      </c>
    </row>
    <row r="1079" customFormat="false" ht="15" hidden="true" customHeight="false" outlineLevel="0" collapsed="false">
      <c r="B1079" s="1" t="s">
        <v>905</v>
      </c>
      <c r="C1079" s="1" t="s">
        <v>907</v>
      </c>
      <c r="D1079" s="14" t="n">
        <v>46002.5618055556</v>
      </c>
      <c r="E1079" s="14" t="n">
        <v>46002.5618055556</v>
      </c>
      <c r="F1079" s="14" t="n">
        <v>46002.7847222222</v>
      </c>
      <c r="G1079" s="15" t="n">
        <f aca="false">F1079-E1079</f>
        <v>0.222916666666667</v>
      </c>
      <c r="H1079" s="20" t="s">
        <v>313</v>
      </c>
      <c r="J1079" s="20" t="s">
        <v>230</v>
      </c>
      <c r="K1079" s="1" t="e">
        <f aca="false">_xlfn.xlookup(J1079,REF!$D$2:$D$12,REF!$E$2:$E$12)</f>
        <v>#NAME?</v>
      </c>
      <c r="L1079" s="1" t="s">
        <v>886</v>
      </c>
      <c r="M1079" s="20" t="s">
        <v>288</v>
      </c>
      <c r="N1079" s="20" t="s">
        <v>315</v>
      </c>
      <c r="O1079" s="1" t="s">
        <v>887</v>
      </c>
      <c r="P1079" s="1" t="str">
        <f aca="false">_xlfn.CONCAT(B1079,C1079,D1079,E1079,F1079)</f>
        <v>Barra do Garças IIIInverter__846002.561805555646002.561805555646002.7847222222</v>
      </c>
      <c r="Q1079" s="1" t="str">
        <f aca="false">_xlfn.CONCAT(H1079,I1079,J1079)</f>
        <v>DPRUFV</v>
      </c>
    </row>
    <row r="1080" customFormat="false" ht="15" hidden="true" customHeight="false" outlineLevel="0" collapsed="false">
      <c r="B1080" s="1" t="s">
        <v>905</v>
      </c>
      <c r="C1080" s="1" t="s">
        <v>908</v>
      </c>
      <c r="D1080" s="14" t="n">
        <v>46002.5618055556</v>
      </c>
      <c r="E1080" s="14" t="n">
        <v>46002.5618055556</v>
      </c>
      <c r="F1080" s="14" t="n">
        <v>46002.7847222222</v>
      </c>
      <c r="G1080" s="15" t="n">
        <f aca="false">F1080-E1080</f>
        <v>0.222916666666667</v>
      </c>
      <c r="H1080" s="20" t="s">
        <v>313</v>
      </c>
      <c r="J1080" s="20" t="s">
        <v>230</v>
      </c>
      <c r="K1080" s="1" t="e">
        <f aca="false">_xlfn.xlookup(J1080,REF!$D$2:$D$12,REF!$E$2:$E$12)</f>
        <v>#NAME?</v>
      </c>
      <c r="L1080" s="1" t="s">
        <v>886</v>
      </c>
      <c r="M1080" s="20" t="s">
        <v>288</v>
      </c>
      <c r="N1080" s="20" t="s">
        <v>315</v>
      </c>
      <c r="O1080" s="1" t="s">
        <v>887</v>
      </c>
      <c r="P1080" s="1" t="str">
        <f aca="false">_xlfn.CONCAT(B1080,C1080,D1080,E1080,F1080)</f>
        <v>Barra do Garças IIIInverter__1046002.561805555646002.561805555646002.7847222222</v>
      </c>
      <c r="Q1080" s="1" t="str">
        <f aca="false">_xlfn.CONCAT(H1080,I1080,J1080)</f>
        <v>DPRUFV</v>
      </c>
    </row>
    <row r="1081" customFormat="false" ht="15" hidden="true" customHeight="false" outlineLevel="0" collapsed="false">
      <c r="B1081" s="1" t="s">
        <v>905</v>
      </c>
      <c r="C1081" s="1" t="s">
        <v>909</v>
      </c>
      <c r="D1081" s="14" t="n">
        <v>46002.5618055556</v>
      </c>
      <c r="E1081" s="14" t="n">
        <v>46002.5618055556</v>
      </c>
      <c r="F1081" s="14" t="n">
        <v>46002.7847222222</v>
      </c>
      <c r="G1081" s="15" t="n">
        <f aca="false">F1081-E1081</f>
        <v>0.222916666666667</v>
      </c>
      <c r="H1081" s="20" t="s">
        <v>313</v>
      </c>
      <c r="J1081" s="20" t="s">
        <v>230</v>
      </c>
      <c r="K1081" s="1" t="e">
        <f aca="false">_xlfn.xlookup(J1081,REF!$D$2:$D$12,REF!$E$2:$E$12)</f>
        <v>#NAME?</v>
      </c>
      <c r="L1081" s="1" t="s">
        <v>886</v>
      </c>
      <c r="M1081" s="20" t="s">
        <v>288</v>
      </c>
      <c r="N1081" s="20" t="s">
        <v>315</v>
      </c>
      <c r="O1081" s="1" t="s">
        <v>887</v>
      </c>
      <c r="P1081" s="1" t="str">
        <f aca="false">_xlfn.CONCAT(B1081,C1081,D1081,E1081,F1081)</f>
        <v>Barra do Garças IIIInverter__646002.561805555646002.561805555646002.7847222222</v>
      </c>
      <c r="Q1081" s="1" t="str">
        <f aca="false">_xlfn.CONCAT(H1081,I1081,J1081)</f>
        <v>DPRUFV</v>
      </c>
    </row>
    <row r="1082" customFormat="false" ht="15" hidden="false" customHeight="false" outlineLevel="0" collapsed="false">
      <c r="B1082" s="1" t="s">
        <v>797</v>
      </c>
      <c r="C1082" s="1" t="s">
        <v>280</v>
      </c>
      <c r="D1082" s="14" t="n">
        <v>46003.3506944444</v>
      </c>
      <c r="E1082" s="14" t="n">
        <v>46003.3506944444</v>
      </c>
      <c r="F1082" s="14" t="n">
        <v>46003.3993055556</v>
      </c>
      <c r="G1082" s="15" t="n">
        <f aca="false">F1082-E1082</f>
        <v>0.0486111111111111</v>
      </c>
      <c r="H1082" s="20" t="s">
        <v>445</v>
      </c>
      <c r="I1082" s="1" t="s">
        <v>263</v>
      </c>
      <c r="J1082" s="20" t="s">
        <v>264</v>
      </c>
      <c r="K1082" s="1" t="e">
        <f aca="false">_xlfn.xlookup(J1082,REF!$D$2:$D$12,REF!$E$2:$E$12)</f>
        <v>#NAME?</v>
      </c>
      <c r="L1082" s="1" t="s">
        <v>449</v>
      </c>
      <c r="M1082" s="20" t="s">
        <v>418</v>
      </c>
      <c r="N1082" s="20" t="s">
        <v>252</v>
      </c>
      <c r="O1082" s="1" t="s">
        <v>419</v>
      </c>
      <c r="P1082" s="1" t="str">
        <f aca="false">_xlfn.CONCAT(B1082,C1082,D1082,E1082,F1082)</f>
        <v>BC Turvania1.1Inverter(MBUS-14)46003.350694444446003.350694444446003.3993055556</v>
      </c>
      <c r="Q1082" s="1" t="str">
        <f aca="false">_xlfn.CONCAT(H1082,I1082,J1082)</f>
        <v>LIGRFOCOM</v>
      </c>
    </row>
    <row r="1083" customFormat="false" ht="15" hidden="false" customHeight="false" outlineLevel="0" collapsed="false">
      <c r="B1083" s="1" t="s">
        <v>797</v>
      </c>
      <c r="C1083" s="1" t="s">
        <v>279</v>
      </c>
      <c r="D1083" s="14" t="n">
        <v>46003.3506944444</v>
      </c>
      <c r="E1083" s="14" t="n">
        <v>46003.3506944444</v>
      </c>
      <c r="F1083" s="14" t="n">
        <v>46003.3993055556</v>
      </c>
      <c r="G1083" s="15" t="n">
        <f aca="false">F1083-E1083</f>
        <v>0.0486111111111111</v>
      </c>
      <c r="H1083" s="20" t="s">
        <v>445</v>
      </c>
      <c r="I1083" s="1" t="s">
        <v>263</v>
      </c>
      <c r="J1083" s="20" t="s">
        <v>264</v>
      </c>
      <c r="K1083" s="1" t="e">
        <f aca="false">_xlfn.xlookup(J1083,REF!$D$2:$D$12,REF!$E$2:$E$12)</f>
        <v>#NAME?</v>
      </c>
      <c r="L1083" s="1" t="s">
        <v>449</v>
      </c>
      <c r="M1083" s="20" t="s">
        <v>418</v>
      </c>
      <c r="N1083" s="20" t="s">
        <v>252</v>
      </c>
      <c r="O1083" s="1" t="s">
        <v>419</v>
      </c>
      <c r="P1083" s="1" t="str">
        <f aca="false">_xlfn.CONCAT(B1083,C1083,D1083,E1083,F1083)</f>
        <v>BC Turvania1.1Inverter(MBUS-15)46003.350694444446003.350694444446003.3993055556</v>
      </c>
      <c r="Q1083" s="1" t="str">
        <f aca="false">_xlfn.CONCAT(H1083,I1083,J1083)</f>
        <v>LIGRFOCOM</v>
      </c>
    </row>
    <row r="1084" customFormat="false" ht="15" hidden="false" customHeight="false" outlineLevel="0" collapsed="false">
      <c r="B1084" s="1" t="s">
        <v>797</v>
      </c>
      <c r="C1084" s="1" t="s">
        <v>277</v>
      </c>
      <c r="D1084" s="14" t="n">
        <v>46003.3506944444</v>
      </c>
      <c r="E1084" s="14" t="n">
        <v>46003.3506944444</v>
      </c>
      <c r="F1084" s="14" t="n">
        <v>46003.3993055556</v>
      </c>
      <c r="G1084" s="15" t="n">
        <f aca="false">F1084-E1084</f>
        <v>0.0486111111111111</v>
      </c>
      <c r="H1084" s="20" t="s">
        <v>445</v>
      </c>
      <c r="I1084" s="1" t="s">
        <v>263</v>
      </c>
      <c r="J1084" s="20" t="s">
        <v>264</v>
      </c>
      <c r="K1084" s="1" t="e">
        <f aca="false">_xlfn.xlookup(J1084,REF!$D$2:$D$12,REF!$E$2:$E$12)</f>
        <v>#NAME?</v>
      </c>
      <c r="L1084" s="1" t="s">
        <v>449</v>
      </c>
      <c r="M1084" s="20" t="s">
        <v>418</v>
      </c>
      <c r="N1084" s="20" t="s">
        <v>252</v>
      </c>
      <c r="O1084" s="1" t="s">
        <v>419</v>
      </c>
      <c r="P1084" s="1" t="str">
        <f aca="false">_xlfn.CONCAT(B1084,C1084,D1084,E1084,F1084)</f>
        <v>BC Turvania1.1Inverter(MBUS-12)46003.350694444446003.350694444446003.3993055556</v>
      </c>
      <c r="Q1084" s="1" t="str">
        <f aca="false">_xlfn.CONCAT(H1084,I1084,J1084)</f>
        <v>LIGRFOCOM</v>
      </c>
    </row>
    <row r="1085" customFormat="false" ht="15" hidden="false" customHeight="false" outlineLevel="0" collapsed="false">
      <c r="B1085" s="1" t="s">
        <v>797</v>
      </c>
      <c r="C1085" s="1" t="s">
        <v>247</v>
      </c>
      <c r="D1085" s="14" t="n">
        <v>46003.3506944444</v>
      </c>
      <c r="E1085" s="14" t="n">
        <v>46003.3506944444</v>
      </c>
      <c r="F1085" s="14" t="n">
        <v>46003.3993055556</v>
      </c>
      <c r="G1085" s="15" t="n">
        <f aca="false">F1085-E1085</f>
        <v>0.0486111111111111</v>
      </c>
      <c r="H1085" s="20" t="s">
        <v>445</v>
      </c>
      <c r="I1085" s="1" t="s">
        <v>263</v>
      </c>
      <c r="J1085" s="20" t="s">
        <v>264</v>
      </c>
      <c r="K1085" s="1" t="e">
        <f aca="false">_xlfn.xlookup(J1085,REF!$D$2:$D$12,REF!$E$2:$E$12)</f>
        <v>#NAME?</v>
      </c>
      <c r="L1085" s="1" t="s">
        <v>449</v>
      </c>
      <c r="M1085" s="20" t="s">
        <v>418</v>
      </c>
      <c r="N1085" s="20" t="s">
        <v>252</v>
      </c>
      <c r="O1085" s="1" t="s">
        <v>419</v>
      </c>
      <c r="P1085" s="1" t="str">
        <f aca="false">_xlfn.CONCAT(B1085,C1085,D1085,E1085,F1085)</f>
        <v>BC Turvania1.1Inverter(MBUS-13)46003.350694444446003.350694444446003.3993055556</v>
      </c>
      <c r="Q1085" s="1" t="str">
        <f aca="false">_xlfn.CONCAT(H1085,I1085,J1085)</f>
        <v>LIGRFOCOM</v>
      </c>
    </row>
    <row r="1086" customFormat="false" ht="15" hidden="false" customHeight="false" outlineLevel="0" collapsed="false">
      <c r="B1086" s="1" t="s">
        <v>883</v>
      </c>
      <c r="C1086" s="1" t="s">
        <v>280</v>
      </c>
      <c r="D1086" s="14" t="n">
        <v>46003.3506944444</v>
      </c>
      <c r="E1086" s="14" t="n">
        <v>46003.3506944444</v>
      </c>
      <c r="F1086" s="14" t="n">
        <v>46003.3993055556</v>
      </c>
      <c r="G1086" s="15" t="n">
        <f aca="false">F1086-E1086</f>
        <v>0.0486111111111111</v>
      </c>
      <c r="H1086" s="20" t="s">
        <v>445</v>
      </c>
      <c r="I1086" s="1" t="s">
        <v>263</v>
      </c>
      <c r="J1086" s="20" t="s">
        <v>264</v>
      </c>
      <c r="K1086" s="1" t="e">
        <f aca="false">_xlfn.xlookup(J1086,REF!$D$2:$D$12,REF!$E$2:$E$12)</f>
        <v>#NAME?</v>
      </c>
      <c r="L1086" s="1" t="s">
        <v>449</v>
      </c>
      <c r="M1086" s="20" t="s">
        <v>418</v>
      </c>
      <c r="N1086" s="20" t="s">
        <v>252</v>
      </c>
      <c r="O1086" s="1" t="s">
        <v>419</v>
      </c>
      <c r="P1086" s="1" t="str">
        <f aca="false">_xlfn.CONCAT(B1086,C1086,D1086,E1086,F1086)</f>
        <v>BC Turvania1.2Inverter(MBUS-14)46003.350694444446003.350694444446003.3993055556</v>
      </c>
      <c r="Q1086" s="1" t="str">
        <f aca="false">_xlfn.CONCAT(H1086,I1086,J1086)</f>
        <v>LIGRFOCOM</v>
      </c>
    </row>
    <row r="1087" customFormat="false" ht="15" hidden="false" customHeight="false" outlineLevel="0" collapsed="false">
      <c r="B1087" s="1" t="s">
        <v>883</v>
      </c>
      <c r="C1087" s="1" t="s">
        <v>247</v>
      </c>
      <c r="D1087" s="14" t="n">
        <v>46003.3506944444</v>
      </c>
      <c r="E1087" s="14" t="n">
        <v>46003.3506944444</v>
      </c>
      <c r="F1087" s="14" t="n">
        <v>46003.3993055556</v>
      </c>
      <c r="G1087" s="15" t="n">
        <f aca="false">F1087-E1087</f>
        <v>0.0486111111111111</v>
      </c>
      <c r="H1087" s="20" t="s">
        <v>445</v>
      </c>
      <c r="I1087" s="1" t="s">
        <v>263</v>
      </c>
      <c r="J1087" s="20" t="s">
        <v>264</v>
      </c>
      <c r="K1087" s="1" t="e">
        <f aca="false">_xlfn.xlookup(J1087,REF!$D$2:$D$12,REF!$E$2:$E$12)</f>
        <v>#NAME?</v>
      </c>
      <c r="L1087" s="1" t="s">
        <v>449</v>
      </c>
      <c r="M1087" s="20" t="s">
        <v>418</v>
      </c>
      <c r="N1087" s="20" t="s">
        <v>252</v>
      </c>
      <c r="O1087" s="1" t="s">
        <v>419</v>
      </c>
      <c r="P1087" s="1" t="str">
        <f aca="false">_xlfn.CONCAT(B1087,C1087,D1087,E1087,F1087)</f>
        <v>BC Turvania1.2Inverter(MBUS-13)46003.350694444446003.350694444446003.3993055556</v>
      </c>
      <c r="Q1087" s="1" t="str">
        <f aca="false">_xlfn.CONCAT(H1087,I1087,J1087)</f>
        <v>LIGRFOCOM</v>
      </c>
    </row>
    <row r="1088" customFormat="false" ht="15" hidden="false" customHeight="false" outlineLevel="0" collapsed="false">
      <c r="B1088" s="1" t="s">
        <v>883</v>
      </c>
      <c r="C1088" s="1" t="s">
        <v>277</v>
      </c>
      <c r="D1088" s="14" t="n">
        <v>46003.3506944444</v>
      </c>
      <c r="E1088" s="14" t="n">
        <v>46003.3506944444</v>
      </c>
      <c r="F1088" s="14" t="n">
        <v>46003.3993055556</v>
      </c>
      <c r="G1088" s="15" t="n">
        <f aca="false">F1088-E1088</f>
        <v>0.0486111111111111</v>
      </c>
      <c r="H1088" s="20" t="s">
        <v>445</v>
      </c>
      <c r="I1088" s="1" t="s">
        <v>263</v>
      </c>
      <c r="J1088" s="20" t="s">
        <v>264</v>
      </c>
      <c r="K1088" s="1" t="e">
        <f aca="false">_xlfn.xlookup(J1088,REF!$D$2:$D$12,REF!$E$2:$E$12)</f>
        <v>#NAME?</v>
      </c>
      <c r="L1088" s="1" t="s">
        <v>449</v>
      </c>
      <c r="M1088" s="20" t="s">
        <v>418</v>
      </c>
      <c r="N1088" s="20" t="s">
        <v>252</v>
      </c>
      <c r="O1088" s="1" t="s">
        <v>419</v>
      </c>
      <c r="P1088" s="1" t="str">
        <f aca="false">_xlfn.CONCAT(B1088,C1088,D1088,E1088,F1088)</f>
        <v>BC Turvania1.2Inverter(MBUS-12)46003.350694444446003.350694444446003.3993055556</v>
      </c>
      <c r="Q1088" s="1" t="str">
        <f aca="false">_xlfn.CONCAT(H1088,I1088,J1088)</f>
        <v>LIGRFOCOM</v>
      </c>
    </row>
    <row r="1089" customFormat="false" ht="15" hidden="false" customHeight="false" outlineLevel="0" collapsed="false">
      <c r="B1089" s="1" t="s">
        <v>883</v>
      </c>
      <c r="C1089" s="1" t="s">
        <v>279</v>
      </c>
      <c r="D1089" s="14" t="n">
        <v>46003.3506944444</v>
      </c>
      <c r="E1089" s="14" t="n">
        <v>46003.3506944444</v>
      </c>
      <c r="F1089" s="14" t="n">
        <v>46003.3993055556</v>
      </c>
      <c r="G1089" s="15" t="n">
        <f aca="false">F1089-E1089</f>
        <v>0.0486111111111111</v>
      </c>
      <c r="H1089" s="20" t="s">
        <v>445</v>
      </c>
      <c r="I1089" s="1" t="s">
        <v>263</v>
      </c>
      <c r="J1089" s="20" t="s">
        <v>264</v>
      </c>
      <c r="K1089" s="1" t="e">
        <f aca="false">_xlfn.xlookup(J1089,REF!$D$2:$D$12,REF!$E$2:$E$12)</f>
        <v>#NAME?</v>
      </c>
      <c r="L1089" s="1" t="s">
        <v>449</v>
      </c>
      <c r="M1089" s="20" t="s">
        <v>418</v>
      </c>
      <c r="N1089" s="20" t="s">
        <v>252</v>
      </c>
      <c r="O1089" s="1" t="s">
        <v>419</v>
      </c>
      <c r="P1089" s="1" t="str">
        <f aca="false">_xlfn.CONCAT(B1089,C1089,D1089,E1089,F1089)</f>
        <v>BC Turvania1.2Inverter(MBUS-15)46003.350694444446003.350694444446003.3993055556</v>
      </c>
      <c r="Q1089" s="1" t="str">
        <f aca="false">_xlfn.CONCAT(H1089,I1089,J1089)</f>
        <v>LIGRFOCOM</v>
      </c>
    </row>
    <row r="1090" customFormat="false" ht="15" hidden="false" customHeight="false" outlineLevel="0" collapsed="false">
      <c r="B1090" s="1" t="s">
        <v>246</v>
      </c>
      <c r="C1090" s="1" t="s">
        <v>247</v>
      </c>
      <c r="D1090" s="14" t="n">
        <v>46003.3506944444</v>
      </c>
      <c r="E1090" s="14" t="n">
        <v>46003.3506944444</v>
      </c>
      <c r="F1090" s="14" t="n">
        <v>46003.3993055556</v>
      </c>
      <c r="G1090" s="15" t="n">
        <f aca="false">F1090-E1090</f>
        <v>0.0486111111111111</v>
      </c>
      <c r="H1090" s="20" t="s">
        <v>445</v>
      </c>
      <c r="I1090" s="1" t="s">
        <v>263</v>
      </c>
      <c r="J1090" s="20" t="s">
        <v>264</v>
      </c>
      <c r="K1090" s="1" t="e">
        <f aca="false">_xlfn.xlookup(J1090,REF!$D$2:$D$12,REF!$E$2:$E$12)</f>
        <v>#NAME?</v>
      </c>
      <c r="L1090" s="1" t="s">
        <v>449</v>
      </c>
      <c r="M1090" s="20" t="s">
        <v>418</v>
      </c>
      <c r="N1090" s="20" t="s">
        <v>252</v>
      </c>
      <c r="O1090" s="1" t="s">
        <v>419</v>
      </c>
      <c r="P1090" s="1" t="str">
        <f aca="false">_xlfn.CONCAT(B1090,C1090,D1090,E1090,F1090)</f>
        <v>BC Turvania1.3Inverter(MBUS-13)46003.350694444446003.350694444446003.3993055556</v>
      </c>
      <c r="Q1090" s="1" t="str">
        <f aca="false">_xlfn.CONCAT(H1090,I1090,J1090)</f>
        <v>LIGRFOCOM</v>
      </c>
    </row>
    <row r="1091" customFormat="false" ht="15" hidden="false" customHeight="false" outlineLevel="0" collapsed="false">
      <c r="B1091" s="1" t="s">
        <v>246</v>
      </c>
      <c r="C1091" s="1" t="s">
        <v>280</v>
      </c>
      <c r="D1091" s="14" t="n">
        <v>46003.3506944444</v>
      </c>
      <c r="E1091" s="14" t="n">
        <v>46003.3506944444</v>
      </c>
      <c r="F1091" s="14" t="n">
        <v>46003.3993055556</v>
      </c>
      <c r="G1091" s="15" t="n">
        <f aca="false">F1091-E1091</f>
        <v>0.0486111111111111</v>
      </c>
      <c r="H1091" s="20" t="s">
        <v>445</v>
      </c>
      <c r="I1091" s="1" t="s">
        <v>263</v>
      </c>
      <c r="J1091" s="20" t="s">
        <v>264</v>
      </c>
      <c r="K1091" s="1" t="e">
        <f aca="false">_xlfn.xlookup(J1091,REF!$D$2:$D$12,REF!$E$2:$E$12)</f>
        <v>#NAME?</v>
      </c>
      <c r="L1091" s="1" t="s">
        <v>449</v>
      </c>
      <c r="M1091" s="20" t="s">
        <v>418</v>
      </c>
      <c r="N1091" s="20" t="s">
        <v>252</v>
      </c>
      <c r="O1091" s="1" t="s">
        <v>419</v>
      </c>
      <c r="P1091" s="1" t="str">
        <f aca="false">_xlfn.CONCAT(B1091,C1091,D1091,E1091,F1091)</f>
        <v>BC Turvania1.3Inverter(MBUS-14)46003.350694444446003.350694444446003.3993055556</v>
      </c>
      <c r="Q1091" s="1" t="str">
        <f aca="false">_xlfn.CONCAT(H1091,I1091,J1091)</f>
        <v>LIGRFOCOM</v>
      </c>
    </row>
    <row r="1092" customFormat="false" ht="15" hidden="false" customHeight="false" outlineLevel="0" collapsed="false">
      <c r="B1092" s="1" t="s">
        <v>246</v>
      </c>
      <c r="C1092" s="1" t="s">
        <v>279</v>
      </c>
      <c r="D1092" s="14" t="n">
        <v>46003.3506944444</v>
      </c>
      <c r="E1092" s="14" t="n">
        <v>46003.3506944444</v>
      </c>
      <c r="F1092" s="14" t="n">
        <v>46003.3993055556</v>
      </c>
      <c r="G1092" s="15" t="n">
        <f aca="false">F1092-E1092</f>
        <v>0.0486111111111111</v>
      </c>
      <c r="H1092" s="20" t="s">
        <v>445</v>
      </c>
      <c r="I1092" s="1" t="s">
        <v>263</v>
      </c>
      <c r="J1092" s="20" t="s">
        <v>264</v>
      </c>
      <c r="K1092" s="1" t="e">
        <f aca="false">_xlfn.xlookup(J1092,REF!$D$2:$D$12,REF!$E$2:$E$12)</f>
        <v>#NAME?</v>
      </c>
      <c r="L1092" s="1" t="s">
        <v>449</v>
      </c>
      <c r="M1092" s="20" t="s">
        <v>418</v>
      </c>
      <c r="N1092" s="20" t="s">
        <v>252</v>
      </c>
      <c r="O1092" s="1" t="s">
        <v>419</v>
      </c>
      <c r="P1092" s="1" t="str">
        <f aca="false">_xlfn.CONCAT(B1092,C1092,D1092,E1092,F1092)</f>
        <v>BC Turvania1.3Inverter(MBUS-15)46003.350694444446003.350694444446003.3993055556</v>
      </c>
      <c r="Q1092" s="1" t="str">
        <f aca="false">_xlfn.CONCAT(H1092,I1092,J1092)</f>
        <v>LIGRFOCOM</v>
      </c>
    </row>
    <row r="1093" customFormat="false" ht="15" hidden="false" customHeight="false" outlineLevel="0" collapsed="false">
      <c r="B1093" s="1" t="s">
        <v>246</v>
      </c>
      <c r="C1093" s="1" t="s">
        <v>255</v>
      </c>
      <c r="D1093" s="14" t="n">
        <v>46003.3506944444</v>
      </c>
      <c r="E1093" s="14" t="n">
        <v>46003.3506944444</v>
      </c>
      <c r="F1093" s="14" t="n">
        <v>46003.3993055556</v>
      </c>
      <c r="G1093" s="15" t="n">
        <f aca="false">F1093-E1093</f>
        <v>0.0486111111111111</v>
      </c>
      <c r="H1093" s="20" t="s">
        <v>445</v>
      </c>
      <c r="I1093" s="1" t="s">
        <v>263</v>
      </c>
      <c r="J1093" s="20" t="s">
        <v>264</v>
      </c>
      <c r="K1093" s="1" t="e">
        <f aca="false">_xlfn.xlookup(J1093,REF!$D$2:$D$12,REF!$E$2:$E$12)</f>
        <v>#NAME?</v>
      </c>
      <c r="L1093" s="1" t="s">
        <v>449</v>
      </c>
      <c r="M1093" s="20" t="s">
        <v>418</v>
      </c>
      <c r="N1093" s="20" t="s">
        <v>252</v>
      </c>
      <c r="O1093" s="1" t="s">
        <v>419</v>
      </c>
      <c r="P1093" s="1" t="str">
        <f aca="false">_xlfn.CONCAT(B1093,C1093,D1093,E1093,F1093)</f>
        <v>BC Turvania1.3Inverter(MBUS-1)46003.350694444446003.350694444446003.3993055556</v>
      </c>
      <c r="Q1093" s="1" t="str">
        <f aca="false">_xlfn.CONCAT(H1093,I1093,J1093)</f>
        <v>LIGRFOCOM</v>
      </c>
    </row>
    <row r="1094" customFormat="false" ht="15" hidden="false" customHeight="false" outlineLevel="0" collapsed="false">
      <c r="B1094" s="1" t="s">
        <v>884</v>
      </c>
      <c r="C1094" s="1" t="s">
        <v>280</v>
      </c>
      <c r="D1094" s="14" t="n">
        <v>46003.3506944444</v>
      </c>
      <c r="E1094" s="14" t="n">
        <v>46003.3506944444</v>
      </c>
      <c r="F1094" s="14" t="n">
        <v>46003.3993055556</v>
      </c>
      <c r="G1094" s="15" t="n">
        <f aca="false">F1094-E1094</f>
        <v>0.0486111111111111</v>
      </c>
      <c r="H1094" s="20" t="s">
        <v>445</v>
      </c>
      <c r="I1094" s="1" t="s">
        <v>263</v>
      </c>
      <c r="J1094" s="20" t="s">
        <v>264</v>
      </c>
      <c r="K1094" s="1" t="e">
        <f aca="false">_xlfn.xlookup(J1094,REF!$D$2:$D$12,REF!$E$2:$E$12)</f>
        <v>#NAME?</v>
      </c>
      <c r="L1094" s="1" t="s">
        <v>449</v>
      </c>
      <c r="M1094" s="20" t="s">
        <v>418</v>
      </c>
      <c r="N1094" s="20" t="s">
        <v>252</v>
      </c>
      <c r="O1094" s="1" t="s">
        <v>419</v>
      </c>
      <c r="P1094" s="1" t="str">
        <f aca="false">_xlfn.CONCAT(B1094,C1094,D1094,E1094,F1094)</f>
        <v>BC Turvania1.4Inverter(MBUS-14)46003.350694444446003.350694444446003.3993055556</v>
      </c>
      <c r="Q1094" s="1" t="str">
        <f aca="false">_xlfn.CONCAT(H1094,I1094,J1094)</f>
        <v>LIGRFOCOM</v>
      </c>
    </row>
    <row r="1095" customFormat="false" ht="15" hidden="false" customHeight="false" outlineLevel="0" collapsed="false">
      <c r="B1095" s="1" t="s">
        <v>884</v>
      </c>
      <c r="C1095" s="1" t="s">
        <v>279</v>
      </c>
      <c r="D1095" s="14" t="n">
        <v>46003.3506944444</v>
      </c>
      <c r="E1095" s="14" t="n">
        <v>46003.3506944444</v>
      </c>
      <c r="F1095" s="14" t="n">
        <v>46003.3993055556</v>
      </c>
      <c r="G1095" s="15" t="n">
        <f aca="false">F1095-E1095</f>
        <v>0.0486111111111111</v>
      </c>
      <c r="H1095" s="20" t="s">
        <v>445</v>
      </c>
      <c r="I1095" s="1" t="s">
        <v>263</v>
      </c>
      <c r="J1095" s="20" t="s">
        <v>264</v>
      </c>
      <c r="K1095" s="1" t="e">
        <f aca="false">_xlfn.xlookup(J1095,REF!$D$2:$D$12,REF!$E$2:$E$12)</f>
        <v>#NAME?</v>
      </c>
      <c r="L1095" s="1" t="s">
        <v>449</v>
      </c>
      <c r="M1095" s="20" t="s">
        <v>418</v>
      </c>
      <c r="N1095" s="20" t="s">
        <v>252</v>
      </c>
      <c r="O1095" s="1" t="s">
        <v>419</v>
      </c>
      <c r="P1095" s="1" t="str">
        <f aca="false">_xlfn.CONCAT(B1095,C1095,D1095,E1095,F1095)</f>
        <v>BC Turvania1.4Inverter(MBUS-15)46003.350694444446003.350694444446003.3993055556</v>
      </c>
      <c r="Q1095" s="1" t="str">
        <f aca="false">_xlfn.CONCAT(H1095,I1095,J1095)</f>
        <v>LIGRFOCOM</v>
      </c>
    </row>
    <row r="1096" customFormat="false" ht="15" hidden="false" customHeight="false" outlineLevel="0" collapsed="false">
      <c r="B1096" s="1" t="s">
        <v>884</v>
      </c>
      <c r="C1096" s="1" t="s">
        <v>247</v>
      </c>
      <c r="D1096" s="14" t="n">
        <v>46003.3506944444</v>
      </c>
      <c r="E1096" s="14" t="n">
        <v>46003.3506944444</v>
      </c>
      <c r="F1096" s="14" t="n">
        <v>46003.3993055556</v>
      </c>
      <c r="G1096" s="15" t="n">
        <f aca="false">F1096-E1096</f>
        <v>0.0486111111111111</v>
      </c>
      <c r="H1096" s="20" t="s">
        <v>445</v>
      </c>
      <c r="I1096" s="1" t="s">
        <v>263</v>
      </c>
      <c r="J1096" s="20" t="s">
        <v>264</v>
      </c>
      <c r="K1096" s="1" t="e">
        <f aca="false">_xlfn.xlookup(J1096,REF!$D$2:$D$12,REF!$E$2:$E$12)</f>
        <v>#NAME?</v>
      </c>
      <c r="L1096" s="1" t="s">
        <v>449</v>
      </c>
      <c r="M1096" s="20" t="s">
        <v>418</v>
      </c>
      <c r="N1096" s="20" t="s">
        <v>252</v>
      </c>
      <c r="O1096" s="1" t="s">
        <v>419</v>
      </c>
      <c r="P1096" s="1" t="str">
        <f aca="false">_xlfn.CONCAT(B1096,C1096,D1096,E1096,F1096)</f>
        <v>BC Turvania1.4Inverter(MBUS-13)46003.350694444446003.350694444446003.3993055556</v>
      </c>
      <c r="Q1096" s="1" t="str">
        <f aca="false">_xlfn.CONCAT(H1096,I1096,J1096)</f>
        <v>LIGRFOCOM</v>
      </c>
    </row>
    <row r="1097" customFormat="false" ht="15" hidden="false" customHeight="false" outlineLevel="0" collapsed="false">
      <c r="B1097" s="1" t="s">
        <v>884</v>
      </c>
      <c r="C1097" s="1" t="s">
        <v>277</v>
      </c>
      <c r="D1097" s="14" t="n">
        <v>46003.3506944444</v>
      </c>
      <c r="E1097" s="14" t="n">
        <v>46003.3506944444</v>
      </c>
      <c r="F1097" s="14" t="n">
        <v>46003.3993055556</v>
      </c>
      <c r="G1097" s="15" t="n">
        <f aca="false">F1097-E1097</f>
        <v>0.0486111111111111</v>
      </c>
      <c r="H1097" s="20" t="s">
        <v>445</v>
      </c>
      <c r="I1097" s="1" t="s">
        <v>263</v>
      </c>
      <c r="J1097" s="20" t="s">
        <v>264</v>
      </c>
      <c r="K1097" s="1" t="e">
        <f aca="false">_xlfn.xlookup(J1097,REF!$D$2:$D$12,REF!$E$2:$E$12)</f>
        <v>#NAME?</v>
      </c>
      <c r="L1097" s="1" t="s">
        <v>449</v>
      </c>
      <c r="M1097" s="20" t="s">
        <v>418</v>
      </c>
      <c r="N1097" s="20" t="s">
        <v>252</v>
      </c>
      <c r="O1097" s="1" t="s">
        <v>419</v>
      </c>
      <c r="P1097" s="1" t="str">
        <f aca="false">_xlfn.CONCAT(B1097,C1097,D1097,E1097,F1097)</f>
        <v>BC Turvania1.4Inverter(MBUS-12)46003.350694444446003.350694444446003.3993055556</v>
      </c>
      <c r="Q1097" s="1" t="str">
        <f aca="false">_xlfn.CONCAT(H1097,I1097,J1097)</f>
        <v>LIGRFOCOM</v>
      </c>
    </row>
    <row r="1098" customFormat="false" ht="15" hidden="false" customHeight="false" outlineLevel="0" collapsed="false">
      <c r="B1098" s="1" t="s">
        <v>885</v>
      </c>
      <c r="C1098" s="1" t="s">
        <v>247</v>
      </c>
      <c r="D1098" s="14" t="n">
        <v>46003.3506944444</v>
      </c>
      <c r="E1098" s="14" t="n">
        <v>46003.3506944444</v>
      </c>
      <c r="F1098" s="14" t="n">
        <v>46003.3993055556</v>
      </c>
      <c r="G1098" s="15" t="n">
        <f aca="false">F1098-E1098</f>
        <v>0.0486111111111111</v>
      </c>
      <c r="H1098" s="20" t="s">
        <v>445</v>
      </c>
      <c r="I1098" s="1" t="s">
        <v>263</v>
      </c>
      <c r="J1098" s="20" t="s">
        <v>264</v>
      </c>
      <c r="K1098" s="1" t="e">
        <f aca="false">_xlfn.xlookup(J1098,REF!$D$2:$D$12,REF!$E$2:$E$12)</f>
        <v>#NAME?</v>
      </c>
      <c r="L1098" s="1" t="s">
        <v>449</v>
      </c>
      <c r="M1098" s="20" t="s">
        <v>418</v>
      </c>
      <c r="N1098" s="20" t="s">
        <v>252</v>
      </c>
      <c r="O1098" s="1" t="s">
        <v>419</v>
      </c>
      <c r="P1098" s="1" t="str">
        <f aca="false">_xlfn.CONCAT(B1098,C1098,D1098,E1098,F1098)</f>
        <v>BC Turvania1.5Inverter(MBUS-13)46003.350694444446003.350694444446003.3993055556</v>
      </c>
      <c r="Q1098" s="1" t="str">
        <f aca="false">_xlfn.CONCAT(H1098,I1098,J1098)</f>
        <v>LIGRFOCOM</v>
      </c>
    </row>
    <row r="1099" customFormat="false" ht="15" hidden="false" customHeight="false" outlineLevel="0" collapsed="false">
      <c r="B1099" s="1" t="s">
        <v>885</v>
      </c>
      <c r="C1099" s="1" t="s">
        <v>277</v>
      </c>
      <c r="D1099" s="14" t="n">
        <v>46003.3506944444</v>
      </c>
      <c r="E1099" s="14" t="n">
        <v>46003.3506944444</v>
      </c>
      <c r="F1099" s="14" t="n">
        <v>46003.3993055556</v>
      </c>
      <c r="G1099" s="15" t="n">
        <f aca="false">F1099-E1099</f>
        <v>0.0486111111111111</v>
      </c>
      <c r="H1099" s="20" t="s">
        <v>445</v>
      </c>
      <c r="I1099" s="1" t="s">
        <v>263</v>
      </c>
      <c r="J1099" s="20" t="s">
        <v>264</v>
      </c>
      <c r="K1099" s="1" t="e">
        <f aca="false">_xlfn.xlookup(J1099,REF!$D$2:$D$12,REF!$E$2:$E$12)</f>
        <v>#NAME?</v>
      </c>
      <c r="L1099" s="1" t="s">
        <v>449</v>
      </c>
      <c r="M1099" s="20" t="s">
        <v>418</v>
      </c>
      <c r="N1099" s="20" t="s">
        <v>252</v>
      </c>
      <c r="O1099" s="1" t="s">
        <v>419</v>
      </c>
      <c r="P1099" s="1" t="str">
        <f aca="false">_xlfn.CONCAT(B1099,C1099,D1099,E1099,F1099)</f>
        <v>BC Turvania1.5Inverter(MBUS-12)46003.350694444446003.350694444446003.3993055556</v>
      </c>
      <c r="Q1099" s="1" t="str">
        <f aca="false">_xlfn.CONCAT(H1099,I1099,J1099)</f>
        <v>LIGRFOCOM</v>
      </c>
    </row>
    <row r="1100" customFormat="false" ht="15" hidden="false" customHeight="false" outlineLevel="0" collapsed="false">
      <c r="B1100" s="1" t="s">
        <v>885</v>
      </c>
      <c r="C1100" s="1" t="s">
        <v>280</v>
      </c>
      <c r="D1100" s="14" t="n">
        <v>46003.3506944444</v>
      </c>
      <c r="E1100" s="14" t="n">
        <v>46003.3506944444</v>
      </c>
      <c r="F1100" s="14" t="n">
        <v>46003.3993055556</v>
      </c>
      <c r="G1100" s="15" t="n">
        <f aca="false">F1100-E1100</f>
        <v>0.0486111111111111</v>
      </c>
      <c r="H1100" s="20" t="s">
        <v>445</v>
      </c>
      <c r="I1100" s="1" t="s">
        <v>263</v>
      </c>
      <c r="J1100" s="20" t="s">
        <v>264</v>
      </c>
      <c r="K1100" s="1" t="e">
        <f aca="false">_xlfn.xlookup(J1100,REF!$D$2:$D$12,REF!$E$2:$E$12)</f>
        <v>#NAME?</v>
      </c>
      <c r="L1100" s="1" t="s">
        <v>449</v>
      </c>
      <c r="M1100" s="20" t="s">
        <v>418</v>
      </c>
      <c r="N1100" s="20" t="s">
        <v>252</v>
      </c>
      <c r="O1100" s="1" t="s">
        <v>419</v>
      </c>
      <c r="P1100" s="1" t="str">
        <f aca="false">_xlfn.CONCAT(B1100,C1100,D1100,E1100,F1100)</f>
        <v>BC Turvania1.5Inverter(MBUS-14)46003.350694444446003.350694444446003.3993055556</v>
      </c>
      <c r="Q1100" s="1" t="str">
        <f aca="false">_xlfn.CONCAT(H1100,I1100,J1100)</f>
        <v>LIGRFOCOM</v>
      </c>
    </row>
    <row r="1101" customFormat="false" ht="15" hidden="false" customHeight="false" outlineLevel="0" collapsed="false">
      <c r="B1101" s="1" t="s">
        <v>885</v>
      </c>
      <c r="C1101" s="1" t="s">
        <v>255</v>
      </c>
      <c r="D1101" s="14" t="n">
        <v>46003.3506944444</v>
      </c>
      <c r="E1101" s="14" t="n">
        <v>46003.3506944444</v>
      </c>
      <c r="F1101" s="14" t="n">
        <v>46003.3993055556</v>
      </c>
      <c r="G1101" s="15" t="n">
        <f aca="false">F1101-E1101</f>
        <v>0.0486111111111111</v>
      </c>
      <c r="H1101" s="20" t="s">
        <v>445</v>
      </c>
      <c r="I1101" s="1" t="s">
        <v>263</v>
      </c>
      <c r="J1101" s="20" t="s">
        <v>264</v>
      </c>
      <c r="K1101" s="1" t="e">
        <f aca="false">_xlfn.xlookup(J1101,REF!$D$2:$D$12,REF!$E$2:$E$12)</f>
        <v>#NAME?</v>
      </c>
      <c r="L1101" s="1" t="s">
        <v>449</v>
      </c>
      <c r="M1101" s="20" t="s">
        <v>418</v>
      </c>
      <c r="N1101" s="20" t="s">
        <v>252</v>
      </c>
      <c r="O1101" s="1" t="s">
        <v>419</v>
      </c>
      <c r="P1101" s="1" t="str">
        <f aca="false">_xlfn.CONCAT(B1101,C1101,D1101,E1101,F1101)</f>
        <v>BC Turvania1.5Inverter(MBUS-1)46003.350694444446003.350694444446003.3993055556</v>
      </c>
      <c r="Q1101" s="1" t="str">
        <f aca="false">_xlfn.CONCAT(H1101,I1101,J1101)</f>
        <v>LIGRFOCOM</v>
      </c>
    </row>
    <row r="1102" customFormat="false" ht="15" hidden="false" customHeight="false" outlineLevel="0" collapsed="false">
      <c r="B1102" s="1" t="s">
        <v>380</v>
      </c>
      <c r="C1102" s="1" t="s">
        <v>277</v>
      </c>
      <c r="D1102" s="14" t="n">
        <v>46003.9444444444</v>
      </c>
      <c r="E1102" s="14" t="n">
        <v>46003.9444444444</v>
      </c>
      <c r="F1102" s="14" t="n">
        <v>46003.9770833333</v>
      </c>
      <c r="G1102" s="15" t="n">
        <f aca="false">F1102-E1102</f>
        <v>0.0326388888888889</v>
      </c>
      <c r="H1102" s="20" t="s">
        <v>445</v>
      </c>
      <c r="I1102" s="1" t="s">
        <v>263</v>
      </c>
      <c r="J1102" s="20" t="s">
        <v>264</v>
      </c>
      <c r="K1102" s="1" t="e">
        <f aca="false">_xlfn.xlookup(J1102,REF!$D$2:$D$12,REF!$E$2:$E$12)</f>
        <v>#NAME?</v>
      </c>
      <c r="L1102" s="1" t="s">
        <v>449</v>
      </c>
      <c r="M1102" s="20" t="s">
        <v>418</v>
      </c>
      <c r="N1102" s="20" t="s">
        <v>252</v>
      </c>
      <c r="O1102" s="1" t="s">
        <v>419</v>
      </c>
      <c r="P1102" s="1" t="str">
        <f aca="false">_xlfn.CONCAT(B1102,C1102,D1102,E1102,F1102)</f>
        <v>ARAGUATINS 1.1Inverter(MBUS-12)46003.944444444446003.944444444446003.9770833333</v>
      </c>
      <c r="Q1102" s="1" t="str">
        <f aca="false">_xlfn.CONCAT(H1102,I1102,J1102)</f>
        <v>LIGRFOCOM</v>
      </c>
    </row>
    <row r="1103" customFormat="false" ht="15" hidden="false" customHeight="false" outlineLevel="0" collapsed="false">
      <c r="B1103" s="1" t="s">
        <v>380</v>
      </c>
      <c r="C1103" s="1" t="s">
        <v>247</v>
      </c>
      <c r="D1103" s="14" t="n">
        <v>46003.9444444444</v>
      </c>
      <c r="E1103" s="14" t="n">
        <v>46003.9444444444</v>
      </c>
      <c r="F1103" s="14" t="n">
        <v>46003.9770833333</v>
      </c>
      <c r="G1103" s="15" t="n">
        <f aca="false">F1103-E1103</f>
        <v>0.0326388888888889</v>
      </c>
      <c r="H1103" s="20" t="s">
        <v>445</v>
      </c>
      <c r="I1103" s="1" t="s">
        <v>263</v>
      </c>
      <c r="J1103" s="20" t="s">
        <v>264</v>
      </c>
      <c r="K1103" s="1" t="e">
        <f aca="false">_xlfn.xlookup(J1103,REF!$D$2:$D$12,REF!$E$2:$E$12)</f>
        <v>#NAME?</v>
      </c>
      <c r="L1103" s="1" t="s">
        <v>449</v>
      </c>
      <c r="M1103" s="20" t="s">
        <v>418</v>
      </c>
      <c r="N1103" s="20" t="s">
        <v>252</v>
      </c>
      <c r="O1103" s="1" t="s">
        <v>419</v>
      </c>
      <c r="P1103" s="1" t="str">
        <f aca="false">_xlfn.CONCAT(B1103,C1103,D1103,E1103,F1103)</f>
        <v>ARAGUATINS 1.1Inverter(MBUS-13)46003.944444444446003.944444444446003.9770833333</v>
      </c>
      <c r="Q1103" s="1" t="str">
        <f aca="false">_xlfn.CONCAT(H1103,I1103,J1103)</f>
        <v>LIGRFOCOM</v>
      </c>
    </row>
    <row r="1104" customFormat="false" ht="15" hidden="false" customHeight="false" outlineLevel="0" collapsed="false">
      <c r="B1104" s="1" t="s">
        <v>380</v>
      </c>
      <c r="C1104" s="1" t="s">
        <v>280</v>
      </c>
      <c r="D1104" s="14" t="n">
        <v>46003.9444444444</v>
      </c>
      <c r="E1104" s="14" t="n">
        <v>46003.9444444444</v>
      </c>
      <c r="F1104" s="14" t="n">
        <v>46003.9770833333</v>
      </c>
      <c r="G1104" s="15" t="n">
        <f aca="false">F1104-E1104</f>
        <v>0.0326388888888889</v>
      </c>
      <c r="H1104" s="20" t="s">
        <v>445</v>
      </c>
      <c r="I1104" s="1" t="s">
        <v>263</v>
      </c>
      <c r="J1104" s="20" t="s">
        <v>264</v>
      </c>
      <c r="K1104" s="1" t="e">
        <f aca="false">_xlfn.xlookup(J1104,REF!$D$2:$D$12,REF!$E$2:$E$12)</f>
        <v>#NAME?</v>
      </c>
      <c r="L1104" s="1" t="s">
        <v>449</v>
      </c>
      <c r="M1104" s="20" t="s">
        <v>418</v>
      </c>
      <c r="N1104" s="20" t="s">
        <v>252</v>
      </c>
      <c r="O1104" s="1" t="s">
        <v>419</v>
      </c>
      <c r="P1104" s="1" t="str">
        <f aca="false">_xlfn.CONCAT(B1104,C1104,D1104,E1104,F1104)</f>
        <v>ARAGUATINS 1.1Inverter(MBUS-14)46003.944444444446003.944444444446003.9770833333</v>
      </c>
      <c r="Q1104" s="1" t="str">
        <f aca="false">_xlfn.CONCAT(H1104,I1104,J1104)</f>
        <v>LIGRFOCOM</v>
      </c>
    </row>
    <row r="1105" customFormat="false" ht="15" hidden="false" customHeight="false" outlineLevel="0" collapsed="false">
      <c r="B1105" s="1" t="s">
        <v>380</v>
      </c>
      <c r="C1105" s="1" t="s">
        <v>279</v>
      </c>
      <c r="D1105" s="14" t="n">
        <v>46003.9444444444</v>
      </c>
      <c r="E1105" s="14" t="n">
        <v>46003.9444444444</v>
      </c>
      <c r="F1105" s="14" t="n">
        <v>46003.9770833333</v>
      </c>
      <c r="G1105" s="15" t="n">
        <f aca="false">F1105-E1105</f>
        <v>0.0326388888888889</v>
      </c>
      <c r="H1105" s="20" t="s">
        <v>445</v>
      </c>
      <c r="I1105" s="1" t="s">
        <v>263</v>
      </c>
      <c r="J1105" s="20" t="s">
        <v>264</v>
      </c>
      <c r="K1105" s="1" t="e">
        <f aca="false">_xlfn.xlookup(J1105,REF!$D$2:$D$12,REF!$E$2:$E$12)</f>
        <v>#NAME?</v>
      </c>
      <c r="L1105" s="1" t="s">
        <v>449</v>
      </c>
      <c r="M1105" s="20" t="s">
        <v>418</v>
      </c>
      <c r="N1105" s="20" t="s">
        <v>252</v>
      </c>
      <c r="O1105" s="1" t="s">
        <v>419</v>
      </c>
      <c r="P1105" s="1" t="str">
        <f aca="false">_xlfn.CONCAT(B1105,C1105,D1105,E1105,F1105)</f>
        <v>ARAGUATINS 1.1Inverter(MBUS-15)46003.944444444446003.944444444446003.9770833333</v>
      </c>
      <c r="Q1105" s="1" t="str">
        <f aca="false">_xlfn.CONCAT(H1105,I1105,J1105)</f>
        <v>LIGRFOCOM</v>
      </c>
    </row>
    <row r="1106" customFormat="false" ht="15" hidden="false" customHeight="false" outlineLevel="0" collapsed="false">
      <c r="B1106" s="1" t="s">
        <v>381</v>
      </c>
      <c r="C1106" s="1" t="s">
        <v>277</v>
      </c>
      <c r="D1106" s="14" t="n">
        <v>46003.9444444444</v>
      </c>
      <c r="E1106" s="14" t="n">
        <v>46003.9444444444</v>
      </c>
      <c r="F1106" s="14" t="n">
        <v>46003.9770833333</v>
      </c>
      <c r="G1106" s="15" t="n">
        <f aca="false">F1106-E1106</f>
        <v>0.0326388888888889</v>
      </c>
      <c r="H1106" s="20" t="s">
        <v>445</v>
      </c>
      <c r="I1106" s="1" t="s">
        <v>263</v>
      </c>
      <c r="J1106" s="20" t="s">
        <v>264</v>
      </c>
      <c r="K1106" s="1" t="e">
        <f aca="false">_xlfn.xlookup(J1106,REF!$D$2:$D$12,REF!$E$2:$E$12)</f>
        <v>#NAME?</v>
      </c>
      <c r="L1106" s="1" t="s">
        <v>449</v>
      </c>
      <c r="M1106" s="20" t="s">
        <v>418</v>
      </c>
      <c r="N1106" s="20" t="s">
        <v>252</v>
      </c>
      <c r="O1106" s="1" t="s">
        <v>419</v>
      </c>
      <c r="P1106" s="1" t="str">
        <f aca="false">_xlfn.CONCAT(B1106,C1106,D1106,E1106,F1106)</f>
        <v>ARAGUATINS 1.2Inverter(MBUS-12)46003.944444444446003.944444444446003.9770833333</v>
      </c>
      <c r="Q1106" s="1" t="str">
        <f aca="false">_xlfn.CONCAT(H1106,I1106,J1106)</f>
        <v>LIGRFOCOM</v>
      </c>
    </row>
    <row r="1107" customFormat="false" ht="15" hidden="false" customHeight="false" outlineLevel="0" collapsed="false">
      <c r="B1107" s="1" t="s">
        <v>381</v>
      </c>
      <c r="C1107" s="1" t="s">
        <v>247</v>
      </c>
      <c r="D1107" s="14" t="n">
        <v>46003.9444444444</v>
      </c>
      <c r="E1107" s="14" t="n">
        <v>46003.9444444444</v>
      </c>
      <c r="F1107" s="14" t="n">
        <v>46003.9770833333</v>
      </c>
      <c r="G1107" s="15" t="n">
        <f aca="false">F1107-E1107</f>
        <v>0.0326388888888889</v>
      </c>
      <c r="H1107" s="20" t="s">
        <v>445</v>
      </c>
      <c r="I1107" s="1" t="s">
        <v>263</v>
      </c>
      <c r="J1107" s="20" t="s">
        <v>264</v>
      </c>
      <c r="K1107" s="1" t="e">
        <f aca="false">_xlfn.xlookup(J1107,REF!$D$2:$D$12,REF!$E$2:$E$12)</f>
        <v>#NAME?</v>
      </c>
      <c r="L1107" s="1" t="s">
        <v>449</v>
      </c>
      <c r="M1107" s="20" t="s">
        <v>418</v>
      </c>
      <c r="N1107" s="20" t="s">
        <v>252</v>
      </c>
      <c r="O1107" s="1" t="s">
        <v>419</v>
      </c>
      <c r="P1107" s="1" t="str">
        <f aca="false">_xlfn.CONCAT(B1107,C1107,D1107,E1107,F1107)</f>
        <v>ARAGUATINS 1.2Inverter(MBUS-13)46003.944444444446003.944444444446003.9770833333</v>
      </c>
      <c r="Q1107" s="1" t="str">
        <f aca="false">_xlfn.CONCAT(H1107,I1107,J1107)</f>
        <v>LIGRFOCOM</v>
      </c>
    </row>
    <row r="1108" customFormat="false" ht="15" hidden="false" customHeight="false" outlineLevel="0" collapsed="false">
      <c r="B1108" s="1" t="s">
        <v>381</v>
      </c>
      <c r="C1108" s="1" t="s">
        <v>280</v>
      </c>
      <c r="D1108" s="14" t="n">
        <v>46003.9444444444</v>
      </c>
      <c r="E1108" s="14" t="n">
        <v>46003.9444444444</v>
      </c>
      <c r="F1108" s="14" t="n">
        <v>46003.9770833333</v>
      </c>
      <c r="G1108" s="15" t="n">
        <f aca="false">F1108-E1108</f>
        <v>0.0326388888888889</v>
      </c>
      <c r="H1108" s="20" t="s">
        <v>445</v>
      </c>
      <c r="I1108" s="1" t="s">
        <v>263</v>
      </c>
      <c r="J1108" s="20" t="s">
        <v>264</v>
      </c>
      <c r="K1108" s="1" t="e">
        <f aca="false">_xlfn.xlookup(J1108,REF!$D$2:$D$12,REF!$E$2:$E$12)</f>
        <v>#NAME?</v>
      </c>
      <c r="L1108" s="1" t="s">
        <v>449</v>
      </c>
      <c r="M1108" s="20" t="s">
        <v>418</v>
      </c>
      <c r="N1108" s="20" t="s">
        <v>252</v>
      </c>
      <c r="O1108" s="1" t="s">
        <v>419</v>
      </c>
      <c r="P1108" s="1" t="str">
        <f aca="false">_xlfn.CONCAT(B1108,C1108,D1108,E1108,F1108)</f>
        <v>ARAGUATINS 1.2Inverter(MBUS-14)46003.944444444446003.944444444446003.9770833333</v>
      </c>
      <c r="Q1108" s="1" t="str">
        <f aca="false">_xlfn.CONCAT(H1108,I1108,J1108)</f>
        <v>LIGRFOCOM</v>
      </c>
    </row>
    <row r="1109" customFormat="false" ht="15" hidden="false" customHeight="false" outlineLevel="0" collapsed="false">
      <c r="B1109" s="1" t="s">
        <v>381</v>
      </c>
      <c r="C1109" s="1" t="s">
        <v>279</v>
      </c>
      <c r="D1109" s="14" t="n">
        <v>46003.9444444444</v>
      </c>
      <c r="E1109" s="14" t="n">
        <v>46003.9444444444</v>
      </c>
      <c r="F1109" s="14" t="n">
        <v>46003.9770833333</v>
      </c>
      <c r="G1109" s="15" t="n">
        <f aca="false">F1109-E1109</f>
        <v>0.0326388888888889</v>
      </c>
      <c r="H1109" s="20" t="s">
        <v>445</v>
      </c>
      <c r="I1109" s="1" t="s">
        <v>263</v>
      </c>
      <c r="J1109" s="20" t="s">
        <v>264</v>
      </c>
      <c r="K1109" s="1" t="e">
        <f aca="false">_xlfn.xlookup(J1109,REF!$D$2:$D$12,REF!$E$2:$E$12)</f>
        <v>#NAME?</v>
      </c>
      <c r="L1109" s="1" t="s">
        <v>449</v>
      </c>
      <c r="M1109" s="20" t="s">
        <v>418</v>
      </c>
      <c r="N1109" s="20" t="s">
        <v>252</v>
      </c>
      <c r="O1109" s="1" t="s">
        <v>419</v>
      </c>
      <c r="P1109" s="1" t="str">
        <f aca="false">_xlfn.CONCAT(B1109,C1109,D1109,E1109,F1109)</f>
        <v>ARAGUATINS 1.2Inverter(MBUS-15)46003.944444444446003.944444444446003.9770833333</v>
      </c>
      <c r="Q1109" s="1" t="str">
        <f aca="false">_xlfn.CONCAT(H1109,I1109,J1109)</f>
        <v>LIGRFOCOM</v>
      </c>
    </row>
    <row r="1110" customFormat="false" ht="15" hidden="false" customHeight="false" outlineLevel="0" collapsed="false">
      <c r="B1110" s="1" t="s">
        <v>382</v>
      </c>
      <c r="C1110" s="1" t="s">
        <v>383</v>
      </c>
      <c r="D1110" s="14" t="n">
        <v>46003.9444444444</v>
      </c>
      <c r="E1110" s="14" t="n">
        <v>46003.9444444444</v>
      </c>
      <c r="F1110" s="14" t="n">
        <v>46003.9770833333</v>
      </c>
      <c r="G1110" s="15" t="n">
        <f aca="false">F1110-E1110</f>
        <v>0.0326388888888889</v>
      </c>
      <c r="H1110" s="20" t="s">
        <v>445</v>
      </c>
      <c r="I1110" s="1" t="s">
        <v>263</v>
      </c>
      <c r="J1110" s="20" t="s">
        <v>264</v>
      </c>
      <c r="K1110" s="1" t="e">
        <f aca="false">_xlfn.xlookup(J1110,REF!$D$2:$D$12,REF!$E$2:$E$12)</f>
        <v>#NAME?</v>
      </c>
      <c r="L1110" s="1" t="s">
        <v>449</v>
      </c>
      <c r="M1110" s="20" t="s">
        <v>418</v>
      </c>
      <c r="N1110" s="20" t="s">
        <v>252</v>
      </c>
      <c r="O1110" s="1" t="s">
        <v>419</v>
      </c>
      <c r="P1110" s="1" t="str">
        <f aca="false">_xlfn.CONCAT(B1110,C1110,D1110,E1110,F1110)</f>
        <v>ARAGUATINS 1.3Inverter(MBUS-20)46003.944444444446003.944444444446003.9770833333</v>
      </c>
      <c r="Q1110" s="1" t="str">
        <f aca="false">_xlfn.CONCAT(H1110,I1110,J1110)</f>
        <v>LIGRFOCOM</v>
      </c>
    </row>
    <row r="1111" customFormat="false" ht="15" hidden="false" customHeight="false" outlineLevel="0" collapsed="false">
      <c r="B1111" s="1" t="s">
        <v>382</v>
      </c>
      <c r="C1111" s="1" t="s">
        <v>255</v>
      </c>
      <c r="D1111" s="14" t="n">
        <v>46003.9444444444</v>
      </c>
      <c r="E1111" s="14" t="n">
        <v>46003.9444444444</v>
      </c>
      <c r="F1111" s="14" t="n">
        <v>46003.9770833333</v>
      </c>
      <c r="G1111" s="15" t="n">
        <f aca="false">F1111-E1111</f>
        <v>0.0326388888888889</v>
      </c>
      <c r="H1111" s="20" t="s">
        <v>445</v>
      </c>
      <c r="I1111" s="1" t="s">
        <v>263</v>
      </c>
      <c r="J1111" s="20" t="s">
        <v>264</v>
      </c>
      <c r="K1111" s="1" t="e">
        <f aca="false">_xlfn.xlookup(J1111,REF!$D$2:$D$12,REF!$E$2:$E$12)</f>
        <v>#NAME?</v>
      </c>
      <c r="L1111" s="1" t="s">
        <v>449</v>
      </c>
      <c r="M1111" s="20" t="s">
        <v>418</v>
      </c>
      <c r="N1111" s="20" t="s">
        <v>252</v>
      </c>
      <c r="O1111" s="1" t="s">
        <v>419</v>
      </c>
      <c r="P1111" s="1" t="str">
        <f aca="false">_xlfn.CONCAT(B1111,C1111,D1111,E1111,F1111)</f>
        <v>ARAGUATINS 1.3Inverter(MBUS-1)46003.944444444446003.944444444446003.9770833333</v>
      </c>
      <c r="Q1111" s="1" t="str">
        <f aca="false">_xlfn.CONCAT(H1111,I1111,J1111)</f>
        <v>LIGRFOCOM</v>
      </c>
    </row>
    <row r="1112" customFormat="false" ht="15" hidden="false" customHeight="false" outlineLevel="0" collapsed="false">
      <c r="B1112" s="1" t="s">
        <v>276</v>
      </c>
      <c r="C1112" s="1" t="s">
        <v>277</v>
      </c>
      <c r="D1112" s="14" t="n">
        <v>46003.9444444444</v>
      </c>
      <c r="E1112" s="14" t="n">
        <v>46003.9444444444</v>
      </c>
      <c r="F1112" s="14" t="n">
        <v>46003.9770833333</v>
      </c>
      <c r="G1112" s="15" t="n">
        <f aca="false">F1112-E1112</f>
        <v>0.0326388888888889</v>
      </c>
      <c r="H1112" s="20" t="s">
        <v>445</v>
      </c>
      <c r="I1112" s="1" t="s">
        <v>263</v>
      </c>
      <c r="J1112" s="20" t="s">
        <v>264</v>
      </c>
      <c r="K1112" s="1" t="e">
        <f aca="false">_xlfn.xlookup(J1112,REF!$D$2:$D$12,REF!$E$2:$E$12)</f>
        <v>#NAME?</v>
      </c>
      <c r="L1112" s="1" t="s">
        <v>449</v>
      </c>
      <c r="M1112" s="20" t="s">
        <v>418</v>
      </c>
      <c r="N1112" s="20" t="s">
        <v>252</v>
      </c>
      <c r="O1112" s="1" t="s">
        <v>419</v>
      </c>
      <c r="P1112" s="1" t="str">
        <f aca="false">_xlfn.CONCAT(B1112,C1112,D1112,E1112,F1112)</f>
        <v>ARAGUATINS 2.1Inverter(MBUS-12)46003.944444444446003.944444444446003.9770833333</v>
      </c>
      <c r="Q1112" s="1" t="str">
        <f aca="false">_xlfn.CONCAT(H1112,I1112,J1112)</f>
        <v>LIGRFOCOM</v>
      </c>
    </row>
    <row r="1113" customFormat="false" ht="15" hidden="false" customHeight="false" outlineLevel="0" collapsed="false">
      <c r="B1113" s="1" t="s">
        <v>276</v>
      </c>
      <c r="C1113" s="1" t="s">
        <v>279</v>
      </c>
      <c r="D1113" s="14" t="n">
        <v>46003.9444444444</v>
      </c>
      <c r="E1113" s="14" t="n">
        <v>46003.9444444444</v>
      </c>
      <c r="F1113" s="14" t="n">
        <v>46003.9770833333</v>
      </c>
      <c r="G1113" s="15" t="n">
        <f aca="false">F1113-E1113</f>
        <v>0.0326388888888889</v>
      </c>
      <c r="H1113" s="20" t="s">
        <v>445</v>
      </c>
      <c r="I1113" s="1" t="s">
        <v>263</v>
      </c>
      <c r="J1113" s="20" t="s">
        <v>264</v>
      </c>
      <c r="K1113" s="1" t="e">
        <f aca="false">_xlfn.xlookup(J1113,REF!$D$2:$D$12,REF!$E$2:$E$12)</f>
        <v>#NAME?</v>
      </c>
      <c r="L1113" s="1" t="s">
        <v>449</v>
      </c>
      <c r="M1113" s="20" t="s">
        <v>418</v>
      </c>
      <c r="N1113" s="20" t="s">
        <v>252</v>
      </c>
      <c r="O1113" s="1" t="s">
        <v>419</v>
      </c>
      <c r="P1113" s="1" t="str">
        <f aca="false">_xlfn.CONCAT(B1113,C1113,D1113,E1113,F1113)</f>
        <v>ARAGUATINS 2.1Inverter(MBUS-15)46003.944444444446003.944444444446003.9770833333</v>
      </c>
      <c r="Q1113" s="1" t="str">
        <f aca="false">_xlfn.CONCAT(H1113,I1113,J1113)</f>
        <v>LIGRFOCOM</v>
      </c>
    </row>
    <row r="1114" customFormat="false" ht="15" hidden="false" customHeight="false" outlineLevel="0" collapsed="false">
      <c r="B1114" s="1" t="s">
        <v>276</v>
      </c>
      <c r="C1114" s="1" t="s">
        <v>280</v>
      </c>
      <c r="D1114" s="14" t="n">
        <v>46003.9444444444</v>
      </c>
      <c r="E1114" s="14" t="n">
        <v>46003.9444444444</v>
      </c>
      <c r="F1114" s="14" t="n">
        <v>46003.9770833333</v>
      </c>
      <c r="G1114" s="15" t="n">
        <f aca="false">F1114-E1114</f>
        <v>0.0326388888888889</v>
      </c>
      <c r="H1114" s="20" t="s">
        <v>445</v>
      </c>
      <c r="I1114" s="1" t="s">
        <v>263</v>
      </c>
      <c r="J1114" s="20" t="s">
        <v>264</v>
      </c>
      <c r="K1114" s="1" t="e">
        <f aca="false">_xlfn.xlookup(J1114,REF!$D$2:$D$12,REF!$E$2:$E$12)</f>
        <v>#NAME?</v>
      </c>
      <c r="L1114" s="1" t="s">
        <v>449</v>
      </c>
      <c r="M1114" s="20" t="s">
        <v>418</v>
      </c>
      <c r="N1114" s="20" t="s">
        <v>252</v>
      </c>
      <c r="O1114" s="1" t="s">
        <v>419</v>
      </c>
      <c r="P1114" s="1" t="str">
        <f aca="false">_xlfn.CONCAT(B1114,C1114,D1114,E1114,F1114)</f>
        <v>ARAGUATINS 2.1Inverter(MBUS-14)46003.944444444446003.944444444446003.9770833333</v>
      </c>
      <c r="Q1114" s="1" t="str">
        <f aca="false">_xlfn.CONCAT(H1114,I1114,J1114)</f>
        <v>LIGRFOCOM</v>
      </c>
    </row>
    <row r="1115" customFormat="false" ht="15" hidden="false" customHeight="false" outlineLevel="0" collapsed="false">
      <c r="B1115" s="1" t="s">
        <v>276</v>
      </c>
      <c r="C1115" s="1" t="s">
        <v>255</v>
      </c>
      <c r="D1115" s="14" t="n">
        <v>46003.9444444444</v>
      </c>
      <c r="E1115" s="14" t="n">
        <v>46003.9444444444</v>
      </c>
      <c r="F1115" s="14" t="n">
        <v>46003.9770833333</v>
      </c>
      <c r="G1115" s="15" t="n">
        <f aca="false">F1115-E1115</f>
        <v>0.0326388888888889</v>
      </c>
      <c r="H1115" s="20" t="s">
        <v>445</v>
      </c>
      <c r="I1115" s="1" t="s">
        <v>263</v>
      </c>
      <c r="J1115" s="20" t="s">
        <v>264</v>
      </c>
      <c r="K1115" s="1" t="e">
        <f aca="false">_xlfn.xlookup(J1115,REF!$D$2:$D$12,REF!$E$2:$E$12)</f>
        <v>#NAME?</v>
      </c>
      <c r="L1115" s="1" t="s">
        <v>449</v>
      </c>
      <c r="M1115" s="20" t="s">
        <v>418</v>
      </c>
      <c r="N1115" s="20" t="s">
        <v>252</v>
      </c>
      <c r="O1115" s="1" t="s">
        <v>419</v>
      </c>
      <c r="P1115" s="1" t="str">
        <f aca="false">_xlfn.CONCAT(B1115,C1115,D1115,E1115,F1115)</f>
        <v>ARAGUATINS 2.1Inverter(MBUS-1)46003.944444444446003.944444444446003.9770833333</v>
      </c>
      <c r="Q1115" s="1" t="str">
        <f aca="false">_xlfn.CONCAT(H1115,I1115,J1115)</f>
        <v>LIGRFOCOM</v>
      </c>
    </row>
    <row r="1116" customFormat="false" ht="15" hidden="false" customHeight="false" outlineLevel="0" collapsed="false">
      <c r="B1116" s="1" t="s">
        <v>386</v>
      </c>
      <c r="C1116" s="1" t="s">
        <v>279</v>
      </c>
      <c r="D1116" s="14" t="n">
        <v>46003.9444444444</v>
      </c>
      <c r="E1116" s="14" t="n">
        <v>46003.9444444444</v>
      </c>
      <c r="F1116" s="14" t="n">
        <v>46003.9770833333</v>
      </c>
      <c r="G1116" s="15" t="n">
        <f aca="false">F1116-E1116</f>
        <v>0.0326388888888889</v>
      </c>
      <c r="H1116" s="20" t="s">
        <v>445</v>
      </c>
      <c r="I1116" s="1" t="s">
        <v>263</v>
      </c>
      <c r="J1116" s="20" t="s">
        <v>264</v>
      </c>
      <c r="K1116" s="1" t="e">
        <f aca="false">_xlfn.xlookup(J1116,REF!$D$2:$D$12,REF!$E$2:$E$12)</f>
        <v>#NAME?</v>
      </c>
      <c r="L1116" s="1" t="s">
        <v>449</v>
      </c>
      <c r="M1116" s="20" t="s">
        <v>418</v>
      </c>
      <c r="N1116" s="20" t="s">
        <v>252</v>
      </c>
      <c r="O1116" s="1" t="s">
        <v>419</v>
      </c>
      <c r="P1116" s="1" t="str">
        <f aca="false">_xlfn.CONCAT(B1116,C1116,D1116,E1116,F1116)</f>
        <v>ARAGUATINS 2.2Inverter(MBUS-15)46003.944444444446003.944444444446003.9770833333</v>
      </c>
      <c r="Q1116" s="1" t="str">
        <f aca="false">_xlfn.CONCAT(H1116,I1116,J1116)</f>
        <v>LIGRFOCOM</v>
      </c>
    </row>
    <row r="1117" customFormat="false" ht="15" hidden="false" customHeight="false" outlineLevel="0" collapsed="false">
      <c r="B1117" s="1" t="s">
        <v>386</v>
      </c>
      <c r="C1117" s="1" t="s">
        <v>247</v>
      </c>
      <c r="D1117" s="14" t="n">
        <v>46003.9444444444</v>
      </c>
      <c r="E1117" s="14" t="n">
        <v>46003.9444444444</v>
      </c>
      <c r="F1117" s="14" t="n">
        <v>46003.9770833333</v>
      </c>
      <c r="G1117" s="15" t="n">
        <f aca="false">F1117-E1117</f>
        <v>0.0326388888888889</v>
      </c>
      <c r="H1117" s="20" t="s">
        <v>445</v>
      </c>
      <c r="I1117" s="1" t="s">
        <v>263</v>
      </c>
      <c r="J1117" s="20" t="s">
        <v>264</v>
      </c>
      <c r="K1117" s="1" t="e">
        <f aca="false">_xlfn.xlookup(J1117,REF!$D$2:$D$12,REF!$E$2:$E$12)</f>
        <v>#NAME?</v>
      </c>
      <c r="L1117" s="1" t="s">
        <v>449</v>
      </c>
      <c r="M1117" s="20" t="s">
        <v>418</v>
      </c>
      <c r="N1117" s="20" t="s">
        <v>252</v>
      </c>
      <c r="O1117" s="1" t="s">
        <v>419</v>
      </c>
      <c r="P1117" s="1" t="str">
        <f aca="false">_xlfn.CONCAT(B1117,C1117,D1117,E1117,F1117)</f>
        <v>ARAGUATINS 2.2Inverter(MBUS-13)46003.944444444446003.944444444446003.9770833333</v>
      </c>
      <c r="Q1117" s="1" t="str">
        <f aca="false">_xlfn.CONCAT(H1117,I1117,J1117)</f>
        <v>LIGRFOCOM</v>
      </c>
    </row>
    <row r="1118" customFormat="false" ht="15" hidden="false" customHeight="false" outlineLevel="0" collapsed="false">
      <c r="B1118" s="1" t="s">
        <v>386</v>
      </c>
      <c r="C1118" s="1" t="s">
        <v>280</v>
      </c>
      <c r="D1118" s="14" t="n">
        <v>46003.9444444444</v>
      </c>
      <c r="E1118" s="14" t="n">
        <v>46003.9444444444</v>
      </c>
      <c r="F1118" s="14" t="n">
        <v>46003.9770833333</v>
      </c>
      <c r="G1118" s="15" t="n">
        <f aca="false">F1118-E1118</f>
        <v>0.0326388888888889</v>
      </c>
      <c r="H1118" s="20" t="s">
        <v>445</v>
      </c>
      <c r="I1118" s="1" t="s">
        <v>263</v>
      </c>
      <c r="J1118" s="20" t="s">
        <v>264</v>
      </c>
      <c r="K1118" s="1" t="e">
        <f aca="false">_xlfn.xlookup(J1118,REF!$D$2:$D$12,REF!$E$2:$E$12)</f>
        <v>#NAME?</v>
      </c>
      <c r="L1118" s="1" t="s">
        <v>449</v>
      </c>
      <c r="M1118" s="20" t="s">
        <v>418</v>
      </c>
      <c r="N1118" s="20" t="s">
        <v>252</v>
      </c>
      <c r="O1118" s="1" t="s">
        <v>419</v>
      </c>
      <c r="P1118" s="1" t="str">
        <f aca="false">_xlfn.CONCAT(B1118,C1118,D1118,E1118,F1118)</f>
        <v>ARAGUATINS 2.2Inverter(MBUS-14)46003.944444444446003.944444444446003.9770833333</v>
      </c>
      <c r="Q1118" s="1" t="str">
        <f aca="false">_xlfn.CONCAT(H1118,I1118,J1118)</f>
        <v>LIGRFOCOM</v>
      </c>
    </row>
    <row r="1119" customFormat="false" ht="15" hidden="false" customHeight="false" outlineLevel="0" collapsed="false">
      <c r="B1119" s="1" t="s">
        <v>386</v>
      </c>
      <c r="C1119" s="1" t="s">
        <v>277</v>
      </c>
      <c r="D1119" s="14" t="n">
        <v>46003.9444444444</v>
      </c>
      <c r="E1119" s="14" t="n">
        <v>46003.9444444444</v>
      </c>
      <c r="F1119" s="14" t="n">
        <v>46003.9770833333</v>
      </c>
      <c r="G1119" s="15" t="n">
        <f aca="false">F1119-E1119</f>
        <v>0.0326388888888889</v>
      </c>
      <c r="H1119" s="20" t="s">
        <v>445</v>
      </c>
      <c r="I1119" s="1" t="s">
        <v>263</v>
      </c>
      <c r="J1119" s="20" t="s">
        <v>264</v>
      </c>
      <c r="K1119" s="1" t="e">
        <f aca="false">_xlfn.xlookup(J1119,REF!$D$2:$D$12,REF!$E$2:$E$12)</f>
        <v>#NAME?</v>
      </c>
      <c r="L1119" s="1" t="s">
        <v>449</v>
      </c>
      <c r="M1119" s="20" t="s">
        <v>418</v>
      </c>
      <c r="N1119" s="20" t="s">
        <v>252</v>
      </c>
      <c r="O1119" s="1" t="s">
        <v>419</v>
      </c>
      <c r="P1119" s="1" t="str">
        <f aca="false">_xlfn.CONCAT(B1119,C1119,D1119,E1119,F1119)</f>
        <v>ARAGUATINS 2.2Inverter(MBUS-12)46003.944444444446003.944444444446003.9770833333</v>
      </c>
      <c r="Q1119" s="1" t="str">
        <f aca="false">_xlfn.CONCAT(H1119,I1119,J1119)</f>
        <v>LIGRFOCOM</v>
      </c>
    </row>
    <row r="1120" customFormat="false" ht="15" hidden="false" customHeight="false" outlineLevel="0" collapsed="false">
      <c r="B1120" s="1" t="s">
        <v>388</v>
      </c>
      <c r="C1120" s="1" t="s">
        <v>277</v>
      </c>
      <c r="D1120" s="14" t="n">
        <v>46003.9444444444</v>
      </c>
      <c r="E1120" s="14" t="n">
        <v>46003.9444444444</v>
      </c>
      <c r="F1120" s="14" t="n">
        <v>46003.9770833333</v>
      </c>
      <c r="G1120" s="15" t="n">
        <f aca="false">F1120-E1120</f>
        <v>0.0326388888888889</v>
      </c>
      <c r="H1120" s="20" t="s">
        <v>445</v>
      </c>
      <c r="I1120" s="1" t="s">
        <v>263</v>
      </c>
      <c r="J1120" s="20" t="s">
        <v>264</v>
      </c>
      <c r="K1120" s="1" t="e">
        <f aca="false">_xlfn.xlookup(J1120,REF!$D$2:$D$12,REF!$E$2:$E$12)</f>
        <v>#NAME?</v>
      </c>
      <c r="L1120" s="1" t="s">
        <v>449</v>
      </c>
      <c r="M1120" s="20" t="s">
        <v>418</v>
      </c>
      <c r="N1120" s="20" t="s">
        <v>252</v>
      </c>
      <c r="O1120" s="1" t="s">
        <v>419</v>
      </c>
      <c r="P1120" s="1" t="str">
        <f aca="false">_xlfn.CONCAT(B1120,C1120,D1120,E1120,F1120)</f>
        <v>ARAGUATINS 2.3Inverter(MBUS-12)46003.944444444446003.944444444446003.9770833333</v>
      </c>
      <c r="Q1120" s="1" t="str">
        <f aca="false">_xlfn.CONCAT(H1120,I1120,J1120)</f>
        <v>LIGRFOCOM</v>
      </c>
    </row>
    <row r="1121" customFormat="false" ht="15" hidden="false" customHeight="false" outlineLevel="0" collapsed="false">
      <c r="B1121" s="1" t="s">
        <v>388</v>
      </c>
      <c r="C1121" s="1" t="s">
        <v>247</v>
      </c>
      <c r="D1121" s="14" t="n">
        <v>46003.9444444444</v>
      </c>
      <c r="E1121" s="14" t="n">
        <v>46003.9444444444</v>
      </c>
      <c r="F1121" s="14" t="n">
        <v>46003.9770833333</v>
      </c>
      <c r="G1121" s="15" t="n">
        <f aca="false">F1121-E1121</f>
        <v>0.0326388888888889</v>
      </c>
      <c r="H1121" s="20" t="s">
        <v>445</v>
      </c>
      <c r="I1121" s="1" t="s">
        <v>263</v>
      </c>
      <c r="J1121" s="20" t="s">
        <v>264</v>
      </c>
      <c r="K1121" s="1" t="e">
        <f aca="false">_xlfn.xlookup(J1121,REF!$D$2:$D$12,REF!$E$2:$E$12)</f>
        <v>#NAME?</v>
      </c>
      <c r="L1121" s="1" t="s">
        <v>449</v>
      </c>
      <c r="M1121" s="20" t="s">
        <v>418</v>
      </c>
      <c r="N1121" s="20" t="s">
        <v>252</v>
      </c>
      <c r="O1121" s="1" t="s">
        <v>419</v>
      </c>
      <c r="P1121" s="1" t="str">
        <f aca="false">_xlfn.CONCAT(B1121,C1121,D1121,E1121,F1121)</f>
        <v>ARAGUATINS 2.3Inverter(MBUS-13)46003.944444444446003.944444444446003.9770833333</v>
      </c>
      <c r="Q1121" s="1" t="str">
        <f aca="false">_xlfn.CONCAT(H1121,I1121,J1121)</f>
        <v>LIGRFOCOM</v>
      </c>
    </row>
    <row r="1122" customFormat="false" ht="15" hidden="true" customHeight="false" outlineLevel="0" collapsed="false">
      <c r="A1122" s="43"/>
      <c r="B1122" s="44" t="s">
        <v>701</v>
      </c>
      <c r="C1122" s="44" t="s">
        <v>608</v>
      </c>
      <c r="D1122" s="45" t="n">
        <v>46017.5173611111</v>
      </c>
      <c r="E1122" s="45" t="n">
        <v>46017.5173611111</v>
      </c>
      <c r="F1122" s="45" t="n">
        <v>46017.5833333333</v>
      </c>
      <c r="G1122" s="46" t="n">
        <f aca="false">F1122-E1122</f>
        <v>0.0659722222222222</v>
      </c>
      <c r="H1122" s="44" t="s">
        <v>248</v>
      </c>
      <c r="I1122" s="44"/>
      <c r="J1122" s="44" t="s">
        <v>249</v>
      </c>
      <c r="K1122" s="44" t="s">
        <v>439</v>
      </c>
      <c r="L1122" s="44" t="s">
        <v>910</v>
      </c>
      <c r="M1122" s="44" t="s">
        <v>251</v>
      </c>
      <c r="N1122" s="44" t="s">
        <v>252</v>
      </c>
      <c r="O1122" s="44" t="s">
        <v>911</v>
      </c>
      <c r="P1122" s="47" t="str">
        <f aca="false">_xlfn.CONCAT(B1122,C1122,D1122,E1122,F1122)</f>
        <v>BC Vazante1.1Inverter1346017.517361111146017.517361111146017.5833333333</v>
      </c>
      <c r="Q1122" s="44" t="str">
        <f aca="false">_xlfn.CONCAT(H1122,I1122,J1122)</f>
        <v>DAUINV</v>
      </c>
    </row>
    <row r="1123" customFormat="false" ht="15" hidden="true" customHeight="false" outlineLevel="0" collapsed="false">
      <c r="A1123" s="43"/>
      <c r="B1123" s="44" t="s">
        <v>581</v>
      </c>
      <c r="C1123" s="44" t="s">
        <v>582</v>
      </c>
      <c r="D1123" s="45" t="n">
        <v>46017.6284722222</v>
      </c>
      <c r="E1123" s="45" t="n">
        <v>46017.6284722222</v>
      </c>
      <c r="F1123" s="45" t="n">
        <v>46017.775</v>
      </c>
      <c r="G1123" s="46" t="n">
        <f aca="false">F1123-E1123</f>
        <v>0.146527777777778</v>
      </c>
      <c r="H1123" s="44" t="s">
        <v>248</v>
      </c>
      <c r="I1123" s="44"/>
      <c r="J1123" s="44" t="s">
        <v>256</v>
      </c>
      <c r="K1123" s="44" t="s">
        <v>430</v>
      </c>
      <c r="L1123" s="44" t="s">
        <v>410</v>
      </c>
      <c r="M1123" s="44" t="s">
        <v>258</v>
      </c>
      <c r="N1123" s="44" t="s">
        <v>259</v>
      </c>
      <c r="O1123" s="44" t="s">
        <v>399</v>
      </c>
      <c r="P1123" s="47" t="str">
        <f aca="false">_xlfn.CONCAT(B1123,C1123,D1123,E1123,F1123)</f>
        <v>BC Rio Monte1Inverter3546017.628472222246017.628472222246017.775</v>
      </c>
      <c r="Q1123" s="44" t="str">
        <f aca="false">_xlfn.CONCAT(H1123,I1123,J1123)</f>
        <v>DAURDE</v>
      </c>
    </row>
    <row r="1124" customFormat="false" ht="15" hidden="true" customHeight="false" outlineLevel="0" collapsed="false">
      <c r="A1124" s="43"/>
      <c r="B1124" s="44" t="s">
        <v>581</v>
      </c>
      <c r="C1124" s="44" t="s">
        <v>584</v>
      </c>
      <c r="D1124" s="45" t="n">
        <v>46017.6284722222</v>
      </c>
      <c r="E1124" s="45" t="n">
        <v>46017.6284722222</v>
      </c>
      <c r="F1124" s="45" t="n">
        <v>46017.775</v>
      </c>
      <c r="G1124" s="46" t="n">
        <f aca="false">F1124-E1124</f>
        <v>0.146527777777778</v>
      </c>
      <c r="H1124" s="44" t="s">
        <v>248</v>
      </c>
      <c r="I1124" s="44"/>
      <c r="J1124" s="44" t="s">
        <v>256</v>
      </c>
      <c r="K1124" s="44" t="s">
        <v>430</v>
      </c>
      <c r="L1124" s="44" t="s">
        <v>410</v>
      </c>
      <c r="M1124" s="44" t="s">
        <v>258</v>
      </c>
      <c r="N1124" s="44" t="s">
        <v>259</v>
      </c>
      <c r="O1124" s="44" t="s">
        <v>399</v>
      </c>
      <c r="P1124" s="47" t="str">
        <f aca="false">_xlfn.CONCAT(B1124,C1124,D1124,E1124,F1124)</f>
        <v>BC Rio Monte1Inverter4046017.628472222246017.628472222246017.775</v>
      </c>
      <c r="Q1124" s="44" t="str">
        <f aca="false">_xlfn.CONCAT(H1124,I1124,J1124)</f>
        <v>DAURDE</v>
      </c>
    </row>
    <row r="1125" customFormat="false" ht="15" hidden="true" customHeight="false" outlineLevel="0" collapsed="false">
      <c r="A1125" s="43"/>
      <c r="B1125" s="44" t="s">
        <v>581</v>
      </c>
      <c r="C1125" s="44" t="s">
        <v>585</v>
      </c>
      <c r="D1125" s="45" t="n">
        <v>46017.6284722222</v>
      </c>
      <c r="E1125" s="45" t="n">
        <v>46017.6284722222</v>
      </c>
      <c r="F1125" s="45" t="n">
        <v>46017.775</v>
      </c>
      <c r="G1125" s="46" t="n">
        <f aca="false">F1125-E1125</f>
        <v>0.146527777777778</v>
      </c>
      <c r="H1125" s="44" t="s">
        <v>248</v>
      </c>
      <c r="I1125" s="44"/>
      <c r="J1125" s="44" t="s">
        <v>256</v>
      </c>
      <c r="K1125" s="44" t="s">
        <v>430</v>
      </c>
      <c r="L1125" s="44" t="s">
        <v>410</v>
      </c>
      <c r="M1125" s="44" t="s">
        <v>258</v>
      </c>
      <c r="N1125" s="44" t="s">
        <v>259</v>
      </c>
      <c r="O1125" s="44" t="s">
        <v>399</v>
      </c>
      <c r="P1125" s="47" t="str">
        <f aca="false">_xlfn.CONCAT(B1125,C1125,D1125,E1125,F1125)</f>
        <v>BC Rio Monte1Inverter4246017.628472222246017.628472222246017.775</v>
      </c>
      <c r="Q1125" s="44" t="str">
        <f aca="false">_xlfn.CONCAT(H1125,I1125,J1125)</f>
        <v>DAURDE</v>
      </c>
    </row>
    <row r="1126" customFormat="false" ht="15" hidden="true" customHeight="false" outlineLevel="0" collapsed="false">
      <c r="A1126" s="43"/>
      <c r="B1126" s="44" t="s">
        <v>581</v>
      </c>
      <c r="C1126" s="44" t="s">
        <v>586</v>
      </c>
      <c r="D1126" s="45" t="n">
        <v>46017.6284722222</v>
      </c>
      <c r="E1126" s="45" t="n">
        <v>46017.6284722222</v>
      </c>
      <c r="F1126" s="45" t="n">
        <v>46017.775</v>
      </c>
      <c r="G1126" s="46" t="n">
        <f aca="false">F1126-E1126</f>
        <v>0.146527777777778</v>
      </c>
      <c r="H1126" s="44" t="s">
        <v>248</v>
      </c>
      <c r="I1126" s="44"/>
      <c r="J1126" s="44" t="s">
        <v>256</v>
      </c>
      <c r="K1126" s="44" t="s">
        <v>430</v>
      </c>
      <c r="L1126" s="44" t="s">
        <v>410</v>
      </c>
      <c r="M1126" s="44" t="s">
        <v>258</v>
      </c>
      <c r="N1126" s="44" t="s">
        <v>259</v>
      </c>
      <c r="O1126" s="44" t="s">
        <v>399</v>
      </c>
      <c r="P1126" s="47" t="str">
        <f aca="false">_xlfn.CONCAT(B1126,C1126,D1126,E1126,F1126)</f>
        <v>BC Rio Monte1Inverter4146017.628472222246017.628472222246017.775</v>
      </c>
      <c r="Q1126" s="44" t="str">
        <f aca="false">_xlfn.CONCAT(H1126,I1126,J1126)</f>
        <v>DAURDE</v>
      </c>
    </row>
    <row r="1127" customFormat="false" ht="15" hidden="true" customHeight="false" outlineLevel="0" collapsed="false">
      <c r="A1127" s="43"/>
      <c r="B1127" s="44" t="s">
        <v>581</v>
      </c>
      <c r="C1127" s="44" t="s">
        <v>587</v>
      </c>
      <c r="D1127" s="45" t="n">
        <v>46017.6284722222</v>
      </c>
      <c r="E1127" s="45" t="n">
        <v>46017.6284722222</v>
      </c>
      <c r="F1127" s="45" t="n">
        <v>46017.775</v>
      </c>
      <c r="G1127" s="46" t="n">
        <f aca="false">F1127-E1127</f>
        <v>0.146527777777778</v>
      </c>
      <c r="H1127" s="44" t="s">
        <v>248</v>
      </c>
      <c r="I1127" s="44"/>
      <c r="J1127" s="44" t="s">
        <v>256</v>
      </c>
      <c r="K1127" s="44" t="s">
        <v>430</v>
      </c>
      <c r="L1127" s="44" t="s">
        <v>410</v>
      </c>
      <c r="M1127" s="44" t="s">
        <v>258</v>
      </c>
      <c r="N1127" s="44" t="s">
        <v>259</v>
      </c>
      <c r="O1127" s="44" t="s">
        <v>399</v>
      </c>
      <c r="P1127" s="47" t="str">
        <f aca="false">_xlfn.CONCAT(B1127,C1127,D1127,E1127,F1127)</f>
        <v>BC Rio Monte1Inverter4446017.628472222246017.628472222246017.775</v>
      </c>
      <c r="Q1127" s="44" t="str">
        <f aca="false">_xlfn.CONCAT(H1127,I1127,J1127)</f>
        <v>DAURDE</v>
      </c>
    </row>
    <row r="1128" customFormat="false" ht="15" hidden="true" customHeight="false" outlineLevel="0" collapsed="false">
      <c r="A1128" s="43"/>
      <c r="B1128" s="44" t="s">
        <v>581</v>
      </c>
      <c r="C1128" s="44" t="s">
        <v>588</v>
      </c>
      <c r="D1128" s="45" t="n">
        <v>46017.6284722222</v>
      </c>
      <c r="E1128" s="45" t="n">
        <v>46017.6284722222</v>
      </c>
      <c r="F1128" s="45" t="n">
        <v>46017.775</v>
      </c>
      <c r="G1128" s="46" t="n">
        <f aca="false">F1128-E1128</f>
        <v>0.146527777777778</v>
      </c>
      <c r="H1128" s="44" t="s">
        <v>248</v>
      </c>
      <c r="I1128" s="44"/>
      <c r="J1128" s="44" t="s">
        <v>256</v>
      </c>
      <c r="K1128" s="44" t="s">
        <v>430</v>
      </c>
      <c r="L1128" s="44" t="s">
        <v>410</v>
      </c>
      <c r="M1128" s="44" t="s">
        <v>258</v>
      </c>
      <c r="N1128" s="44" t="s">
        <v>259</v>
      </c>
      <c r="O1128" s="44" t="s">
        <v>399</v>
      </c>
      <c r="P1128" s="47" t="str">
        <f aca="false">_xlfn.CONCAT(B1128,C1128,D1128,E1128,F1128)</f>
        <v>BC Rio Monte1Inverter4346017.628472222246017.628472222246017.775</v>
      </c>
      <c r="Q1128" s="44" t="str">
        <f aca="false">_xlfn.CONCAT(H1128,I1128,J1128)</f>
        <v>DAURDE</v>
      </c>
    </row>
    <row r="1129" customFormat="false" ht="15" hidden="true" customHeight="false" outlineLevel="0" collapsed="false">
      <c r="A1129" s="43"/>
      <c r="B1129" s="44" t="s">
        <v>581</v>
      </c>
      <c r="C1129" s="44" t="s">
        <v>589</v>
      </c>
      <c r="D1129" s="45" t="n">
        <v>46017.6284722222</v>
      </c>
      <c r="E1129" s="45" t="n">
        <v>46017.6284722222</v>
      </c>
      <c r="F1129" s="45" t="n">
        <v>46017.775</v>
      </c>
      <c r="G1129" s="46" t="n">
        <f aca="false">F1129-E1129</f>
        <v>0.146527777777778</v>
      </c>
      <c r="H1129" s="44" t="s">
        <v>248</v>
      </c>
      <c r="I1129" s="44"/>
      <c r="J1129" s="44" t="s">
        <v>256</v>
      </c>
      <c r="K1129" s="44" t="s">
        <v>430</v>
      </c>
      <c r="L1129" s="44" t="s">
        <v>410</v>
      </c>
      <c r="M1129" s="44" t="s">
        <v>258</v>
      </c>
      <c r="N1129" s="44" t="s">
        <v>259</v>
      </c>
      <c r="O1129" s="44" t="s">
        <v>399</v>
      </c>
      <c r="P1129" s="47" t="str">
        <f aca="false">_xlfn.CONCAT(B1129,C1129,D1129,E1129,F1129)</f>
        <v>BC Rio Monte1Inverter4546017.628472222246017.628472222246017.775</v>
      </c>
      <c r="Q1129" s="44" t="str">
        <f aca="false">_xlfn.CONCAT(H1129,I1129,J1129)</f>
        <v>DAURDE</v>
      </c>
    </row>
    <row r="1130" customFormat="false" ht="15" hidden="true" customHeight="false" outlineLevel="0" collapsed="false">
      <c r="A1130" s="43"/>
      <c r="B1130" s="44" t="s">
        <v>581</v>
      </c>
      <c r="C1130" s="44" t="s">
        <v>590</v>
      </c>
      <c r="D1130" s="45" t="n">
        <v>46017.6284722222</v>
      </c>
      <c r="E1130" s="45" t="n">
        <v>46017.6284722222</v>
      </c>
      <c r="F1130" s="45" t="n">
        <v>46017.775</v>
      </c>
      <c r="G1130" s="46" t="n">
        <f aca="false">F1130-E1130</f>
        <v>0.146527777777778</v>
      </c>
      <c r="H1130" s="44" t="s">
        <v>248</v>
      </c>
      <c r="I1130" s="44"/>
      <c r="J1130" s="44" t="s">
        <v>256</v>
      </c>
      <c r="K1130" s="44" t="s">
        <v>430</v>
      </c>
      <c r="L1130" s="44" t="s">
        <v>410</v>
      </c>
      <c r="M1130" s="44" t="s">
        <v>258</v>
      </c>
      <c r="N1130" s="44" t="s">
        <v>259</v>
      </c>
      <c r="O1130" s="44" t="s">
        <v>399</v>
      </c>
      <c r="P1130" s="47" t="str">
        <f aca="false">_xlfn.CONCAT(B1130,C1130,D1130,E1130,F1130)</f>
        <v>BC Rio Monte1Inverter3446017.628472222246017.628472222246017.775</v>
      </c>
      <c r="Q1130" s="44" t="str">
        <f aca="false">_xlfn.CONCAT(H1130,I1130,J1130)</f>
        <v>DAURDE</v>
      </c>
    </row>
    <row r="1131" customFormat="false" ht="15" hidden="true" customHeight="false" outlineLevel="0" collapsed="false">
      <c r="A1131" s="43"/>
      <c r="B1131" s="44" t="s">
        <v>581</v>
      </c>
      <c r="C1131" s="44" t="s">
        <v>591</v>
      </c>
      <c r="D1131" s="45" t="n">
        <v>46017.6284722222</v>
      </c>
      <c r="E1131" s="45" t="n">
        <v>46017.6284722222</v>
      </c>
      <c r="F1131" s="45" t="n">
        <v>46017.775</v>
      </c>
      <c r="G1131" s="46" t="n">
        <f aca="false">F1131-E1131</f>
        <v>0.146527777777778</v>
      </c>
      <c r="H1131" s="44" t="s">
        <v>248</v>
      </c>
      <c r="I1131" s="44"/>
      <c r="J1131" s="44" t="s">
        <v>256</v>
      </c>
      <c r="K1131" s="44" t="s">
        <v>430</v>
      </c>
      <c r="L1131" s="44" t="s">
        <v>410</v>
      </c>
      <c r="M1131" s="44" t="s">
        <v>258</v>
      </c>
      <c r="N1131" s="44" t="s">
        <v>259</v>
      </c>
      <c r="O1131" s="44" t="s">
        <v>399</v>
      </c>
      <c r="P1131" s="47" t="str">
        <f aca="false">_xlfn.CONCAT(B1131,C1131,D1131,E1131,F1131)</f>
        <v>BC Rio Monte1Inverter3746017.628472222246017.628472222246017.775</v>
      </c>
      <c r="Q1131" s="44" t="str">
        <f aca="false">_xlfn.CONCAT(H1131,I1131,J1131)</f>
        <v>DAURDE</v>
      </c>
    </row>
    <row r="1132" customFormat="false" ht="15" hidden="true" customHeight="false" outlineLevel="0" collapsed="false">
      <c r="A1132" s="43"/>
      <c r="B1132" s="44" t="s">
        <v>581</v>
      </c>
      <c r="C1132" s="44" t="s">
        <v>592</v>
      </c>
      <c r="D1132" s="45" t="n">
        <v>46017.6284722222</v>
      </c>
      <c r="E1132" s="45" t="n">
        <v>46017.6284722222</v>
      </c>
      <c r="F1132" s="45" t="n">
        <v>46017.775</v>
      </c>
      <c r="G1132" s="46" t="n">
        <f aca="false">F1132-E1132</f>
        <v>0.146527777777778</v>
      </c>
      <c r="H1132" s="44" t="s">
        <v>248</v>
      </c>
      <c r="I1132" s="44"/>
      <c r="J1132" s="44" t="s">
        <v>256</v>
      </c>
      <c r="K1132" s="44" t="s">
        <v>430</v>
      </c>
      <c r="L1132" s="44" t="s">
        <v>410</v>
      </c>
      <c r="M1132" s="44" t="s">
        <v>258</v>
      </c>
      <c r="N1132" s="44" t="s">
        <v>259</v>
      </c>
      <c r="O1132" s="44" t="s">
        <v>399</v>
      </c>
      <c r="P1132" s="47" t="str">
        <f aca="false">_xlfn.CONCAT(B1132,C1132,D1132,E1132,F1132)</f>
        <v>BC Rio Monte1Inverter3346017.628472222246017.628472222246017.775</v>
      </c>
      <c r="Q1132" s="44" t="str">
        <f aca="false">_xlfn.CONCAT(H1132,I1132,J1132)</f>
        <v>DAURDE</v>
      </c>
    </row>
    <row r="1133" customFormat="false" ht="15" hidden="true" customHeight="false" outlineLevel="0" collapsed="false">
      <c r="A1133" s="43"/>
      <c r="B1133" s="44" t="s">
        <v>581</v>
      </c>
      <c r="C1133" s="44" t="s">
        <v>593</v>
      </c>
      <c r="D1133" s="45" t="n">
        <v>46017.6284722222</v>
      </c>
      <c r="E1133" s="45" t="n">
        <v>46017.6284722222</v>
      </c>
      <c r="F1133" s="45" t="n">
        <v>46017.775</v>
      </c>
      <c r="G1133" s="46" t="n">
        <f aca="false">F1133-E1133</f>
        <v>0.146527777777778</v>
      </c>
      <c r="H1133" s="44" t="s">
        <v>248</v>
      </c>
      <c r="I1133" s="44"/>
      <c r="J1133" s="44" t="s">
        <v>256</v>
      </c>
      <c r="K1133" s="44" t="s">
        <v>430</v>
      </c>
      <c r="L1133" s="44" t="s">
        <v>410</v>
      </c>
      <c r="M1133" s="44" t="s">
        <v>258</v>
      </c>
      <c r="N1133" s="44" t="s">
        <v>259</v>
      </c>
      <c r="O1133" s="44" t="s">
        <v>399</v>
      </c>
      <c r="P1133" s="47" t="str">
        <f aca="false">_xlfn.CONCAT(B1133,C1133,D1133,E1133,F1133)</f>
        <v>BC Rio Monte1Inverter2946017.628472222246017.628472222246017.775</v>
      </c>
      <c r="Q1133" s="44" t="str">
        <f aca="false">_xlfn.CONCAT(H1133,I1133,J1133)</f>
        <v>DAURDE</v>
      </c>
    </row>
    <row r="1134" customFormat="false" ht="15" hidden="true" customHeight="false" outlineLevel="0" collapsed="false">
      <c r="A1134" s="43"/>
      <c r="B1134" s="44" t="s">
        <v>581</v>
      </c>
      <c r="C1134" s="44" t="s">
        <v>594</v>
      </c>
      <c r="D1134" s="45" t="n">
        <v>46017.6284722222</v>
      </c>
      <c r="E1134" s="45" t="n">
        <v>46017.6284722222</v>
      </c>
      <c r="F1134" s="45" t="n">
        <v>46017.775</v>
      </c>
      <c r="G1134" s="46" t="n">
        <f aca="false">F1134-E1134</f>
        <v>0.146527777777778</v>
      </c>
      <c r="H1134" s="44" t="s">
        <v>248</v>
      </c>
      <c r="I1134" s="44"/>
      <c r="J1134" s="44" t="s">
        <v>256</v>
      </c>
      <c r="K1134" s="44" t="s">
        <v>430</v>
      </c>
      <c r="L1134" s="44" t="s">
        <v>410</v>
      </c>
      <c r="M1134" s="44" t="s">
        <v>258</v>
      </c>
      <c r="N1134" s="44" t="s">
        <v>259</v>
      </c>
      <c r="O1134" s="44" t="s">
        <v>399</v>
      </c>
      <c r="P1134" s="47" t="str">
        <f aca="false">_xlfn.CONCAT(B1134,C1134,D1134,E1134,F1134)</f>
        <v>BC Rio Monte1Inverter3646017.628472222246017.628472222246017.775</v>
      </c>
      <c r="Q1134" s="44" t="str">
        <f aca="false">_xlfn.CONCAT(H1134,I1134,J1134)</f>
        <v>DAURDE</v>
      </c>
    </row>
    <row r="1135" customFormat="false" ht="15" hidden="true" customHeight="false" outlineLevel="0" collapsed="false">
      <c r="A1135" s="43"/>
      <c r="B1135" s="44" t="s">
        <v>581</v>
      </c>
      <c r="C1135" s="44" t="s">
        <v>595</v>
      </c>
      <c r="D1135" s="45" t="n">
        <v>46017.6284722222</v>
      </c>
      <c r="E1135" s="45" t="n">
        <v>46017.6284722222</v>
      </c>
      <c r="F1135" s="45" t="n">
        <v>46017.775</v>
      </c>
      <c r="G1135" s="46" t="n">
        <f aca="false">F1135-E1135</f>
        <v>0.146527777777778</v>
      </c>
      <c r="H1135" s="44" t="s">
        <v>248</v>
      </c>
      <c r="I1135" s="44"/>
      <c r="J1135" s="44" t="s">
        <v>256</v>
      </c>
      <c r="K1135" s="44" t="s">
        <v>430</v>
      </c>
      <c r="L1135" s="44" t="s">
        <v>410</v>
      </c>
      <c r="M1135" s="44" t="s">
        <v>258</v>
      </c>
      <c r="N1135" s="44" t="s">
        <v>259</v>
      </c>
      <c r="O1135" s="44" t="s">
        <v>399</v>
      </c>
      <c r="P1135" s="47" t="str">
        <f aca="false">_xlfn.CONCAT(B1135,C1135,D1135,E1135,F1135)</f>
        <v>BC Rio Monte1Inverter3946017.628472222246017.628472222246017.775</v>
      </c>
      <c r="Q1135" s="44" t="str">
        <f aca="false">_xlfn.CONCAT(H1135,I1135,J1135)</f>
        <v>DAURDE</v>
      </c>
    </row>
    <row r="1136" customFormat="false" ht="15" hidden="true" customHeight="false" outlineLevel="0" collapsed="false">
      <c r="A1136" s="43"/>
      <c r="B1136" s="44" t="s">
        <v>581</v>
      </c>
      <c r="C1136" s="44" t="s">
        <v>596</v>
      </c>
      <c r="D1136" s="45" t="n">
        <v>46017.6284722222</v>
      </c>
      <c r="E1136" s="45" t="n">
        <v>46017.6284722222</v>
      </c>
      <c r="F1136" s="45" t="n">
        <v>46017.775</v>
      </c>
      <c r="G1136" s="46" t="n">
        <f aca="false">F1136-E1136</f>
        <v>0.146527777777778</v>
      </c>
      <c r="H1136" s="44" t="s">
        <v>248</v>
      </c>
      <c r="I1136" s="44"/>
      <c r="J1136" s="44" t="s">
        <v>256</v>
      </c>
      <c r="K1136" s="44" t="s">
        <v>430</v>
      </c>
      <c r="L1136" s="44" t="s">
        <v>410</v>
      </c>
      <c r="M1136" s="44" t="s">
        <v>258</v>
      </c>
      <c r="N1136" s="44" t="s">
        <v>259</v>
      </c>
      <c r="O1136" s="44" t="s">
        <v>399</v>
      </c>
      <c r="P1136" s="47" t="str">
        <f aca="false">_xlfn.CONCAT(B1136,C1136,D1136,E1136,F1136)</f>
        <v>BC Rio Monte1Inverter3146017.628472222246017.628472222246017.775</v>
      </c>
      <c r="Q1136" s="44" t="str">
        <f aca="false">_xlfn.CONCAT(H1136,I1136,J1136)</f>
        <v>DAURDE</v>
      </c>
    </row>
    <row r="1137" customFormat="false" ht="15" hidden="true" customHeight="false" outlineLevel="0" collapsed="false">
      <c r="A1137" s="43"/>
      <c r="B1137" s="44" t="s">
        <v>581</v>
      </c>
      <c r="C1137" s="44" t="s">
        <v>597</v>
      </c>
      <c r="D1137" s="45" t="n">
        <v>46017.6284722222</v>
      </c>
      <c r="E1137" s="45" t="n">
        <v>46017.6284722222</v>
      </c>
      <c r="F1137" s="45" t="n">
        <v>46017.775</v>
      </c>
      <c r="G1137" s="46" t="n">
        <f aca="false">F1137-E1137</f>
        <v>0.146527777777778</v>
      </c>
      <c r="H1137" s="44" t="s">
        <v>248</v>
      </c>
      <c r="I1137" s="44"/>
      <c r="J1137" s="44" t="s">
        <v>256</v>
      </c>
      <c r="K1137" s="44" t="s">
        <v>430</v>
      </c>
      <c r="L1137" s="44" t="s">
        <v>410</v>
      </c>
      <c r="M1137" s="44" t="s">
        <v>258</v>
      </c>
      <c r="N1137" s="44" t="s">
        <v>259</v>
      </c>
      <c r="O1137" s="44" t="s">
        <v>399</v>
      </c>
      <c r="P1137" s="47" t="str">
        <f aca="false">_xlfn.CONCAT(B1137,C1137,D1137,E1137,F1137)</f>
        <v>BC Rio Monte1Inverter3046017.628472222246017.628472222246017.775</v>
      </c>
      <c r="Q1137" s="44" t="str">
        <f aca="false">_xlfn.CONCAT(H1137,I1137,J1137)</f>
        <v>DAURDE</v>
      </c>
    </row>
    <row r="1138" customFormat="false" ht="15" hidden="true" customHeight="false" outlineLevel="0" collapsed="false">
      <c r="A1138" s="43"/>
      <c r="B1138" s="44" t="s">
        <v>581</v>
      </c>
      <c r="C1138" s="44" t="s">
        <v>598</v>
      </c>
      <c r="D1138" s="45" t="n">
        <v>46017.6284722222</v>
      </c>
      <c r="E1138" s="45" t="n">
        <v>46017.6284722222</v>
      </c>
      <c r="F1138" s="45" t="n">
        <v>46017.775</v>
      </c>
      <c r="G1138" s="46" t="n">
        <f aca="false">F1138-E1138</f>
        <v>0.146527777777778</v>
      </c>
      <c r="H1138" s="44" t="s">
        <v>248</v>
      </c>
      <c r="I1138" s="44"/>
      <c r="J1138" s="44" t="s">
        <v>256</v>
      </c>
      <c r="K1138" s="44" t="s">
        <v>430</v>
      </c>
      <c r="L1138" s="44" t="s">
        <v>410</v>
      </c>
      <c r="M1138" s="44" t="s">
        <v>258</v>
      </c>
      <c r="N1138" s="44" t="s">
        <v>259</v>
      </c>
      <c r="O1138" s="44" t="s">
        <v>399</v>
      </c>
      <c r="P1138" s="47" t="str">
        <f aca="false">_xlfn.CONCAT(B1138,C1138,D1138,E1138,F1138)</f>
        <v>BC Rio Monte1Inverter3846017.628472222246017.628472222246017.775</v>
      </c>
      <c r="Q1138" s="44" t="str">
        <f aca="false">_xlfn.CONCAT(H1138,I1138,J1138)</f>
        <v>DAURDE</v>
      </c>
    </row>
    <row r="1139" customFormat="false" ht="15" hidden="true" customHeight="false" outlineLevel="0" collapsed="false">
      <c r="A1139" s="43"/>
      <c r="B1139" s="44" t="s">
        <v>581</v>
      </c>
      <c r="C1139" s="44" t="s">
        <v>599</v>
      </c>
      <c r="D1139" s="45" t="n">
        <v>46017.6284722222</v>
      </c>
      <c r="E1139" s="45" t="n">
        <v>46017.6284722222</v>
      </c>
      <c r="F1139" s="45" t="n">
        <v>46017.775</v>
      </c>
      <c r="G1139" s="46" t="n">
        <f aca="false">F1139-E1139</f>
        <v>0.146527777777778</v>
      </c>
      <c r="H1139" s="44" t="s">
        <v>248</v>
      </c>
      <c r="I1139" s="44"/>
      <c r="J1139" s="44" t="s">
        <v>256</v>
      </c>
      <c r="K1139" s="44" t="s">
        <v>430</v>
      </c>
      <c r="L1139" s="44" t="s">
        <v>410</v>
      </c>
      <c r="M1139" s="44" t="s">
        <v>258</v>
      </c>
      <c r="N1139" s="44" t="s">
        <v>259</v>
      </c>
      <c r="O1139" s="44" t="s">
        <v>399</v>
      </c>
      <c r="P1139" s="47" t="str">
        <f aca="false">_xlfn.CONCAT(B1139,C1139,D1139,E1139,F1139)</f>
        <v>BC Rio Monte1Inverter3246017.628472222246017.628472222246017.775</v>
      </c>
      <c r="Q1139" s="44" t="str">
        <f aca="false">_xlfn.CONCAT(H1139,I1139,J1139)</f>
        <v>DAURDE</v>
      </c>
    </row>
    <row r="1140" customFormat="false" ht="15" hidden="false" customHeight="false" outlineLevel="0" collapsed="false">
      <c r="B1140" s="1" t="s">
        <v>382</v>
      </c>
      <c r="C1140" s="1" t="s">
        <v>383</v>
      </c>
      <c r="D1140" s="14" t="n">
        <v>46004.9444444444</v>
      </c>
      <c r="E1140" s="14" t="n">
        <v>46004.9444444444</v>
      </c>
      <c r="F1140" s="14" t="n">
        <v>46006.6673611111</v>
      </c>
      <c r="G1140" s="15" t="n">
        <f aca="false">F1140-E1140</f>
        <v>1.72291666666667</v>
      </c>
      <c r="H1140" s="1" t="s">
        <v>445</v>
      </c>
      <c r="I1140" s="1" t="s">
        <v>263</v>
      </c>
      <c r="J1140" s="1" t="s">
        <v>264</v>
      </c>
      <c r="K1140" s="1" t="s">
        <v>456</v>
      </c>
      <c r="L1140" s="1" t="s">
        <v>449</v>
      </c>
      <c r="M1140" s="1" t="s">
        <v>418</v>
      </c>
      <c r="N1140" s="1" t="s">
        <v>252</v>
      </c>
      <c r="O1140" s="1" t="s">
        <v>419</v>
      </c>
      <c r="P1140" s="1" t="str">
        <f aca="false">_xlfn.CONCAT(B1140,C1140,D1140,E1140,F1140)</f>
        <v>ARAGUATINS 1.3Inverter(MBUS-20)46004.944444444446004.944444444446006.6673611111</v>
      </c>
      <c r="Q1140" s="1" t="str">
        <f aca="false">_xlfn.CONCAT(H1140,I1140,J1140)</f>
        <v>LIGRFOCOM</v>
      </c>
    </row>
    <row r="1141" customFormat="false" ht="15" hidden="false" customHeight="false" outlineLevel="0" collapsed="false">
      <c r="B1141" s="1" t="s">
        <v>382</v>
      </c>
      <c r="C1141" s="1" t="s">
        <v>255</v>
      </c>
      <c r="D1141" s="14" t="n">
        <v>46004.9444444444</v>
      </c>
      <c r="E1141" s="14" t="n">
        <v>46004.9444444444</v>
      </c>
      <c r="F1141" s="14" t="n">
        <v>46006.6673611111</v>
      </c>
      <c r="G1141" s="15" t="n">
        <f aca="false">F1141-E1141</f>
        <v>1.72291666666667</v>
      </c>
      <c r="H1141" s="1" t="s">
        <v>445</v>
      </c>
      <c r="I1141" s="1" t="s">
        <v>263</v>
      </c>
      <c r="J1141" s="1" t="s">
        <v>264</v>
      </c>
      <c r="K1141" s="1" t="s">
        <v>456</v>
      </c>
      <c r="L1141" s="1" t="s">
        <v>449</v>
      </c>
      <c r="M1141" s="1" t="s">
        <v>418</v>
      </c>
      <c r="N1141" s="1" t="s">
        <v>252</v>
      </c>
      <c r="O1141" s="1" t="s">
        <v>419</v>
      </c>
      <c r="P1141" s="1" t="str">
        <f aca="false">_xlfn.CONCAT(B1141,C1141,D1141,E1141,F1141)</f>
        <v>ARAGUATINS 1.3Inverter(MBUS-1)46004.944444444446004.944444444446006.6673611111</v>
      </c>
      <c r="Q1141" s="1" t="str">
        <f aca="false">_xlfn.CONCAT(H1141,I1141,J1141)</f>
        <v>LIGRFOCOM</v>
      </c>
    </row>
    <row r="1142" customFormat="false" ht="15" hidden="true" customHeight="false" outlineLevel="0" collapsed="false">
      <c r="A1142" s="43"/>
      <c r="B1142" s="44" t="s">
        <v>697</v>
      </c>
      <c r="C1142" s="44" t="s">
        <v>247</v>
      </c>
      <c r="D1142" s="45" t="n">
        <v>46017.7847222222</v>
      </c>
      <c r="E1142" s="45" t="n">
        <v>46017.7847222222</v>
      </c>
      <c r="F1142" s="45" t="n">
        <v>46018.6763888889</v>
      </c>
      <c r="G1142" s="46" t="n">
        <f aca="false">F1142-E1142</f>
        <v>0.891666666666667</v>
      </c>
      <c r="H1142" s="44" t="s">
        <v>248</v>
      </c>
      <c r="I1142" s="44"/>
      <c r="J1142" s="44" t="s">
        <v>256</v>
      </c>
      <c r="K1142" s="44" t="s">
        <v>430</v>
      </c>
      <c r="L1142" s="44" t="s">
        <v>410</v>
      </c>
      <c r="M1142" s="44" t="s">
        <v>258</v>
      </c>
      <c r="N1142" s="44" t="s">
        <v>259</v>
      </c>
      <c r="O1142" s="44" t="s">
        <v>696</v>
      </c>
      <c r="P1142" s="47" t="str">
        <f aca="false">_xlfn.CONCAT(B1142,C1142,D1142,E1142,F1142)</f>
        <v>BC Formoso1.1Inverter(MBUS-13)46017.784722222246017.784722222246018.6763888889</v>
      </c>
      <c r="Q1142" s="44" t="str">
        <f aca="false">_xlfn.CONCAT(H1142,I1142,J1142)</f>
        <v>DAURDE</v>
      </c>
    </row>
    <row r="1143" customFormat="false" ht="15" hidden="true" customHeight="false" outlineLevel="0" collapsed="false">
      <c r="A1143" s="43"/>
      <c r="B1143" s="44" t="s">
        <v>697</v>
      </c>
      <c r="C1143" s="44" t="s">
        <v>277</v>
      </c>
      <c r="D1143" s="45" t="n">
        <v>46017.7847222222</v>
      </c>
      <c r="E1143" s="45" t="n">
        <v>46017.7847222222</v>
      </c>
      <c r="F1143" s="45" t="n">
        <v>46018.6763888889</v>
      </c>
      <c r="G1143" s="46" t="n">
        <f aca="false">F1143-E1143</f>
        <v>0.891666666666667</v>
      </c>
      <c r="H1143" s="44" t="s">
        <v>248</v>
      </c>
      <c r="I1143" s="44"/>
      <c r="J1143" s="44" t="s">
        <v>256</v>
      </c>
      <c r="K1143" s="44" t="s">
        <v>430</v>
      </c>
      <c r="L1143" s="44" t="s">
        <v>410</v>
      </c>
      <c r="M1143" s="44" t="s">
        <v>258</v>
      </c>
      <c r="N1143" s="44" t="s">
        <v>259</v>
      </c>
      <c r="O1143" s="44" t="s">
        <v>696</v>
      </c>
      <c r="P1143" s="47" t="str">
        <f aca="false">_xlfn.CONCAT(B1143,C1143,D1143,E1143,F1143)</f>
        <v>BC Formoso1.1Inverter(MBUS-12)46017.784722222246017.784722222246018.6763888889</v>
      </c>
      <c r="Q1143" s="44" t="str">
        <f aca="false">_xlfn.CONCAT(H1143,I1143,J1143)</f>
        <v>DAURDE</v>
      </c>
    </row>
    <row r="1144" customFormat="false" ht="15" hidden="true" customHeight="false" outlineLevel="0" collapsed="false">
      <c r="A1144" s="43"/>
      <c r="B1144" s="44" t="s">
        <v>697</v>
      </c>
      <c r="C1144" s="44" t="s">
        <v>279</v>
      </c>
      <c r="D1144" s="45" t="n">
        <v>46017.7847222222</v>
      </c>
      <c r="E1144" s="45" t="n">
        <v>46017.7847222222</v>
      </c>
      <c r="F1144" s="45" t="n">
        <v>46018.6763888889</v>
      </c>
      <c r="G1144" s="46" t="n">
        <f aca="false">F1144-E1144</f>
        <v>0.891666666666667</v>
      </c>
      <c r="H1144" s="44" t="s">
        <v>248</v>
      </c>
      <c r="I1144" s="44"/>
      <c r="J1144" s="44" t="s">
        <v>256</v>
      </c>
      <c r="K1144" s="44" t="s">
        <v>430</v>
      </c>
      <c r="L1144" s="44" t="s">
        <v>410</v>
      </c>
      <c r="M1144" s="44" t="s">
        <v>258</v>
      </c>
      <c r="N1144" s="44" t="s">
        <v>259</v>
      </c>
      <c r="O1144" s="44" t="s">
        <v>696</v>
      </c>
      <c r="P1144" s="47" t="str">
        <f aca="false">_xlfn.CONCAT(B1144,C1144,D1144,E1144,F1144)</f>
        <v>BC Formoso1.1Inverter(MBUS-15)46017.784722222246017.784722222246018.6763888889</v>
      </c>
      <c r="Q1144" s="44" t="str">
        <f aca="false">_xlfn.CONCAT(H1144,I1144,J1144)</f>
        <v>DAURDE</v>
      </c>
    </row>
    <row r="1145" customFormat="false" ht="15" hidden="true" customHeight="false" outlineLevel="0" collapsed="false">
      <c r="A1145" s="43"/>
      <c r="B1145" s="44" t="s">
        <v>697</v>
      </c>
      <c r="C1145" s="44" t="s">
        <v>280</v>
      </c>
      <c r="D1145" s="45" t="n">
        <v>46017.7847222222</v>
      </c>
      <c r="E1145" s="45" t="n">
        <v>46017.7847222222</v>
      </c>
      <c r="F1145" s="45" t="n">
        <v>46018.6763888889</v>
      </c>
      <c r="G1145" s="46" t="n">
        <f aca="false">F1145-E1145</f>
        <v>0.891666666666667</v>
      </c>
      <c r="H1145" s="44" t="s">
        <v>248</v>
      </c>
      <c r="I1145" s="44"/>
      <c r="J1145" s="44" t="s">
        <v>256</v>
      </c>
      <c r="K1145" s="44" t="s">
        <v>430</v>
      </c>
      <c r="L1145" s="44" t="s">
        <v>410</v>
      </c>
      <c r="M1145" s="44" t="s">
        <v>258</v>
      </c>
      <c r="N1145" s="44" t="s">
        <v>259</v>
      </c>
      <c r="O1145" s="44" t="s">
        <v>696</v>
      </c>
      <c r="P1145" s="47" t="str">
        <f aca="false">_xlfn.CONCAT(B1145,C1145,D1145,E1145,F1145)</f>
        <v>BC Formoso1.1Inverter(MBUS-14)46017.784722222246017.784722222246018.6763888889</v>
      </c>
      <c r="Q1145" s="44" t="str">
        <f aca="false">_xlfn.CONCAT(H1145,I1145,J1145)</f>
        <v>DAURDE</v>
      </c>
    </row>
    <row r="1146" customFormat="false" ht="15" hidden="true" customHeight="false" outlineLevel="0" collapsed="false">
      <c r="A1146" s="43"/>
      <c r="B1146" s="44" t="s">
        <v>622</v>
      </c>
      <c r="C1146" s="44" t="s">
        <v>280</v>
      </c>
      <c r="D1146" s="45" t="n">
        <v>46017.7847222222</v>
      </c>
      <c r="E1146" s="45" t="n">
        <v>46017.7847222222</v>
      </c>
      <c r="F1146" s="45" t="n">
        <v>46018.6763888889</v>
      </c>
      <c r="G1146" s="46" t="n">
        <f aca="false">F1146-E1146</f>
        <v>0.891666666666667</v>
      </c>
      <c r="H1146" s="44" t="s">
        <v>248</v>
      </c>
      <c r="I1146" s="44"/>
      <c r="J1146" s="44" t="s">
        <v>256</v>
      </c>
      <c r="K1146" s="44" t="s">
        <v>430</v>
      </c>
      <c r="L1146" s="44" t="s">
        <v>410</v>
      </c>
      <c r="M1146" s="44" t="s">
        <v>258</v>
      </c>
      <c r="N1146" s="44" t="s">
        <v>259</v>
      </c>
      <c r="O1146" s="44" t="s">
        <v>696</v>
      </c>
      <c r="P1146" s="47" t="str">
        <f aca="false">_xlfn.CONCAT(B1146,C1146,D1146,E1146,F1146)</f>
        <v>BC Formoso2.2Inverter(MBUS-14)46017.784722222246017.784722222246018.6763888889</v>
      </c>
      <c r="Q1146" s="44" t="str">
        <f aca="false">_xlfn.CONCAT(H1146,I1146,J1146)</f>
        <v>DAURDE</v>
      </c>
    </row>
    <row r="1147" customFormat="false" ht="15" hidden="true" customHeight="false" outlineLevel="0" collapsed="false">
      <c r="A1147" s="43"/>
      <c r="B1147" s="44" t="s">
        <v>622</v>
      </c>
      <c r="C1147" s="44" t="s">
        <v>247</v>
      </c>
      <c r="D1147" s="45" t="n">
        <v>46017.7847222222</v>
      </c>
      <c r="E1147" s="45" t="n">
        <v>46017.7847222222</v>
      </c>
      <c r="F1147" s="45" t="n">
        <v>46018.6763888889</v>
      </c>
      <c r="G1147" s="46" t="n">
        <f aca="false">F1147-E1147</f>
        <v>0.891666666666667</v>
      </c>
      <c r="H1147" s="44" t="s">
        <v>248</v>
      </c>
      <c r="I1147" s="44"/>
      <c r="J1147" s="44" t="s">
        <v>256</v>
      </c>
      <c r="K1147" s="44" t="s">
        <v>430</v>
      </c>
      <c r="L1147" s="44" t="s">
        <v>410</v>
      </c>
      <c r="M1147" s="44" t="s">
        <v>258</v>
      </c>
      <c r="N1147" s="44" t="s">
        <v>259</v>
      </c>
      <c r="O1147" s="44" t="s">
        <v>696</v>
      </c>
      <c r="P1147" s="47" t="str">
        <f aca="false">_xlfn.CONCAT(B1147,C1147,D1147,E1147,F1147)</f>
        <v>BC Formoso2.2Inverter(MBUS-13)46017.784722222246017.784722222246018.6763888889</v>
      </c>
      <c r="Q1147" s="44" t="str">
        <f aca="false">_xlfn.CONCAT(H1147,I1147,J1147)</f>
        <v>DAURDE</v>
      </c>
    </row>
    <row r="1148" customFormat="false" ht="15" hidden="true" customHeight="false" outlineLevel="0" collapsed="false">
      <c r="A1148" s="43"/>
      <c r="B1148" s="44" t="s">
        <v>622</v>
      </c>
      <c r="C1148" s="44" t="s">
        <v>277</v>
      </c>
      <c r="D1148" s="45" t="n">
        <v>46017.7847222222</v>
      </c>
      <c r="E1148" s="45" t="n">
        <v>46017.7847222222</v>
      </c>
      <c r="F1148" s="45" t="n">
        <v>46018.6763888889</v>
      </c>
      <c r="G1148" s="46" t="n">
        <f aca="false">F1148-E1148</f>
        <v>0.891666666666667</v>
      </c>
      <c r="H1148" s="44" t="s">
        <v>248</v>
      </c>
      <c r="I1148" s="44"/>
      <c r="J1148" s="44" t="s">
        <v>256</v>
      </c>
      <c r="K1148" s="44" t="s">
        <v>430</v>
      </c>
      <c r="L1148" s="44" t="s">
        <v>410</v>
      </c>
      <c r="M1148" s="44" t="s">
        <v>258</v>
      </c>
      <c r="N1148" s="44" t="s">
        <v>259</v>
      </c>
      <c r="O1148" s="44" t="s">
        <v>696</v>
      </c>
      <c r="P1148" s="47" t="str">
        <f aca="false">_xlfn.CONCAT(B1148,C1148,D1148,E1148,F1148)</f>
        <v>BC Formoso2.2Inverter(MBUS-12)46017.784722222246017.784722222246018.6763888889</v>
      </c>
      <c r="Q1148" s="44" t="str">
        <f aca="false">_xlfn.CONCAT(H1148,I1148,J1148)</f>
        <v>DAURDE</v>
      </c>
    </row>
    <row r="1149" customFormat="false" ht="15" hidden="true" customHeight="false" outlineLevel="0" collapsed="false">
      <c r="A1149" s="43"/>
      <c r="B1149" s="44" t="s">
        <v>622</v>
      </c>
      <c r="C1149" s="44" t="s">
        <v>255</v>
      </c>
      <c r="D1149" s="45" t="n">
        <v>46017.7847222222</v>
      </c>
      <c r="E1149" s="45" t="n">
        <v>46017.7847222222</v>
      </c>
      <c r="F1149" s="45" t="n">
        <v>46018.6763888889</v>
      </c>
      <c r="G1149" s="46" t="n">
        <f aca="false">F1149-E1149</f>
        <v>0.891666666666667</v>
      </c>
      <c r="H1149" s="44" t="s">
        <v>248</v>
      </c>
      <c r="I1149" s="44"/>
      <c r="J1149" s="44" t="s">
        <v>256</v>
      </c>
      <c r="K1149" s="44" t="s">
        <v>430</v>
      </c>
      <c r="L1149" s="44" t="s">
        <v>410</v>
      </c>
      <c r="M1149" s="44" t="s">
        <v>258</v>
      </c>
      <c r="N1149" s="44" t="s">
        <v>259</v>
      </c>
      <c r="O1149" s="44" t="s">
        <v>696</v>
      </c>
      <c r="P1149" s="47" t="str">
        <f aca="false">_xlfn.CONCAT(B1149,C1149,D1149,E1149,F1149)</f>
        <v>BC Formoso2.2Inverter(MBUS-1)46017.784722222246017.784722222246018.6763888889</v>
      </c>
      <c r="Q1149" s="44" t="str">
        <f aca="false">_xlfn.CONCAT(H1149,I1149,J1149)</f>
        <v>DAURDE</v>
      </c>
    </row>
    <row r="1150" customFormat="false" ht="15" hidden="true" customHeight="false" outlineLevel="0" collapsed="false">
      <c r="A1150" s="43"/>
      <c r="B1150" s="44" t="s">
        <v>542</v>
      </c>
      <c r="C1150" s="44" t="s">
        <v>543</v>
      </c>
      <c r="D1150" s="45" t="n">
        <v>46017.6215277778</v>
      </c>
      <c r="E1150" s="45" t="n">
        <v>46017.6215277778</v>
      </c>
      <c r="F1150" s="45" t="n">
        <v>46017.8263888889</v>
      </c>
      <c r="G1150" s="46" t="n">
        <f aca="false">F1150-E1150</f>
        <v>0.204861111111111</v>
      </c>
      <c r="H1150" s="44" t="s">
        <v>248</v>
      </c>
      <c r="I1150" s="44"/>
      <c r="J1150" s="44" t="s">
        <v>256</v>
      </c>
      <c r="K1150" s="44" t="s">
        <v>430</v>
      </c>
      <c r="L1150" s="44" t="s">
        <v>796</v>
      </c>
      <c r="M1150" s="44" t="s">
        <v>258</v>
      </c>
      <c r="N1150" s="44" t="s">
        <v>379</v>
      </c>
      <c r="O1150" s="44" t="s">
        <v>399</v>
      </c>
      <c r="P1150" s="47" t="str">
        <f aca="false">_xlfn.CONCAT(B1150,C1150,D1150,E1150,F1150)</f>
        <v>BC Caiaponia1SG60KTL(COM1-001)_001_00746017.621527777846017.621527777846017.8263888889</v>
      </c>
      <c r="Q1150" s="44" t="str">
        <f aca="false">_xlfn.CONCAT(H1150,I1150,J1150)</f>
        <v>DAURDE</v>
      </c>
    </row>
    <row r="1151" customFormat="false" ht="15" hidden="true" customHeight="false" outlineLevel="0" collapsed="false">
      <c r="A1151" s="43"/>
      <c r="B1151" s="44" t="s">
        <v>542</v>
      </c>
      <c r="C1151" s="44" t="s">
        <v>545</v>
      </c>
      <c r="D1151" s="45" t="n">
        <v>46017.6215277778</v>
      </c>
      <c r="E1151" s="45" t="n">
        <v>46017.6215277778</v>
      </c>
      <c r="F1151" s="45" t="n">
        <v>46017.8263888889</v>
      </c>
      <c r="G1151" s="46" t="n">
        <f aca="false">F1151-E1151</f>
        <v>0.204861111111111</v>
      </c>
      <c r="H1151" s="44" t="s">
        <v>248</v>
      </c>
      <c r="I1151" s="44"/>
      <c r="J1151" s="44" t="s">
        <v>256</v>
      </c>
      <c r="K1151" s="44" t="s">
        <v>430</v>
      </c>
      <c r="L1151" s="44" t="s">
        <v>796</v>
      </c>
      <c r="M1151" s="44" t="s">
        <v>258</v>
      </c>
      <c r="N1151" s="44" t="s">
        <v>379</v>
      </c>
      <c r="O1151" s="44" t="s">
        <v>399</v>
      </c>
      <c r="P1151" s="47" t="str">
        <f aca="false">_xlfn.CONCAT(B1151,C1151,D1151,E1151,F1151)</f>
        <v>BC Caiaponia1SG60KTL(COM1-002)_001_01046017.621527777846017.621527777846017.8263888889</v>
      </c>
      <c r="Q1151" s="44" t="str">
        <f aca="false">_xlfn.CONCAT(H1151,I1151,J1151)</f>
        <v>DAURDE</v>
      </c>
    </row>
    <row r="1152" customFormat="false" ht="15" hidden="true" customHeight="false" outlineLevel="0" collapsed="false">
      <c r="A1152" s="43"/>
      <c r="B1152" s="44" t="s">
        <v>542</v>
      </c>
      <c r="C1152" s="44" t="s">
        <v>546</v>
      </c>
      <c r="D1152" s="45" t="n">
        <v>46017.6215277778</v>
      </c>
      <c r="E1152" s="45" t="n">
        <v>46017.6215277778</v>
      </c>
      <c r="F1152" s="45" t="n">
        <v>46017.8263888889</v>
      </c>
      <c r="G1152" s="46" t="n">
        <f aca="false">F1152-E1152</f>
        <v>0.204861111111111</v>
      </c>
      <c r="H1152" s="44" t="s">
        <v>248</v>
      </c>
      <c r="I1152" s="44"/>
      <c r="J1152" s="44" t="s">
        <v>256</v>
      </c>
      <c r="K1152" s="44" t="s">
        <v>430</v>
      </c>
      <c r="L1152" s="44" t="s">
        <v>796</v>
      </c>
      <c r="M1152" s="44" t="s">
        <v>258</v>
      </c>
      <c r="N1152" s="44" t="s">
        <v>379</v>
      </c>
      <c r="O1152" s="44" t="s">
        <v>399</v>
      </c>
      <c r="P1152" s="47" t="str">
        <f aca="false">_xlfn.CONCAT(B1152,C1152,D1152,E1152,F1152)</f>
        <v>BC Caiaponia1SG60KTL(COM1-003)_001_01146017.621527777846017.621527777846017.8263888889</v>
      </c>
      <c r="Q1152" s="44" t="str">
        <f aca="false">_xlfn.CONCAT(H1152,I1152,J1152)</f>
        <v>DAURDE</v>
      </c>
    </row>
    <row r="1153" customFormat="false" ht="15" hidden="true" customHeight="false" outlineLevel="0" collapsed="false">
      <c r="A1153" s="43"/>
      <c r="B1153" s="44" t="s">
        <v>542</v>
      </c>
      <c r="C1153" s="44" t="s">
        <v>547</v>
      </c>
      <c r="D1153" s="45" t="n">
        <v>46017.6215277778</v>
      </c>
      <c r="E1153" s="45" t="n">
        <v>46017.6215277778</v>
      </c>
      <c r="F1153" s="45" t="n">
        <v>46017.8263888889</v>
      </c>
      <c r="G1153" s="46" t="n">
        <f aca="false">F1153-E1153</f>
        <v>0.204861111111111</v>
      </c>
      <c r="H1153" s="44" t="s">
        <v>248</v>
      </c>
      <c r="I1153" s="44"/>
      <c r="J1153" s="44" t="s">
        <v>256</v>
      </c>
      <c r="K1153" s="44" t="s">
        <v>430</v>
      </c>
      <c r="L1153" s="44" t="s">
        <v>796</v>
      </c>
      <c r="M1153" s="44" t="s">
        <v>258</v>
      </c>
      <c r="N1153" s="44" t="s">
        <v>379</v>
      </c>
      <c r="O1153" s="44" t="s">
        <v>399</v>
      </c>
      <c r="P1153" s="47" t="str">
        <f aca="false">_xlfn.CONCAT(B1153,C1153,D1153,E1153,F1153)</f>
        <v>BC Caiaponia1SG60KTL(COM1-004)_001_01446017.621527777846017.621527777846017.8263888889</v>
      </c>
      <c r="Q1153" s="44" t="str">
        <f aca="false">_xlfn.CONCAT(H1153,I1153,J1153)</f>
        <v>DAURDE</v>
      </c>
    </row>
    <row r="1154" customFormat="false" ht="15" hidden="true" customHeight="false" outlineLevel="0" collapsed="false">
      <c r="A1154" s="43"/>
      <c r="B1154" s="44" t="s">
        <v>542</v>
      </c>
      <c r="C1154" s="44" t="s">
        <v>548</v>
      </c>
      <c r="D1154" s="45" t="n">
        <v>46017.6215277778</v>
      </c>
      <c r="E1154" s="45" t="n">
        <v>46017.6215277778</v>
      </c>
      <c r="F1154" s="45" t="n">
        <v>46017.8263888889</v>
      </c>
      <c r="G1154" s="46" t="n">
        <f aca="false">F1154-E1154</f>
        <v>0.204861111111111</v>
      </c>
      <c r="H1154" s="44" t="s">
        <v>248</v>
      </c>
      <c r="I1154" s="44"/>
      <c r="J1154" s="44" t="s">
        <v>256</v>
      </c>
      <c r="K1154" s="44" t="s">
        <v>430</v>
      </c>
      <c r="L1154" s="44" t="s">
        <v>796</v>
      </c>
      <c r="M1154" s="44" t="s">
        <v>258</v>
      </c>
      <c r="N1154" s="44" t="s">
        <v>379</v>
      </c>
      <c r="O1154" s="44" t="s">
        <v>399</v>
      </c>
      <c r="P1154" s="47" t="str">
        <f aca="false">_xlfn.CONCAT(B1154,C1154,D1154,E1154,F1154)</f>
        <v>BC Caiaponia1SG60KTL(COM1-005)_001_01746017.621527777846017.621527777846017.8263888889</v>
      </c>
      <c r="Q1154" s="44" t="str">
        <f aca="false">_xlfn.CONCAT(H1154,I1154,J1154)</f>
        <v>DAURDE</v>
      </c>
    </row>
    <row r="1155" customFormat="false" ht="15" hidden="true" customHeight="false" outlineLevel="0" collapsed="false">
      <c r="A1155" s="43"/>
      <c r="B1155" s="44" t="s">
        <v>542</v>
      </c>
      <c r="C1155" s="44" t="s">
        <v>549</v>
      </c>
      <c r="D1155" s="45" t="n">
        <v>46017.6215277778</v>
      </c>
      <c r="E1155" s="45" t="n">
        <v>46017.6215277778</v>
      </c>
      <c r="F1155" s="45" t="n">
        <v>46017.8263888889</v>
      </c>
      <c r="G1155" s="46" t="n">
        <f aca="false">F1155-E1155</f>
        <v>0.204861111111111</v>
      </c>
      <c r="H1155" s="44" t="s">
        <v>248</v>
      </c>
      <c r="I1155" s="44"/>
      <c r="J1155" s="44" t="s">
        <v>256</v>
      </c>
      <c r="K1155" s="44" t="s">
        <v>430</v>
      </c>
      <c r="L1155" s="44" t="s">
        <v>796</v>
      </c>
      <c r="M1155" s="44" t="s">
        <v>258</v>
      </c>
      <c r="N1155" s="44" t="s">
        <v>379</v>
      </c>
      <c r="O1155" s="44" t="s">
        <v>399</v>
      </c>
      <c r="P1155" s="47" t="str">
        <f aca="false">_xlfn.CONCAT(B1155,C1155,D1155,E1155,F1155)</f>
        <v>BC Caiaponia1SG60KTL(COM1-006)_001_01646017.621527777846017.621527777846017.8263888889</v>
      </c>
      <c r="Q1155" s="44" t="str">
        <f aca="false">_xlfn.CONCAT(H1155,I1155,J1155)</f>
        <v>DAURDE</v>
      </c>
    </row>
    <row r="1156" customFormat="false" ht="15" hidden="true" customHeight="false" outlineLevel="0" collapsed="false">
      <c r="A1156" s="43"/>
      <c r="B1156" s="44" t="s">
        <v>542</v>
      </c>
      <c r="C1156" s="44" t="s">
        <v>550</v>
      </c>
      <c r="D1156" s="45" t="n">
        <v>46017.6215277778</v>
      </c>
      <c r="E1156" s="45" t="n">
        <v>46017.6215277778</v>
      </c>
      <c r="F1156" s="45" t="n">
        <v>46017.8263888889</v>
      </c>
      <c r="G1156" s="46" t="n">
        <f aca="false">F1156-E1156</f>
        <v>0.204861111111111</v>
      </c>
      <c r="H1156" s="44" t="s">
        <v>248</v>
      </c>
      <c r="I1156" s="44"/>
      <c r="J1156" s="44" t="s">
        <v>256</v>
      </c>
      <c r="K1156" s="44" t="s">
        <v>430</v>
      </c>
      <c r="L1156" s="44" t="s">
        <v>796</v>
      </c>
      <c r="M1156" s="44" t="s">
        <v>258</v>
      </c>
      <c r="N1156" s="44" t="s">
        <v>379</v>
      </c>
      <c r="O1156" s="44" t="s">
        <v>399</v>
      </c>
      <c r="P1156" s="47" t="str">
        <f aca="false">_xlfn.CONCAT(B1156,C1156,D1156,E1156,F1156)</f>
        <v>BC Caiaponia1SG60KTL(COM1-007)_001_01346017.621527777846017.621527777846017.8263888889</v>
      </c>
      <c r="Q1156" s="44" t="str">
        <f aca="false">_xlfn.CONCAT(H1156,I1156,J1156)</f>
        <v>DAURDE</v>
      </c>
    </row>
    <row r="1157" customFormat="false" ht="15" hidden="true" customHeight="false" outlineLevel="0" collapsed="false">
      <c r="A1157" s="43"/>
      <c r="B1157" s="44" t="s">
        <v>542</v>
      </c>
      <c r="C1157" s="44" t="s">
        <v>551</v>
      </c>
      <c r="D1157" s="45" t="n">
        <v>46017.6215277778</v>
      </c>
      <c r="E1157" s="45" t="n">
        <v>46017.6215277778</v>
      </c>
      <c r="F1157" s="45" t="n">
        <v>46017.8263888889</v>
      </c>
      <c r="G1157" s="46" t="n">
        <f aca="false">F1157-E1157</f>
        <v>0.204861111111111</v>
      </c>
      <c r="H1157" s="44" t="s">
        <v>248</v>
      </c>
      <c r="I1157" s="44"/>
      <c r="J1157" s="44" t="s">
        <v>256</v>
      </c>
      <c r="K1157" s="44" t="s">
        <v>430</v>
      </c>
      <c r="L1157" s="44" t="s">
        <v>796</v>
      </c>
      <c r="M1157" s="44" t="s">
        <v>258</v>
      </c>
      <c r="N1157" s="44" t="s">
        <v>379</v>
      </c>
      <c r="O1157" s="44" t="s">
        <v>399</v>
      </c>
      <c r="P1157" s="47" t="str">
        <f aca="false">_xlfn.CONCAT(B1157,C1157,D1157,E1157,F1157)</f>
        <v>BC Caiaponia1SG60KTL(COM1-008)_001_00146017.621527777846017.621527777846017.8263888889</v>
      </c>
      <c r="Q1157" s="44" t="str">
        <f aca="false">_xlfn.CONCAT(H1157,I1157,J1157)</f>
        <v>DAURDE</v>
      </c>
    </row>
    <row r="1158" customFormat="false" ht="15" hidden="true" customHeight="false" outlineLevel="0" collapsed="false">
      <c r="A1158" s="43"/>
      <c r="B1158" s="44" t="s">
        <v>542</v>
      </c>
      <c r="C1158" s="44" t="s">
        <v>552</v>
      </c>
      <c r="D1158" s="45" t="n">
        <v>46017.6215277778</v>
      </c>
      <c r="E1158" s="45" t="n">
        <v>46017.6215277778</v>
      </c>
      <c r="F1158" s="45" t="n">
        <v>46017.8263888889</v>
      </c>
      <c r="G1158" s="46" t="n">
        <f aca="false">F1158-E1158</f>
        <v>0.204861111111111</v>
      </c>
      <c r="H1158" s="44" t="s">
        <v>248</v>
      </c>
      <c r="I1158" s="44"/>
      <c r="J1158" s="44" t="s">
        <v>256</v>
      </c>
      <c r="K1158" s="44" t="s">
        <v>430</v>
      </c>
      <c r="L1158" s="44" t="s">
        <v>796</v>
      </c>
      <c r="M1158" s="44" t="s">
        <v>258</v>
      </c>
      <c r="N1158" s="44" t="s">
        <v>379</v>
      </c>
      <c r="O1158" s="44" t="s">
        <v>399</v>
      </c>
      <c r="P1158" s="47" t="str">
        <f aca="false">_xlfn.CONCAT(B1158,C1158,D1158,E1158,F1158)</f>
        <v>BC Caiaponia1SG60KTL(COM1-009)46017.621527777846017.621527777846017.8263888889</v>
      </c>
      <c r="Q1158" s="44" t="str">
        <f aca="false">_xlfn.CONCAT(H1158,I1158,J1158)</f>
        <v>DAURDE</v>
      </c>
    </row>
    <row r="1159" customFormat="false" ht="15" hidden="true" customHeight="false" outlineLevel="0" collapsed="false">
      <c r="A1159" s="43"/>
      <c r="B1159" s="44" t="s">
        <v>542</v>
      </c>
      <c r="C1159" s="44" t="s">
        <v>553</v>
      </c>
      <c r="D1159" s="45" t="n">
        <v>46017.6215277778</v>
      </c>
      <c r="E1159" s="45" t="n">
        <v>46017.6215277778</v>
      </c>
      <c r="F1159" s="45" t="n">
        <v>46017.8263888889</v>
      </c>
      <c r="G1159" s="46" t="n">
        <f aca="false">F1159-E1159</f>
        <v>0.204861111111111</v>
      </c>
      <c r="H1159" s="44" t="s">
        <v>248</v>
      </c>
      <c r="I1159" s="44"/>
      <c r="J1159" s="44" t="s">
        <v>256</v>
      </c>
      <c r="K1159" s="44" t="s">
        <v>430</v>
      </c>
      <c r="L1159" s="44" t="s">
        <v>796</v>
      </c>
      <c r="M1159" s="44" t="s">
        <v>258</v>
      </c>
      <c r="N1159" s="44" t="s">
        <v>379</v>
      </c>
      <c r="O1159" s="44" t="s">
        <v>399</v>
      </c>
      <c r="P1159" s="47" t="str">
        <f aca="false">_xlfn.CONCAT(B1159,C1159,D1159,E1159,F1159)</f>
        <v>BC Caiaponia1SG60KTL(COM1-010)46017.621527777846017.621527777846017.8263888889</v>
      </c>
      <c r="Q1159" s="44" t="str">
        <f aca="false">_xlfn.CONCAT(H1159,I1159,J1159)</f>
        <v>DAURDE</v>
      </c>
    </row>
    <row r="1160" customFormat="false" ht="15" hidden="true" customHeight="false" outlineLevel="0" collapsed="false">
      <c r="A1160" s="43"/>
      <c r="B1160" s="44" t="s">
        <v>542</v>
      </c>
      <c r="C1160" s="44" t="s">
        <v>554</v>
      </c>
      <c r="D1160" s="45" t="n">
        <v>46017.6215277778</v>
      </c>
      <c r="E1160" s="45" t="n">
        <v>46017.6215277778</v>
      </c>
      <c r="F1160" s="45" t="n">
        <v>46017.8263888889</v>
      </c>
      <c r="G1160" s="46" t="n">
        <f aca="false">F1160-E1160</f>
        <v>0.204861111111111</v>
      </c>
      <c r="H1160" s="44" t="s">
        <v>248</v>
      </c>
      <c r="I1160" s="44"/>
      <c r="J1160" s="44" t="s">
        <v>256</v>
      </c>
      <c r="K1160" s="44" t="s">
        <v>430</v>
      </c>
      <c r="L1160" s="44" t="s">
        <v>796</v>
      </c>
      <c r="M1160" s="44" t="s">
        <v>258</v>
      </c>
      <c r="N1160" s="44" t="s">
        <v>379</v>
      </c>
      <c r="O1160" s="44" t="s">
        <v>399</v>
      </c>
      <c r="P1160" s="47" t="str">
        <f aca="false">_xlfn.CONCAT(B1160,C1160,D1160,E1160,F1160)</f>
        <v>BC Caiaponia1SG60KTL(COM1-011)46017.621527777846017.621527777846017.8263888889</v>
      </c>
      <c r="Q1160" s="44" t="str">
        <f aca="false">_xlfn.CONCAT(H1160,I1160,J1160)</f>
        <v>DAURDE</v>
      </c>
    </row>
    <row r="1161" customFormat="false" ht="15" hidden="true" customHeight="false" outlineLevel="0" collapsed="false">
      <c r="A1161" s="43"/>
      <c r="B1161" s="44" t="s">
        <v>542</v>
      </c>
      <c r="C1161" s="44" t="s">
        <v>555</v>
      </c>
      <c r="D1161" s="45" t="n">
        <v>46017.6215277778</v>
      </c>
      <c r="E1161" s="45" t="n">
        <v>46017.6215277778</v>
      </c>
      <c r="F1161" s="45" t="n">
        <v>46017.8263888889</v>
      </c>
      <c r="G1161" s="46" t="n">
        <f aca="false">F1161-E1161</f>
        <v>0.204861111111111</v>
      </c>
      <c r="H1161" s="44" t="s">
        <v>248</v>
      </c>
      <c r="I1161" s="44"/>
      <c r="J1161" s="44" t="s">
        <v>256</v>
      </c>
      <c r="K1161" s="44" t="s">
        <v>430</v>
      </c>
      <c r="L1161" s="44" t="s">
        <v>796</v>
      </c>
      <c r="M1161" s="44" t="s">
        <v>258</v>
      </c>
      <c r="N1161" s="44" t="s">
        <v>379</v>
      </c>
      <c r="O1161" s="44" t="s">
        <v>399</v>
      </c>
      <c r="P1161" s="47" t="str">
        <f aca="false">_xlfn.CONCAT(B1161,C1161,D1161,E1161,F1161)</f>
        <v>BC Caiaponia1SG60KTL(COM1-012)46017.621527777846017.621527777846017.8263888889</v>
      </c>
      <c r="Q1161" s="44" t="str">
        <f aca="false">_xlfn.CONCAT(H1161,I1161,J1161)</f>
        <v>DAURDE</v>
      </c>
    </row>
    <row r="1162" customFormat="false" ht="15" hidden="true" customHeight="false" outlineLevel="0" collapsed="false">
      <c r="A1162" s="43"/>
      <c r="B1162" s="44" t="s">
        <v>542</v>
      </c>
      <c r="C1162" s="44" t="s">
        <v>556</v>
      </c>
      <c r="D1162" s="45" t="n">
        <v>46017.6215277778</v>
      </c>
      <c r="E1162" s="45" t="n">
        <v>46017.6215277778</v>
      </c>
      <c r="F1162" s="45" t="n">
        <v>46017.8263888889</v>
      </c>
      <c r="G1162" s="46" t="n">
        <f aca="false">F1162-E1162</f>
        <v>0.204861111111111</v>
      </c>
      <c r="H1162" s="44" t="s">
        <v>248</v>
      </c>
      <c r="I1162" s="44"/>
      <c r="J1162" s="44" t="s">
        <v>256</v>
      </c>
      <c r="K1162" s="44" t="s">
        <v>430</v>
      </c>
      <c r="L1162" s="44" t="s">
        <v>796</v>
      </c>
      <c r="M1162" s="44" t="s">
        <v>258</v>
      </c>
      <c r="N1162" s="44" t="s">
        <v>379</v>
      </c>
      <c r="O1162" s="44" t="s">
        <v>399</v>
      </c>
      <c r="P1162" s="47" t="str">
        <f aca="false">_xlfn.CONCAT(B1162,C1162,D1162,E1162,F1162)</f>
        <v>BC Caiaponia1SG60KTL(COM1-013)46017.621527777846017.621527777846017.8263888889</v>
      </c>
      <c r="Q1162" s="44" t="str">
        <f aca="false">_xlfn.CONCAT(H1162,I1162,J1162)</f>
        <v>DAURDE</v>
      </c>
    </row>
    <row r="1163" customFormat="false" ht="15" hidden="true" customHeight="false" outlineLevel="0" collapsed="false">
      <c r="A1163" s="43"/>
      <c r="B1163" s="44" t="s">
        <v>542</v>
      </c>
      <c r="C1163" s="44" t="s">
        <v>557</v>
      </c>
      <c r="D1163" s="45" t="n">
        <v>46017.6215277778</v>
      </c>
      <c r="E1163" s="45" t="n">
        <v>46017.6215277778</v>
      </c>
      <c r="F1163" s="45" t="n">
        <v>46017.8263888889</v>
      </c>
      <c r="G1163" s="46" t="n">
        <f aca="false">F1163-E1163</f>
        <v>0.204861111111111</v>
      </c>
      <c r="H1163" s="44" t="s">
        <v>248</v>
      </c>
      <c r="I1163" s="44"/>
      <c r="J1163" s="44" t="s">
        <v>256</v>
      </c>
      <c r="K1163" s="44" t="s">
        <v>430</v>
      </c>
      <c r="L1163" s="44" t="s">
        <v>796</v>
      </c>
      <c r="M1163" s="44" t="s">
        <v>258</v>
      </c>
      <c r="N1163" s="44" t="s">
        <v>379</v>
      </c>
      <c r="O1163" s="44" t="s">
        <v>399</v>
      </c>
      <c r="P1163" s="47" t="str">
        <f aca="false">_xlfn.CONCAT(B1163,C1163,D1163,E1163,F1163)</f>
        <v>BC Caiaponia1SG60KTL(COM1-014)46017.621527777846017.621527777846017.8263888889</v>
      </c>
      <c r="Q1163" s="44" t="str">
        <f aca="false">_xlfn.CONCAT(H1163,I1163,J1163)</f>
        <v>DAURDE</v>
      </c>
    </row>
    <row r="1164" customFormat="false" ht="15" hidden="true" customHeight="false" outlineLevel="0" collapsed="false">
      <c r="A1164" s="43"/>
      <c r="B1164" s="44" t="s">
        <v>542</v>
      </c>
      <c r="C1164" s="44" t="s">
        <v>558</v>
      </c>
      <c r="D1164" s="45" t="n">
        <v>46017.6215277778</v>
      </c>
      <c r="E1164" s="45" t="n">
        <v>46017.6215277778</v>
      </c>
      <c r="F1164" s="45" t="n">
        <v>46017.8263888889</v>
      </c>
      <c r="G1164" s="46" t="n">
        <f aca="false">F1164-E1164</f>
        <v>0.204861111111111</v>
      </c>
      <c r="H1164" s="44" t="s">
        <v>248</v>
      </c>
      <c r="I1164" s="44"/>
      <c r="J1164" s="44" t="s">
        <v>256</v>
      </c>
      <c r="K1164" s="44" t="s">
        <v>430</v>
      </c>
      <c r="L1164" s="44" t="s">
        <v>796</v>
      </c>
      <c r="M1164" s="44" t="s">
        <v>258</v>
      </c>
      <c r="N1164" s="44" t="s">
        <v>379</v>
      </c>
      <c r="O1164" s="44" t="s">
        <v>399</v>
      </c>
      <c r="P1164" s="47" t="str">
        <f aca="false">_xlfn.CONCAT(B1164,C1164,D1164,E1164,F1164)</f>
        <v>BC Caiaponia1SG60KTL(COM1-015)46017.621527777846017.621527777846017.8263888889</v>
      </c>
      <c r="Q1164" s="44" t="str">
        <f aca="false">_xlfn.CONCAT(H1164,I1164,J1164)</f>
        <v>DAURDE</v>
      </c>
    </row>
    <row r="1165" customFormat="false" ht="15" hidden="true" customHeight="false" outlineLevel="0" collapsed="false">
      <c r="A1165" s="43"/>
      <c r="B1165" s="44" t="s">
        <v>542</v>
      </c>
      <c r="C1165" s="44" t="s">
        <v>559</v>
      </c>
      <c r="D1165" s="45" t="n">
        <v>46017.6215277778</v>
      </c>
      <c r="E1165" s="45" t="n">
        <v>46017.6215277778</v>
      </c>
      <c r="F1165" s="45" t="n">
        <v>46017.8263888889</v>
      </c>
      <c r="G1165" s="46" t="n">
        <f aca="false">F1165-E1165</f>
        <v>0.204861111111111</v>
      </c>
      <c r="H1165" s="44" t="s">
        <v>248</v>
      </c>
      <c r="I1165" s="44"/>
      <c r="J1165" s="44" t="s">
        <v>256</v>
      </c>
      <c r="K1165" s="44" t="s">
        <v>430</v>
      </c>
      <c r="L1165" s="44" t="s">
        <v>796</v>
      </c>
      <c r="M1165" s="44" t="s">
        <v>258</v>
      </c>
      <c r="N1165" s="44" t="s">
        <v>379</v>
      </c>
      <c r="O1165" s="44" t="s">
        <v>399</v>
      </c>
      <c r="P1165" s="47" t="str">
        <f aca="false">_xlfn.CONCAT(B1165,C1165,D1165,E1165,F1165)</f>
        <v>BC Caiaponia1SG60KTL(COM3-016)_001_00946017.621527777846017.621527777846017.8263888889</v>
      </c>
      <c r="Q1165" s="44" t="str">
        <f aca="false">_xlfn.CONCAT(H1165,I1165,J1165)</f>
        <v>DAURDE</v>
      </c>
    </row>
    <row r="1166" customFormat="false" ht="15" hidden="true" customHeight="false" outlineLevel="0" collapsed="false">
      <c r="A1166" s="43"/>
      <c r="B1166" s="44" t="s">
        <v>542</v>
      </c>
      <c r="C1166" s="44" t="s">
        <v>560</v>
      </c>
      <c r="D1166" s="45" t="n">
        <v>46017.6215277778</v>
      </c>
      <c r="E1166" s="45" t="n">
        <v>46017.6215277778</v>
      </c>
      <c r="F1166" s="45" t="n">
        <v>46017.8263888889</v>
      </c>
      <c r="G1166" s="46" t="n">
        <f aca="false">F1166-E1166</f>
        <v>0.204861111111111</v>
      </c>
      <c r="H1166" s="44" t="s">
        <v>248</v>
      </c>
      <c r="I1166" s="44"/>
      <c r="J1166" s="44" t="s">
        <v>256</v>
      </c>
      <c r="K1166" s="44" t="s">
        <v>430</v>
      </c>
      <c r="L1166" s="44" t="s">
        <v>796</v>
      </c>
      <c r="M1166" s="44" t="s">
        <v>258</v>
      </c>
      <c r="N1166" s="44" t="s">
        <v>379</v>
      </c>
      <c r="O1166" s="44" t="s">
        <v>399</v>
      </c>
      <c r="P1166" s="47" t="str">
        <f aca="false">_xlfn.CONCAT(B1166,C1166,D1166,E1166,F1166)</f>
        <v>BC Caiaponia1SG60KTL(COM3-017)_001_01246017.621527777846017.621527777846017.8263888889</v>
      </c>
      <c r="Q1166" s="44" t="str">
        <f aca="false">_xlfn.CONCAT(H1166,I1166,J1166)</f>
        <v>DAURDE</v>
      </c>
    </row>
    <row r="1167" customFormat="false" ht="15" hidden="true" customHeight="false" outlineLevel="0" collapsed="false">
      <c r="A1167" s="43"/>
      <c r="B1167" s="44" t="s">
        <v>542</v>
      </c>
      <c r="C1167" s="44" t="s">
        <v>561</v>
      </c>
      <c r="D1167" s="45" t="n">
        <v>46017.6215277778</v>
      </c>
      <c r="E1167" s="45" t="n">
        <v>46017.6215277778</v>
      </c>
      <c r="F1167" s="45" t="n">
        <v>46017.8263888889</v>
      </c>
      <c r="G1167" s="46" t="n">
        <f aca="false">F1167-E1167</f>
        <v>0.204861111111111</v>
      </c>
      <c r="H1167" s="44" t="s">
        <v>248</v>
      </c>
      <c r="I1167" s="44"/>
      <c r="J1167" s="44" t="s">
        <v>256</v>
      </c>
      <c r="K1167" s="44" t="s">
        <v>430</v>
      </c>
      <c r="L1167" s="44" t="s">
        <v>796</v>
      </c>
      <c r="M1167" s="44" t="s">
        <v>258</v>
      </c>
      <c r="N1167" s="44" t="s">
        <v>379</v>
      </c>
      <c r="O1167" s="44" t="s">
        <v>399</v>
      </c>
      <c r="P1167" s="47" t="str">
        <f aca="false">_xlfn.CONCAT(B1167,C1167,D1167,E1167,F1167)</f>
        <v>BC Caiaponia1SG60KTL(COM3-018)_001_00846017.621527777846017.621527777846017.8263888889</v>
      </c>
      <c r="Q1167" s="44" t="str">
        <f aca="false">_xlfn.CONCAT(H1167,I1167,J1167)</f>
        <v>DAURDE</v>
      </c>
    </row>
    <row r="1168" customFormat="false" ht="15" hidden="true" customHeight="false" outlineLevel="0" collapsed="false">
      <c r="A1168" s="43"/>
      <c r="B1168" s="44" t="s">
        <v>542</v>
      </c>
      <c r="C1168" s="44" t="s">
        <v>562</v>
      </c>
      <c r="D1168" s="45" t="n">
        <v>46017.6215277778</v>
      </c>
      <c r="E1168" s="45" t="n">
        <v>46017.6215277778</v>
      </c>
      <c r="F1168" s="45" t="n">
        <v>46017.8263888889</v>
      </c>
      <c r="G1168" s="46" t="n">
        <f aca="false">F1168-E1168</f>
        <v>0.204861111111111</v>
      </c>
      <c r="H1168" s="44" t="s">
        <v>248</v>
      </c>
      <c r="I1168" s="44"/>
      <c r="J1168" s="44" t="s">
        <v>256</v>
      </c>
      <c r="K1168" s="44" t="s">
        <v>430</v>
      </c>
      <c r="L1168" s="44" t="s">
        <v>796</v>
      </c>
      <c r="M1168" s="44" t="s">
        <v>258</v>
      </c>
      <c r="N1168" s="44" t="s">
        <v>379</v>
      </c>
      <c r="O1168" s="44" t="s">
        <v>399</v>
      </c>
      <c r="P1168" s="47" t="str">
        <f aca="false">_xlfn.CONCAT(B1168,C1168,D1168,E1168,F1168)</f>
        <v>BC Caiaponia1SG60KTL(COM3-019)_001_01946017.621527777846017.621527777846017.8263888889</v>
      </c>
      <c r="Q1168" s="44" t="str">
        <f aca="false">_xlfn.CONCAT(H1168,I1168,J1168)</f>
        <v>DAURDE</v>
      </c>
    </row>
    <row r="1169" customFormat="false" ht="15" hidden="true" customHeight="false" outlineLevel="0" collapsed="false">
      <c r="A1169" s="43"/>
      <c r="B1169" s="44" t="s">
        <v>542</v>
      </c>
      <c r="C1169" s="44" t="s">
        <v>563</v>
      </c>
      <c r="D1169" s="45" t="n">
        <v>46017.6215277778</v>
      </c>
      <c r="E1169" s="45" t="n">
        <v>46017.6215277778</v>
      </c>
      <c r="F1169" s="45" t="n">
        <v>46017.8263888889</v>
      </c>
      <c r="G1169" s="46" t="n">
        <f aca="false">F1169-E1169</f>
        <v>0.204861111111111</v>
      </c>
      <c r="H1169" s="44" t="s">
        <v>248</v>
      </c>
      <c r="I1169" s="44"/>
      <c r="J1169" s="44" t="s">
        <v>256</v>
      </c>
      <c r="K1169" s="44" t="s">
        <v>430</v>
      </c>
      <c r="L1169" s="44" t="s">
        <v>796</v>
      </c>
      <c r="M1169" s="44" t="s">
        <v>258</v>
      </c>
      <c r="N1169" s="44" t="s">
        <v>379</v>
      </c>
      <c r="O1169" s="44" t="s">
        <v>399</v>
      </c>
      <c r="P1169" s="47" t="str">
        <f aca="false">_xlfn.CONCAT(B1169,C1169,D1169,E1169,F1169)</f>
        <v>BC Caiaponia1SG60KTL(COM3-020)_001_02046017.621527777846017.621527777846017.8263888889</v>
      </c>
      <c r="Q1169" s="44" t="str">
        <f aca="false">_xlfn.CONCAT(H1169,I1169,J1169)</f>
        <v>DAURDE</v>
      </c>
    </row>
    <row r="1170" customFormat="false" ht="15" hidden="true" customHeight="false" outlineLevel="0" collapsed="false">
      <c r="A1170" s="43"/>
      <c r="B1170" s="44" t="s">
        <v>542</v>
      </c>
      <c r="C1170" s="44" t="s">
        <v>564</v>
      </c>
      <c r="D1170" s="45" t="n">
        <v>46017.6215277778</v>
      </c>
      <c r="E1170" s="45" t="n">
        <v>46017.6215277778</v>
      </c>
      <c r="F1170" s="45" t="n">
        <v>46017.8263888889</v>
      </c>
      <c r="G1170" s="46" t="n">
        <f aca="false">F1170-E1170</f>
        <v>0.204861111111111</v>
      </c>
      <c r="H1170" s="44" t="s">
        <v>248</v>
      </c>
      <c r="I1170" s="44"/>
      <c r="J1170" s="44" t="s">
        <v>256</v>
      </c>
      <c r="K1170" s="44" t="s">
        <v>430</v>
      </c>
      <c r="L1170" s="44" t="s">
        <v>796</v>
      </c>
      <c r="M1170" s="44" t="s">
        <v>258</v>
      </c>
      <c r="N1170" s="44" t="s">
        <v>379</v>
      </c>
      <c r="O1170" s="44" t="s">
        <v>399</v>
      </c>
      <c r="P1170" s="47" t="str">
        <f aca="false">_xlfn.CONCAT(B1170,C1170,D1170,E1170,F1170)</f>
        <v>BC Caiaponia1SG60KTL(COM2-026)46017.621527777846017.621527777846017.8263888889</v>
      </c>
      <c r="Q1170" s="44" t="str">
        <f aca="false">_xlfn.CONCAT(H1170,I1170,J1170)</f>
        <v>DAURDE</v>
      </c>
    </row>
    <row r="1171" customFormat="false" ht="15" hidden="true" customHeight="false" outlineLevel="0" collapsed="false">
      <c r="A1171" s="43"/>
      <c r="B1171" s="44" t="s">
        <v>542</v>
      </c>
      <c r="C1171" s="44" t="s">
        <v>565</v>
      </c>
      <c r="D1171" s="45" t="n">
        <v>46017.6215277778</v>
      </c>
      <c r="E1171" s="45" t="n">
        <v>46017.6215277778</v>
      </c>
      <c r="F1171" s="45" t="n">
        <v>46017.8263888889</v>
      </c>
      <c r="G1171" s="46" t="n">
        <f aca="false">F1171-E1171</f>
        <v>0.204861111111111</v>
      </c>
      <c r="H1171" s="44" t="s">
        <v>248</v>
      </c>
      <c r="I1171" s="44"/>
      <c r="J1171" s="44" t="s">
        <v>256</v>
      </c>
      <c r="K1171" s="44" t="s">
        <v>430</v>
      </c>
      <c r="L1171" s="44" t="s">
        <v>796</v>
      </c>
      <c r="M1171" s="44" t="s">
        <v>258</v>
      </c>
      <c r="N1171" s="44" t="s">
        <v>379</v>
      </c>
      <c r="O1171" s="44" t="s">
        <v>399</v>
      </c>
      <c r="P1171" s="47" t="str">
        <f aca="false">_xlfn.CONCAT(B1171,C1171,D1171,E1171,F1171)</f>
        <v>BC Caiaponia1SG60KTL(COM2-027)46017.621527777846017.621527777846017.8263888889</v>
      </c>
      <c r="Q1171" s="44" t="str">
        <f aca="false">_xlfn.CONCAT(H1171,I1171,J1171)</f>
        <v>DAURDE</v>
      </c>
    </row>
    <row r="1172" customFormat="false" ht="15" hidden="true" customHeight="false" outlineLevel="0" collapsed="false">
      <c r="A1172" s="43"/>
      <c r="B1172" s="44" t="s">
        <v>542</v>
      </c>
      <c r="C1172" s="44" t="s">
        <v>566</v>
      </c>
      <c r="D1172" s="45" t="n">
        <v>46017.6215277778</v>
      </c>
      <c r="E1172" s="45" t="n">
        <v>46017.6215277778</v>
      </c>
      <c r="F1172" s="45" t="n">
        <v>46017.8263888889</v>
      </c>
      <c r="G1172" s="46" t="n">
        <f aca="false">F1172-E1172</f>
        <v>0.204861111111111</v>
      </c>
      <c r="H1172" s="44" t="s">
        <v>248</v>
      </c>
      <c r="I1172" s="44"/>
      <c r="J1172" s="44" t="s">
        <v>256</v>
      </c>
      <c r="K1172" s="44" t="s">
        <v>430</v>
      </c>
      <c r="L1172" s="44" t="s">
        <v>796</v>
      </c>
      <c r="M1172" s="44" t="s">
        <v>258</v>
      </c>
      <c r="N1172" s="44" t="s">
        <v>379</v>
      </c>
      <c r="O1172" s="44" t="s">
        <v>399</v>
      </c>
      <c r="P1172" s="47" t="str">
        <f aca="false">_xlfn.CONCAT(B1172,C1172,D1172,E1172,F1172)</f>
        <v>BC Caiaponia1SG60KTL(COM2-028)46017.621527777846017.621527777846017.8263888889</v>
      </c>
      <c r="Q1172" s="44" t="str">
        <f aca="false">_xlfn.CONCAT(H1172,I1172,J1172)</f>
        <v>DAURDE</v>
      </c>
    </row>
    <row r="1173" customFormat="false" ht="15" hidden="true" customHeight="false" outlineLevel="0" collapsed="false">
      <c r="A1173" s="43"/>
      <c r="B1173" s="44" t="s">
        <v>542</v>
      </c>
      <c r="C1173" s="44" t="s">
        <v>567</v>
      </c>
      <c r="D1173" s="45" t="n">
        <v>46017.6215277778</v>
      </c>
      <c r="E1173" s="45" t="n">
        <v>46017.6215277778</v>
      </c>
      <c r="F1173" s="45" t="n">
        <v>46017.8263888889</v>
      </c>
      <c r="G1173" s="46" t="n">
        <f aca="false">F1173-E1173</f>
        <v>0.204861111111111</v>
      </c>
      <c r="H1173" s="44" t="s">
        <v>248</v>
      </c>
      <c r="I1173" s="44"/>
      <c r="J1173" s="44" t="s">
        <v>256</v>
      </c>
      <c r="K1173" s="44" t="s">
        <v>430</v>
      </c>
      <c r="L1173" s="44" t="s">
        <v>796</v>
      </c>
      <c r="M1173" s="44" t="s">
        <v>258</v>
      </c>
      <c r="N1173" s="44" t="s">
        <v>379</v>
      </c>
      <c r="O1173" s="44" t="s">
        <v>399</v>
      </c>
      <c r="P1173" s="47" t="str">
        <f aca="false">_xlfn.CONCAT(B1173,C1173,D1173,E1173,F1173)</f>
        <v>BC Caiaponia1SG60KTL(COM2-029)46017.621527777846017.621527777846017.8263888889</v>
      </c>
      <c r="Q1173" s="44" t="str">
        <f aca="false">_xlfn.CONCAT(H1173,I1173,J1173)</f>
        <v>DAURDE</v>
      </c>
    </row>
    <row r="1174" customFormat="false" ht="15" hidden="true" customHeight="false" outlineLevel="0" collapsed="false">
      <c r="A1174" s="43"/>
      <c r="B1174" s="44" t="s">
        <v>542</v>
      </c>
      <c r="C1174" s="44" t="s">
        <v>568</v>
      </c>
      <c r="D1174" s="45" t="n">
        <v>46017.6215277778</v>
      </c>
      <c r="E1174" s="45" t="n">
        <v>46017.6215277778</v>
      </c>
      <c r="F1174" s="45" t="n">
        <v>46017.8263888889</v>
      </c>
      <c r="G1174" s="46" t="n">
        <f aca="false">F1174-E1174</f>
        <v>0.204861111111111</v>
      </c>
      <c r="H1174" s="44" t="s">
        <v>248</v>
      </c>
      <c r="I1174" s="44"/>
      <c r="J1174" s="44" t="s">
        <v>256</v>
      </c>
      <c r="K1174" s="44" t="s">
        <v>430</v>
      </c>
      <c r="L1174" s="44" t="s">
        <v>796</v>
      </c>
      <c r="M1174" s="44" t="s">
        <v>258</v>
      </c>
      <c r="N1174" s="44" t="s">
        <v>379</v>
      </c>
      <c r="O1174" s="44" t="s">
        <v>399</v>
      </c>
      <c r="P1174" s="47" t="str">
        <f aca="false">_xlfn.CONCAT(B1174,C1174,D1174,E1174,F1174)</f>
        <v>BC Caiaponia1SG50CX(COM1-021)46017.621527777846017.621527777846017.8263888889</v>
      </c>
      <c r="Q1174" s="44" t="str">
        <f aca="false">_xlfn.CONCAT(H1174,I1174,J1174)</f>
        <v>DAURDE</v>
      </c>
    </row>
    <row r="1175" customFormat="false" ht="15" hidden="true" customHeight="false" outlineLevel="0" collapsed="false">
      <c r="A1175" s="43"/>
      <c r="B1175" s="44" t="s">
        <v>542</v>
      </c>
      <c r="C1175" s="44" t="s">
        <v>569</v>
      </c>
      <c r="D1175" s="45" t="n">
        <v>46017.6215277778</v>
      </c>
      <c r="E1175" s="45" t="n">
        <v>46017.6215277778</v>
      </c>
      <c r="F1175" s="45" t="n">
        <v>46017.8263888889</v>
      </c>
      <c r="G1175" s="46" t="n">
        <f aca="false">F1175-E1175</f>
        <v>0.204861111111111</v>
      </c>
      <c r="H1175" s="44" t="s">
        <v>248</v>
      </c>
      <c r="I1175" s="44"/>
      <c r="J1175" s="44" t="s">
        <v>256</v>
      </c>
      <c r="K1175" s="44" t="s">
        <v>430</v>
      </c>
      <c r="L1175" s="44" t="s">
        <v>796</v>
      </c>
      <c r="M1175" s="44" t="s">
        <v>258</v>
      </c>
      <c r="N1175" s="44" t="s">
        <v>379</v>
      </c>
      <c r="O1175" s="44" t="s">
        <v>399</v>
      </c>
      <c r="P1175" s="47" t="str">
        <f aca="false">_xlfn.CONCAT(B1175,C1175,D1175,E1175,F1175)</f>
        <v>BC Caiaponia1SG50CX(COM1-022)46017.621527777846017.621527777846017.8263888889</v>
      </c>
      <c r="Q1175" s="44" t="str">
        <f aca="false">_xlfn.CONCAT(H1175,I1175,J1175)</f>
        <v>DAURDE</v>
      </c>
    </row>
    <row r="1176" customFormat="false" ht="15" hidden="true" customHeight="false" outlineLevel="0" collapsed="false">
      <c r="A1176" s="43"/>
      <c r="B1176" s="44" t="s">
        <v>542</v>
      </c>
      <c r="C1176" s="44" t="s">
        <v>570</v>
      </c>
      <c r="D1176" s="45" t="n">
        <v>46017.6215277778</v>
      </c>
      <c r="E1176" s="45" t="n">
        <v>46017.6215277778</v>
      </c>
      <c r="F1176" s="45" t="n">
        <v>46017.8263888889</v>
      </c>
      <c r="G1176" s="46" t="n">
        <f aca="false">F1176-E1176</f>
        <v>0.204861111111111</v>
      </c>
      <c r="H1176" s="44" t="s">
        <v>248</v>
      </c>
      <c r="I1176" s="44"/>
      <c r="J1176" s="44" t="s">
        <v>256</v>
      </c>
      <c r="K1176" s="44" t="s">
        <v>430</v>
      </c>
      <c r="L1176" s="44" t="s">
        <v>796</v>
      </c>
      <c r="M1176" s="44" t="s">
        <v>258</v>
      </c>
      <c r="N1176" s="44" t="s">
        <v>379</v>
      </c>
      <c r="O1176" s="44" t="s">
        <v>399</v>
      </c>
      <c r="P1176" s="47" t="str">
        <f aca="false">_xlfn.CONCAT(B1176,C1176,D1176,E1176,F1176)</f>
        <v>BC Caiaponia1SG50CX(COM1-023)46017.621527777846017.621527777846017.8263888889</v>
      </c>
      <c r="Q1176" s="44" t="str">
        <f aca="false">_xlfn.CONCAT(H1176,I1176,J1176)</f>
        <v>DAURDE</v>
      </c>
    </row>
    <row r="1177" customFormat="false" ht="15" hidden="true" customHeight="false" outlineLevel="0" collapsed="false">
      <c r="A1177" s="43"/>
      <c r="B1177" s="44" t="s">
        <v>542</v>
      </c>
      <c r="C1177" s="44" t="s">
        <v>571</v>
      </c>
      <c r="D1177" s="45" t="n">
        <v>46017.6215277778</v>
      </c>
      <c r="E1177" s="45" t="n">
        <v>46017.6215277778</v>
      </c>
      <c r="F1177" s="45" t="n">
        <v>46017.8263888889</v>
      </c>
      <c r="G1177" s="46" t="n">
        <f aca="false">F1177-E1177</f>
        <v>0.204861111111111</v>
      </c>
      <c r="H1177" s="44" t="s">
        <v>248</v>
      </c>
      <c r="I1177" s="44"/>
      <c r="J1177" s="44" t="s">
        <v>256</v>
      </c>
      <c r="K1177" s="44" t="s">
        <v>430</v>
      </c>
      <c r="L1177" s="44" t="s">
        <v>796</v>
      </c>
      <c r="M1177" s="44" t="s">
        <v>258</v>
      </c>
      <c r="N1177" s="44" t="s">
        <v>379</v>
      </c>
      <c r="O1177" s="44" t="s">
        <v>399</v>
      </c>
      <c r="P1177" s="47" t="str">
        <f aca="false">_xlfn.CONCAT(B1177,C1177,D1177,E1177,F1177)</f>
        <v>BC Caiaponia1SG50CX(COM1-024)46017.621527777846017.621527777846017.8263888889</v>
      </c>
      <c r="Q1177" s="44" t="str">
        <f aca="false">_xlfn.CONCAT(H1177,I1177,J1177)</f>
        <v>DAURDE</v>
      </c>
    </row>
    <row r="1178" customFormat="false" ht="15" hidden="true" customHeight="false" outlineLevel="0" collapsed="false">
      <c r="A1178" s="43"/>
      <c r="B1178" s="44" t="s">
        <v>542</v>
      </c>
      <c r="C1178" s="44" t="s">
        <v>572</v>
      </c>
      <c r="D1178" s="45" t="n">
        <v>46017.6215277778</v>
      </c>
      <c r="E1178" s="45" t="n">
        <v>46017.6215277778</v>
      </c>
      <c r="F1178" s="45" t="n">
        <v>46017.8263888889</v>
      </c>
      <c r="G1178" s="46" t="n">
        <f aca="false">F1178-E1178</f>
        <v>0.204861111111111</v>
      </c>
      <c r="H1178" s="44" t="s">
        <v>248</v>
      </c>
      <c r="I1178" s="44"/>
      <c r="J1178" s="44" t="s">
        <v>256</v>
      </c>
      <c r="K1178" s="44" t="s">
        <v>430</v>
      </c>
      <c r="L1178" s="44" t="s">
        <v>796</v>
      </c>
      <c r="M1178" s="44" t="s">
        <v>258</v>
      </c>
      <c r="N1178" s="44" t="s">
        <v>379</v>
      </c>
      <c r="O1178" s="44" t="s">
        <v>399</v>
      </c>
      <c r="P1178" s="47" t="str">
        <f aca="false">_xlfn.CONCAT(B1178,C1178,D1178,E1178,F1178)</f>
        <v>BC Caiaponia1SG50CX(COM1-025)46017.621527777846017.621527777846017.8263888889</v>
      </c>
      <c r="Q1178" s="44" t="str">
        <f aca="false">_xlfn.CONCAT(H1178,I1178,J1178)</f>
        <v>DAURDE</v>
      </c>
    </row>
    <row r="1179" customFormat="false" ht="15" hidden="true" customHeight="false" outlineLevel="0" collapsed="false">
      <c r="A1179" s="43"/>
      <c r="B1179" s="44" t="s">
        <v>578</v>
      </c>
      <c r="C1179" s="44" t="s">
        <v>396</v>
      </c>
      <c r="D1179" s="45" t="n">
        <v>46017.6215277778</v>
      </c>
      <c r="E1179" s="45" t="n">
        <v>46017.6215277778</v>
      </c>
      <c r="F1179" s="45" t="n">
        <v>46017.8263888889</v>
      </c>
      <c r="G1179" s="46" t="n">
        <f aca="false">F1179-E1179</f>
        <v>0.204861111111111</v>
      </c>
      <c r="H1179" s="44" t="s">
        <v>248</v>
      </c>
      <c r="I1179" s="44"/>
      <c r="J1179" s="44" t="s">
        <v>256</v>
      </c>
      <c r="K1179" s="44" t="s">
        <v>430</v>
      </c>
      <c r="L1179" s="44" t="s">
        <v>796</v>
      </c>
      <c r="M1179" s="44" t="s">
        <v>258</v>
      </c>
      <c r="N1179" s="44" t="s">
        <v>379</v>
      </c>
      <c r="O1179" s="44" t="s">
        <v>399</v>
      </c>
      <c r="P1179" s="47" t="str">
        <f aca="false">_xlfn.CONCAT(B1179,C1179,D1179,E1179,F1179)</f>
        <v>BC Caiaponia2.1215KTL-H3(MBUS-12)46017.621527777846017.621527777846017.8263888889</v>
      </c>
      <c r="Q1179" s="44" t="str">
        <f aca="false">_xlfn.CONCAT(H1179,I1179,J1179)</f>
        <v>DAURDE</v>
      </c>
    </row>
    <row r="1180" customFormat="false" ht="15" hidden="true" customHeight="false" outlineLevel="0" collapsed="false">
      <c r="A1180" s="43"/>
      <c r="B1180" s="44" t="s">
        <v>578</v>
      </c>
      <c r="C1180" s="44" t="s">
        <v>397</v>
      </c>
      <c r="D1180" s="45" t="n">
        <v>46017.6215277778</v>
      </c>
      <c r="E1180" s="45" t="n">
        <v>46017.6215277778</v>
      </c>
      <c r="F1180" s="45" t="n">
        <v>46017.8263888889</v>
      </c>
      <c r="G1180" s="46" t="n">
        <f aca="false">F1180-E1180</f>
        <v>0.204861111111111</v>
      </c>
      <c r="H1180" s="44" t="s">
        <v>248</v>
      </c>
      <c r="I1180" s="44"/>
      <c r="J1180" s="44" t="s">
        <v>256</v>
      </c>
      <c r="K1180" s="44" t="s">
        <v>430</v>
      </c>
      <c r="L1180" s="44" t="s">
        <v>796</v>
      </c>
      <c r="M1180" s="44" t="s">
        <v>258</v>
      </c>
      <c r="N1180" s="44" t="s">
        <v>379</v>
      </c>
      <c r="O1180" s="44" t="s">
        <v>399</v>
      </c>
      <c r="P1180" s="47" t="str">
        <f aca="false">_xlfn.CONCAT(B1180,C1180,D1180,E1180,F1180)</f>
        <v>BC Caiaponia2.1215KTL-H3(MBUS-13)46017.621527777846017.621527777846017.8263888889</v>
      </c>
      <c r="Q1180" s="44" t="str">
        <f aca="false">_xlfn.CONCAT(H1180,I1180,J1180)</f>
        <v>DAURDE</v>
      </c>
    </row>
    <row r="1181" customFormat="false" ht="15" hidden="true" customHeight="false" outlineLevel="0" collapsed="false">
      <c r="A1181" s="43"/>
      <c r="B1181" s="44" t="s">
        <v>578</v>
      </c>
      <c r="C1181" s="44" t="s">
        <v>394</v>
      </c>
      <c r="D1181" s="45" t="n">
        <v>46017.6215277778</v>
      </c>
      <c r="E1181" s="45" t="n">
        <v>46017.6215277778</v>
      </c>
      <c r="F1181" s="45" t="n">
        <v>46017.8263888889</v>
      </c>
      <c r="G1181" s="46" t="n">
        <f aca="false">F1181-E1181</f>
        <v>0.204861111111111</v>
      </c>
      <c r="H1181" s="44" t="s">
        <v>248</v>
      </c>
      <c r="I1181" s="44"/>
      <c r="J1181" s="44" t="s">
        <v>256</v>
      </c>
      <c r="K1181" s="44" t="s">
        <v>430</v>
      </c>
      <c r="L1181" s="44" t="s">
        <v>796</v>
      </c>
      <c r="M1181" s="44" t="s">
        <v>258</v>
      </c>
      <c r="N1181" s="44" t="s">
        <v>379</v>
      </c>
      <c r="O1181" s="44" t="s">
        <v>399</v>
      </c>
      <c r="P1181" s="47" t="str">
        <f aca="false">_xlfn.CONCAT(B1181,C1181,D1181,E1181,F1181)</f>
        <v>BC Caiaponia2.1215KTL-H3(MBUS-14)46017.621527777846017.621527777846017.8263888889</v>
      </c>
      <c r="Q1181" s="44" t="str">
        <f aca="false">_xlfn.CONCAT(H1181,I1181,J1181)</f>
        <v>DAURDE</v>
      </c>
    </row>
    <row r="1182" customFormat="false" ht="15" hidden="true" customHeight="false" outlineLevel="0" collapsed="false">
      <c r="A1182" s="43"/>
      <c r="B1182" s="44" t="s">
        <v>578</v>
      </c>
      <c r="C1182" s="44" t="s">
        <v>395</v>
      </c>
      <c r="D1182" s="45" t="n">
        <v>46017.6215277778</v>
      </c>
      <c r="E1182" s="45" t="n">
        <v>46017.6215277778</v>
      </c>
      <c r="F1182" s="45" t="n">
        <v>46017.8263888889</v>
      </c>
      <c r="G1182" s="46" t="n">
        <f aca="false">F1182-E1182</f>
        <v>0.204861111111111</v>
      </c>
      <c r="H1182" s="44" t="s">
        <v>248</v>
      </c>
      <c r="I1182" s="44"/>
      <c r="J1182" s="44" t="s">
        <v>256</v>
      </c>
      <c r="K1182" s="44" t="s">
        <v>430</v>
      </c>
      <c r="L1182" s="44" t="s">
        <v>796</v>
      </c>
      <c r="M1182" s="44" t="s">
        <v>258</v>
      </c>
      <c r="N1182" s="44" t="s">
        <v>379</v>
      </c>
      <c r="O1182" s="44" t="s">
        <v>399</v>
      </c>
      <c r="P1182" s="47" t="str">
        <f aca="false">_xlfn.CONCAT(B1182,C1182,D1182,E1182,F1182)</f>
        <v>BC Caiaponia2.1215KTL-H3(MBUS-15)46017.621527777846017.621527777846017.8263888889</v>
      </c>
      <c r="Q1182" s="44" t="str">
        <f aca="false">_xlfn.CONCAT(H1182,I1182,J1182)</f>
        <v>DAURDE</v>
      </c>
    </row>
    <row r="1183" customFormat="false" ht="15" hidden="true" customHeight="false" outlineLevel="0" collapsed="false">
      <c r="A1183" s="43"/>
      <c r="B1183" s="44" t="s">
        <v>578</v>
      </c>
      <c r="C1183" s="44" t="s">
        <v>391</v>
      </c>
      <c r="D1183" s="45" t="n">
        <v>46017.6215277778</v>
      </c>
      <c r="E1183" s="45" t="n">
        <v>46017.6215277778</v>
      </c>
      <c r="F1183" s="45" t="n">
        <v>46017.8263888889</v>
      </c>
      <c r="G1183" s="46" t="n">
        <f aca="false">F1183-E1183</f>
        <v>0.204861111111111</v>
      </c>
      <c r="H1183" s="44" t="s">
        <v>248</v>
      </c>
      <c r="I1183" s="44"/>
      <c r="J1183" s="44" t="s">
        <v>256</v>
      </c>
      <c r="K1183" s="44" t="s">
        <v>430</v>
      </c>
      <c r="L1183" s="44" t="s">
        <v>796</v>
      </c>
      <c r="M1183" s="44" t="s">
        <v>258</v>
      </c>
      <c r="N1183" s="44" t="s">
        <v>379</v>
      </c>
      <c r="O1183" s="44" t="s">
        <v>399</v>
      </c>
      <c r="P1183" s="47" t="str">
        <f aca="false">_xlfn.CONCAT(B1183,C1183,D1183,E1183,F1183)</f>
        <v>BC Caiaponia2.1215KTL-H3(MBUS-16)46017.621527777846017.621527777846017.8263888889</v>
      </c>
      <c r="Q1183" s="44" t="str">
        <f aca="false">_xlfn.CONCAT(H1183,I1183,J1183)</f>
        <v>DAURDE</v>
      </c>
    </row>
    <row r="1184" customFormat="false" ht="15" hidden="true" customHeight="false" outlineLevel="0" collapsed="false">
      <c r="A1184" s="43"/>
      <c r="B1184" s="44" t="s">
        <v>579</v>
      </c>
      <c r="C1184" s="44" t="s">
        <v>396</v>
      </c>
      <c r="D1184" s="45" t="n">
        <v>46017.6215277778</v>
      </c>
      <c r="E1184" s="45" t="n">
        <v>46017.6215277778</v>
      </c>
      <c r="F1184" s="45" t="n">
        <v>46017.8263888889</v>
      </c>
      <c r="G1184" s="46" t="n">
        <f aca="false">F1184-E1184</f>
        <v>0.204861111111111</v>
      </c>
      <c r="H1184" s="44" t="s">
        <v>248</v>
      </c>
      <c r="I1184" s="44"/>
      <c r="J1184" s="44" t="s">
        <v>256</v>
      </c>
      <c r="K1184" s="44" t="s">
        <v>430</v>
      </c>
      <c r="L1184" s="44" t="s">
        <v>796</v>
      </c>
      <c r="M1184" s="44" t="s">
        <v>258</v>
      </c>
      <c r="N1184" s="44" t="s">
        <v>379</v>
      </c>
      <c r="O1184" s="44" t="s">
        <v>399</v>
      </c>
      <c r="P1184" s="47" t="str">
        <f aca="false">_xlfn.CONCAT(B1184,C1184,D1184,E1184,F1184)</f>
        <v>BC Caiaponia2.2215KTL-H3(MBUS-12)46017.621527777846017.621527777846017.8263888889</v>
      </c>
      <c r="Q1184" s="44" t="str">
        <f aca="false">_xlfn.CONCAT(H1184,I1184,J1184)</f>
        <v>DAURDE</v>
      </c>
    </row>
    <row r="1185" customFormat="false" ht="15" hidden="true" customHeight="false" outlineLevel="0" collapsed="false">
      <c r="A1185" s="43"/>
      <c r="B1185" s="44" t="s">
        <v>579</v>
      </c>
      <c r="C1185" s="44" t="s">
        <v>397</v>
      </c>
      <c r="D1185" s="45" t="n">
        <v>46017.6215277778</v>
      </c>
      <c r="E1185" s="45" t="n">
        <v>46017.6215277778</v>
      </c>
      <c r="F1185" s="45" t="n">
        <v>46017.8263888889</v>
      </c>
      <c r="G1185" s="46" t="n">
        <f aca="false">F1185-E1185</f>
        <v>0.204861111111111</v>
      </c>
      <c r="H1185" s="44" t="s">
        <v>248</v>
      </c>
      <c r="I1185" s="44"/>
      <c r="J1185" s="44" t="s">
        <v>256</v>
      </c>
      <c r="K1185" s="44" t="s">
        <v>430</v>
      </c>
      <c r="L1185" s="44" t="s">
        <v>796</v>
      </c>
      <c r="M1185" s="44" t="s">
        <v>258</v>
      </c>
      <c r="N1185" s="44" t="s">
        <v>379</v>
      </c>
      <c r="O1185" s="44" t="s">
        <v>399</v>
      </c>
      <c r="P1185" s="47" t="str">
        <f aca="false">_xlfn.CONCAT(B1185,C1185,D1185,E1185,F1185)</f>
        <v>BC Caiaponia2.2215KTL-H3(MBUS-13)46017.621527777846017.621527777846017.8263888889</v>
      </c>
      <c r="Q1185" s="44" t="str">
        <f aca="false">_xlfn.CONCAT(H1185,I1185,J1185)</f>
        <v>DAURDE</v>
      </c>
    </row>
    <row r="1186" customFormat="false" ht="15" hidden="true" customHeight="false" outlineLevel="0" collapsed="false">
      <c r="A1186" s="43"/>
      <c r="B1186" s="44" t="s">
        <v>579</v>
      </c>
      <c r="C1186" s="44" t="s">
        <v>394</v>
      </c>
      <c r="D1186" s="45" t="n">
        <v>46017.6215277778</v>
      </c>
      <c r="E1186" s="45" t="n">
        <v>46017.6215277778</v>
      </c>
      <c r="F1186" s="45" t="n">
        <v>46017.8263888889</v>
      </c>
      <c r="G1186" s="46" t="n">
        <f aca="false">F1186-E1186</f>
        <v>0.204861111111111</v>
      </c>
      <c r="H1186" s="44" t="s">
        <v>248</v>
      </c>
      <c r="I1186" s="44"/>
      <c r="J1186" s="44" t="s">
        <v>256</v>
      </c>
      <c r="K1186" s="44" t="s">
        <v>430</v>
      </c>
      <c r="L1186" s="44" t="s">
        <v>796</v>
      </c>
      <c r="M1186" s="44" t="s">
        <v>258</v>
      </c>
      <c r="N1186" s="44" t="s">
        <v>379</v>
      </c>
      <c r="O1186" s="44" t="s">
        <v>399</v>
      </c>
      <c r="P1186" s="47" t="str">
        <f aca="false">_xlfn.CONCAT(B1186,C1186,D1186,E1186,F1186)</f>
        <v>BC Caiaponia2.2215KTL-H3(MBUS-14)46017.621527777846017.621527777846017.8263888889</v>
      </c>
      <c r="Q1186" s="44" t="str">
        <f aca="false">_xlfn.CONCAT(H1186,I1186,J1186)</f>
        <v>DAURDE</v>
      </c>
    </row>
    <row r="1187" customFormat="false" ht="15" hidden="true" customHeight="false" outlineLevel="0" collapsed="false">
      <c r="A1187" s="43"/>
      <c r="B1187" s="44" t="s">
        <v>579</v>
      </c>
      <c r="C1187" s="44" t="s">
        <v>395</v>
      </c>
      <c r="D1187" s="45" t="n">
        <v>46017.6215277778</v>
      </c>
      <c r="E1187" s="45" t="n">
        <v>46017.6215277778</v>
      </c>
      <c r="F1187" s="45" t="n">
        <v>46017.8263888889</v>
      </c>
      <c r="G1187" s="46" t="n">
        <f aca="false">F1187-E1187</f>
        <v>0.204861111111111</v>
      </c>
      <c r="H1187" s="44" t="s">
        <v>248</v>
      </c>
      <c r="I1187" s="44"/>
      <c r="J1187" s="44" t="s">
        <v>256</v>
      </c>
      <c r="K1187" s="44" t="s">
        <v>430</v>
      </c>
      <c r="L1187" s="44" t="s">
        <v>796</v>
      </c>
      <c r="M1187" s="44" t="s">
        <v>258</v>
      </c>
      <c r="N1187" s="44" t="s">
        <v>379</v>
      </c>
      <c r="O1187" s="44" t="s">
        <v>399</v>
      </c>
      <c r="P1187" s="47" t="str">
        <f aca="false">_xlfn.CONCAT(B1187,C1187,D1187,E1187,F1187)</f>
        <v>BC Caiaponia2.2215KTL-H3(MBUS-15)46017.621527777846017.621527777846017.8263888889</v>
      </c>
      <c r="Q1187" s="44" t="str">
        <f aca="false">_xlfn.CONCAT(H1187,I1187,J1187)</f>
        <v>DAURDE</v>
      </c>
    </row>
    <row r="1188" customFormat="false" ht="15" hidden="true" customHeight="false" outlineLevel="0" collapsed="false">
      <c r="A1188" s="43"/>
      <c r="B1188" s="44" t="s">
        <v>579</v>
      </c>
      <c r="C1188" s="44" t="s">
        <v>391</v>
      </c>
      <c r="D1188" s="45" t="n">
        <v>46017.6215277778</v>
      </c>
      <c r="E1188" s="45" t="n">
        <v>46017.6215277778</v>
      </c>
      <c r="F1188" s="45" t="n">
        <v>46017.8263888889</v>
      </c>
      <c r="G1188" s="46" t="n">
        <f aca="false">F1188-E1188</f>
        <v>0.204861111111111</v>
      </c>
      <c r="H1188" s="44" t="s">
        <v>248</v>
      </c>
      <c r="I1188" s="44"/>
      <c r="J1188" s="44" t="s">
        <v>256</v>
      </c>
      <c r="K1188" s="44" t="s">
        <v>430</v>
      </c>
      <c r="L1188" s="44" t="s">
        <v>796</v>
      </c>
      <c r="M1188" s="44" t="s">
        <v>258</v>
      </c>
      <c r="N1188" s="44" t="s">
        <v>379</v>
      </c>
      <c r="O1188" s="44" t="s">
        <v>399</v>
      </c>
      <c r="P1188" s="47" t="str">
        <f aca="false">_xlfn.CONCAT(B1188,C1188,D1188,E1188,F1188)</f>
        <v>BC Caiaponia2.2215KTL-H3(MBUS-16)46017.621527777846017.621527777846017.8263888889</v>
      </c>
      <c r="Q1188" s="44" t="str">
        <f aca="false">_xlfn.CONCAT(H1188,I1188,J1188)</f>
        <v>DAURDE</v>
      </c>
    </row>
    <row r="1189" customFormat="false" ht="15" hidden="true" customHeight="false" outlineLevel="0" collapsed="false">
      <c r="A1189" s="43"/>
      <c r="B1189" s="44" t="s">
        <v>580</v>
      </c>
      <c r="C1189" s="44" t="s">
        <v>396</v>
      </c>
      <c r="D1189" s="45" t="n">
        <v>46017.6215277778</v>
      </c>
      <c r="E1189" s="45" t="n">
        <v>46017.6215277778</v>
      </c>
      <c r="F1189" s="45" t="n">
        <v>46017.8263888889</v>
      </c>
      <c r="G1189" s="46" t="n">
        <f aca="false">F1189-E1189</f>
        <v>0.204861111111111</v>
      </c>
      <c r="H1189" s="44" t="s">
        <v>248</v>
      </c>
      <c r="I1189" s="44"/>
      <c r="J1189" s="44" t="s">
        <v>256</v>
      </c>
      <c r="K1189" s="44" t="s">
        <v>430</v>
      </c>
      <c r="L1189" s="44" t="s">
        <v>796</v>
      </c>
      <c r="M1189" s="44" t="s">
        <v>258</v>
      </c>
      <c r="N1189" s="44" t="s">
        <v>379</v>
      </c>
      <c r="O1189" s="44" t="s">
        <v>399</v>
      </c>
      <c r="P1189" s="47" t="str">
        <f aca="false">_xlfn.CONCAT(B1189,C1189,D1189,E1189,F1189)</f>
        <v>BC Caiaponia2.3215KTL-H3(MBUS-12)46017.621527777846017.621527777846017.8263888889</v>
      </c>
      <c r="Q1189" s="44" t="str">
        <f aca="false">_xlfn.CONCAT(H1189,I1189,J1189)</f>
        <v>DAURDE</v>
      </c>
    </row>
    <row r="1190" customFormat="false" ht="15" hidden="true" customHeight="false" outlineLevel="0" collapsed="false">
      <c r="A1190" s="43"/>
      <c r="B1190" s="44" t="s">
        <v>580</v>
      </c>
      <c r="C1190" s="44" t="s">
        <v>397</v>
      </c>
      <c r="D1190" s="45" t="n">
        <v>46017.6215277778</v>
      </c>
      <c r="E1190" s="45" t="n">
        <v>46017.6215277778</v>
      </c>
      <c r="F1190" s="45" t="n">
        <v>46017.8263888889</v>
      </c>
      <c r="G1190" s="46" t="n">
        <f aca="false">F1190-E1190</f>
        <v>0.204861111111111</v>
      </c>
      <c r="H1190" s="44" t="s">
        <v>248</v>
      </c>
      <c r="I1190" s="44"/>
      <c r="J1190" s="44" t="s">
        <v>256</v>
      </c>
      <c r="K1190" s="44" t="s">
        <v>430</v>
      </c>
      <c r="L1190" s="44" t="s">
        <v>796</v>
      </c>
      <c r="M1190" s="44" t="s">
        <v>258</v>
      </c>
      <c r="N1190" s="44" t="s">
        <v>379</v>
      </c>
      <c r="O1190" s="44" t="s">
        <v>399</v>
      </c>
      <c r="P1190" s="47" t="str">
        <f aca="false">_xlfn.CONCAT(B1190,C1190,D1190,E1190,F1190)</f>
        <v>BC Caiaponia2.3215KTL-H3(MBUS-13)46017.621527777846017.621527777846017.8263888889</v>
      </c>
      <c r="Q1190" s="44" t="str">
        <f aca="false">_xlfn.CONCAT(H1190,I1190,J1190)</f>
        <v>DAURDE</v>
      </c>
    </row>
    <row r="1191" customFormat="false" ht="15" hidden="true" customHeight="false" outlineLevel="0" collapsed="false">
      <c r="A1191" s="43"/>
      <c r="B1191" s="44" t="s">
        <v>580</v>
      </c>
      <c r="C1191" s="44" t="s">
        <v>394</v>
      </c>
      <c r="D1191" s="45" t="n">
        <v>46017.6215277778</v>
      </c>
      <c r="E1191" s="45" t="n">
        <v>46017.6215277778</v>
      </c>
      <c r="F1191" s="45" t="n">
        <v>46017.8263888889</v>
      </c>
      <c r="G1191" s="46" t="n">
        <f aca="false">F1191-E1191</f>
        <v>0.204861111111111</v>
      </c>
      <c r="H1191" s="44" t="s">
        <v>248</v>
      </c>
      <c r="I1191" s="44"/>
      <c r="J1191" s="44" t="s">
        <v>256</v>
      </c>
      <c r="K1191" s="44" t="s">
        <v>430</v>
      </c>
      <c r="L1191" s="44" t="s">
        <v>796</v>
      </c>
      <c r="M1191" s="44" t="s">
        <v>258</v>
      </c>
      <c r="N1191" s="44" t="s">
        <v>379</v>
      </c>
      <c r="O1191" s="44" t="s">
        <v>399</v>
      </c>
      <c r="P1191" s="47" t="str">
        <f aca="false">_xlfn.CONCAT(B1191,C1191,D1191,E1191,F1191)</f>
        <v>BC Caiaponia2.3215KTL-H3(MBUS-14)46017.621527777846017.621527777846017.8263888889</v>
      </c>
      <c r="Q1191" s="44" t="str">
        <f aca="false">_xlfn.CONCAT(H1191,I1191,J1191)</f>
        <v>DAURDE</v>
      </c>
    </row>
    <row r="1192" customFormat="false" ht="15" hidden="true" customHeight="false" outlineLevel="0" collapsed="false">
      <c r="A1192" s="43"/>
      <c r="B1192" s="44" t="s">
        <v>580</v>
      </c>
      <c r="C1192" s="44" t="s">
        <v>395</v>
      </c>
      <c r="D1192" s="45" t="n">
        <v>46017.6215277778</v>
      </c>
      <c r="E1192" s="45" t="n">
        <v>46017.6215277778</v>
      </c>
      <c r="F1192" s="45" t="n">
        <v>46017.8263888889</v>
      </c>
      <c r="G1192" s="46" t="n">
        <f aca="false">F1192-E1192</f>
        <v>0.204861111111111</v>
      </c>
      <c r="H1192" s="44" t="s">
        <v>248</v>
      </c>
      <c r="I1192" s="44"/>
      <c r="J1192" s="44" t="s">
        <v>256</v>
      </c>
      <c r="K1192" s="44" t="s">
        <v>430</v>
      </c>
      <c r="L1192" s="44" t="s">
        <v>796</v>
      </c>
      <c r="M1192" s="44" t="s">
        <v>258</v>
      </c>
      <c r="N1192" s="44" t="s">
        <v>379</v>
      </c>
      <c r="O1192" s="44" t="s">
        <v>399</v>
      </c>
      <c r="P1192" s="47" t="str">
        <f aca="false">_xlfn.CONCAT(B1192,C1192,D1192,E1192,F1192)</f>
        <v>BC Caiaponia2.3215KTL-H3(MBUS-15)46017.621527777846017.621527777846017.8263888889</v>
      </c>
      <c r="Q1192" s="44" t="str">
        <f aca="false">_xlfn.CONCAT(H1192,I1192,J1192)</f>
        <v>DAURDE</v>
      </c>
    </row>
    <row r="1193" customFormat="false" ht="15" hidden="true" customHeight="false" outlineLevel="0" collapsed="false">
      <c r="A1193" s="43"/>
      <c r="B1193" s="44" t="s">
        <v>580</v>
      </c>
      <c r="C1193" s="44" t="s">
        <v>391</v>
      </c>
      <c r="D1193" s="45" t="n">
        <v>46017.6215277778</v>
      </c>
      <c r="E1193" s="45" t="n">
        <v>46017.6215277778</v>
      </c>
      <c r="F1193" s="45" t="n">
        <v>46017.8263888889</v>
      </c>
      <c r="G1193" s="46" t="n">
        <f aca="false">F1193-E1193</f>
        <v>0.204861111111111</v>
      </c>
      <c r="H1193" s="44" t="s">
        <v>248</v>
      </c>
      <c r="I1193" s="44"/>
      <c r="J1193" s="44" t="s">
        <v>256</v>
      </c>
      <c r="K1193" s="44" t="s">
        <v>430</v>
      </c>
      <c r="L1193" s="44" t="s">
        <v>796</v>
      </c>
      <c r="M1193" s="44" t="s">
        <v>258</v>
      </c>
      <c r="N1193" s="44" t="s">
        <v>379</v>
      </c>
      <c r="O1193" s="44" t="s">
        <v>399</v>
      </c>
      <c r="P1193" s="47" t="str">
        <f aca="false">_xlfn.CONCAT(B1193,C1193,D1193,E1193,F1193)</f>
        <v>BC Caiaponia2.3215KTL-H3(MBUS-16)46017.621527777846017.621527777846017.8263888889</v>
      </c>
      <c r="Q1193" s="44" t="str">
        <f aca="false">_xlfn.CONCAT(H1193,I1193,J1193)</f>
        <v>DAURDE</v>
      </c>
    </row>
    <row r="1194" customFormat="false" ht="15" hidden="true" customHeight="false" outlineLevel="0" collapsed="false">
      <c r="B1194" s="1" t="s">
        <v>685</v>
      </c>
      <c r="C1194" s="1" t="s">
        <v>255</v>
      </c>
      <c r="D1194" s="14" t="n">
        <v>46009.0243055556</v>
      </c>
      <c r="E1194" s="14" t="n">
        <v>46009.0243055556</v>
      </c>
      <c r="F1194" s="14" t="n">
        <v>46009.4583333333</v>
      </c>
      <c r="G1194" s="46" t="n">
        <f aca="false">F1194-E1194</f>
        <v>0.434027777777778</v>
      </c>
      <c r="H1194" s="20" t="s">
        <v>248</v>
      </c>
      <c r="J1194" s="20" t="s">
        <v>256</v>
      </c>
      <c r="K1194" s="1" t="e">
        <f aca="false">_xlfn.xlookup(J1194,REF!$D$2:$D$12,REF!$E$2:$E$12)</f>
        <v>#NAME?</v>
      </c>
      <c r="L1194" s="1" t="s">
        <v>912</v>
      </c>
      <c r="M1194" s="20" t="s">
        <v>258</v>
      </c>
      <c r="N1194" s="20" t="s">
        <v>259</v>
      </c>
      <c r="O1194" s="1" t="s">
        <v>399</v>
      </c>
      <c r="P1194" s="1" t="str">
        <f aca="false">_xlfn.CONCAT(B1194,C1194,D1194,E1194,F1194)</f>
        <v>BC Camarao1.1Inverter(MBUS-1)46009.024305555646009.024305555646009.4583333333</v>
      </c>
      <c r="Q1194" s="1" t="str">
        <f aca="false">_xlfn.CONCAT(H1194,I1194,J1194)</f>
        <v>DAURDE</v>
      </c>
    </row>
    <row r="1195" customFormat="false" ht="15" hidden="true" customHeight="false" outlineLevel="0" collapsed="false">
      <c r="B1195" s="1" t="s">
        <v>685</v>
      </c>
      <c r="C1195" s="1" t="s">
        <v>396</v>
      </c>
      <c r="D1195" s="14" t="n">
        <v>46009.0243055556</v>
      </c>
      <c r="E1195" s="14" t="n">
        <v>46009.0243055556</v>
      </c>
      <c r="F1195" s="14" t="n">
        <v>46009.4583333333</v>
      </c>
      <c r="G1195" s="46" t="n">
        <f aca="false">F1195-E1195</f>
        <v>0.434027777777778</v>
      </c>
      <c r="H1195" s="20" t="s">
        <v>248</v>
      </c>
      <c r="J1195" s="20" t="s">
        <v>256</v>
      </c>
      <c r="K1195" s="1" t="e">
        <f aca="false">_xlfn.xlookup(J1195,REF!$D$2:$D$12,REF!$E$2:$E$12)</f>
        <v>#NAME?</v>
      </c>
      <c r="L1195" s="1" t="s">
        <v>912</v>
      </c>
      <c r="M1195" s="20" t="s">
        <v>258</v>
      </c>
      <c r="N1195" s="20" t="s">
        <v>259</v>
      </c>
      <c r="O1195" s="1" t="s">
        <v>399</v>
      </c>
      <c r="P1195" s="1" t="str">
        <f aca="false">_xlfn.CONCAT(B1195,C1195,D1195,E1195,F1195)</f>
        <v>BC Camarao1.1215KTL-H3(MBUS-12)46009.024305555646009.024305555646009.4583333333</v>
      </c>
      <c r="Q1195" s="1" t="str">
        <f aca="false">_xlfn.CONCAT(H1195,I1195,J1195)</f>
        <v>DAURDE</v>
      </c>
    </row>
    <row r="1196" customFormat="false" ht="15" hidden="true" customHeight="false" outlineLevel="0" collapsed="false">
      <c r="B1196" s="1" t="s">
        <v>685</v>
      </c>
      <c r="C1196" s="1" t="s">
        <v>397</v>
      </c>
      <c r="D1196" s="14" t="n">
        <v>46009.0243055556</v>
      </c>
      <c r="E1196" s="14" t="n">
        <v>46009.0243055556</v>
      </c>
      <c r="F1196" s="14" t="n">
        <v>46009.4583333333</v>
      </c>
      <c r="G1196" s="46" t="n">
        <f aca="false">F1196-E1196</f>
        <v>0.434027777777778</v>
      </c>
      <c r="H1196" s="20" t="s">
        <v>248</v>
      </c>
      <c r="J1196" s="20" t="s">
        <v>256</v>
      </c>
      <c r="K1196" s="1" t="e">
        <f aca="false">_xlfn.xlookup(J1196,REF!$D$2:$D$12,REF!$E$2:$E$12)</f>
        <v>#NAME?</v>
      </c>
      <c r="L1196" s="1" t="s">
        <v>912</v>
      </c>
      <c r="M1196" s="20" t="s">
        <v>258</v>
      </c>
      <c r="N1196" s="20" t="s">
        <v>259</v>
      </c>
      <c r="O1196" s="1" t="s">
        <v>399</v>
      </c>
      <c r="P1196" s="1" t="str">
        <f aca="false">_xlfn.CONCAT(B1196,C1196,D1196,E1196,F1196)</f>
        <v>BC Camarao1.1215KTL-H3(MBUS-13)46009.024305555646009.024305555646009.4583333333</v>
      </c>
      <c r="Q1196" s="1" t="str">
        <f aca="false">_xlfn.CONCAT(H1196,I1196,J1196)</f>
        <v>DAURDE</v>
      </c>
    </row>
    <row r="1197" customFormat="false" ht="15" hidden="true" customHeight="false" outlineLevel="0" collapsed="false">
      <c r="B1197" s="1" t="s">
        <v>685</v>
      </c>
      <c r="C1197" s="1" t="s">
        <v>391</v>
      </c>
      <c r="D1197" s="14" t="n">
        <v>46009.0243055556</v>
      </c>
      <c r="E1197" s="14" t="n">
        <v>46009.0243055556</v>
      </c>
      <c r="F1197" s="14" t="n">
        <v>46009.4583333333</v>
      </c>
      <c r="G1197" s="46" t="n">
        <f aca="false">F1197-E1197</f>
        <v>0.434027777777778</v>
      </c>
      <c r="H1197" s="20" t="s">
        <v>248</v>
      </c>
      <c r="J1197" s="20" t="s">
        <v>256</v>
      </c>
      <c r="K1197" s="1" t="e">
        <f aca="false">_xlfn.xlookup(J1197,REF!$D$2:$D$12,REF!$E$2:$E$12)</f>
        <v>#NAME?</v>
      </c>
      <c r="L1197" s="1" t="s">
        <v>912</v>
      </c>
      <c r="M1197" s="20" t="s">
        <v>258</v>
      </c>
      <c r="N1197" s="20" t="s">
        <v>259</v>
      </c>
      <c r="O1197" s="1" t="s">
        <v>399</v>
      </c>
      <c r="P1197" s="1" t="str">
        <f aca="false">_xlfn.CONCAT(B1197,C1197,D1197,E1197,F1197)</f>
        <v>BC Camarao1.1215KTL-H3(MBUS-16)46009.024305555646009.024305555646009.4583333333</v>
      </c>
      <c r="Q1197" s="1" t="str">
        <f aca="false">_xlfn.CONCAT(H1197,I1197,J1197)</f>
        <v>DAURDE</v>
      </c>
    </row>
    <row r="1198" customFormat="false" ht="15" hidden="true" customHeight="false" outlineLevel="0" collapsed="false">
      <c r="B1198" s="1" t="s">
        <v>685</v>
      </c>
      <c r="C1198" s="1" t="s">
        <v>395</v>
      </c>
      <c r="D1198" s="14" t="n">
        <v>46009.0243055556</v>
      </c>
      <c r="E1198" s="14" t="n">
        <v>46009.0243055556</v>
      </c>
      <c r="F1198" s="14" t="n">
        <v>46009.4583333333</v>
      </c>
      <c r="G1198" s="46" t="n">
        <f aca="false">F1198-E1198</f>
        <v>0.434027777777778</v>
      </c>
      <c r="H1198" s="20" t="s">
        <v>248</v>
      </c>
      <c r="J1198" s="20" t="s">
        <v>256</v>
      </c>
      <c r="K1198" s="1" t="e">
        <f aca="false">_xlfn.xlookup(J1198,REF!$D$2:$D$12,REF!$E$2:$E$12)</f>
        <v>#NAME?</v>
      </c>
      <c r="L1198" s="1" t="s">
        <v>912</v>
      </c>
      <c r="M1198" s="20" t="s">
        <v>258</v>
      </c>
      <c r="N1198" s="20" t="s">
        <v>259</v>
      </c>
      <c r="O1198" s="1" t="s">
        <v>399</v>
      </c>
      <c r="P1198" s="1" t="str">
        <f aca="false">_xlfn.CONCAT(B1198,C1198,D1198,E1198,F1198)</f>
        <v>BC Camarao1.1215KTL-H3(MBUS-15)46009.024305555646009.024305555646009.4583333333</v>
      </c>
      <c r="Q1198" s="1" t="str">
        <f aca="false">_xlfn.CONCAT(H1198,I1198,J1198)</f>
        <v>DAURDE</v>
      </c>
    </row>
    <row r="1199" customFormat="false" ht="15" hidden="true" customHeight="false" outlineLevel="0" collapsed="false">
      <c r="A1199" s="43"/>
      <c r="B1199" s="44" t="s">
        <v>685</v>
      </c>
      <c r="C1199" s="44" t="s">
        <v>255</v>
      </c>
      <c r="D1199" s="45" t="n">
        <v>46018.2361111111</v>
      </c>
      <c r="E1199" s="45" t="n">
        <v>46018.2361111111</v>
      </c>
      <c r="F1199" s="45" t="n">
        <v>46018.3159722222</v>
      </c>
      <c r="G1199" s="46" t="n">
        <f aca="false">F1199-E1199</f>
        <v>0.0798611111111111</v>
      </c>
      <c r="H1199" s="44" t="s">
        <v>248</v>
      </c>
      <c r="I1199" s="44"/>
      <c r="J1199" s="44" t="s">
        <v>230</v>
      </c>
      <c r="K1199" s="44" t="s">
        <v>230</v>
      </c>
      <c r="L1199" s="44" t="s">
        <v>913</v>
      </c>
      <c r="M1199" s="44" t="s">
        <v>783</v>
      </c>
      <c r="N1199" s="44" t="s">
        <v>252</v>
      </c>
      <c r="O1199" s="44" t="s">
        <v>914</v>
      </c>
      <c r="P1199" s="47" t="str">
        <f aca="false">_xlfn.CONCAT(B1199,C1199,D1199,E1199,F1199)</f>
        <v>BC Camarao1.1Inverter(MBUS-1)46018.236111111146018.236111111146018.3159722222</v>
      </c>
      <c r="Q1199" s="44" t="str">
        <f aca="false">_xlfn.CONCAT(H1199,I1199,J1199)</f>
        <v>DAUUFV</v>
      </c>
    </row>
    <row r="1200" customFormat="false" ht="15" hidden="true" customHeight="false" outlineLevel="0" collapsed="false">
      <c r="A1200" s="43"/>
      <c r="B1200" s="44" t="s">
        <v>685</v>
      </c>
      <c r="C1200" s="44" t="s">
        <v>396</v>
      </c>
      <c r="D1200" s="45" t="n">
        <v>46018.2361111111</v>
      </c>
      <c r="E1200" s="45" t="n">
        <v>46018.2361111111</v>
      </c>
      <c r="F1200" s="45" t="n">
        <v>46018.3159722222</v>
      </c>
      <c r="G1200" s="46" t="n">
        <f aca="false">F1200-E1200</f>
        <v>0.0798611111111111</v>
      </c>
      <c r="H1200" s="44" t="s">
        <v>248</v>
      </c>
      <c r="I1200" s="44"/>
      <c r="J1200" s="44" t="s">
        <v>230</v>
      </c>
      <c r="K1200" s="44" t="s">
        <v>230</v>
      </c>
      <c r="L1200" s="44" t="s">
        <v>913</v>
      </c>
      <c r="M1200" s="44" t="s">
        <v>783</v>
      </c>
      <c r="N1200" s="44" t="s">
        <v>252</v>
      </c>
      <c r="O1200" s="44" t="s">
        <v>914</v>
      </c>
      <c r="P1200" s="47" t="str">
        <f aca="false">_xlfn.CONCAT(B1200,C1200,D1200,E1200,F1200)</f>
        <v>BC Camarao1.1215KTL-H3(MBUS-12)46018.236111111146018.236111111146018.3159722222</v>
      </c>
      <c r="Q1200" s="44" t="str">
        <f aca="false">_xlfn.CONCAT(H1200,I1200,J1200)</f>
        <v>DAUUFV</v>
      </c>
    </row>
    <row r="1201" customFormat="false" ht="15" hidden="true" customHeight="false" outlineLevel="0" collapsed="false">
      <c r="A1201" s="43"/>
      <c r="B1201" s="44" t="s">
        <v>685</v>
      </c>
      <c r="C1201" s="44" t="s">
        <v>397</v>
      </c>
      <c r="D1201" s="45" t="n">
        <v>46018.2361111111</v>
      </c>
      <c r="E1201" s="45" t="n">
        <v>46018.2361111111</v>
      </c>
      <c r="F1201" s="45" t="n">
        <v>46018.3159722222</v>
      </c>
      <c r="G1201" s="46" t="n">
        <f aca="false">F1201-E1201</f>
        <v>0.0798611111111111</v>
      </c>
      <c r="H1201" s="44" t="s">
        <v>248</v>
      </c>
      <c r="I1201" s="44"/>
      <c r="J1201" s="44" t="s">
        <v>230</v>
      </c>
      <c r="K1201" s="44" t="s">
        <v>230</v>
      </c>
      <c r="L1201" s="44" t="s">
        <v>913</v>
      </c>
      <c r="M1201" s="44" t="s">
        <v>783</v>
      </c>
      <c r="N1201" s="44" t="s">
        <v>252</v>
      </c>
      <c r="O1201" s="44" t="s">
        <v>914</v>
      </c>
      <c r="P1201" s="47" t="str">
        <f aca="false">_xlfn.CONCAT(B1201,C1201,D1201,E1201,F1201)</f>
        <v>BC Camarao1.1215KTL-H3(MBUS-13)46018.236111111146018.236111111146018.3159722222</v>
      </c>
      <c r="Q1201" s="44" t="str">
        <f aca="false">_xlfn.CONCAT(H1201,I1201,J1201)</f>
        <v>DAUUFV</v>
      </c>
    </row>
    <row r="1202" customFormat="false" ht="15" hidden="true" customHeight="false" outlineLevel="0" collapsed="false">
      <c r="A1202" s="43"/>
      <c r="B1202" s="44" t="s">
        <v>685</v>
      </c>
      <c r="C1202" s="44" t="s">
        <v>391</v>
      </c>
      <c r="D1202" s="45" t="n">
        <v>46018.2361111111</v>
      </c>
      <c r="E1202" s="45" t="n">
        <v>46018.2361111111</v>
      </c>
      <c r="F1202" s="45" t="n">
        <v>46018.3159722222</v>
      </c>
      <c r="G1202" s="46" t="n">
        <f aca="false">F1202-E1202</f>
        <v>0.0798611111111111</v>
      </c>
      <c r="H1202" s="44" t="s">
        <v>248</v>
      </c>
      <c r="I1202" s="44"/>
      <c r="J1202" s="44" t="s">
        <v>230</v>
      </c>
      <c r="K1202" s="44" t="s">
        <v>230</v>
      </c>
      <c r="L1202" s="44" t="s">
        <v>913</v>
      </c>
      <c r="M1202" s="44" t="s">
        <v>783</v>
      </c>
      <c r="N1202" s="44" t="s">
        <v>252</v>
      </c>
      <c r="O1202" s="44" t="s">
        <v>914</v>
      </c>
      <c r="P1202" s="47" t="str">
        <f aca="false">_xlfn.CONCAT(B1202,C1202,D1202,E1202,F1202)</f>
        <v>BC Camarao1.1215KTL-H3(MBUS-16)46018.236111111146018.236111111146018.3159722222</v>
      </c>
      <c r="Q1202" s="44" t="str">
        <f aca="false">_xlfn.CONCAT(H1202,I1202,J1202)</f>
        <v>DAUUFV</v>
      </c>
    </row>
    <row r="1203" customFormat="false" ht="15" hidden="true" customHeight="false" outlineLevel="0" collapsed="false">
      <c r="A1203" s="43"/>
      <c r="B1203" s="44" t="s">
        <v>685</v>
      </c>
      <c r="C1203" s="44" t="s">
        <v>395</v>
      </c>
      <c r="D1203" s="45" t="n">
        <v>46018.2361111111</v>
      </c>
      <c r="E1203" s="45" t="n">
        <v>46018.2361111111</v>
      </c>
      <c r="F1203" s="45" t="n">
        <v>46018.3159722222</v>
      </c>
      <c r="G1203" s="46" t="n">
        <f aca="false">F1203-E1203</f>
        <v>0.0798611111111111</v>
      </c>
      <c r="H1203" s="44" t="s">
        <v>248</v>
      </c>
      <c r="I1203" s="44"/>
      <c r="J1203" s="44" t="s">
        <v>230</v>
      </c>
      <c r="K1203" s="44" t="s">
        <v>230</v>
      </c>
      <c r="L1203" s="44" t="s">
        <v>913</v>
      </c>
      <c r="M1203" s="44" t="s">
        <v>783</v>
      </c>
      <c r="N1203" s="44" t="s">
        <v>252</v>
      </c>
      <c r="O1203" s="44" t="s">
        <v>914</v>
      </c>
      <c r="P1203" s="47" t="str">
        <f aca="false">_xlfn.CONCAT(B1203,C1203,D1203,E1203,F1203)</f>
        <v>BC Camarao1.1215KTL-H3(MBUS-15)46018.236111111146018.236111111146018.3159722222</v>
      </c>
      <c r="Q1203" s="44" t="str">
        <f aca="false">_xlfn.CONCAT(H1203,I1203,J1203)</f>
        <v>DAUUFV</v>
      </c>
    </row>
    <row r="1204" customFormat="false" ht="15" hidden="true" customHeight="false" outlineLevel="0" collapsed="false">
      <c r="B1204" s="1" t="s">
        <v>814</v>
      </c>
      <c r="C1204" s="1" t="s">
        <v>543</v>
      </c>
      <c r="D1204" s="14" t="n">
        <v>46019.3645833333</v>
      </c>
      <c r="E1204" s="14" t="n">
        <v>46019.3645833333</v>
      </c>
      <c r="F1204" s="14" t="n">
        <v>46019.5277777778</v>
      </c>
      <c r="G1204" s="49" t="n">
        <f aca="false">+F1204-E1204</f>
        <v>0.163194444444444</v>
      </c>
      <c r="H1204" s="1" t="s">
        <v>248</v>
      </c>
      <c r="J1204" s="1" t="s">
        <v>256</v>
      </c>
      <c r="K1204" s="1" t="s">
        <v>430</v>
      </c>
      <c r="L1204" s="1" t="s">
        <v>796</v>
      </c>
      <c r="M1204" s="1" t="s">
        <v>258</v>
      </c>
      <c r="N1204" s="1" t="s">
        <v>379</v>
      </c>
      <c r="O1204" s="1" t="s">
        <v>399</v>
      </c>
      <c r="P1204" s="1" t="str">
        <f aca="false">_xlfn.CONCAT(B1204,C1204,D1204,E1204,F1204)</f>
        <v>Caiaponia ISG60KTL(COM1-001)_001_00746019.364583333346019.364583333346019.5277777778</v>
      </c>
      <c r="Q1204" s="1" t="str">
        <f aca="false">_xlfn.CONCAT(H1204,I1204,J1204)</f>
        <v>DAURDE</v>
      </c>
    </row>
    <row r="1205" customFormat="false" ht="15" hidden="true" customHeight="false" outlineLevel="0" collapsed="false">
      <c r="B1205" s="1" t="s">
        <v>814</v>
      </c>
      <c r="C1205" s="1" t="s">
        <v>545</v>
      </c>
      <c r="D1205" s="14" t="n">
        <v>46019.3645833333</v>
      </c>
      <c r="E1205" s="14" t="n">
        <v>46019.3645833333</v>
      </c>
      <c r="F1205" s="14" t="n">
        <v>46019.5277777778</v>
      </c>
      <c r="G1205" s="49" t="n">
        <f aca="false">F1205-E1205</f>
        <v>0.163194444444444</v>
      </c>
      <c r="H1205" s="1" t="s">
        <v>248</v>
      </c>
      <c r="J1205" s="1" t="s">
        <v>256</v>
      </c>
      <c r="K1205" s="1" t="s">
        <v>430</v>
      </c>
      <c r="L1205" s="1" t="s">
        <v>796</v>
      </c>
      <c r="M1205" s="1" t="s">
        <v>258</v>
      </c>
      <c r="N1205" s="1" t="s">
        <v>379</v>
      </c>
      <c r="O1205" s="1" t="s">
        <v>399</v>
      </c>
      <c r="P1205" s="1" t="str">
        <f aca="false">_xlfn.CONCAT(B1205,C1205,D1205,E1205,F1205)</f>
        <v>Caiaponia ISG60KTL(COM1-002)_001_01046019.364583333346019.364583333346019.5277777778</v>
      </c>
      <c r="Q1205" s="1" t="str">
        <f aca="false">_xlfn.CONCAT(H1205,I1205,J1205)</f>
        <v>DAURDE</v>
      </c>
    </row>
    <row r="1206" customFormat="false" ht="15" hidden="true" customHeight="false" outlineLevel="0" collapsed="false">
      <c r="B1206" s="1" t="s">
        <v>814</v>
      </c>
      <c r="C1206" s="1" t="s">
        <v>546</v>
      </c>
      <c r="D1206" s="14" t="n">
        <v>46019.3645833333</v>
      </c>
      <c r="E1206" s="14" t="n">
        <v>46019.3645833333</v>
      </c>
      <c r="F1206" s="14" t="n">
        <v>46019.5277777778</v>
      </c>
      <c r="G1206" s="49" t="n">
        <f aca="false">F1206-E1206</f>
        <v>0.163194444444444</v>
      </c>
      <c r="H1206" s="1" t="s">
        <v>248</v>
      </c>
      <c r="J1206" s="1" t="s">
        <v>256</v>
      </c>
      <c r="K1206" s="1" t="s">
        <v>430</v>
      </c>
      <c r="L1206" s="1" t="s">
        <v>796</v>
      </c>
      <c r="M1206" s="1" t="s">
        <v>258</v>
      </c>
      <c r="N1206" s="1" t="s">
        <v>379</v>
      </c>
      <c r="O1206" s="1" t="s">
        <v>399</v>
      </c>
      <c r="P1206" s="1" t="str">
        <f aca="false">_xlfn.CONCAT(B1206,C1206,D1206,E1206,F1206)</f>
        <v>Caiaponia ISG60KTL(COM1-003)_001_01146019.364583333346019.364583333346019.5277777778</v>
      </c>
      <c r="Q1206" s="1" t="str">
        <f aca="false">_xlfn.CONCAT(H1206,I1206,J1206)</f>
        <v>DAURDE</v>
      </c>
    </row>
    <row r="1207" customFormat="false" ht="15" hidden="true" customHeight="false" outlineLevel="0" collapsed="false">
      <c r="B1207" s="1" t="s">
        <v>814</v>
      </c>
      <c r="C1207" s="1" t="s">
        <v>547</v>
      </c>
      <c r="D1207" s="14" t="n">
        <v>46019.3645833333</v>
      </c>
      <c r="E1207" s="14" t="n">
        <v>46019.3645833333</v>
      </c>
      <c r="F1207" s="14" t="n">
        <v>46019.5277777778</v>
      </c>
      <c r="G1207" s="49" t="n">
        <f aca="false">F1207-E1207</f>
        <v>0.163194444444444</v>
      </c>
      <c r="H1207" s="1" t="s">
        <v>248</v>
      </c>
      <c r="J1207" s="1" t="s">
        <v>256</v>
      </c>
      <c r="K1207" s="1" t="s">
        <v>430</v>
      </c>
      <c r="L1207" s="1" t="s">
        <v>796</v>
      </c>
      <c r="M1207" s="1" t="s">
        <v>258</v>
      </c>
      <c r="N1207" s="1" t="s">
        <v>379</v>
      </c>
      <c r="O1207" s="1" t="s">
        <v>399</v>
      </c>
      <c r="P1207" s="1" t="str">
        <f aca="false">_xlfn.CONCAT(B1207,C1207,D1207,E1207,F1207)</f>
        <v>Caiaponia ISG60KTL(COM1-004)_001_01446019.364583333346019.364583333346019.5277777778</v>
      </c>
      <c r="Q1207" s="1" t="str">
        <f aca="false">_xlfn.CONCAT(H1207,I1207,J1207)</f>
        <v>DAURDE</v>
      </c>
    </row>
    <row r="1208" customFormat="false" ht="15" hidden="true" customHeight="false" outlineLevel="0" collapsed="false">
      <c r="B1208" s="1" t="s">
        <v>814</v>
      </c>
      <c r="C1208" s="1" t="s">
        <v>548</v>
      </c>
      <c r="D1208" s="14" t="n">
        <v>46019.3645833333</v>
      </c>
      <c r="E1208" s="14" t="n">
        <v>46019.3645833333</v>
      </c>
      <c r="F1208" s="14" t="n">
        <v>46019.5277777778</v>
      </c>
      <c r="G1208" s="49" t="n">
        <f aca="false">F1208-E1208</f>
        <v>0.163194444444444</v>
      </c>
      <c r="H1208" s="1" t="s">
        <v>248</v>
      </c>
      <c r="J1208" s="1" t="s">
        <v>256</v>
      </c>
      <c r="K1208" s="1" t="s">
        <v>430</v>
      </c>
      <c r="L1208" s="1" t="s">
        <v>796</v>
      </c>
      <c r="M1208" s="1" t="s">
        <v>258</v>
      </c>
      <c r="N1208" s="1" t="s">
        <v>379</v>
      </c>
      <c r="O1208" s="1" t="s">
        <v>399</v>
      </c>
      <c r="P1208" s="1" t="str">
        <f aca="false">_xlfn.CONCAT(B1208,C1208,D1208,E1208,F1208)</f>
        <v>Caiaponia ISG60KTL(COM1-005)_001_01746019.364583333346019.364583333346019.5277777778</v>
      </c>
      <c r="Q1208" s="1" t="str">
        <f aca="false">_xlfn.CONCAT(H1208,I1208,J1208)</f>
        <v>DAURDE</v>
      </c>
    </row>
    <row r="1209" customFormat="false" ht="15" hidden="true" customHeight="false" outlineLevel="0" collapsed="false">
      <c r="B1209" s="1" t="s">
        <v>814</v>
      </c>
      <c r="C1209" s="1" t="s">
        <v>549</v>
      </c>
      <c r="D1209" s="14" t="n">
        <v>46019.3645833333</v>
      </c>
      <c r="E1209" s="14" t="n">
        <v>46019.3645833333</v>
      </c>
      <c r="F1209" s="14" t="n">
        <v>46019.5277777778</v>
      </c>
      <c r="G1209" s="49" t="n">
        <f aca="false">F1209-E1209</f>
        <v>0.163194444444444</v>
      </c>
      <c r="H1209" s="1" t="s">
        <v>248</v>
      </c>
      <c r="J1209" s="1" t="s">
        <v>256</v>
      </c>
      <c r="K1209" s="1" t="s">
        <v>430</v>
      </c>
      <c r="L1209" s="1" t="s">
        <v>796</v>
      </c>
      <c r="M1209" s="1" t="s">
        <v>258</v>
      </c>
      <c r="N1209" s="1" t="s">
        <v>379</v>
      </c>
      <c r="O1209" s="1" t="s">
        <v>399</v>
      </c>
      <c r="P1209" s="1" t="str">
        <f aca="false">_xlfn.CONCAT(B1209,C1209,D1209,E1209,F1209)</f>
        <v>Caiaponia ISG60KTL(COM1-006)_001_01646019.364583333346019.364583333346019.5277777778</v>
      </c>
      <c r="Q1209" s="1" t="str">
        <f aca="false">_xlfn.CONCAT(H1209,I1209,J1209)</f>
        <v>DAURDE</v>
      </c>
    </row>
    <row r="1210" customFormat="false" ht="15" hidden="true" customHeight="false" outlineLevel="0" collapsed="false">
      <c r="B1210" s="1" t="s">
        <v>814</v>
      </c>
      <c r="C1210" s="1" t="s">
        <v>550</v>
      </c>
      <c r="D1210" s="14" t="n">
        <v>46019.3645833333</v>
      </c>
      <c r="E1210" s="14" t="n">
        <v>46019.3645833333</v>
      </c>
      <c r="F1210" s="14" t="n">
        <v>46019.5277777778</v>
      </c>
      <c r="G1210" s="49" t="n">
        <f aca="false">F1210-E1210</f>
        <v>0.163194444444444</v>
      </c>
      <c r="H1210" s="1" t="s">
        <v>248</v>
      </c>
      <c r="J1210" s="1" t="s">
        <v>256</v>
      </c>
      <c r="K1210" s="1" t="s">
        <v>430</v>
      </c>
      <c r="L1210" s="1" t="s">
        <v>796</v>
      </c>
      <c r="M1210" s="1" t="s">
        <v>258</v>
      </c>
      <c r="N1210" s="1" t="s">
        <v>379</v>
      </c>
      <c r="O1210" s="1" t="s">
        <v>399</v>
      </c>
      <c r="P1210" s="1" t="str">
        <f aca="false">_xlfn.CONCAT(B1210,C1210,D1210,E1210,F1210)</f>
        <v>Caiaponia ISG60KTL(COM1-007)_001_01346019.364583333346019.364583333346019.5277777778</v>
      </c>
      <c r="Q1210" s="1" t="str">
        <f aca="false">_xlfn.CONCAT(H1210,I1210,J1210)</f>
        <v>DAURDE</v>
      </c>
    </row>
    <row r="1211" customFormat="false" ht="15" hidden="true" customHeight="false" outlineLevel="0" collapsed="false">
      <c r="B1211" s="1" t="s">
        <v>814</v>
      </c>
      <c r="C1211" s="1" t="s">
        <v>551</v>
      </c>
      <c r="D1211" s="14" t="n">
        <v>46019.3645833333</v>
      </c>
      <c r="E1211" s="14" t="n">
        <v>46019.3645833333</v>
      </c>
      <c r="F1211" s="14" t="n">
        <v>46019.5277777778</v>
      </c>
      <c r="G1211" s="49" t="n">
        <f aca="false">F1211-E1211</f>
        <v>0.163194444444444</v>
      </c>
      <c r="H1211" s="1" t="s">
        <v>248</v>
      </c>
      <c r="J1211" s="1" t="s">
        <v>256</v>
      </c>
      <c r="K1211" s="1" t="s">
        <v>430</v>
      </c>
      <c r="L1211" s="1" t="s">
        <v>796</v>
      </c>
      <c r="M1211" s="1" t="s">
        <v>258</v>
      </c>
      <c r="N1211" s="1" t="s">
        <v>379</v>
      </c>
      <c r="O1211" s="1" t="s">
        <v>399</v>
      </c>
      <c r="P1211" s="1" t="str">
        <f aca="false">_xlfn.CONCAT(B1211,C1211,D1211,E1211,F1211)</f>
        <v>Caiaponia ISG60KTL(COM1-008)_001_00146019.364583333346019.364583333346019.5277777778</v>
      </c>
      <c r="Q1211" s="1" t="str">
        <f aca="false">_xlfn.CONCAT(H1211,I1211,J1211)</f>
        <v>DAURDE</v>
      </c>
    </row>
    <row r="1212" customFormat="false" ht="15" hidden="true" customHeight="false" outlineLevel="0" collapsed="false">
      <c r="B1212" s="1" t="s">
        <v>815</v>
      </c>
      <c r="C1212" s="1" t="s">
        <v>552</v>
      </c>
      <c r="D1212" s="14" t="n">
        <v>46019.3645833333</v>
      </c>
      <c r="E1212" s="14" t="n">
        <v>46019.3645833333</v>
      </c>
      <c r="F1212" s="14" t="n">
        <v>46019.5277777778</v>
      </c>
      <c r="G1212" s="49" t="n">
        <f aca="false">F1212-E1212</f>
        <v>0.163194444444444</v>
      </c>
      <c r="H1212" s="1" t="s">
        <v>248</v>
      </c>
      <c r="J1212" s="1" t="s">
        <v>256</v>
      </c>
      <c r="K1212" s="1" t="s">
        <v>430</v>
      </c>
      <c r="L1212" s="1" t="s">
        <v>796</v>
      </c>
      <c r="M1212" s="1" t="s">
        <v>258</v>
      </c>
      <c r="N1212" s="1" t="s">
        <v>379</v>
      </c>
      <c r="O1212" s="1" t="s">
        <v>399</v>
      </c>
      <c r="P1212" s="1" t="str">
        <f aca="false">_xlfn.CONCAT(B1212,C1212,D1212,E1212,F1212)</f>
        <v>Caiaponia IISG60KTL(COM1-009)46019.364583333346019.364583333346019.5277777778</v>
      </c>
      <c r="Q1212" s="1" t="str">
        <f aca="false">_xlfn.CONCAT(H1212,I1212,J1212)</f>
        <v>DAURDE</v>
      </c>
    </row>
    <row r="1213" customFormat="false" ht="15" hidden="true" customHeight="false" outlineLevel="0" collapsed="false">
      <c r="B1213" s="1" t="s">
        <v>815</v>
      </c>
      <c r="C1213" s="1" t="s">
        <v>553</v>
      </c>
      <c r="D1213" s="14" t="n">
        <v>46019.3645833333</v>
      </c>
      <c r="E1213" s="14" t="n">
        <v>46019.3645833333</v>
      </c>
      <c r="F1213" s="14" t="n">
        <v>46019.5277777778</v>
      </c>
      <c r="G1213" s="49" t="n">
        <f aca="false">F1213-E1213</f>
        <v>0.163194444444444</v>
      </c>
      <c r="H1213" s="1" t="s">
        <v>248</v>
      </c>
      <c r="J1213" s="1" t="s">
        <v>256</v>
      </c>
      <c r="K1213" s="1" t="s">
        <v>430</v>
      </c>
      <c r="L1213" s="1" t="s">
        <v>796</v>
      </c>
      <c r="M1213" s="1" t="s">
        <v>258</v>
      </c>
      <c r="N1213" s="1" t="s">
        <v>379</v>
      </c>
      <c r="O1213" s="1" t="s">
        <v>399</v>
      </c>
      <c r="P1213" s="1" t="str">
        <f aca="false">_xlfn.CONCAT(B1213,C1213,D1213,E1213,F1213)</f>
        <v>Caiaponia IISG60KTL(COM1-010)46019.364583333346019.364583333346019.5277777778</v>
      </c>
      <c r="Q1213" s="1" t="str">
        <f aca="false">_xlfn.CONCAT(H1213,I1213,J1213)</f>
        <v>DAURDE</v>
      </c>
    </row>
    <row r="1214" customFormat="false" ht="15" hidden="true" customHeight="false" outlineLevel="0" collapsed="false">
      <c r="B1214" s="1" t="s">
        <v>815</v>
      </c>
      <c r="C1214" s="1" t="s">
        <v>554</v>
      </c>
      <c r="D1214" s="14" t="n">
        <v>46019.3645833333</v>
      </c>
      <c r="E1214" s="14" t="n">
        <v>46019.3645833333</v>
      </c>
      <c r="F1214" s="14" t="n">
        <v>46019.5277777778</v>
      </c>
      <c r="G1214" s="49" t="n">
        <f aca="false">F1214-E1214</f>
        <v>0.163194444444444</v>
      </c>
      <c r="H1214" s="1" t="s">
        <v>248</v>
      </c>
      <c r="J1214" s="1" t="s">
        <v>256</v>
      </c>
      <c r="K1214" s="1" t="s">
        <v>430</v>
      </c>
      <c r="L1214" s="1" t="s">
        <v>796</v>
      </c>
      <c r="M1214" s="1" t="s">
        <v>258</v>
      </c>
      <c r="N1214" s="1" t="s">
        <v>379</v>
      </c>
      <c r="O1214" s="1" t="s">
        <v>399</v>
      </c>
      <c r="P1214" s="1" t="str">
        <f aca="false">_xlfn.CONCAT(B1214,C1214,D1214,E1214,F1214)</f>
        <v>Caiaponia IISG60KTL(COM1-011)46019.364583333346019.364583333346019.5277777778</v>
      </c>
      <c r="Q1214" s="1" t="str">
        <f aca="false">_xlfn.CONCAT(H1214,I1214,J1214)</f>
        <v>DAURDE</v>
      </c>
    </row>
    <row r="1215" customFormat="false" ht="15" hidden="true" customHeight="false" outlineLevel="0" collapsed="false">
      <c r="B1215" s="1" t="s">
        <v>815</v>
      </c>
      <c r="C1215" s="1" t="s">
        <v>555</v>
      </c>
      <c r="D1215" s="14" t="n">
        <v>46019.3645833333</v>
      </c>
      <c r="E1215" s="14" t="n">
        <v>46019.3645833333</v>
      </c>
      <c r="F1215" s="14" t="n">
        <v>46019.5277777778</v>
      </c>
      <c r="G1215" s="49" t="n">
        <f aca="false">F1215-E1215</f>
        <v>0.163194444444444</v>
      </c>
      <c r="H1215" s="1" t="s">
        <v>248</v>
      </c>
      <c r="J1215" s="1" t="s">
        <v>256</v>
      </c>
      <c r="K1215" s="1" t="s">
        <v>430</v>
      </c>
      <c r="L1215" s="1" t="s">
        <v>796</v>
      </c>
      <c r="M1215" s="1" t="s">
        <v>258</v>
      </c>
      <c r="N1215" s="1" t="s">
        <v>379</v>
      </c>
      <c r="O1215" s="1" t="s">
        <v>399</v>
      </c>
      <c r="P1215" s="1" t="str">
        <f aca="false">_xlfn.CONCAT(B1215,C1215,D1215,E1215,F1215)</f>
        <v>Caiaponia IISG60KTL(COM1-012)46019.364583333346019.364583333346019.5277777778</v>
      </c>
      <c r="Q1215" s="1" t="str">
        <f aca="false">_xlfn.CONCAT(H1215,I1215,J1215)</f>
        <v>DAURDE</v>
      </c>
    </row>
    <row r="1216" customFormat="false" ht="15" hidden="true" customHeight="false" outlineLevel="0" collapsed="false">
      <c r="B1216" s="1" t="s">
        <v>815</v>
      </c>
      <c r="C1216" s="1" t="s">
        <v>556</v>
      </c>
      <c r="D1216" s="14" t="n">
        <v>46019.3645833333</v>
      </c>
      <c r="E1216" s="14" t="n">
        <v>46019.3645833333</v>
      </c>
      <c r="F1216" s="14" t="n">
        <v>46019.5277777778</v>
      </c>
      <c r="G1216" s="49" t="n">
        <f aca="false">F1216-E1216</f>
        <v>0.163194444444444</v>
      </c>
      <c r="H1216" s="1" t="s">
        <v>248</v>
      </c>
      <c r="J1216" s="1" t="s">
        <v>256</v>
      </c>
      <c r="K1216" s="1" t="s">
        <v>430</v>
      </c>
      <c r="L1216" s="1" t="s">
        <v>796</v>
      </c>
      <c r="M1216" s="1" t="s">
        <v>258</v>
      </c>
      <c r="N1216" s="1" t="s">
        <v>379</v>
      </c>
      <c r="O1216" s="1" t="s">
        <v>399</v>
      </c>
      <c r="P1216" s="1" t="str">
        <f aca="false">_xlfn.CONCAT(B1216,C1216,D1216,E1216,F1216)</f>
        <v>Caiaponia IISG60KTL(COM1-013)46019.364583333346019.364583333346019.5277777778</v>
      </c>
      <c r="Q1216" s="1" t="str">
        <f aca="false">_xlfn.CONCAT(H1216,I1216,J1216)</f>
        <v>DAURDE</v>
      </c>
    </row>
    <row r="1217" customFormat="false" ht="15" hidden="true" customHeight="false" outlineLevel="0" collapsed="false">
      <c r="B1217" s="1" t="s">
        <v>815</v>
      </c>
      <c r="C1217" s="1" t="s">
        <v>557</v>
      </c>
      <c r="D1217" s="14" t="n">
        <v>46019.3645833333</v>
      </c>
      <c r="E1217" s="14" t="n">
        <v>46019.3645833333</v>
      </c>
      <c r="F1217" s="14" t="n">
        <v>46019.5277777778</v>
      </c>
      <c r="G1217" s="49" t="n">
        <f aca="false">F1217-E1217</f>
        <v>0.163194444444444</v>
      </c>
      <c r="H1217" s="1" t="s">
        <v>248</v>
      </c>
      <c r="J1217" s="1" t="s">
        <v>256</v>
      </c>
      <c r="K1217" s="1" t="s">
        <v>430</v>
      </c>
      <c r="L1217" s="1" t="s">
        <v>796</v>
      </c>
      <c r="M1217" s="1" t="s">
        <v>258</v>
      </c>
      <c r="N1217" s="1" t="s">
        <v>379</v>
      </c>
      <c r="O1217" s="1" t="s">
        <v>399</v>
      </c>
      <c r="P1217" s="1" t="str">
        <f aca="false">_xlfn.CONCAT(B1217,C1217,D1217,E1217,F1217)</f>
        <v>Caiaponia IISG60KTL(COM1-014)46019.364583333346019.364583333346019.5277777778</v>
      </c>
      <c r="Q1217" s="1" t="str">
        <f aca="false">_xlfn.CONCAT(H1217,I1217,J1217)</f>
        <v>DAURDE</v>
      </c>
    </row>
    <row r="1218" customFormat="false" ht="15" hidden="true" customHeight="false" outlineLevel="0" collapsed="false">
      <c r="B1218" s="1" t="s">
        <v>815</v>
      </c>
      <c r="C1218" s="1" t="s">
        <v>558</v>
      </c>
      <c r="D1218" s="14" t="n">
        <v>46019.3645833333</v>
      </c>
      <c r="E1218" s="14" t="n">
        <v>46019.3645833333</v>
      </c>
      <c r="F1218" s="14" t="n">
        <v>46019.5277777778</v>
      </c>
      <c r="G1218" s="49" t="n">
        <f aca="false">F1218-E1218</f>
        <v>0.163194444444444</v>
      </c>
      <c r="H1218" s="1" t="s">
        <v>248</v>
      </c>
      <c r="J1218" s="1" t="s">
        <v>256</v>
      </c>
      <c r="K1218" s="1" t="s">
        <v>430</v>
      </c>
      <c r="L1218" s="1" t="s">
        <v>796</v>
      </c>
      <c r="M1218" s="1" t="s">
        <v>258</v>
      </c>
      <c r="N1218" s="1" t="s">
        <v>379</v>
      </c>
      <c r="O1218" s="1" t="s">
        <v>399</v>
      </c>
      <c r="P1218" s="1" t="str">
        <f aca="false">_xlfn.CONCAT(B1218,C1218,D1218,E1218,F1218)</f>
        <v>Caiaponia IISG60KTL(COM1-015)46019.364583333346019.364583333346019.5277777778</v>
      </c>
      <c r="Q1218" s="1" t="str">
        <f aca="false">_xlfn.CONCAT(H1218,I1218,J1218)</f>
        <v>DAURDE</v>
      </c>
    </row>
    <row r="1219" customFormat="false" ht="15" hidden="true" customHeight="false" outlineLevel="0" collapsed="false">
      <c r="B1219" s="1" t="s">
        <v>828</v>
      </c>
      <c r="C1219" s="1" t="s">
        <v>559</v>
      </c>
      <c r="D1219" s="14" t="n">
        <v>46019.3645833333</v>
      </c>
      <c r="E1219" s="14" t="n">
        <v>46019.3645833333</v>
      </c>
      <c r="F1219" s="14" t="n">
        <v>46019.5277777778</v>
      </c>
      <c r="G1219" s="49" t="n">
        <f aca="false">F1219-E1219</f>
        <v>0.163194444444444</v>
      </c>
      <c r="H1219" s="1" t="s">
        <v>248</v>
      </c>
      <c r="J1219" s="1" t="s">
        <v>256</v>
      </c>
      <c r="K1219" s="1" t="s">
        <v>430</v>
      </c>
      <c r="L1219" s="1" t="s">
        <v>796</v>
      </c>
      <c r="M1219" s="1" t="s">
        <v>258</v>
      </c>
      <c r="N1219" s="1" t="s">
        <v>379</v>
      </c>
      <c r="O1219" s="1" t="s">
        <v>399</v>
      </c>
      <c r="P1219" s="1" t="str">
        <f aca="false">_xlfn.CONCAT(B1219,C1219,D1219,E1219,F1219)</f>
        <v>Caiaponia IIISG60KTL(COM3-016)_001_00946019.364583333346019.364583333346019.5277777778</v>
      </c>
      <c r="Q1219" s="1" t="str">
        <f aca="false">_xlfn.CONCAT(H1219,I1219,J1219)</f>
        <v>DAURDE</v>
      </c>
    </row>
    <row r="1220" customFormat="false" ht="15" hidden="true" customHeight="false" outlineLevel="0" collapsed="false">
      <c r="B1220" s="1" t="s">
        <v>828</v>
      </c>
      <c r="C1220" s="1" t="s">
        <v>560</v>
      </c>
      <c r="D1220" s="14" t="n">
        <v>46019.3645833333</v>
      </c>
      <c r="E1220" s="14" t="n">
        <v>46019.3645833333</v>
      </c>
      <c r="F1220" s="14" t="n">
        <v>46019.5277777778</v>
      </c>
      <c r="G1220" s="49" t="n">
        <f aca="false">F1220-E1220</f>
        <v>0.163194444444444</v>
      </c>
      <c r="H1220" s="1" t="s">
        <v>248</v>
      </c>
      <c r="J1220" s="1" t="s">
        <v>256</v>
      </c>
      <c r="K1220" s="1" t="s">
        <v>430</v>
      </c>
      <c r="L1220" s="1" t="s">
        <v>796</v>
      </c>
      <c r="M1220" s="1" t="s">
        <v>258</v>
      </c>
      <c r="N1220" s="1" t="s">
        <v>379</v>
      </c>
      <c r="O1220" s="1" t="s">
        <v>399</v>
      </c>
      <c r="P1220" s="1" t="str">
        <f aca="false">_xlfn.CONCAT(B1220,C1220,D1220,E1220,F1220)</f>
        <v>Caiaponia IIISG60KTL(COM3-017)_001_01246019.364583333346019.364583333346019.5277777778</v>
      </c>
      <c r="Q1220" s="1" t="str">
        <f aca="false">_xlfn.CONCAT(H1220,I1220,J1220)</f>
        <v>DAURDE</v>
      </c>
    </row>
    <row r="1221" customFormat="false" ht="15" hidden="true" customHeight="false" outlineLevel="0" collapsed="false">
      <c r="B1221" s="1" t="s">
        <v>828</v>
      </c>
      <c r="C1221" s="1" t="s">
        <v>561</v>
      </c>
      <c r="D1221" s="14" t="n">
        <v>46019.3645833333</v>
      </c>
      <c r="E1221" s="14" t="n">
        <v>46019.3645833333</v>
      </c>
      <c r="F1221" s="14" t="n">
        <v>46019.5277777778</v>
      </c>
      <c r="G1221" s="49" t="n">
        <f aca="false">F1221-E1221</f>
        <v>0.163194444444444</v>
      </c>
      <c r="H1221" s="1" t="s">
        <v>248</v>
      </c>
      <c r="J1221" s="1" t="s">
        <v>256</v>
      </c>
      <c r="K1221" s="1" t="s">
        <v>430</v>
      </c>
      <c r="L1221" s="1" t="s">
        <v>796</v>
      </c>
      <c r="M1221" s="1" t="s">
        <v>258</v>
      </c>
      <c r="N1221" s="1" t="s">
        <v>379</v>
      </c>
      <c r="O1221" s="1" t="s">
        <v>399</v>
      </c>
      <c r="P1221" s="1" t="str">
        <f aca="false">_xlfn.CONCAT(B1221,C1221,D1221,E1221,F1221)</f>
        <v>Caiaponia IIISG60KTL(COM3-018)_001_00846019.364583333346019.364583333346019.5277777778</v>
      </c>
      <c r="Q1221" s="1" t="str">
        <f aca="false">_xlfn.CONCAT(H1221,I1221,J1221)</f>
        <v>DAURDE</v>
      </c>
    </row>
    <row r="1222" customFormat="false" ht="15" hidden="true" customHeight="false" outlineLevel="0" collapsed="false">
      <c r="B1222" s="1" t="s">
        <v>828</v>
      </c>
      <c r="C1222" s="1" t="s">
        <v>562</v>
      </c>
      <c r="D1222" s="14" t="n">
        <v>46019.3645833333</v>
      </c>
      <c r="E1222" s="14" t="n">
        <v>46019.3645833333</v>
      </c>
      <c r="F1222" s="14" t="n">
        <v>46019.5277777778</v>
      </c>
      <c r="G1222" s="49" t="n">
        <f aca="false">F1222-E1222</f>
        <v>0.163194444444444</v>
      </c>
      <c r="H1222" s="1" t="s">
        <v>248</v>
      </c>
      <c r="J1222" s="1" t="s">
        <v>256</v>
      </c>
      <c r="K1222" s="1" t="s">
        <v>430</v>
      </c>
      <c r="L1222" s="1" t="s">
        <v>796</v>
      </c>
      <c r="M1222" s="1" t="s">
        <v>258</v>
      </c>
      <c r="N1222" s="1" t="s">
        <v>379</v>
      </c>
      <c r="O1222" s="1" t="s">
        <v>399</v>
      </c>
      <c r="P1222" s="1" t="str">
        <f aca="false">_xlfn.CONCAT(B1222,C1222,D1222,E1222,F1222)</f>
        <v>Caiaponia IIISG60KTL(COM3-019)_001_01946019.364583333346019.364583333346019.5277777778</v>
      </c>
      <c r="Q1222" s="1" t="str">
        <f aca="false">_xlfn.CONCAT(H1222,I1222,J1222)</f>
        <v>DAURDE</v>
      </c>
    </row>
    <row r="1223" customFormat="false" ht="15" hidden="true" customHeight="false" outlineLevel="0" collapsed="false">
      <c r="B1223" s="1" t="s">
        <v>828</v>
      </c>
      <c r="C1223" s="1" t="s">
        <v>563</v>
      </c>
      <c r="D1223" s="14" t="n">
        <v>46019.3645833333</v>
      </c>
      <c r="E1223" s="14" t="n">
        <v>46019.3645833333</v>
      </c>
      <c r="F1223" s="14" t="n">
        <v>46019.5277777778</v>
      </c>
      <c r="G1223" s="49" t="n">
        <f aca="false">F1223-E1223</f>
        <v>0.163194444444444</v>
      </c>
      <c r="H1223" s="1" t="s">
        <v>248</v>
      </c>
      <c r="J1223" s="1" t="s">
        <v>256</v>
      </c>
      <c r="K1223" s="1" t="s">
        <v>430</v>
      </c>
      <c r="L1223" s="1" t="s">
        <v>796</v>
      </c>
      <c r="M1223" s="1" t="s">
        <v>258</v>
      </c>
      <c r="N1223" s="1" t="s">
        <v>379</v>
      </c>
      <c r="O1223" s="1" t="s">
        <v>399</v>
      </c>
      <c r="P1223" s="1" t="str">
        <f aca="false">_xlfn.CONCAT(B1223,C1223,D1223,E1223,F1223)</f>
        <v>Caiaponia IIISG60KTL(COM3-020)_001_02046019.364583333346019.364583333346019.5277777778</v>
      </c>
      <c r="Q1223" s="1" t="str">
        <f aca="false">_xlfn.CONCAT(H1223,I1223,J1223)</f>
        <v>DAURDE</v>
      </c>
    </row>
    <row r="1224" customFormat="false" ht="15" hidden="true" customHeight="false" outlineLevel="0" collapsed="false">
      <c r="B1224" s="1" t="s">
        <v>829</v>
      </c>
      <c r="C1224" s="1" t="s">
        <v>564</v>
      </c>
      <c r="D1224" s="14" t="n">
        <v>46019.3645833333</v>
      </c>
      <c r="E1224" s="14" t="n">
        <v>46019.3645833333</v>
      </c>
      <c r="F1224" s="14" t="n">
        <v>46019.5277777778</v>
      </c>
      <c r="G1224" s="49" t="n">
        <f aca="false">F1224-E1224</f>
        <v>0.163194444444444</v>
      </c>
      <c r="H1224" s="1" t="s">
        <v>248</v>
      </c>
      <c r="J1224" s="1" t="s">
        <v>256</v>
      </c>
      <c r="K1224" s="1" t="s">
        <v>430</v>
      </c>
      <c r="L1224" s="1" t="s">
        <v>796</v>
      </c>
      <c r="M1224" s="1" t="s">
        <v>258</v>
      </c>
      <c r="N1224" s="1" t="s">
        <v>379</v>
      </c>
      <c r="O1224" s="1" t="s">
        <v>399</v>
      </c>
      <c r="P1224" s="1" t="str">
        <f aca="false">_xlfn.CONCAT(B1224,C1224,D1224,E1224,F1224)</f>
        <v>Caiaponia IVSG60KTL(COM2-026)46019.364583333346019.364583333346019.5277777778</v>
      </c>
      <c r="Q1224" s="1" t="str">
        <f aca="false">_xlfn.CONCAT(H1224,I1224,J1224)</f>
        <v>DAURDE</v>
      </c>
    </row>
    <row r="1225" customFormat="false" ht="15" hidden="true" customHeight="false" outlineLevel="0" collapsed="false">
      <c r="B1225" s="1" t="s">
        <v>829</v>
      </c>
      <c r="C1225" s="1" t="s">
        <v>565</v>
      </c>
      <c r="D1225" s="14" t="n">
        <v>46019.3645833333</v>
      </c>
      <c r="E1225" s="14" t="n">
        <v>46019.3645833333</v>
      </c>
      <c r="F1225" s="14" t="n">
        <v>46019.5277777778</v>
      </c>
      <c r="G1225" s="49" t="n">
        <f aca="false">F1225-E1225</f>
        <v>0.163194444444444</v>
      </c>
      <c r="H1225" s="1" t="s">
        <v>248</v>
      </c>
      <c r="J1225" s="1" t="s">
        <v>256</v>
      </c>
      <c r="K1225" s="1" t="s">
        <v>430</v>
      </c>
      <c r="L1225" s="1" t="s">
        <v>796</v>
      </c>
      <c r="M1225" s="1" t="s">
        <v>258</v>
      </c>
      <c r="N1225" s="1" t="s">
        <v>379</v>
      </c>
      <c r="O1225" s="1" t="s">
        <v>399</v>
      </c>
      <c r="P1225" s="1" t="str">
        <f aca="false">_xlfn.CONCAT(B1225,C1225,D1225,E1225,F1225)</f>
        <v>Caiaponia IVSG60KTL(COM2-027)46019.364583333346019.364583333346019.5277777778</v>
      </c>
      <c r="Q1225" s="1" t="str">
        <f aca="false">_xlfn.CONCAT(H1225,I1225,J1225)</f>
        <v>DAURDE</v>
      </c>
    </row>
    <row r="1226" customFormat="false" ht="15" hidden="true" customHeight="false" outlineLevel="0" collapsed="false">
      <c r="B1226" s="1" t="s">
        <v>829</v>
      </c>
      <c r="C1226" s="1" t="s">
        <v>566</v>
      </c>
      <c r="D1226" s="14" t="n">
        <v>46019.3645833333</v>
      </c>
      <c r="E1226" s="14" t="n">
        <v>46019.3645833333</v>
      </c>
      <c r="F1226" s="14" t="n">
        <v>46019.5277777778</v>
      </c>
      <c r="G1226" s="49" t="n">
        <f aca="false">F1226-E1226</f>
        <v>0.163194444444444</v>
      </c>
      <c r="H1226" s="1" t="s">
        <v>248</v>
      </c>
      <c r="J1226" s="1" t="s">
        <v>256</v>
      </c>
      <c r="K1226" s="1" t="s">
        <v>430</v>
      </c>
      <c r="L1226" s="1" t="s">
        <v>796</v>
      </c>
      <c r="M1226" s="1" t="s">
        <v>258</v>
      </c>
      <c r="N1226" s="1" t="s">
        <v>379</v>
      </c>
      <c r="O1226" s="1" t="s">
        <v>399</v>
      </c>
      <c r="P1226" s="1" t="str">
        <f aca="false">_xlfn.CONCAT(B1226,C1226,D1226,E1226,F1226)</f>
        <v>Caiaponia IVSG60KTL(COM2-028)46019.364583333346019.364583333346019.5277777778</v>
      </c>
      <c r="Q1226" s="1" t="str">
        <f aca="false">_xlfn.CONCAT(H1226,I1226,J1226)</f>
        <v>DAURDE</v>
      </c>
    </row>
    <row r="1227" customFormat="false" ht="15" hidden="true" customHeight="false" outlineLevel="0" collapsed="false">
      <c r="B1227" s="1" t="s">
        <v>829</v>
      </c>
      <c r="C1227" s="1" t="s">
        <v>567</v>
      </c>
      <c r="D1227" s="14" t="n">
        <v>46019.3645833333</v>
      </c>
      <c r="E1227" s="14" t="n">
        <v>46019.3645833333</v>
      </c>
      <c r="F1227" s="14" t="n">
        <v>46019.5277777778</v>
      </c>
      <c r="G1227" s="49" t="n">
        <f aca="false">F1227-E1227</f>
        <v>0.163194444444444</v>
      </c>
      <c r="H1227" s="1" t="s">
        <v>248</v>
      </c>
      <c r="J1227" s="1" t="s">
        <v>256</v>
      </c>
      <c r="K1227" s="1" t="s">
        <v>430</v>
      </c>
      <c r="L1227" s="1" t="s">
        <v>796</v>
      </c>
      <c r="M1227" s="1" t="s">
        <v>258</v>
      </c>
      <c r="N1227" s="1" t="s">
        <v>379</v>
      </c>
      <c r="O1227" s="1" t="s">
        <v>399</v>
      </c>
      <c r="P1227" s="1" t="str">
        <f aca="false">_xlfn.CONCAT(B1227,C1227,D1227,E1227,F1227)</f>
        <v>Caiaponia IVSG60KTL(COM2-029)46019.364583333346019.364583333346019.5277777778</v>
      </c>
      <c r="Q1227" s="1" t="str">
        <f aca="false">_xlfn.CONCAT(H1227,I1227,J1227)</f>
        <v>DAURDE</v>
      </c>
    </row>
    <row r="1228" customFormat="false" ht="15" hidden="true" customHeight="false" outlineLevel="0" collapsed="false">
      <c r="B1228" s="1" t="s">
        <v>830</v>
      </c>
      <c r="C1228" s="1" t="s">
        <v>568</v>
      </c>
      <c r="D1228" s="14" t="n">
        <v>46019.3645833333</v>
      </c>
      <c r="E1228" s="14" t="n">
        <v>46019.3645833333</v>
      </c>
      <c r="F1228" s="14" t="n">
        <v>46019.5277777778</v>
      </c>
      <c r="G1228" s="49" t="n">
        <f aca="false">F1228-E1228</f>
        <v>0.163194444444444</v>
      </c>
      <c r="H1228" s="1" t="s">
        <v>248</v>
      </c>
      <c r="J1228" s="1" t="s">
        <v>256</v>
      </c>
      <c r="K1228" s="1" t="s">
        <v>430</v>
      </c>
      <c r="L1228" s="1" t="s">
        <v>796</v>
      </c>
      <c r="M1228" s="1" t="s">
        <v>258</v>
      </c>
      <c r="N1228" s="1" t="s">
        <v>379</v>
      </c>
      <c r="O1228" s="1" t="s">
        <v>399</v>
      </c>
      <c r="P1228" s="1" t="str">
        <f aca="false">_xlfn.CONCAT(B1228,C1228,D1228,E1228,F1228)</f>
        <v>Caiaponia VSG50CX(COM1-021)46019.364583333346019.364583333346019.5277777778</v>
      </c>
      <c r="Q1228" s="1" t="str">
        <f aca="false">_xlfn.CONCAT(H1228,I1228,J1228)</f>
        <v>DAURDE</v>
      </c>
    </row>
    <row r="1229" customFormat="false" ht="15" hidden="true" customHeight="false" outlineLevel="0" collapsed="false">
      <c r="B1229" s="1" t="s">
        <v>830</v>
      </c>
      <c r="C1229" s="1" t="s">
        <v>569</v>
      </c>
      <c r="D1229" s="14" t="n">
        <v>46019.3645833333</v>
      </c>
      <c r="E1229" s="14" t="n">
        <v>46019.3645833333</v>
      </c>
      <c r="F1229" s="14" t="n">
        <v>46019.5277777778</v>
      </c>
      <c r="G1229" s="49" t="n">
        <f aca="false">F1229-E1229</f>
        <v>0.163194444444444</v>
      </c>
      <c r="H1229" s="1" t="s">
        <v>248</v>
      </c>
      <c r="J1229" s="1" t="s">
        <v>256</v>
      </c>
      <c r="K1229" s="1" t="s">
        <v>430</v>
      </c>
      <c r="L1229" s="1" t="s">
        <v>796</v>
      </c>
      <c r="M1229" s="1" t="s">
        <v>258</v>
      </c>
      <c r="N1229" s="1" t="s">
        <v>379</v>
      </c>
      <c r="O1229" s="1" t="s">
        <v>399</v>
      </c>
      <c r="P1229" s="1" t="str">
        <f aca="false">_xlfn.CONCAT(B1229,C1229,D1229,E1229,F1229)</f>
        <v>Caiaponia VSG50CX(COM1-022)46019.364583333346019.364583333346019.5277777778</v>
      </c>
      <c r="Q1229" s="1" t="str">
        <f aca="false">_xlfn.CONCAT(H1229,I1229,J1229)</f>
        <v>DAURDE</v>
      </c>
    </row>
    <row r="1230" customFormat="false" ht="15" hidden="true" customHeight="false" outlineLevel="0" collapsed="false">
      <c r="B1230" s="1" t="s">
        <v>830</v>
      </c>
      <c r="C1230" s="1" t="s">
        <v>570</v>
      </c>
      <c r="D1230" s="14" t="n">
        <v>46019.3645833333</v>
      </c>
      <c r="E1230" s="14" t="n">
        <v>46019.3645833333</v>
      </c>
      <c r="F1230" s="14" t="n">
        <v>46019.5277777778</v>
      </c>
      <c r="G1230" s="49" t="n">
        <f aca="false">F1230-E1230</f>
        <v>0.163194444444444</v>
      </c>
      <c r="H1230" s="1" t="s">
        <v>248</v>
      </c>
      <c r="J1230" s="1" t="s">
        <v>256</v>
      </c>
      <c r="K1230" s="1" t="s">
        <v>430</v>
      </c>
      <c r="L1230" s="1" t="s">
        <v>796</v>
      </c>
      <c r="M1230" s="1" t="s">
        <v>258</v>
      </c>
      <c r="N1230" s="1" t="s">
        <v>379</v>
      </c>
      <c r="O1230" s="1" t="s">
        <v>399</v>
      </c>
      <c r="P1230" s="1" t="str">
        <f aca="false">_xlfn.CONCAT(B1230,C1230,D1230,E1230,F1230)</f>
        <v>Caiaponia VSG50CX(COM1-023)46019.364583333346019.364583333346019.5277777778</v>
      </c>
      <c r="Q1230" s="1" t="str">
        <f aca="false">_xlfn.CONCAT(H1230,I1230,J1230)</f>
        <v>DAURDE</v>
      </c>
    </row>
    <row r="1231" customFormat="false" ht="15" hidden="true" customHeight="false" outlineLevel="0" collapsed="false">
      <c r="B1231" s="1" t="s">
        <v>830</v>
      </c>
      <c r="C1231" s="1" t="s">
        <v>571</v>
      </c>
      <c r="D1231" s="14" t="n">
        <v>46019.3645833333</v>
      </c>
      <c r="E1231" s="14" t="n">
        <v>46019.3645833333</v>
      </c>
      <c r="F1231" s="14" t="n">
        <v>46019.5277777778</v>
      </c>
      <c r="G1231" s="49" t="n">
        <f aca="false">F1231-E1231</f>
        <v>0.163194444444444</v>
      </c>
      <c r="H1231" s="1" t="s">
        <v>248</v>
      </c>
      <c r="J1231" s="1" t="s">
        <v>256</v>
      </c>
      <c r="K1231" s="1" t="s">
        <v>430</v>
      </c>
      <c r="L1231" s="1" t="s">
        <v>796</v>
      </c>
      <c r="M1231" s="1" t="s">
        <v>258</v>
      </c>
      <c r="N1231" s="1" t="s">
        <v>379</v>
      </c>
      <c r="O1231" s="1" t="s">
        <v>399</v>
      </c>
      <c r="P1231" s="1" t="str">
        <f aca="false">_xlfn.CONCAT(B1231,C1231,D1231,E1231,F1231)</f>
        <v>Caiaponia VSG50CX(COM1-024)46019.364583333346019.364583333346019.5277777778</v>
      </c>
      <c r="Q1231" s="1" t="str">
        <f aca="false">_xlfn.CONCAT(H1231,I1231,J1231)</f>
        <v>DAURDE</v>
      </c>
    </row>
    <row r="1232" customFormat="false" ht="15" hidden="true" customHeight="false" outlineLevel="0" collapsed="false">
      <c r="B1232" s="1" t="s">
        <v>830</v>
      </c>
      <c r="C1232" s="1" t="s">
        <v>572</v>
      </c>
      <c r="D1232" s="14" t="n">
        <v>46019.3645833333</v>
      </c>
      <c r="E1232" s="14" t="n">
        <v>46019.3645833333</v>
      </c>
      <c r="F1232" s="14" t="n">
        <v>46019.5277777778</v>
      </c>
      <c r="G1232" s="49" t="n">
        <f aca="false">F1232-E1232</f>
        <v>0.163194444444444</v>
      </c>
      <c r="H1232" s="1" t="s">
        <v>248</v>
      </c>
      <c r="J1232" s="1" t="s">
        <v>256</v>
      </c>
      <c r="K1232" s="1" t="s">
        <v>430</v>
      </c>
      <c r="L1232" s="1" t="s">
        <v>796</v>
      </c>
      <c r="M1232" s="1" t="s">
        <v>258</v>
      </c>
      <c r="N1232" s="1" t="s">
        <v>379</v>
      </c>
      <c r="O1232" s="1" t="s">
        <v>399</v>
      </c>
      <c r="P1232" s="1" t="str">
        <f aca="false">_xlfn.CONCAT(B1232,C1232,D1232,E1232,F1232)</f>
        <v>Caiaponia VSG50CX(COM1-025)46019.364583333346019.364583333346019.5277777778</v>
      </c>
      <c r="Q1232" s="1" t="str">
        <f aca="false">_xlfn.CONCAT(H1232,I1232,J1232)</f>
        <v>DAURDE</v>
      </c>
    </row>
    <row r="1233" customFormat="false" ht="15" hidden="true" customHeight="false" outlineLevel="0" collapsed="false">
      <c r="B1233" s="1" t="s">
        <v>831</v>
      </c>
      <c r="C1233" s="1" t="s">
        <v>394</v>
      </c>
      <c r="D1233" s="14" t="n">
        <v>46019.3645833333</v>
      </c>
      <c r="E1233" s="14" t="n">
        <v>46019.3645833333</v>
      </c>
      <c r="F1233" s="14" t="n">
        <v>46019.5277777778</v>
      </c>
      <c r="G1233" s="49" t="n">
        <f aca="false">F1233-E1233</f>
        <v>0.163194444444444</v>
      </c>
      <c r="H1233" s="1" t="s">
        <v>248</v>
      </c>
      <c r="J1233" s="1" t="s">
        <v>256</v>
      </c>
      <c r="K1233" s="1" t="s">
        <v>430</v>
      </c>
      <c r="L1233" s="1" t="s">
        <v>796</v>
      </c>
      <c r="M1233" s="1" t="s">
        <v>258</v>
      </c>
      <c r="N1233" s="1" t="s">
        <v>379</v>
      </c>
      <c r="O1233" s="1" t="s">
        <v>399</v>
      </c>
      <c r="P1233" s="1" t="str">
        <f aca="false">_xlfn.CONCAT(B1233,C1233,D1233,E1233,F1233)</f>
        <v>UFV CAIAPONIA II - UC 1215KTL-H3(MBUS-14)46019.364583333346019.364583333346019.5277777778</v>
      </c>
      <c r="Q1233" s="1" t="str">
        <f aca="false">_xlfn.CONCAT(H1233,I1233,J1233)</f>
        <v>DAURDE</v>
      </c>
    </row>
    <row r="1234" customFormat="false" ht="15" hidden="true" customHeight="false" outlineLevel="0" collapsed="false">
      <c r="B1234" s="1" t="s">
        <v>831</v>
      </c>
      <c r="C1234" s="1" t="s">
        <v>397</v>
      </c>
      <c r="D1234" s="14" t="n">
        <v>46019.3645833333</v>
      </c>
      <c r="E1234" s="14" t="n">
        <v>46019.3645833333</v>
      </c>
      <c r="F1234" s="14" t="n">
        <v>46019.5277777778</v>
      </c>
      <c r="G1234" s="49" t="n">
        <f aca="false">F1234-E1234</f>
        <v>0.163194444444444</v>
      </c>
      <c r="H1234" s="1" t="s">
        <v>248</v>
      </c>
      <c r="J1234" s="1" t="s">
        <v>256</v>
      </c>
      <c r="K1234" s="1" t="s">
        <v>430</v>
      </c>
      <c r="L1234" s="1" t="s">
        <v>796</v>
      </c>
      <c r="M1234" s="1" t="s">
        <v>258</v>
      </c>
      <c r="N1234" s="1" t="s">
        <v>379</v>
      </c>
      <c r="O1234" s="1" t="s">
        <v>399</v>
      </c>
      <c r="P1234" s="1" t="str">
        <f aca="false">_xlfn.CONCAT(B1234,C1234,D1234,E1234,F1234)</f>
        <v>UFV CAIAPONIA II - UC 1215KTL-H3(MBUS-13)46019.364583333346019.364583333346019.5277777778</v>
      </c>
      <c r="Q1234" s="1" t="str">
        <f aca="false">_xlfn.CONCAT(H1234,I1234,J1234)</f>
        <v>DAURDE</v>
      </c>
    </row>
    <row r="1235" customFormat="false" ht="15" hidden="true" customHeight="false" outlineLevel="0" collapsed="false">
      <c r="B1235" s="1" t="s">
        <v>831</v>
      </c>
      <c r="C1235" s="1" t="s">
        <v>396</v>
      </c>
      <c r="D1235" s="14" t="n">
        <v>46019.3645833333</v>
      </c>
      <c r="E1235" s="14" t="n">
        <v>46019.3645833333</v>
      </c>
      <c r="F1235" s="14" t="n">
        <v>46019.5277777778</v>
      </c>
      <c r="G1235" s="49" t="n">
        <f aca="false">F1235-E1235</f>
        <v>0.163194444444444</v>
      </c>
      <c r="H1235" s="1" t="s">
        <v>248</v>
      </c>
      <c r="J1235" s="1" t="s">
        <v>256</v>
      </c>
      <c r="K1235" s="1" t="s">
        <v>430</v>
      </c>
      <c r="L1235" s="1" t="s">
        <v>796</v>
      </c>
      <c r="M1235" s="1" t="s">
        <v>258</v>
      </c>
      <c r="N1235" s="1" t="s">
        <v>379</v>
      </c>
      <c r="O1235" s="1" t="s">
        <v>399</v>
      </c>
      <c r="P1235" s="1" t="str">
        <f aca="false">_xlfn.CONCAT(B1235,C1235,D1235,E1235,F1235)</f>
        <v>UFV CAIAPONIA II - UC 1215KTL-H3(MBUS-12)46019.364583333346019.364583333346019.5277777778</v>
      </c>
      <c r="Q1235" s="1" t="str">
        <f aca="false">_xlfn.CONCAT(H1235,I1235,J1235)</f>
        <v>DAURDE</v>
      </c>
    </row>
    <row r="1236" customFormat="false" ht="15" hidden="true" customHeight="false" outlineLevel="0" collapsed="false">
      <c r="B1236" s="1" t="s">
        <v>831</v>
      </c>
      <c r="C1236" s="1" t="s">
        <v>395</v>
      </c>
      <c r="D1236" s="14" t="n">
        <v>46019.3645833333</v>
      </c>
      <c r="E1236" s="14" t="n">
        <v>46019.3645833333</v>
      </c>
      <c r="F1236" s="14" t="n">
        <v>46019.5277777778</v>
      </c>
      <c r="G1236" s="49" t="n">
        <f aca="false">F1236-E1236</f>
        <v>0.163194444444444</v>
      </c>
      <c r="H1236" s="1" t="s">
        <v>248</v>
      </c>
      <c r="J1236" s="1" t="s">
        <v>256</v>
      </c>
      <c r="K1236" s="1" t="s">
        <v>430</v>
      </c>
      <c r="L1236" s="1" t="s">
        <v>796</v>
      </c>
      <c r="M1236" s="1" t="s">
        <v>258</v>
      </c>
      <c r="N1236" s="1" t="s">
        <v>379</v>
      </c>
      <c r="O1236" s="1" t="s">
        <v>399</v>
      </c>
      <c r="P1236" s="1" t="str">
        <f aca="false">_xlfn.CONCAT(B1236,C1236,D1236,E1236,F1236)</f>
        <v>UFV CAIAPONIA II - UC 1215KTL-H3(MBUS-15)46019.364583333346019.364583333346019.5277777778</v>
      </c>
      <c r="Q1236" s="1" t="str">
        <f aca="false">_xlfn.CONCAT(H1236,I1236,J1236)</f>
        <v>DAURDE</v>
      </c>
    </row>
    <row r="1237" customFormat="false" ht="15" hidden="true" customHeight="false" outlineLevel="0" collapsed="false">
      <c r="B1237" s="1" t="s">
        <v>831</v>
      </c>
      <c r="C1237" s="1" t="s">
        <v>391</v>
      </c>
      <c r="D1237" s="14" t="n">
        <v>46019.3645833333</v>
      </c>
      <c r="E1237" s="14" t="n">
        <v>46019.3645833333</v>
      </c>
      <c r="F1237" s="14" t="n">
        <v>46019.5277777778</v>
      </c>
      <c r="G1237" s="49" t="n">
        <f aca="false">F1237-E1237</f>
        <v>0.163194444444444</v>
      </c>
      <c r="H1237" s="1" t="s">
        <v>248</v>
      </c>
      <c r="J1237" s="1" t="s">
        <v>256</v>
      </c>
      <c r="K1237" s="1" t="s">
        <v>430</v>
      </c>
      <c r="L1237" s="1" t="s">
        <v>796</v>
      </c>
      <c r="M1237" s="1" t="s">
        <v>258</v>
      </c>
      <c r="N1237" s="1" t="s">
        <v>379</v>
      </c>
      <c r="O1237" s="1" t="s">
        <v>399</v>
      </c>
      <c r="P1237" s="1" t="str">
        <f aca="false">_xlfn.CONCAT(B1237,C1237,D1237,E1237,F1237)</f>
        <v>UFV CAIAPONIA II - UC 1215KTL-H3(MBUS-16)46019.364583333346019.364583333346019.5277777778</v>
      </c>
      <c r="Q1237" s="1" t="str">
        <f aca="false">_xlfn.CONCAT(H1237,I1237,J1237)</f>
        <v>DAURDE</v>
      </c>
    </row>
    <row r="1238" customFormat="false" ht="15" hidden="true" customHeight="false" outlineLevel="0" collapsed="false">
      <c r="B1238" s="1" t="s">
        <v>832</v>
      </c>
      <c r="C1238" s="1" t="s">
        <v>394</v>
      </c>
      <c r="D1238" s="14" t="n">
        <v>46019.3645833333</v>
      </c>
      <c r="E1238" s="14" t="n">
        <v>46019.3645833333</v>
      </c>
      <c r="F1238" s="14" t="n">
        <v>46019.5277777778</v>
      </c>
      <c r="G1238" s="49" t="n">
        <f aca="false">F1238-E1238</f>
        <v>0.163194444444444</v>
      </c>
      <c r="H1238" s="1" t="s">
        <v>248</v>
      </c>
      <c r="J1238" s="1" t="s">
        <v>256</v>
      </c>
      <c r="K1238" s="1" t="s">
        <v>430</v>
      </c>
      <c r="L1238" s="1" t="s">
        <v>796</v>
      </c>
      <c r="M1238" s="1" t="s">
        <v>258</v>
      </c>
      <c r="N1238" s="1" t="s">
        <v>379</v>
      </c>
      <c r="O1238" s="1" t="s">
        <v>399</v>
      </c>
      <c r="P1238" s="1" t="str">
        <f aca="false">_xlfn.CONCAT(B1238,C1238,D1238,E1238,F1238)</f>
        <v>UFV CAIAPONIA II - UC 2215KTL-H3(MBUS-14)46019.364583333346019.364583333346019.5277777778</v>
      </c>
      <c r="Q1238" s="1" t="str">
        <f aca="false">_xlfn.CONCAT(H1238,I1238,J1238)</f>
        <v>DAURDE</v>
      </c>
    </row>
    <row r="1239" customFormat="false" ht="15" hidden="true" customHeight="false" outlineLevel="0" collapsed="false">
      <c r="B1239" s="1" t="s">
        <v>832</v>
      </c>
      <c r="C1239" s="1" t="s">
        <v>395</v>
      </c>
      <c r="D1239" s="14" t="n">
        <v>46019.3645833333</v>
      </c>
      <c r="E1239" s="14" t="n">
        <v>46019.3645833333</v>
      </c>
      <c r="F1239" s="14" t="n">
        <v>46019.5277777778</v>
      </c>
      <c r="G1239" s="49" t="n">
        <f aca="false">F1239-E1239</f>
        <v>0.163194444444444</v>
      </c>
      <c r="H1239" s="1" t="s">
        <v>248</v>
      </c>
      <c r="J1239" s="1" t="s">
        <v>256</v>
      </c>
      <c r="K1239" s="1" t="s">
        <v>430</v>
      </c>
      <c r="L1239" s="1" t="s">
        <v>796</v>
      </c>
      <c r="M1239" s="1" t="s">
        <v>258</v>
      </c>
      <c r="N1239" s="1" t="s">
        <v>379</v>
      </c>
      <c r="O1239" s="1" t="s">
        <v>399</v>
      </c>
      <c r="P1239" s="1" t="str">
        <f aca="false">_xlfn.CONCAT(B1239,C1239,D1239,E1239,F1239)</f>
        <v>UFV CAIAPONIA II - UC 2215KTL-H3(MBUS-15)46019.364583333346019.364583333346019.5277777778</v>
      </c>
      <c r="Q1239" s="1" t="str">
        <f aca="false">_xlfn.CONCAT(H1239,I1239,J1239)</f>
        <v>DAURDE</v>
      </c>
    </row>
    <row r="1240" customFormat="false" ht="15" hidden="true" customHeight="false" outlineLevel="0" collapsed="false">
      <c r="B1240" s="1" t="s">
        <v>832</v>
      </c>
      <c r="C1240" s="1" t="s">
        <v>396</v>
      </c>
      <c r="D1240" s="14" t="n">
        <v>46019.3645833333</v>
      </c>
      <c r="E1240" s="14" t="n">
        <v>46019.3645833333</v>
      </c>
      <c r="F1240" s="14" t="n">
        <v>46019.5277777778</v>
      </c>
      <c r="G1240" s="49" t="n">
        <f aca="false">F1240-E1240</f>
        <v>0.163194444444444</v>
      </c>
      <c r="H1240" s="1" t="s">
        <v>248</v>
      </c>
      <c r="J1240" s="1" t="s">
        <v>256</v>
      </c>
      <c r="K1240" s="1" t="s">
        <v>430</v>
      </c>
      <c r="L1240" s="1" t="s">
        <v>796</v>
      </c>
      <c r="M1240" s="1" t="s">
        <v>258</v>
      </c>
      <c r="N1240" s="1" t="s">
        <v>379</v>
      </c>
      <c r="O1240" s="1" t="s">
        <v>399</v>
      </c>
      <c r="P1240" s="1" t="str">
        <f aca="false">_xlfn.CONCAT(B1240,C1240,D1240,E1240,F1240)</f>
        <v>UFV CAIAPONIA II - UC 2215KTL-H3(MBUS-12)46019.364583333346019.364583333346019.5277777778</v>
      </c>
      <c r="Q1240" s="1" t="str">
        <f aca="false">_xlfn.CONCAT(H1240,I1240,J1240)</f>
        <v>DAURDE</v>
      </c>
    </row>
    <row r="1241" customFormat="false" ht="15" hidden="true" customHeight="false" outlineLevel="0" collapsed="false">
      <c r="B1241" s="1" t="s">
        <v>832</v>
      </c>
      <c r="C1241" s="1" t="s">
        <v>397</v>
      </c>
      <c r="D1241" s="14" t="n">
        <v>46019.3645833333</v>
      </c>
      <c r="E1241" s="14" t="n">
        <v>46019.3645833333</v>
      </c>
      <c r="F1241" s="14" t="n">
        <v>46019.5277777778</v>
      </c>
      <c r="G1241" s="49" t="n">
        <f aca="false">F1241-E1241</f>
        <v>0.163194444444444</v>
      </c>
      <c r="H1241" s="1" t="s">
        <v>248</v>
      </c>
      <c r="J1241" s="1" t="s">
        <v>256</v>
      </c>
      <c r="K1241" s="1" t="s">
        <v>430</v>
      </c>
      <c r="L1241" s="1" t="s">
        <v>796</v>
      </c>
      <c r="M1241" s="1" t="s">
        <v>258</v>
      </c>
      <c r="N1241" s="1" t="s">
        <v>379</v>
      </c>
      <c r="O1241" s="1" t="s">
        <v>399</v>
      </c>
      <c r="P1241" s="1" t="str">
        <f aca="false">_xlfn.CONCAT(B1241,C1241,D1241,E1241,F1241)</f>
        <v>UFV CAIAPONIA II - UC 2215KTL-H3(MBUS-13)46019.364583333346019.364583333346019.5277777778</v>
      </c>
      <c r="Q1241" s="1" t="str">
        <f aca="false">_xlfn.CONCAT(H1241,I1241,J1241)</f>
        <v>DAURDE</v>
      </c>
    </row>
    <row r="1242" customFormat="false" ht="15" hidden="true" customHeight="false" outlineLevel="0" collapsed="false">
      <c r="B1242" s="1" t="s">
        <v>832</v>
      </c>
      <c r="C1242" s="1" t="s">
        <v>391</v>
      </c>
      <c r="D1242" s="14" t="n">
        <v>46019.3645833333</v>
      </c>
      <c r="E1242" s="14" t="n">
        <v>46019.3645833333</v>
      </c>
      <c r="F1242" s="14" t="n">
        <v>46019.5277777778</v>
      </c>
      <c r="G1242" s="49" t="n">
        <f aca="false">F1242-E1242</f>
        <v>0.163194444444444</v>
      </c>
      <c r="H1242" s="1" t="s">
        <v>248</v>
      </c>
      <c r="J1242" s="1" t="s">
        <v>256</v>
      </c>
      <c r="K1242" s="1" t="s">
        <v>430</v>
      </c>
      <c r="L1242" s="1" t="s">
        <v>796</v>
      </c>
      <c r="M1242" s="1" t="s">
        <v>258</v>
      </c>
      <c r="N1242" s="1" t="s">
        <v>379</v>
      </c>
      <c r="O1242" s="1" t="s">
        <v>399</v>
      </c>
      <c r="P1242" s="1" t="str">
        <f aca="false">_xlfn.CONCAT(B1242,C1242,D1242,E1242,F1242)</f>
        <v>UFV CAIAPONIA II - UC 2215KTL-H3(MBUS-16)46019.364583333346019.364583333346019.5277777778</v>
      </c>
      <c r="Q1242" s="1" t="str">
        <f aca="false">_xlfn.CONCAT(H1242,I1242,J1242)</f>
        <v>DAURDE</v>
      </c>
    </row>
    <row r="1243" customFormat="false" ht="15" hidden="true" customHeight="false" outlineLevel="0" collapsed="false">
      <c r="B1243" s="1" t="s">
        <v>833</v>
      </c>
      <c r="C1243" s="1" t="s">
        <v>394</v>
      </c>
      <c r="D1243" s="14" t="n">
        <v>46019.3645833333</v>
      </c>
      <c r="E1243" s="14" t="n">
        <v>46019.3645833333</v>
      </c>
      <c r="F1243" s="14" t="n">
        <v>46019.5277777778</v>
      </c>
      <c r="G1243" s="49" t="n">
        <f aca="false">F1243-E1243</f>
        <v>0.163194444444444</v>
      </c>
      <c r="H1243" s="1" t="s">
        <v>248</v>
      </c>
      <c r="J1243" s="1" t="s">
        <v>256</v>
      </c>
      <c r="K1243" s="1" t="s">
        <v>430</v>
      </c>
      <c r="L1243" s="1" t="s">
        <v>796</v>
      </c>
      <c r="M1243" s="1" t="s">
        <v>258</v>
      </c>
      <c r="N1243" s="1" t="s">
        <v>379</v>
      </c>
      <c r="O1243" s="1" t="s">
        <v>399</v>
      </c>
      <c r="P1243" s="1" t="str">
        <f aca="false">_xlfn.CONCAT(B1243,C1243,D1243,E1243,F1243)</f>
        <v>UFV CAIAPONIA II - UC 3215KTL-H3(MBUS-14)46019.364583333346019.364583333346019.5277777778</v>
      </c>
      <c r="Q1243" s="1" t="str">
        <f aca="false">_xlfn.CONCAT(H1243,I1243,J1243)</f>
        <v>DAURDE</v>
      </c>
    </row>
    <row r="1244" customFormat="false" ht="15" hidden="true" customHeight="false" outlineLevel="0" collapsed="false">
      <c r="B1244" s="1" t="s">
        <v>833</v>
      </c>
      <c r="C1244" s="1" t="s">
        <v>395</v>
      </c>
      <c r="D1244" s="14" t="n">
        <v>46019.3645833333</v>
      </c>
      <c r="E1244" s="14" t="n">
        <v>46019.3645833333</v>
      </c>
      <c r="F1244" s="14" t="n">
        <v>46019.5277777778</v>
      </c>
      <c r="G1244" s="49" t="n">
        <f aca="false">F1244-E1244</f>
        <v>0.163194444444444</v>
      </c>
      <c r="H1244" s="1" t="s">
        <v>248</v>
      </c>
      <c r="J1244" s="1" t="s">
        <v>256</v>
      </c>
      <c r="K1244" s="1" t="s">
        <v>430</v>
      </c>
      <c r="L1244" s="1" t="s">
        <v>796</v>
      </c>
      <c r="M1244" s="1" t="s">
        <v>258</v>
      </c>
      <c r="N1244" s="1" t="s">
        <v>379</v>
      </c>
      <c r="O1244" s="1" t="s">
        <v>399</v>
      </c>
      <c r="P1244" s="1" t="str">
        <f aca="false">_xlfn.CONCAT(B1244,C1244,D1244,E1244,F1244)</f>
        <v>UFV CAIAPONIA II - UC 3215KTL-H3(MBUS-15)46019.364583333346019.364583333346019.5277777778</v>
      </c>
      <c r="Q1244" s="1" t="str">
        <f aca="false">_xlfn.CONCAT(H1244,I1244,J1244)</f>
        <v>DAURDE</v>
      </c>
    </row>
    <row r="1245" customFormat="false" ht="15" hidden="true" customHeight="false" outlineLevel="0" collapsed="false">
      <c r="B1245" s="1" t="s">
        <v>833</v>
      </c>
      <c r="C1245" s="1" t="s">
        <v>396</v>
      </c>
      <c r="D1245" s="14" t="n">
        <v>46019.3645833333</v>
      </c>
      <c r="E1245" s="14" t="n">
        <v>46019.3645833333</v>
      </c>
      <c r="F1245" s="14" t="n">
        <v>46019.5277777778</v>
      </c>
      <c r="G1245" s="49" t="n">
        <f aca="false">F1245-E1245</f>
        <v>0.163194444444444</v>
      </c>
      <c r="H1245" s="1" t="s">
        <v>248</v>
      </c>
      <c r="J1245" s="1" t="s">
        <v>256</v>
      </c>
      <c r="K1245" s="1" t="s">
        <v>430</v>
      </c>
      <c r="L1245" s="1" t="s">
        <v>796</v>
      </c>
      <c r="M1245" s="1" t="s">
        <v>258</v>
      </c>
      <c r="N1245" s="1" t="s">
        <v>379</v>
      </c>
      <c r="O1245" s="1" t="s">
        <v>399</v>
      </c>
      <c r="P1245" s="1" t="str">
        <f aca="false">_xlfn.CONCAT(B1245,C1245,D1245,E1245,F1245)</f>
        <v>UFV CAIAPONIA II - UC 3215KTL-H3(MBUS-12)46019.364583333346019.364583333346019.5277777778</v>
      </c>
      <c r="Q1245" s="1" t="str">
        <f aca="false">_xlfn.CONCAT(H1245,I1245,J1245)</f>
        <v>DAURDE</v>
      </c>
    </row>
    <row r="1246" customFormat="false" ht="15" hidden="true" customHeight="false" outlineLevel="0" collapsed="false">
      <c r="B1246" s="1" t="s">
        <v>833</v>
      </c>
      <c r="C1246" s="1" t="s">
        <v>397</v>
      </c>
      <c r="D1246" s="14" t="n">
        <v>46019.3645833333</v>
      </c>
      <c r="E1246" s="14" t="n">
        <v>46019.3645833333</v>
      </c>
      <c r="F1246" s="14" t="n">
        <v>46019.5277777778</v>
      </c>
      <c r="G1246" s="49" t="n">
        <f aca="false">F1246-E1246</f>
        <v>0.163194444444444</v>
      </c>
      <c r="H1246" s="1" t="s">
        <v>248</v>
      </c>
      <c r="J1246" s="1" t="s">
        <v>256</v>
      </c>
      <c r="K1246" s="1" t="s">
        <v>430</v>
      </c>
      <c r="L1246" s="1" t="s">
        <v>796</v>
      </c>
      <c r="M1246" s="1" t="s">
        <v>258</v>
      </c>
      <c r="N1246" s="1" t="s">
        <v>379</v>
      </c>
      <c r="O1246" s="1" t="s">
        <v>399</v>
      </c>
      <c r="P1246" s="1" t="str">
        <f aca="false">_xlfn.CONCAT(B1246,C1246,D1246,E1246,F1246)</f>
        <v>UFV CAIAPONIA II - UC 3215KTL-H3(MBUS-13)46019.364583333346019.364583333346019.5277777778</v>
      </c>
      <c r="Q1246" s="1" t="str">
        <f aca="false">_xlfn.CONCAT(H1246,I1246,J1246)</f>
        <v>DAURDE</v>
      </c>
    </row>
    <row r="1247" customFormat="false" ht="15" hidden="true" customHeight="false" outlineLevel="0" collapsed="false">
      <c r="B1247" s="1" t="s">
        <v>833</v>
      </c>
      <c r="C1247" s="1" t="s">
        <v>391</v>
      </c>
      <c r="D1247" s="14" t="n">
        <v>46019.3645833333</v>
      </c>
      <c r="E1247" s="14" t="n">
        <v>46019.3645833333</v>
      </c>
      <c r="F1247" s="14" t="n">
        <v>46019.5277777778</v>
      </c>
      <c r="G1247" s="49" t="n">
        <f aca="false">F1247-E1247</f>
        <v>0.163194444444444</v>
      </c>
      <c r="H1247" s="1" t="s">
        <v>248</v>
      </c>
      <c r="J1247" s="1" t="s">
        <v>256</v>
      </c>
      <c r="K1247" s="1" t="s">
        <v>430</v>
      </c>
      <c r="L1247" s="1" t="s">
        <v>796</v>
      </c>
      <c r="M1247" s="1" t="s">
        <v>258</v>
      </c>
      <c r="N1247" s="1" t="s">
        <v>379</v>
      </c>
      <c r="O1247" s="1" t="s">
        <v>399</v>
      </c>
      <c r="P1247" s="1" t="str">
        <f aca="false">_xlfn.CONCAT(B1247,C1247,D1247,E1247,F1247)</f>
        <v>UFV CAIAPONIA II - UC 3215KTL-H3(MBUS-16)46019.364583333346019.364583333346019.5277777778</v>
      </c>
      <c r="Q1247" s="1" t="str">
        <f aca="false">_xlfn.CONCAT(H1247,I1247,J1247)</f>
        <v>DAURDE</v>
      </c>
    </row>
    <row r="1248" customFormat="false" ht="15" hidden="false" customHeight="false" outlineLevel="0" collapsed="false">
      <c r="A1248" s="43"/>
      <c r="B1248" s="44" t="s">
        <v>626</v>
      </c>
      <c r="C1248" s="44" t="s">
        <v>627</v>
      </c>
      <c r="D1248" s="45" t="n">
        <v>46018.3888888889</v>
      </c>
      <c r="E1248" s="45" t="n">
        <v>46018.3888888889</v>
      </c>
      <c r="F1248" s="45" t="n">
        <v>46018.4305555556</v>
      </c>
      <c r="G1248" s="46" t="n">
        <f aca="false">F1248-E1248</f>
        <v>0.0416666666666667</v>
      </c>
      <c r="H1248" s="44" t="s">
        <v>445</v>
      </c>
      <c r="I1248" s="44" t="s">
        <v>263</v>
      </c>
      <c r="J1248" s="44" t="s">
        <v>264</v>
      </c>
      <c r="K1248" s="44" t="s">
        <v>456</v>
      </c>
      <c r="L1248" s="44" t="s">
        <v>915</v>
      </c>
      <c r="M1248" s="44" t="s">
        <v>266</v>
      </c>
      <c r="N1248" s="44" t="s">
        <v>252</v>
      </c>
      <c r="O1248" s="44" t="s">
        <v>916</v>
      </c>
      <c r="P1248" s="47" t="str">
        <f aca="false">_xlfn.CONCAT(B1248,C1248,D1248,E1248,F1248)</f>
        <v>BC Varjao2.1215KTL-H0(MBUS-12)46018.388888888946018.388888888946018.4305555556</v>
      </c>
      <c r="Q1248" s="44" t="str">
        <f aca="false">_xlfn.CONCAT(H1248,I1248,J1248)</f>
        <v>LIGRFOCOM</v>
      </c>
    </row>
    <row r="1249" customFormat="false" ht="15" hidden="false" customHeight="false" outlineLevel="0" collapsed="false">
      <c r="A1249" s="43"/>
      <c r="B1249" s="44" t="s">
        <v>626</v>
      </c>
      <c r="C1249" s="44" t="s">
        <v>629</v>
      </c>
      <c r="D1249" s="45" t="n">
        <v>46018.3888888889</v>
      </c>
      <c r="E1249" s="45" t="n">
        <v>46018.3888888889</v>
      </c>
      <c r="F1249" s="45" t="n">
        <v>46018.4305555556</v>
      </c>
      <c r="G1249" s="46" t="n">
        <f aca="false">F1249-E1249</f>
        <v>0.0416666666666667</v>
      </c>
      <c r="H1249" s="44" t="s">
        <v>445</v>
      </c>
      <c r="I1249" s="44" t="s">
        <v>263</v>
      </c>
      <c r="J1249" s="44" t="s">
        <v>264</v>
      </c>
      <c r="K1249" s="44" t="s">
        <v>456</v>
      </c>
      <c r="L1249" s="44" t="s">
        <v>915</v>
      </c>
      <c r="M1249" s="44" t="s">
        <v>266</v>
      </c>
      <c r="N1249" s="44" t="s">
        <v>252</v>
      </c>
      <c r="O1249" s="44" t="s">
        <v>916</v>
      </c>
      <c r="P1249" s="47" t="str">
        <f aca="false">_xlfn.CONCAT(B1249,C1249,D1249,E1249,F1249)</f>
        <v>BC Varjao2.1215KTL-H0(MBUS-13)46018.388888888946018.388888888946018.4305555556</v>
      </c>
      <c r="Q1249" s="44" t="str">
        <f aca="false">_xlfn.CONCAT(H1249,I1249,J1249)</f>
        <v>LIGRFOCOM</v>
      </c>
    </row>
    <row r="1250" customFormat="false" ht="15" hidden="false" customHeight="false" outlineLevel="0" collapsed="false">
      <c r="A1250" s="43"/>
      <c r="B1250" s="44" t="s">
        <v>626</v>
      </c>
      <c r="C1250" s="44" t="s">
        <v>282</v>
      </c>
      <c r="D1250" s="45" t="n">
        <v>46018.3888888889</v>
      </c>
      <c r="E1250" s="45" t="n">
        <v>46018.3888888889</v>
      </c>
      <c r="F1250" s="45" t="n">
        <v>46018.4305555556</v>
      </c>
      <c r="G1250" s="46" t="n">
        <f aca="false">F1250-E1250</f>
        <v>0.0416666666666667</v>
      </c>
      <c r="H1250" s="44" t="s">
        <v>445</v>
      </c>
      <c r="I1250" s="44" t="s">
        <v>263</v>
      </c>
      <c r="J1250" s="44" t="s">
        <v>264</v>
      </c>
      <c r="K1250" s="44" t="s">
        <v>456</v>
      </c>
      <c r="L1250" s="44" t="s">
        <v>915</v>
      </c>
      <c r="M1250" s="44" t="s">
        <v>266</v>
      </c>
      <c r="N1250" s="44" t="s">
        <v>252</v>
      </c>
      <c r="O1250" s="44" t="s">
        <v>916</v>
      </c>
      <c r="P1250" s="47" t="str">
        <f aca="false">_xlfn.CONCAT(B1250,C1250,D1250,E1250,F1250)</f>
        <v>BC Varjao2.1215KTL-H0(MBUS-14)46018.388888888946018.388888888946018.4305555556</v>
      </c>
      <c r="Q1250" s="44" t="str">
        <f aca="false">_xlfn.CONCAT(H1250,I1250,J1250)</f>
        <v>LIGRFOCOM</v>
      </c>
    </row>
    <row r="1251" customFormat="false" ht="15" hidden="false" customHeight="false" outlineLevel="0" collapsed="false">
      <c r="A1251" s="43"/>
      <c r="B1251" s="44" t="s">
        <v>626</v>
      </c>
      <c r="C1251" s="44" t="s">
        <v>630</v>
      </c>
      <c r="D1251" s="45" t="n">
        <v>46018.3888888889</v>
      </c>
      <c r="E1251" s="45" t="n">
        <v>46018.3888888889</v>
      </c>
      <c r="F1251" s="45" t="n">
        <v>46018.4305555556</v>
      </c>
      <c r="G1251" s="46" t="n">
        <f aca="false">F1251-E1251</f>
        <v>0.0416666666666667</v>
      </c>
      <c r="H1251" s="44" t="s">
        <v>445</v>
      </c>
      <c r="I1251" s="44" t="s">
        <v>263</v>
      </c>
      <c r="J1251" s="44" t="s">
        <v>264</v>
      </c>
      <c r="K1251" s="44" t="s">
        <v>456</v>
      </c>
      <c r="L1251" s="44" t="s">
        <v>915</v>
      </c>
      <c r="M1251" s="44" t="s">
        <v>266</v>
      </c>
      <c r="N1251" s="44" t="s">
        <v>252</v>
      </c>
      <c r="O1251" s="44" t="s">
        <v>916</v>
      </c>
      <c r="P1251" s="47" t="str">
        <f aca="false">_xlfn.CONCAT(B1251,C1251,D1251,E1251,F1251)</f>
        <v>BC Varjao2.1215KTL-H0(MBUS-15)46018.388888888946018.388888888946018.4305555556</v>
      </c>
      <c r="Q1251" s="44" t="str">
        <f aca="false">_xlfn.CONCAT(H1251,I1251,J1251)</f>
        <v>LIGRFOCOM</v>
      </c>
    </row>
    <row r="1252" customFormat="false" ht="15" hidden="false" customHeight="false" outlineLevel="0" collapsed="false">
      <c r="A1252" s="43"/>
      <c r="B1252" s="44" t="s">
        <v>626</v>
      </c>
      <c r="C1252" s="44" t="s">
        <v>631</v>
      </c>
      <c r="D1252" s="45" t="n">
        <v>46018.3888888889</v>
      </c>
      <c r="E1252" s="45" t="n">
        <v>46018.3888888889</v>
      </c>
      <c r="F1252" s="45" t="n">
        <v>46018.4305555556</v>
      </c>
      <c r="G1252" s="46" t="n">
        <f aca="false">F1252-E1252</f>
        <v>0.0416666666666667</v>
      </c>
      <c r="H1252" s="44" t="s">
        <v>445</v>
      </c>
      <c r="I1252" s="44" t="s">
        <v>263</v>
      </c>
      <c r="J1252" s="44" t="s">
        <v>264</v>
      </c>
      <c r="K1252" s="44" t="s">
        <v>456</v>
      </c>
      <c r="L1252" s="44" t="s">
        <v>915</v>
      </c>
      <c r="M1252" s="44" t="s">
        <v>266</v>
      </c>
      <c r="N1252" s="44" t="s">
        <v>252</v>
      </c>
      <c r="O1252" s="44" t="s">
        <v>916</v>
      </c>
      <c r="P1252" s="47" t="str">
        <f aca="false">_xlfn.CONCAT(B1252,C1252,D1252,E1252,F1252)</f>
        <v>BC Varjao2.1215KTL-H0(MBUS-16)46018.388888888946018.388888888946018.4305555556</v>
      </c>
      <c r="Q1252" s="44" t="str">
        <f aca="false">_xlfn.CONCAT(H1252,I1252,J1252)</f>
        <v>LIGRFOCOM</v>
      </c>
    </row>
    <row r="1253" customFormat="false" ht="15" hidden="false" customHeight="false" outlineLevel="0" collapsed="false">
      <c r="A1253" s="43"/>
      <c r="B1253" s="44" t="s">
        <v>632</v>
      </c>
      <c r="C1253" s="44" t="s">
        <v>629</v>
      </c>
      <c r="D1253" s="45" t="n">
        <v>46018.3888888889</v>
      </c>
      <c r="E1253" s="45" t="n">
        <v>46018.3888888889</v>
      </c>
      <c r="F1253" s="45" t="n">
        <v>46018.4305555556</v>
      </c>
      <c r="G1253" s="46" t="n">
        <f aca="false">F1253-E1253</f>
        <v>0.0416666666666667</v>
      </c>
      <c r="H1253" s="44" t="s">
        <v>445</v>
      </c>
      <c r="I1253" s="44" t="s">
        <v>263</v>
      </c>
      <c r="J1253" s="44" t="s">
        <v>264</v>
      </c>
      <c r="K1253" s="44" t="s">
        <v>456</v>
      </c>
      <c r="L1253" s="44" t="s">
        <v>915</v>
      </c>
      <c r="M1253" s="44" t="s">
        <v>266</v>
      </c>
      <c r="N1253" s="44" t="s">
        <v>252</v>
      </c>
      <c r="O1253" s="44" t="s">
        <v>916</v>
      </c>
      <c r="P1253" s="47" t="str">
        <f aca="false">_xlfn.CONCAT(B1253,C1253,D1253,E1253,F1253)</f>
        <v>BC Varjao2.2215KTL-H0(MBUS-13)46018.388888888946018.388888888946018.4305555556</v>
      </c>
      <c r="Q1253" s="44" t="str">
        <f aca="false">_xlfn.CONCAT(H1253,I1253,J1253)</f>
        <v>LIGRFOCOM</v>
      </c>
    </row>
    <row r="1254" customFormat="false" ht="15" hidden="false" customHeight="false" outlineLevel="0" collapsed="false">
      <c r="A1254" s="43"/>
      <c r="B1254" s="44" t="s">
        <v>632</v>
      </c>
      <c r="C1254" s="44" t="s">
        <v>282</v>
      </c>
      <c r="D1254" s="45" t="n">
        <v>46018.3888888889</v>
      </c>
      <c r="E1254" s="45" t="n">
        <v>46018.3888888889</v>
      </c>
      <c r="F1254" s="45" t="n">
        <v>46018.4305555556</v>
      </c>
      <c r="G1254" s="46" t="n">
        <f aca="false">F1254-E1254</f>
        <v>0.0416666666666667</v>
      </c>
      <c r="H1254" s="44" t="s">
        <v>445</v>
      </c>
      <c r="I1254" s="44" t="s">
        <v>263</v>
      </c>
      <c r="J1254" s="44" t="s">
        <v>264</v>
      </c>
      <c r="K1254" s="44" t="s">
        <v>456</v>
      </c>
      <c r="L1254" s="44" t="s">
        <v>915</v>
      </c>
      <c r="M1254" s="44" t="s">
        <v>266</v>
      </c>
      <c r="N1254" s="44" t="s">
        <v>252</v>
      </c>
      <c r="O1254" s="44" t="s">
        <v>916</v>
      </c>
      <c r="P1254" s="47" t="str">
        <f aca="false">_xlfn.CONCAT(B1254,C1254,D1254,E1254,F1254)</f>
        <v>BC Varjao2.2215KTL-H0(MBUS-14)46018.388888888946018.388888888946018.4305555556</v>
      </c>
      <c r="Q1254" s="44" t="str">
        <f aca="false">_xlfn.CONCAT(H1254,I1254,J1254)</f>
        <v>LIGRFOCOM</v>
      </c>
    </row>
    <row r="1255" customFormat="false" ht="15" hidden="false" customHeight="false" outlineLevel="0" collapsed="false">
      <c r="A1255" s="43"/>
      <c r="B1255" s="44" t="s">
        <v>632</v>
      </c>
      <c r="C1255" s="44" t="s">
        <v>630</v>
      </c>
      <c r="D1255" s="45" t="n">
        <v>46018.3888888889</v>
      </c>
      <c r="E1255" s="45" t="n">
        <v>46018.3888888889</v>
      </c>
      <c r="F1255" s="45" t="n">
        <v>46018.4305555556</v>
      </c>
      <c r="G1255" s="46" t="n">
        <f aca="false">F1255-E1255</f>
        <v>0.0416666666666667</v>
      </c>
      <c r="H1255" s="44" t="s">
        <v>445</v>
      </c>
      <c r="I1255" s="44" t="s">
        <v>263</v>
      </c>
      <c r="J1255" s="44" t="s">
        <v>264</v>
      </c>
      <c r="K1255" s="44" t="s">
        <v>456</v>
      </c>
      <c r="L1255" s="44" t="s">
        <v>915</v>
      </c>
      <c r="M1255" s="44" t="s">
        <v>266</v>
      </c>
      <c r="N1255" s="44" t="s">
        <v>252</v>
      </c>
      <c r="O1255" s="44" t="s">
        <v>916</v>
      </c>
      <c r="P1255" s="47" t="str">
        <f aca="false">_xlfn.CONCAT(B1255,C1255,D1255,E1255,F1255)</f>
        <v>BC Varjao2.2215KTL-H0(MBUS-15)46018.388888888946018.388888888946018.4305555556</v>
      </c>
      <c r="Q1255" s="44" t="str">
        <f aca="false">_xlfn.CONCAT(H1255,I1255,J1255)</f>
        <v>LIGRFOCOM</v>
      </c>
    </row>
    <row r="1256" customFormat="false" ht="15" hidden="false" customHeight="false" outlineLevel="0" collapsed="false">
      <c r="A1256" s="43"/>
      <c r="B1256" s="44" t="s">
        <v>632</v>
      </c>
      <c r="C1256" s="44" t="s">
        <v>631</v>
      </c>
      <c r="D1256" s="45" t="n">
        <v>46018.3888888889</v>
      </c>
      <c r="E1256" s="45" t="n">
        <v>46018.3888888889</v>
      </c>
      <c r="F1256" s="45" t="n">
        <v>46018.4305555556</v>
      </c>
      <c r="G1256" s="46" t="n">
        <f aca="false">F1256-E1256</f>
        <v>0.0416666666666667</v>
      </c>
      <c r="H1256" s="44" t="s">
        <v>445</v>
      </c>
      <c r="I1256" s="44" t="s">
        <v>263</v>
      </c>
      <c r="J1256" s="44" t="s">
        <v>264</v>
      </c>
      <c r="K1256" s="44" t="s">
        <v>456</v>
      </c>
      <c r="L1256" s="44" t="s">
        <v>915</v>
      </c>
      <c r="M1256" s="44" t="s">
        <v>266</v>
      </c>
      <c r="N1256" s="44" t="s">
        <v>252</v>
      </c>
      <c r="O1256" s="44" t="s">
        <v>916</v>
      </c>
      <c r="P1256" s="47" t="str">
        <f aca="false">_xlfn.CONCAT(B1256,C1256,D1256,E1256,F1256)</f>
        <v>BC Varjao2.2215KTL-H0(MBUS-16)46018.388888888946018.388888888946018.4305555556</v>
      </c>
      <c r="Q1256" s="44" t="str">
        <f aca="false">_xlfn.CONCAT(H1256,I1256,J1256)</f>
        <v>LIGRFOCOM</v>
      </c>
    </row>
    <row r="1257" customFormat="false" ht="15" hidden="false" customHeight="false" outlineLevel="0" collapsed="false">
      <c r="A1257" s="43"/>
      <c r="B1257" s="44" t="s">
        <v>632</v>
      </c>
      <c r="C1257" s="44" t="s">
        <v>627</v>
      </c>
      <c r="D1257" s="45" t="n">
        <v>46018.3888888889</v>
      </c>
      <c r="E1257" s="45" t="n">
        <v>46018.3888888889</v>
      </c>
      <c r="F1257" s="45" t="n">
        <v>46018.4305555556</v>
      </c>
      <c r="G1257" s="46" t="n">
        <f aca="false">F1257-E1257</f>
        <v>0.0416666666666667</v>
      </c>
      <c r="H1257" s="44" t="s">
        <v>445</v>
      </c>
      <c r="I1257" s="44" t="s">
        <v>263</v>
      </c>
      <c r="J1257" s="44" t="s">
        <v>264</v>
      </c>
      <c r="K1257" s="44" t="s">
        <v>456</v>
      </c>
      <c r="L1257" s="44" t="s">
        <v>915</v>
      </c>
      <c r="M1257" s="44" t="s">
        <v>266</v>
      </c>
      <c r="N1257" s="44" t="s">
        <v>252</v>
      </c>
      <c r="O1257" s="44" t="s">
        <v>916</v>
      </c>
      <c r="P1257" s="47" t="str">
        <f aca="false">_xlfn.CONCAT(B1257,C1257,D1257,E1257,F1257)</f>
        <v>BC Varjao2.2215KTL-H0(MBUS-12)46018.388888888946018.388888888946018.4305555556</v>
      </c>
      <c r="Q1257" s="44" t="str">
        <f aca="false">_xlfn.CONCAT(H1257,I1257,J1257)</f>
        <v>LIGRFOCOM</v>
      </c>
    </row>
    <row r="1258" customFormat="false" ht="15" hidden="false" customHeight="false" outlineLevel="0" collapsed="false">
      <c r="A1258" s="43"/>
      <c r="B1258" s="44" t="s">
        <v>633</v>
      </c>
      <c r="C1258" s="44" t="s">
        <v>634</v>
      </c>
      <c r="D1258" s="45" t="n">
        <v>46018.3888888889</v>
      </c>
      <c r="E1258" s="45" t="n">
        <v>46018.3888888889</v>
      </c>
      <c r="F1258" s="45" t="n">
        <v>46018.4305555556</v>
      </c>
      <c r="G1258" s="46" t="n">
        <f aca="false">F1258-E1258</f>
        <v>0.0416666666666667</v>
      </c>
      <c r="H1258" s="44" t="s">
        <v>445</v>
      </c>
      <c r="I1258" s="44" t="s">
        <v>263</v>
      </c>
      <c r="J1258" s="44" t="s">
        <v>264</v>
      </c>
      <c r="K1258" s="44" t="s">
        <v>456</v>
      </c>
      <c r="L1258" s="44" t="s">
        <v>915</v>
      </c>
      <c r="M1258" s="44" t="s">
        <v>266</v>
      </c>
      <c r="N1258" s="44" t="s">
        <v>252</v>
      </c>
      <c r="O1258" s="44" t="s">
        <v>916</v>
      </c>
      <c r="P1258" s="47" t="str">
        <f aca="false">_xlfn.CONCAT(B1258,C1258,D1258,E1258,F1258)</f>
        <v>BC Varjao2.3100KTL-H1(MBUS-1)46018.388888888946018.388888888946018.4305555556</v>
      </c>
      <c r="Q1258" s="44" t="str">
        <f aca="false">_xlfn.CONCAT(H1258,I1258,J1258)</f>
        <v>LIGRFOCOM</v>
      </c>
    </row>
    <row r="1259" customFormat="false" ht="15" hidden="false" customHeight="false" outlineLevel="0" collapsed="false">
      <c r="A1259" s="43"/>
      <c r="B1259" s="44" t="s">
        <v>633</v>
      </c>
      <c r="C1259" s="44" t="s">
        <v>629</v>
      </c>
      <c r="D1259" s="45" t="n">
        <v>46018.3888888889</v>
      </c>
      <c r="E1259" s="45" t="n">
        <v>46018.3888888889</v>
      </c>
      <c r="F1259" s="45" t="n">
        <v>46018.4305555556</v>
      </c>
      <c r="G1259" s="46" t="n">
        <f aca="false">F1259-E1259</f>
        <v>0.0416666666666667</v>
      </c>
      <c r="H1259" s="44" t="s">
        <v>445</v>
      </c>
      <c r="I1259" s="44" t="s">
        <v>263</v>
      </c>
      <c r="J1259" s="44" t="s">
        <v>264</v>
      </c>
      <c r="K1259" s="44" t="s">
        <v>456</v>
      </c>
      <c r="L1259" s="44" t="s">
        <v>915</v>
      </c>
      <c r="M1259" s="44" t="s">
        <v>266</v>
      </c>
      <c r="N1259" s="44" t="s">
        <v>252</v>
      </c>
      <c r="O1259" s="44" t="s">
        <v>916</v>
      </c>
      <c r="P1259" s="47" t="str">
        <f aca="false">_xlfn.CONCAT(B1259,C1259,D1259,E1259,F1259)</f>
        <v>BC Varjao2.3215KTL-H0(MBUS-13)46018.388888888946018.388888888946018.4305555556</v>
      </c>
      <c r="Q1259" s="44" t="str">
        <f aca="false">_xlfn.CONCAT(H1259,I1259,J1259)</f>
        <v>LIGRFOCOM</v>
      </c>
    </row>
    <row r="1260" customFormat="false" ht="15" hidden="false" customHeight="false" outlineLevel="0" collapsed="false">
      <c r="A1260" s="43"/>
      <c r="B1260" s="44" t="s">
        <v>633</v>
      </c>
      <c r="C1260" s="44" t="s">
        <v>627</v>
      </c>
      <c r="D1260" s="45" t="n">
        <v>46018.3888888889</v>
      </c>
      <c r="E1260" s="45" t="n">
        <v>46018.3888888889</v>
      </c>
      <c r="F1260" s="45" t="n">
        <v>46018.4305555556</v>
      </c>
      <c r="G1260" s="46" t="n">
        <f aca="false">F1260-E1260</f>
        <v>0.0416666666666667</v>
      </c>
      <c r="H1260" s="44" t="s">
        <v>445</v>
      </c>
      <c r="I1260" s="44" t="s">
        <v>263</v>
      </c>
      <c r="J1260" s="44" t="s">
        <v>264</v>
      </c>
      <c r="K1260" s="44" t="s">
        <v>456</v>
      </c>
      <c r="L1260" s="44" t="s">
        <v>915</v>
      </c>
      <c r="M1260" s="44" t="s">
        <v>266</v>
      </c>
      <c r="N1260" s="44" t="s">
        <v>252</v>
      </c>
      <c r="O1260" s="44" t="s">
        <v>916</v>
      </c>
      <c r="P1260" s="47" t="str">
        <f aca="false">_xlfn.CONCAT(B1260,C1260,D1260,E1260,F1260)</f>
        <v>BC Varjao2.3215KTL-H0(MBUS-12)46018.388888888946018.388888888946018.4305555556</v>
      </c>
      <c r="Q1260" s="44" t="str">
        <f aca="false">_xlfn.CONCAT(H1260,I1260,J1260)</f>
        <v>LIGRFOCOM</v>
      </c>
    </row>
    <row r="1261" customFormat="false" ht="15" hidden="true" customHeight="false" outlineLevel="0" collapsed="false">
      <c r="A1261" s="43"/>
      <c r="B1261" s="44" t="s">
        <v>740</v>
      </c>
      <c r="C1261" s="44" t="s">
        <v>741</v>
      </c>
      <c r="D1261" s="45" t="n">
        <v>46019.5486111111</v>
      </c>
      <c r="E1261" s="45" t="n">
        <v>46019.5486111111</v>
      </c>
      <c r="F1261" s="45" t="n">
        <v>46019.6458333333</v>
      </c>
      <c r="G1261" s="46" t="n">
        <f aca="false">F1261-E1261</f>
        <v>0.0972222222222222</v>
      </c>
      <c r="H1261" s="44" t="s">
        <v>248</v>
      </c>
      <c r="I1261" s="44"/>
      <c r="J1261" s="44" t="s">
        <v>249</v>
      </c>
      <c r="K1261" s="44" t="s">
        <v>439</v>
      </c>
      <c r="L1261" s="44" t="s">
        <v>888</v>
      </c>
      <c r="M1261" s="44" t="s">
        <v>251</v>
      </c>
      <c r="N1261" s="44" t="s">
        <v>252</v>
      </c>
      <c r="O1261" s="44" t="s">
        <v>889</v>
      </c>
      <c r="P1261" s="47" t="str">
        <f aca="false">_xlfn.CONCAT(B1261,C1261,D1261,E1261,F1261)</f>
        <v>BC Vazante1.3Inversor 146019.548611111146019.548611111146019.6458333333</v>
      </c>
      <c r="Q1261" s="44" t="str">
        <f aca="false">_xlfn.CONCAT(H1261,I1261,J1261)</f>
        <v>DAUINV</v>
      </c>
    </row>
    <row r="1262" customFormat="false" ht="15" hidden="true" customHeight="false" outlineLevel="0" collapsed="false">
      <c r="A1262" s="43"/>
      <c r="B1262" s="44" t="s">
        <v>740</v>
      </c>
      <c r="C1262" s="44" t="s">
        <v>742</v>
      </c>
      <c r="D1262" s="45" t="n">
        <v>46019.5486111111</v>
      </c>
      <c r="E1262" s="45" t="n">
        <v>46019.5486111111</v>
      </c>
      <c r="F1262" s="45" t="n">
        <v>46019.6458333333</v>
      </c>
      <c r="G1262" s="46" t="n">
        <f aca="false">F1262-E1262</f>
        <v>0.0972222222222222</v>
      </c>
      <c r="H1262" s="44" t="s">
        <v>248</v>
      </c>
      <c r="I1262" s="44"/>
      <c r="J1262" s="44" t="s">
        <v>249</v>
      </c>
      <c r="K1262" s="44" t="s">
        <v>439</v>
      </c>
      <c r="L1262" s="44" t="s">
        <v>888</v>
      </c>
      <c r="M1262" s="44" t="s">
        <v>251</v>
      </c>
      <c r="N1262" s="44" t="s">
        <v>252</v>
      </c>
      <c r="O1262" s="44" t="s">
        <v>889</v>
      </c>
      <c r="P1262" s="47" t="str">
        <f aca="false">_xlfn.CONCAT(B1262,C1262,D1262,E1262,F1262)</f>
        <v>BC Vazante1.3Inversor 246019.548611111146019.548611111146019.6458333333</v>
      </c>
      <c r="Q1262" s="44" t="str">
        <f aca="false">_xlfn.CONCAT(H1262,I1262,J1262)</f>
        <v>DAUINV</v>
      </c>
    </row>
    <row r="1263" customFormat="false" ht="15" hidden="true" customHeight="false" outlineLevel="0" collapsed="false">
      <c r="A1263" s="43"/>
      <c r="B1263" s="44" t="s">
        <v>740</v>
      </c>
      <c r="C1263" s="44" t="s">
        <v>743</v>
      </c>
      <c r="D1263" s="45" t="n">
        <v>46019.5486111111</v>
      </c>
      <c r="E1263" s="45" t="n">
        <v>46019.5486111111</v>
      </c>
      <c r="F1263" s="45" t="n">
        <v>46019.6458333333</v>
      </c>
      <c r="G1263" s="46" t="n">
        <f aca="false">F1263-E1263</f>
        <v>0.0972222222222222</v>
      </c>
      <c r="H1263" s="44" t="s">
        <v>248</v>
      </c>
      <c r="I1263" s="44"/>
      <c r="J1263" s="44" t="s">
        <v>249</v>
      </c>
      <c r="K1263" s="44" t="s">
        <v>439</v>
      </c>
      <c r="L1263" s="44" t="s">
        <v>888</v>
      </c>
      <c r="M1263" s="44" t="s">
        <v>251</v>
      </c>
      <c r="N1263" s="44" t="s">
        <v>252</v>
      </c>
      <c r="O1263" s="44" t="s">
        <v>889</v>
      </c>
      <c r="P1263" s="47" t="str">
        <f aca="false">_xlfn.CONCAT(B1263,C1263,D1263,E1263,F1263)</f>
        <v>BC Vazante1.3Inversor 346019.548611111146019.548611111146019.6458333333</v>
      </c>
      <c r="Q1263" s="44" t="str">
        <f aca="false">_xlfn.CONCAT(H1263,I1263,J1263)</f>
        <v>DAUINV</v>
      </c>
    </row>
    <row r="1264" customFormat="false" ht="15" hidden="true" customHeight="false" outlineLevel="0" collapsed="false">
      <c r="A1264" s="43"/>
      <c r="B1264" s="44" t="s">
        <v>740</v>
      </c>
      <c r="C1264" s="44" t="s">
        <v>744</v>
      </c>
      <c r="D1264" s="45" t="n">
        <v>46019.5486111111</v>
      </c>
      <c r="E1264" s="45" t="n">
        <v>46019.5486111111</v>
      </c>
      <c r="F1264" s="45" t="n">
        <v>46019.6458333333</v>
      </c>
      <c r="G1264" s="46" t="n">
        <f aca="false">F1264-E1264</f>
        <v>0.0972222222222222</v>
      </c>
      <c r="H1264" s="44" t="s">
        <v>248</v>
      </c>
      <c r="I1264" s="44"/>
      <c r="J1264" s="44" t="s">
        <v>249</v>
      </c>
      <c r="K1264" s="44" t="s">
        <v>439</v>
      </c>
      <c r="L1264" s="44" t="s">
        <v>888</v>
      </c>
      <c r="M1264" s="44" t="s">
        <v>251</v>
      </c>
      <c r="N1264" s="44" t="s">
        <v>252</v>
      </c>
      <c r="O1264" s="44" t="s">
        <v>889</v>
      </c>
      <c r="P1264" s="47" t="str">
        <f aca="false">_xlfn.CONCAT(B1264,C1264,D1264,E1264,F1264)</f>
        <v>BC Vazante1.3Inversor 446019.548611111146019.548611111146019.6458333333</v>
      </c>
      <c r="Q1264" s="44" t="str">
        <f aca="false">_xlfn.CONCAT(H1264,I1264,J1264)</f>
        <v>DAUINV</v>
      </c>
    </row>
    <row r="1265" customFormat="false" ht="15" hidden="true" customHeight="false" outlineLevel="0" collapsed="false">
      <c r="A1265" s="43"/>
      <c r="B1265" s="44" t="s">
        <v>740</v>
      </c>
      <c r="C1265" s="44" t="s">
        <v>745</v>
      </c>
      <c r="D1265" s="45" t="n">
        <v>46019.5486111111</v>
      </c>
      <c r="E1265" s="45" t="n">
        <v>46019.5486111111</v>
      </c>
      <c r="F1265" s="45" t="n">
        <v>46019.6458333333</v>
      </c>
      <c r="G1265" s="46" t="n">
        <f aca="false">F1265-E1265</f>
        <v>0.0972222222222222</v>
      </c>
      <c r="H1265" s="44" t="s">
        <v>248</v>
      </c>
      <c r="I1265" s="44"/>
      <c r="J1265" s="44" t="s">
        <v>249</v>
      </c>
      <c r="K1265" s="44" t="s">
        <v>439</v>
      </c>
      <c r="L1265" s="44" t="s">
        <v>888</v>
      </c>
      <c r="M1265" s="44" t="s">
        <v>251</v>
      </c>
      <c r="N1265" s="44" t="s">
        <v>252</v>
      </c>
      <c r="O1265" s="44" t="s">
        <v>889</v>
      </c>
      <c r="P1265" s="47" t="str">
        <f aca="false">_xlfn.CONCAT(B1265,C1265,D1265,E1265,F1265)</f>
        <v>BC Vazante1.3Inversor 546019.548611111146019.548611111146019.6458333333</v>
      </c>
      <c r="Q1265" s="44" t="str">
        <f aca="false">_xlfn.CONCAT(H1265,I1265,J1265)</f>
        <v>DAUINV</v>
      </c>
    </row>
    <row r="1266" customFormat="false" ht="15" hidden="true" customHeight="false" outlineLevel="0" collapsed="false">
      <c r="A1266" s="43"/>
      <c r="B1266" s="44" t="s">
        <v>740</v>
      </c>
      <c r="C1266" s="44" t="s">
        <v>746</v>
      </c>
      <c r="D1266" s="45" t="n">
        <v>46019.5486111111</v>
      </c>
      <c r="E1266" s="45" t="n">
        <v>46019.5486111111</v>
      </c>
      <c r="F1266" s="45" t="n">
        <v>46019.6458333333</v>
      </c>
      <c r="G1266" s="46" t="n">
        <f aca="false">F1266-E1266</f>
        <v>0.0972222222222222</v>
      </c>
      <c r="H1266" s="44" t="s">
        <v>248</v>
      </c>
      <c r="I1266" s="44"/>
      <c r="J1266" s="44" t="s">
        <v>249</v>
      </c>
      <c r="K1266" s="44" t="s">
        <v>439</v>
      </c>
      <c r="L1266" s="44" t="s">
        <v>888</v>
      </c>
      <c r="M1266" s="44" t="s">
        <v>251</v>
      </c>
      <c r="N1266" s="44" t="s">
        <v>252</v>
      </c>
      <c r="O1266" s="44" t="s">
        <v>889</v>
      </c>
      <c r="P1266" s="47" t="str">
        <f aca="false">_xlfn.CONCAT(B1266,C1266,D1266,E1266,F1266)</f>
        <v>BC Vazante1.3Inversor 646019.548611111146019.548611111146019.6458333333</v>
      </c>
      <c r="Q1266" s="44" t="str">
        <f aca="false">_xlfn.CONCAT(H1266,I1266,J1266)</f>
        <v>DAUINV</v>
      </c>
    </row>
    <row r="1267" customFormat="false" ht="15" hidden="true" customHeight="false" outlineLevel="0" collapsed="false">
      <c r="A1267" s="43"/>
      <c r="B1267" s="44" t="s">
        <v>740</v>
      </c>
      <c r="C1267" s="44" t="s">
        <v>747</v>
      </c>
      <c r="D1267" s="45" t="n">
        <v>46019.5486111111</v>
      </c>
      <c r="E1267" s="45" t="n">
        <v>46019.5486111111</v>
      </c>
      <c r="F1267" s="45" t="n">
        <v>46019.6458333333</v>
      </c>
      <c r="G1267" s="46" t="n">
        <f aca="false">F1267-E1267</f>
        <v>0.0972222222222222</v>
      </c>
      <c r="H1267" s="44" t="s">
        <v>248</v>
      </c>
      <c r="I1267" s="44"/>
      <c r="J1267" s="44" t="s">
        <v>249</v>
      </c>
      <c r="K1267" s="44" t="s">
        <v>439</v>
      </c>
      <c r="L1267" s="44" t="s">
        <v>888</v>
      </c>
      <c r="M1267" s="44" t="s">
        <v>251</v>
      </c>
      <c r="N1267" s="44" t="s">
        <v>252</v>
      </c>
      <c r="O1267" s="44" t="s">
        <v>889</v>
      </c>
      <c r="P1267" s="47" t="str">
        <f aca="false">_xlfn.CONCAT(B1267,C1267,D1267,E1267,F1267)</f>
        <v>BC Vazante1.3Inversor 746019.548611111146019.548611111146019.6458333333</v>
      </c>
      <c r="Q1267" s="44" t="str">
        <f aca="false">_xlfn.CONCAT(H1267,I1267,J1267)</f>
        <v>DAUINV</v>
      </c>
    </row>
    <row r="1268" customFormat="false" ht="15" hidden="true" customHeight="false" outlineLevel="0" collapsed="false">
      <c r="A1268" s="43"/>
      <c r="B1268" s="44" t="s">
        <v>740</v>
      </c>
      <c r="C1268" s="44" t="s">
        <v>748</v>
      </c>
      <c r="D1268" s="45" t="n">
        <v>46019.5486111111</v>
      </c>
      <c r="E1268" s="45" t="n">
        <v>46019.5486111111</v>
      </c>
      <c r="F1268" s="45" t="n">
        <v>46019.6458333333</v>
      </c>
      <c r="G1268" s="46" t="n">
        <f aca="false">F1268-E1268</f>
        <v>0.0972222222222222</v>
      </c>
      <c r="H1268" s="44" t="s">
        <v>248</v>
      </c>
      <c r="I1268" s="44"/>
      <c r="J1268" s="44" t="s">
        <v>249</v>
      </c>
      <c r="K1268" s="44" t="s">
        <v>439</v>
      </c>
      <c r="L1268" s="44" t="s">
        <v>888</v>
      </c>
      <c r="M1268" s="44" t="s">
        <v>251</v>
      </c>
      <c r="N1268" s="44" t="s">
        <v>252</v>
      </c>
      <c r="O1268" s="44" t="s">
        <v>889</v>
      </c>
      <c r="P1268" s="47" t="str">
        <f aca="false">_xlfn.CONCAT(B1268,C1268,D1268,E1268,F1268)</f>
        <v>BC Vazante1.3Inversor 846019.548611111146019.548611111146019.6458333333</v>
      </c>
      <c r="Q1268" s="44" t="str">
        <f aca="false">_xlfn.CONCAT(H1268,I1268,J1268)</f>
        <v>DAUINV</v>
      </c>
    </row>
    <row r="1269" customFormat="false" ht="15" hidden="true" customHeight="false" outlineLevel="0" collapsed="false">
      <c r="A1269" s="43"/>
      <c r="B1269" s="44" t="s">
        <v>740</v>
      </c>
      <c r="C1269" s="44" t="s">
        <v>749</v>
      </c>
      <c r="D1269" s="45" t="n">
        <v>46019.5486111111</v>
      </c>
      <c r="E1269" s="45" t="n">
        <v>46019.5486111111</v>
      </c>
      <c r="F1269" s="45" t="n">
        <v>46019.6458333333</v>
      </c>
      <c r="G1269" s="46" t="n">
        <f aca="false">F1269-E1269</f>
        <v>0.0972222222222222</v>
      </c>
      <c r="H1269" s="44" t="s">
        <v>248</v>
      </c>
      <c r="I1269" s="44"/>
      <c r="J1269" s="44" t="s">
        <v>249</v>
      </c>
      <c r="K1269" s="44" t="s">
        <v>439</v>
      </c>
      <c r="L1269" s="44" t="s">
        <v>888</v>
      </c>
      <c r="M1269" s="44" t="s">
        <v>251</v>
      </c>
      <c r="N1269" s="44" t="s">
        <v>252</v>
      </c>
      <c r="O1269" s="44" t="s">
        <v>889</v>
      </c>
      <c r="P1269" s="47" t="str">
        <f aca="false">_xlfn.CONCAT(B1269,C1269,D1269,E1269,F1269)</f>
        <v>BC Vazante1.3Inversor 946019.548611111146019.548611111146019.6458333333</v>
      </c>
      <c r="Q1269" s="44" t="str">
        <f aca="false">_xlfn.CONCAT(H1269,I1269,J1269)</f>
        <v>DAUINV</v>
      </c>
    </row>
    <row r="1270" customFormat="false" ht="15" hidden="true" customHeight="false" outlineLevel="0" collapsed="false">
      <c r="B1270" s="1" t="s">
        <v>917</v>
      </c>
      <c r="C1270" s="1" t="s">
        <v>312</v>
      </c>
      <c r="D1270" s="14" t="n">
        <v>46022.1180555556</v>
      </c>
      <c r="E1270" s="14" t="n">
        <v>46022.1180555556</v>
      </c>
      <c r="F1270" s="14" t="n">
        <v>46022.3194444444</v>
      </c>
      <c r="G1270" s="46" t="n">
        <f aca="false">F1270-E1270</f>
        <v>0.201388888888889</v>
      </c>
      <c r="H1270" s="20" t="s">
        <v>248</v>
      </c>
      <c r="J1270" s="20" t="s">
        <v>256</v>
      </c>
      <c r="K1270" s="1" t="e">
        <f aca="false">_xlfn.xlookup(J1270,REF!$D$2:$D$12,REF!$E$2:$E$12)</f>
        <v>#NAME?</v>
      </c>
      <c r="L1270" s="1" t="s">
        <v>257</v>
      </c>
      <c r="M1270" s="20" t="s">
        <v>258</v>
      </c>
      <c r="N1270" s="20" t="s">
        <v>379</v>
      </c>
      <c r="O1270" s="1" t="s">
        <v>399</v>
      </c>
      <c r="P1270" s="1" t="str">
        <f aca="false">_xlfn.CONCAT(B1270,C1270,D1270,E1270,F1270)</f>
        <v>Araçu VIIISG75CX(COM1-018)_001_01846022.118055555646022.118055555646022.3194444444</v>
      </c>
      <c r="Q1270" s="1" t="str">
        <f aca="false">_xlfn.CONCAT(H1270,I1270,J1270)</f>
        <v>DAURDE</v>
      </c>
    </row>
    <row r="1271" customFormat="false" ht="15" hidden="true" customHeight="false" outlineLevel="0" collapsed="false">
      <c r="B1271" s="1" t="s">
        <v>917</v>
      </c>
      <c r="C1271" s="1" t="s">
        <v>317</v>
      </c>
      <c r="D1271" s="14" t="n">
        <v>46022.1180555556</v>
      </c>
      <c r="E1271" s="14" t="n">
        <v>46022.1180555556</v>
      </c>
      <c r="F1271" s="14" t="n">
        <v>46022.3194444444</v>
      </c>
      <c r="G1271" s="46" t="n">
        <f aca="false">F1271-E1271</f>
        <v>0.201388888888889</v>
      </c>
      <c r="H1271" s="20" t="s">
        <v>248</v>
      </c>
      <c r="J1271" s="20" t="s">
        <v>256</v>
      </c>
      <c r="K1271" s="1" t="e">
        <f aca="false">_xlfn.xlookup(J1271,REF!$D$2:$D$12,REF!$E$2:$E$12)</f>
        <v>#NAME?</v>
      </c>
      <c r="L1271" s="1" t="s">
        <v>257</v>
      </c>
      <c r="M1271" s="20" t="s">
        <v>258</v>
      </c>
      <c r="N1271" s="20" t="s">
        <v>379</v>
      </c>
      <c r="O1271" s="1" t="s">
        <v>399</v>
      </c>
      <c r="P1271" s="1" t="str">
        <f aca="false">_xlfn.CONCAT(B1271,C1271,D1271,E1271,F1271)</f>
        <v>Araçu VIIISG75CX(COM1-019)_001_01946022.118055555646022.118055555646022.3194444444</v>
      </c>
      <c r="Q1271" s="1" t="str">
        <f aca="false">_xlfn.CONCAT(H1271,I1271,J1271)</f>
        <v>DAURDE</v>
      </c>
    </row>
    <row r="1272" customFormat="false" ht="15" hidden="true" customHeight="false" outlineLevel="0" collapsed="false">
      <c r="B1272" s="1" t="s">
        <v>917</v>
      </c>
      <c r="C1272" s="1" t="s">
        <v>318</v>
      </c>
      <c r="D1272" s="14" t="n">
        <v>46022.1180555556</v>
      </c>
      <c r="E1272" s="14" t="n">
        <v>46022.1180555556</v>
      </c>
      <c r="F1272" s="14" t="n">
        <v>46022.3194444444</v>
      </c>
      <c r="G1272" s="46" t="n">
        <f aca="false">F1272-E1272</f>
        <v>0.201388888888889</v>
      </c>
      <c r="H1272" s="20" t="s">
        <v>248</v>
      </c>
      <c r="J1272" s="20" t="s">
        <v>256</v>
      </c>
      <c r="K1272" s="1" t="e">
        <f aca="false">_xlfn.xlookup(J1272,REF!$D$2:$D$12,REF!$E$2:$E$12)</f>
        <v>#NAME?</v>
      </c>
      <c r="L1272" s="1" t="s">
        <v>257</v>
      </c>
      <c r="M1272" s="20" t="s">
        <v>258</v>
      </c>
      <c r="N1272" s="20" t="s">
        <v>379</v>
      </c>
      <c r="O1272" s="1" t="s">
        <v>399</v>
      </c>
      <c r="P1272" s="1" t="str">
        <f aca="false">_xlfn.CONCAT(B1272,C1272,D1272,E1272,F1272)</f>
        <v>Araçu VIIISG75CX(COM1-020)_001_02046022.118055555646022.118055555646022.3194444444</v>
      </c>
      <c r="Q1272" s="1" t="str">
        <f aca="false">_xlfn.CONCAT(H1272,I1272,J1272)</f>
        <v>DAURDE</v>
      </c>
    </row>
    <row r="1273" customFormat="false" ht="15" hidden="true" customHeight="false" outlineLevel="0" collapsed="false">
      <c r="B1273" s="1" t="s">
        <v>917</v>
      </c>
      <c r="C1273" s="1" t="s">
        <v>319</v>
      </c>
      <c r="D1273" s="14" t="n">
        <v>46022.1180555556</v>
      </c>
      <c r="E1273" s="14" t="n">
        <v>46022.1180555556</v>
      </c>
      <c r="F1273" s="14" t="n">
        <v>46022.3194444444</v>
      </c>
      <c r="G1273" s="46" t="n">
        <f aca="false">F1273-E1273</f>
        <v>0.201388888888889</v>
      </c>
      <c r="H1273" s="20" t="s">
        <v>248</v>
      </c>
      <c r="J1273" s="20" t="s">
        <v>256</v>
      </c>
      <c r="K1273" s="1" t="e">
        <f aca="false">_xlfn.xlookup(J1273,REF!$D$2:$D$12,REF!$E$2:$E$12)</f>
        <v>#NAME?</v>
      </c>
      <c r="L1273" s="1" t="s">
        <v>257</v>
      </c>
      <c r="M1273" s="20" t="s">
        <v>258</v>
      </c>
      <c r="N1273" s="20" t="s">
        <v>379</v>
      </c>
      <c r="O1273" s="1" t="s">
        <v>399</v>
      </c>
      <c r="P1273" s="1" t="str">
        <f aca="false">_xlfn.CONCAT(B1273,C1273,D1273,E1273,F1273)</f>
        <v>Araçu VIIISG75CX(COM1-021)_001_02146022.118055555646022.118055555646022.3194444444</v>
      </c>
      <c r="Q1273" s="1" t="str">
        <f aca="false">_xlfn.CONCAT(H1273,I1273,J1273)</f>
        <v>DAURDE</v>
      </c>
    </row>
    <row r="1274" customFormat="false" ht="15" hidden="true" customHeight="false" outlineLevel="0" collapsed="false">
      <c r="B1274" s="1" t="s">
        <v>254</v>
      </c>
      <c r="C1274" s="1" t="s">
        <v>255</v>
      </c>
      <c r="D1274" s="14" t="n">
        <v>46022.1180555556</v>
      </c>
      <c r="E1274" s="14" t="n">
        <v>46022.1180555556</v>
      </c>
      <c r="F1274" s="14" t="n">
        <v>46022.3194444444</v>
      </c>
      <c r="G1274" s="46" t="n">
        <f aca="false">F1274-E1274</f>
        <v>0.201388888888889</v>
      </c>
      <c r="H1274" s="20" t="s">
        <v>248</v>
      </c>
      <c r="J1274" s="20" t="s">
        <v>256</v>
      </c>
      <c r="K1274" s="1" t="e">
        <f aca="false">_xlfn.xlookup(J1274,REF!$D$2:$D$12,REF!$E$2:$E$12)</f>
        <v>#NAME?</v>
      </c>
      <c r="L1274" s="1" t="s">
        <v>257</v>
      </c>
      <c r="M1274" s="20" t="s">
        <v>258</v>
      </c>
      <c r="N1274" s="20" t="s">
        <v>379</v>
      </c>
      <c r="O1274" s="1" t="s">
        <v>399</v>
      </c>
      <c r="P1274" s="1" t="str">
        <f aca="false">_xlfn.CONCAT(B1274,C1274,D1274,E1274,F1274)</f>
        <v>BC Aracu5.1Inverter(MBUS-1)46022.118055555646022.118055555646022.3194444444</v>
      </c>
      <c r="Q1274" s="1" t="str">
        <f aca="false">_xlfn.CONCAT(H1274,I1274,J1274)</f>
        <v>DAURDE</v>
      </c>
    </row>
    <row r="1275" customFormat="false" ht="15" hidden="true" customHeight="false" outlineLevel="0" collapsed="false">
      <c r="B1275" s="1" t="s">
        <v>307</v>
      </c>
      <c r="C1275" s="1" t="s">
        <v>255</v>
      </c>
      <c r="D1275" s="14" t="n">
        <v>46022.1180555556</v>
      </c>
      <c r="E1275" s="14" t="n">
        <v>46022.1180555556</v>
      </c>
      <c r="F1275" s="14" t="n">
        <v>46022.3194444444</v>
      </c>
      <c r="G1275" s="46" t="n">
        <f aca="false">F1275-E1275</f>
        <v>0.201388888888889</v>
      </c>
      <c r="H1275" s="20" t="s">
        <v>248</v>
      </c>
      <c r="J1275" s="20" t="s">
        <v>256</v>
      </c>
      <c r="K1275" s="1" t="e">
        <f aca="false">_xlfn.xlookup(J1275,REF!$D$2:$D$12,REF!$E$2:$E$12)</f>
        <v>#NAME?</v>
      </c>
      <c r="L1275" s="1" t="s">
        <v>257</v>
      </c>
      <c r="M1275" s="20" t="s">
        <v>258</v>
      </c>
      <c r="N1275" s="20" t="s">
        <v>379</v>
      </c>
      <c r="O1275" s="1" t="s">
        <v>399</v>
      </c>
      <c r="P1275" s="1" t="str">
        <f aca="false">_xlfn.CONCAT(B1275,C1275,D1275,E1275,F1275)</f>
        <v>BC Aracu5.2Inverter(MBUS-1)46022.118055555646022.118055555646022.3194444444</v>
      </c>
      <c r="Q1275" s="1" t="str">
        <f aca="false">_xlfn.CONCAT(H1275,I1275,J1275)</f>
        <v>DAURDE</v>
      </c>
    </row>
    <row r="1276" customFormat="false" ht="15" hidden="true" customHeight="false" outlineLevel="0" collapsed="false">
      <c r="B1276" s="1" t="s">
        <v>308</v>
      </c>
      <c r="C1276" s="1" t="s">
        <v>255</v>
      </c>
      <c r="D1276" s="14" t="n">
        <v>46022.1180555556</v>
      </c>
      <c r="E1276" s="14" t="n">
        <v>46022.1180555556</v>
      </c>
      <c r="F1276" s="14" t="n">
        <v>46022.3194444444</v>
      </c>
      <c r="G1276" s="46" t="n">
        <f aca="false">F1276-E1276</f>
        <v>0.201388888888889</v>
      </c>
      <c r="H1276" s="20" t="s">
        <v>248</v>
      </c>
      <c r="J1276" s="20" t="s">
        <v>256</v>
      </c>
      <c r="K1276" s="1" t="e">
        <f aca="false">_xlfn.xlookup(J1276,REF!$D$2:$D$12,REF!$E$2:$E$12)</f>
        <v>#NAME?</v>
      </c>
      <c r="L1276" s="1" t="s">
        <v>257</v>
      </c>
      <c r="M1276" s="20" t="s">
        <v>258</v>
      </c>
      <c r="N1276" s="20" t="s">
        <v>379</v>
      </c>
      <c r="O1276" s="1" t="s">
        <v>399</v>
      </c>
      <c r="P1276" s="1" t="str">
        <f aca="false">_xlfn.CONCAT(B1276,C1276,D1276,E1276,F1276)</f>
        <v>BC Aracu5.3Inverter(MBUS-1)46022.118055555646022.118055555646022.3194444444</v>
      </c>
      <c r="Q1276" s="1" t="str">
        <f aca="false">_xlfn.CONCAT(H1276,I1276,J1276)</f>
        <v>DAURDE</v>
      </c>
    </row>
    <row r="1277" customFormat="false" ht="15" hidden="true" customHeight="false" outlineLevel="0" collapsed="false">
      <c r="B1277" s="1" t="s">
        <v>309</v>
      </c>
      <c r="C1277" s="1" t="s">
        <v>255</v>
      </c>
      <c r="D1277" s="14" t="n">
        <v>46022.1180555556</v>
      </c>
      <c r="E1277" s="14" t="n">
        <v>46022.1180555556</v>
      </c>
      <c r="F1277" s="14" t="n">
        <v>46022.3194444444</v>
      </c>
      <c r="G1277" s="46" t="n">
        <f aca="false">F1277-E1277</f>
        <v>0.201388888888889</v>
      </c>
      <c r="H1277" s="20" t="s">
        <v>248</v>
      </c>
      <c r="J1277" s="20" t="s">
        <v>256</v>
      </c>
      <c r="K1277" s="1" t="e">
        <f aca="false">_xlfn.xlookup(J1277,REF!$D$2:$D$12,REF!$E$2:$E$12)</f>
        <v>#NAME?</v>
      </c>
      <c r="L1277" s="1" t="s">
        <v>257</v>
      </c>
      <c r="M1277" s="20" t="s">
        <v>258</v>
      </c>
      <c r="N1277" s="20" t="s">
        <v>379</v>
      </c>
      <c r="O1277" s="1" t="s">
        <v>399</v>
      </c>
      <c r="P1277" s="1" t="str">
        <f aca="false">_xlfn.CONCAT(B1277,C1277,D1277,E1277,F1277)</f>
        <v>BC Aracu5.4Inverter(MBUS-1)46022.118055555646022.118055555646022.3194444444</v>
      </c>
      <c r="Q1277" s="1" t="str">
        <f aca="false">_xlfn.CONCAT(H1277,I1277,J1277)</f>
        <v>DAURDE</v>
      </c>
    </row>
    <row r="1278" customFormat="false" ht="15" hidden="true" customHeight="false" outlineLevel="0" collapsed="false">
      <c r="B1278" s="1" t="s">
        <v>310</v>
      </c>
      <c r="C1278" s="1" t="s">
        <v>255</v>
      </c>
      <c r="D1278" s="14" t="n">
        <v>46022.1180555556</v>
      </c>
      <c r="E1278" s="14" t="n">
        <v>46022.1180555556</v>
      </c>
      <c r="F1278" s="14" t="n">
        <v>46022.3194444444</v>
      </c>
      <c r="G1278" s="46" t="n">
        <f aca="false">F1278-E1278</f>
        <v>0.201388888888889</v>
      </c>
      <c r="H1278" s="20" t="s">
        <v>248</v>
      </c>
      <c r="J1278" s="20" t="s">
        <v>256</v>
      </c>
      <c r="K1278" s="1" t="e">
        <f aca="false">_xlfn.xlookup(J1278,REF!$D$2:$D$12,REF!$E$2:$E$12)</f>
        <v>#NAME?</v>
      </c>
      <c r="L1278" s="1" t="s">
        <v>257</v>
      </c>
      <c r="M1278" s="20" t="s">
        <v>258</v>
      </c>
      <c r="N1278" s="20" t="s">
        <v>379</v>
      </c>
      <c r="O1278" s="1" t="s">
        <v>399</v>
      </c>
      <c r="P1278" s="1" t="str">
        <f aca="false">_xlfn.CONCAT(B1278,C1278,D1278,E1278,F1278)</f>
        <v>BC Aracu5.5Inverter(MBUS-1)46022.118055555646022.118055555646022.3194444444</v>
      </c>
      <c r="Q1278" s="1" t="str">
        <f aca="false">_xlfn.CONCAT(H1278,I1278,J1278)</f>
        <v>DAURDE</v>
      </c>
    </row>
    <row r="1279" customFormat="false" ht="15" hidden="true" customHeight="false" outlineLevel="0" collapsed="false">
      <c r="A1279" s="43"/>
      <c r="B1279" s="44" t="s">
        <v>797</v>
      </c>
      <c r="C1279" s="44" t="s">
        <v>277</v>
      </c>
      <c r="D1279" s="45" t="n">
        <v>46019.5694444444</v>
      </c>
      <c r="E1279" s="45" t="n">
        <v>46019.5694444444</v>
      </c>
      <c r="F1279" s="45" t="n">
        <v>46019.5694444444</v>
      </c>
      <c r="G1279" s="46" t="n">
        <f aca="false">F1279-E1279</f>
        <v>0</v>
      </c>
      <c r="H1279" s="44" t="s">
        <v>248</v>
      </c>
      <c r="I1279" s="44"/>
      <c r="J1279" s="44" t="s">
        <v>256</v>
      </c>
      <c r="K1279" s="1" t="e">
        <f aca="false">_xlfn.xlookup(J1279,REF!$D$2:$D$12,REF!$E$2:$E$12)</f>
        <v>#NAME?</v>
      </c>
      <c r="L1279" s="44" t="s">
        <v>918</v>
      </c>
      <c r="M1279" s="44" t="s">
        <v>787</v>
      </c>
      <c r="N1279" s="44" t="s">
        <v>379</v>
      </c>
      <c r="O1279" s="44" t="s">
        <v>790</v>
      </c>
      <c r="P1279" s="47" t="str">
        <f aca="false">_xlfn.CONCAT(B1279,C1279,D1279,E1279,F1279)</f>
        <v>BC Turvania1.1Inverter(MBUS-12)46019.569444444446019.569444444446019.5694444444</v>
      </c>
      <c r="Q1279" s="44" t="str">
        <f aca="false">_xlfn.CONCAT(H1279,I1279,J1279)</f>
        <v>DAURDE</v>
      </c>
    </row>
    <row r="1280" customFormat="false" ht="15" hidden="true" customHeight="false" outlineLevel="0" collapsed="false">
      <c r="A1280" s="43"/>
      <c r="B1280" s="44" t="s">
        <v>797</v>
      </c>
      <c r="C1280" s="44" t="s">
        <v>247</v>
      </c>
      <c r="D1280" s="45" t="n">
        <v>46019.5694444444</v>
      </c>
      <c r="E1280" s="45" t="n">
        <v>46019.5694444444</v>
      </c>
      <c r="F1280" s="45" t="n">
        <v>46019.6090277778</v>
      </c>
      <c r="G1280" s="46" t="n">
        <f aca="false">F1280-E1280</f>
        <v>0.0395833333333333</v>
      </c>
      <c r="H1280" s="44" t="s">
        <v>248</v>
      </c>
      <c r="I1280" s="44"/>
      <c r="J1280" s="44" t="s">
        <v>256</v>
      </c>
      <c r="K1280" s="1" t="e">
        <f aca="false">_xlfn.xlookup(J1280,REF!$D$2:$D$12,REF!$E$2:$E$12)</f>
        <v>#NAME?</v>
      </c>
      <c r="L1280" s="44" t="s">
        <v>918</v>
      </c>
      <c r="M1280" s="44" t="s">
        <v>787</v>
      </c>
      <c r="N1280" s="44" t="s">
        <v>379</v>
      </c>
      <c r="O1280" s="44" t="s">
        <v>790</v>
      </c>
      <c r="P1280" s="47" t="str">
        <f aca="false">_xlfn.CONCAT(B1280,C1280,D1280,E1280,F1280)</f>
        <v>BC Turvania1.1Inverter(MBUS-13)46019.569444444446019.569444444446019.6090277778</v>
      </c>
      <c r="Q1280" s="44" t="str">
        <f aca="false">_xlfn.CONCAT(H1280,I1280,J1280)</f>
        <v>DAURDE</v>
      </c>
    </row>
    <row r="1281" customFormat="false" ht="15" hidden="true" customHeight="false" outlineLevel="0" collapsed="false">
      <c r="A1281" s="43"/>
      <c r="B1281" s="44" t="s">
        <v>797</v>
      </c>
      <c r="C1281" s="44" t="s">
        <v>280</v>
      </c>
      <c r="D1281" s="45" t="n">
        <v>46019.5694444444</v>
      </c>
      <c r="E1281" s="45" t="n">
        <v>46019.5694444444</v>
      </c>
      <c r="F1281" s="45" t="n">
        <v>46019.6090277778</v>
      </c>
      <c r="G1281" s="46" t="n">
        <f aca="false">F1281-E1281</f>
        <v>0.0395833333333333</v>
      </c>
      <c r="H1281" s="44" t="s">
        <v>248</v>
      </c>
      <c r="I1281" s="44"/>
      <c r="J1281" s="44" t="s">
        <v>256</v>
      </c>
      <c r="K1281" s="1" t="e">
        <f aca="false">_xlfn.xlookup(J1281,REF!$D$2:$D$12,REF!$E$2:$E$12)</f>
        <v>#NAME?</v>
      </c>
      <c r="L1281" s="44" t="s">
        <v>918</v>
      </c>
      <c r="M1281" s="44" t="s">
        <v>787</v>
      </c>
      <c r="N1281" s="44" t="s">
        <v>379</v>
      </c>
      <c r="O1281" s="44" t="s">
        <v>790</v>
      </c>
      <c r="P1281" s="47" t="str">
        <f aca="false">_xlfn.CONCAT(B1281,C1281,D1281,E1281,F1281)</f>
        <v>BC Turvania1.1Inverter(MBUS-14)46019.569444444446019.569444444446019.6090277778</v>
      </c>
      <c r="Q1281" s="44" t="str">
        <f aca="false">_xlfn.CONCAT(H1281,I1281,J1281)</f>
        <v>DAURDE</v>
      </c>
    </row>
    <row r="1282" customFormat="false" ht="15" hidden="true" customHeight="false" outlineLevel="0" collapsed="false">
      <c r="A1282" s="43"/>
      <c r="B1282" s="44" t="s">
        <v>797</v>
      </c>
      <c r="C1282" s="44" t="s">
        <v>279</v>
      </c>
      <c r="D1282" s="45" t="n">
        <v>46019.5694444444</v>
      </c>
      <c r="E1282" s="45" t="n">
        <v>46019.5694444444</v>
      </c>
      <c r="F1282" s="45" t="n">
        <v>46019.6090277778</v>
      </c>
      <c r="G1282" s="46" t="n">
        <f aca="false">F1282-E1282</f>
        <v>0.0395833333333333</v>
      </c>
      <c r="H1282" s="44" t="s">
        <v>248</v>
      </c>
      <c r="I1282" s="44"/>
      <c r="J1282" s="44" t="s">
        <v>256</v>
      </c>
      <c r="K1282" s="1" t="e">
        <f aca="false">_xlfn.xlookup(J1282,REF!$D$2:$D$12,REF!$E$2:$E$12)</f>
        <v>#NAME?</v>
      </c>
      <c r="L1282" s="44" t="s">
        <v>918</v>
      </c>
      <c r="M1282" s="44" t="s">
        <v>787</v>
      </c>
      <c r="N1282" s="44" t="s">
        <v>379</v>
      </c>
      <c r="O1282" s="44" t="s">
        <v>790</v>
      </c>
      <c r="P1282" s="47" t="str">
        <f aca="false">_xlfn.CONCAT(B1282,C1282,D1282,E1282,F1282)</f>
        <v>BC Turvania1.1Inverter(MBUS-15)46019.569444444446019.569444444446019.6090277778</v>
      </c>
      <c r="Q1282" s="44" t="str">
        <f aca="false">_xlfn.CONCAT(H1282,I1282,J1282)</f>
        <v>DAURDE</v>
      </c>
    </row>
    <row r="1283" customFormat="false" ht="15" hidden="true" customHeight="false" outlineLevel="0" collapsed="false">
      <c r="A1283" s="43"/>
      <c r="B1283" s="44" t="s">
        <v>883</v>
      </c>
      <c r="C1283" s="44" t="s">
        <v>277</v>
      </c>
      <c r="D1283" s="45" t="n">
        <v>46019.5694444444</v>
      </c>
      <c r="E1283" s="45" t="n">
        <v>46019.5694444444</v>
      </c>
      <c r="F1283" s="45" t="n">
        <v>46019.6090277778</v>
      </c>
      <c r="G1283" s="46" t="n">
        <f aca="false">F1283-E1283</f>
        <v>0.0395833333333333</v>
      </c>
      <c r="H1283" s="44" t="s">
        <v>248</v>
      </c>
      <c r="I1283" s="44"/>
      <c r="J1283" s="44" t="s">
        <v>256</v>
      </c>
      <c r="K1283" s="1" t="e">
        <f aca="false">_xlfn.xlookup(J1283,REF!$D$2:$D$12,REF!$E$2:$E$12)</f>
        <v>#NAME?</v>
      </c>
      <c r="L1283" s="44" t="s">
        <v>918</v>
      </c>
      <c r="M1283" s="44" t="s">
        <v>787</v>
      </c>
      <c r="N1283" s="44" t="s">
        <v>379</v>
      </c>
      <c r="O1283" s="44" t="s">
        <v>790</v>
      </c>
      <c r="P1283" s="47" t="str">
        <f aca="false">_xlfn.CONCAT(B1283,C1283,D1283,E1283,F1283)</f>
        <v>BC Turvania1.2Inverter(MBUS-12)46019.569444444446019.569444444446019.6090277778</v>
      </c>
      <c r="Q1283" s="44" t="str">
        <f aca="false">_xlfn.CONCAT(H1283,I1283,J1283)</f>
        <v>DAURDE</v>
      </c>
    </row>
    <row r="1284" customFormat="false" ht="15" hidden="true" customHeight="false" outlineLevel="0" collapsed="false">
      <c r="A1284" s="43"/>
      <c r="B1284" s="44" t="s">
        <v>883</v>
      </c>
      <c r="C1284" s="44" t="s">
        <v>247</v>
      </c>
      <c r="D1284" s="45" t="n">
        <v>46019.5694444444</v>
      </c>
      <c r="E1284" s="45" t="n">
        <v>46019.5694444444</v>
      </c>
      <c r="F1284" s="45" t="n">
        <v>46019.6090277778</v>
      </c>
      <c r="G1284" s="46" t="n">
        <f aca="false">F1284-E1284</f>
        <v>0.0395833333333333</v>
      </c>
      <c r="H1284" s="44" t="s">
        <v>248</v>
      </c>
      <c r="I1284" s="44"/>
      <c r="J1284" s="44" t="s">
        <v>256</v>
      </c>
      <c r="K1284" s="1" t="e">
        <f aca="false">_xlfn.xlookup(J1284,REF!$D$2:$D$12,REF!$E$2:$E$12)</f>
        <v>#NAME?</v>
      </c>
      <c r="L1284" s="44" t="s">
        <v>918</v>
      </c>
      <c r="M1284" s="44" t="s">
        <v>787</v>
      </c>
      <c r="N1284" s="44" t="s">
        <v>379</v>
      </c>
      <c r="O1284" s="44" t="s">
        <v>790</v>
      </c>
      <c r="P1284" s="47" t="str">
        <f aca="false">_xlfn.CONCAT(B1284,C1284,D1284,E1284,F1284)</f>
        <v>BC Turvania1.2Inverter(MBUS-13)46019.569444444446019.569444444446019.6090277778</v>
      </c>
      <c r="Q1284" s="44" t="str">
        <f aca="false">_xlfn.CONCAT(H1284,I1284,J1284)</f>
        <v>DAURDE</v>
      </c>
    </row>
    <row r="1285" customFormat="false" ht="15" hidden="true" customHeight="false" outlineLevel="0" collapsed="false">
      <c r="A1285" s="43"/>
      <c r="B1285" s="44" t="s">
        <v>883</v>
      </c>
      <c r="C1285" s="44" t="s">
        <v>280</v>
      </c>
      <c r="D1285" s="45" t="n">
        <v>46019.5694444444</v>
      </c>
      <c r="E1285" s="45" t="n">
        <v>46019.5694444444</v>
      </c>
      <c r="F1285" s="45" t="n">
        <v>46019.6090277778</v>
      </c>
      <c r="G1285" s="46" t="n">
        <f aca="false">F1285-E1285</f>
        <v>0.0395833333333333</v>
      </c>
      <c r="H1285" s="44" t="s">
        <v>248</v>
      </c>
      <c r="I1285" s="44"/>
      <c r="J1285" s="44" t="s">
        <v>256</v>
      </c>
      <c r="K1285" s="1" t="e">
        <f aca="false">_xlfn.xlookup(J1285,REF!$D$2:$D$12,REF!$E$2:$E$12)</f>
        <v>#NAME?</v>
      </c>
      <c r="L1285" s="44" t="s">
        <v>918</v>
      </c>
      <c r="M1285" s="44" t="s">
        <v>787</v>
      </c>
      <c r="N1285" s="44" t="s">
        <v>379</v>
      </c>
      <c r="O1285" s="44" t="s">
        <v>790</v>
      </c>
      <c r="P1285" s="47" t="str">
        <f aca="false">_xlfn.CONCAT(B1285,C1285,D1285,E1285,F1285)</f>
        <v>BC Turvania1.2Inverter(MBUS-14)46019.569444444446019.569444444446019.6090277778</v>
      </c>
      <c r="Q1285" s="44" t="str">
        <f aca="false">_xlfn.CONCAT(H1285,I1285,J1285)</f>
        <v>DAURDE</v>
      </c>
    </row>
    <row r="1286" customFormat="false" ht="15" hidden="true" customHeight="false" outlineLevel="0" collapsed="false">
      <c r="A1286" s="43"/>
      <c r="B1286" s="44" t="s">
        <v>883</v>
      </c>
      <c r="C1286" s="44" t="s">
        <v>279</v>
      </c>
      <c r="D1286" s="45" t="n">
        <v>46019.5694444444</v>
      </c>
      <c r="E1286" s="45" t="n">
        <v>46019.5694444444</v>
      </c>
      <c r="F1286" s="45" t="n">
        <v>46019.6090277778</v>
      </c>
      <c r="G1286" s="46" t="n">
        <f aca="false">F1286-E1286</f>
        <v>0.0395833333333333</v>
      </c>
      <c r="H1286" s="44" t="s">
        <v>248</v>
      </c>
      <c r="I1286" s="44"/>
      <c r="J1286" s="44" t="s">
        <v>256</v>
      </c>
      <c r="K1286" s="1" t="e">
        <f aca="false">_xlfn.xlookup(J1286,REF!$D$2:$D$12,REF!$E$2:$E$12)</f>
        <v>#NAME?</v>
      </c>
      <c r="L1286" s="44" t="s">
        <v>918</v>
      </c>
      <c r="M1286" s="44" t="s">
        <v>787</v>
      </c>
      <c r="N1286" s="44" t="s">
        <v>379</v>
      </c>
      <c r="O1286" s="44" t="s">
        <v>790</v>
      </c>
      <c r="P1286" s="47" t="str">
        <f aca="false">_xlfn.CONCAT(B1286,C1286,D1286,E1286,F1286)</f>
        <v>BC Turvania1.2Inverter(MBUS-15)46019.569444444446019.569444444446019.6090277778</v>
      </c>
      <c r="Q1286" s="44" t="str">
        <f aca="false">_xlfn.CONCAT(H1286,I1286,J1286)</f>
        <v>DAURDE</v>
      </c>
    </row>
    <row r="1287" customFormat="false" ht="15" hidden="true" customHeight="false" outlineLevel="0" collapsed="false">
      <c r="A1287" s="43"/>
      <c r="B1287" s="44" t="s">
        <v>246</v>
      </c>
      <c r="C1287" s="44" t="s">
        <v>255</v>
      </c>
      <c r="D1287" s="45" t="n">
        <v>46019.5694444444</v>
      </c>
      <c r="E1287" s="45" t="n">
        <v>46019.5694444444</v>
      </c>
      <c r="F1287" s="45" t="n">
        <v>46019.6090277778</v>
      </c>
      <c r="G1287" s="46" t="n">
        <f aca="false">F1287-E1287</f>
        <v>0.0395833333333333</v>
      </c>
      <c r="H1287" s="44" t="s">
        <v>248</v>
      </c>
      <c r="I1287" s="44"/>
      <c r="J1287" s="44" t="s">
        <v>256</v>
      </c>
      <c r="K1287" s="1" t="e">
        <f aca="false">_xlfn.xlookup(J1287,REF!$D$2:$D$12,REF!$E$2:$E$12)</f>
        <v>#NAME?</v>
      </c>
      <c r="L1287" s="44" t="s">
        <v>918</v>
      </c>
      <c r="M1287" s="44" t="s">
        <v>787</v>
      </c>
      <c r="N1287" s="44" t="s">
        <v>379</v>
      </c>
      <c r="O1287" s="44" t="s">
        <v>790</v>
      </c>
      <c r="P1287" s="47" t="str">
        <f aca="false">_xlfn.CONCAT(B1287,C1287,D1287,E1287,F1287)</f>
        <v>BC Turvania1.3Inverter(MBUS-1)46019.569444444446019.569444444446019.6090277778</v>
      </c>
      <c r="Q1287" s="44" t="str">
        <f aca="false">_xlfn.CONCAT(H1287,I1287,J1287)</f>
        <v>DAURDE</v>
      </c>
    </row>
    <row r="1288" customFormat="false" ht="15" hidden="true" customHeight="false" outlineLevel="0" collapsed="false">
      <c r="A1288" s="43"/>
      <c r="B1288" s="44" t="s">
        <v>246</v>
      </c>
      <c r="C1288" s="44" t="s">
        <v>247</v>
      </c>
      <c r="D1288" s="45" t="n">
        <v>46019.5694444444</v>
      </c>
      <c r="E1288" s="45" t="n">
        <v>46019.5694444444</v>
      </c>
      <c r="F1288" s="45" t="n">
        <v>46019.6090277778</v>
      </c>
      <c r="G1288" s="46" t="n">
        <f aca="false">F1288-E1288</f>
        <v>0.0395833333333333</v>
      </c>
      <c r="H1288" s="44" t="s">
        <v>248</v>
      </c>
      <c r="I1288" s="44"/>
      <c r="J1288" s="44" t="s">
        <v>256</v>
      </c>
      <c r="K1288" s="1" t="e">
        <f aca="false">_xlfn.xlookup(J1288,REF!$D$2:$D$12,REF!$E$2:$E$12)</f>
        <v>#NAME?</v>
      </c>
      <c r="L1288" s="44" t="s">
        <v>918</v>
      </c>
      <c r="M1288" s="44" t="s">
        <v>787</v>
      </c>
      <c r="N1288" s="44" t="s">
        <v>379</v>
      </c>
      <c r="O1288" s="44" t="s">
        <v>790</v>
      </c>
      <c r="P1288" s="47" t="str">
        <f aca="false">_xlfn.CONCAT(B1288,C1288,D1288,E1288,F1288)</f>
        <v>BC Turvania1.3Inverter(MBUS-13)46019.569444444446019.569444444446019.6090277778</v>
      </c>
      <c r="Q1288" s="44" t="str">
        <f aca="false">_xlfn.CONCAT(H1288,I1288,J1288)</f>
        <v>DAURDE</v>
      </c>
    </row>
    <row r="1289" customFormat="false" ht="15" hidden="true" customHeight="false" outlineLevel="0" collapsed="false">
      <c r="A1289" s="43"/>
      <c r="B1289" s="44" t="s">
        <v>246</v>
      </c>
      <c r="C1289" s="44" t="s">
        <v>280</v>
      </c>
      <c r="D1289" s="45" t="n">
        <v>46019.5694444444</v>
      </c>
      <c r="E1289" s="45" t="n">
        <v>46019.5694444444</v>
      </c>
      <c r="F1289" s="45" t="n">
        <v>46019.6090277778</v>
      </c>
      <c r="G1289" s="46" t="n">
        <f aca="false">F1289-E1289</f>
        <v>0.0395833333333333</v>
      </c>
      <c r="H1289" s="44" t="s">
        <v>248</v>
      </c>
      <c r="I1289" s="44"/>
      <c r="J1289" s="44" t="s">
        <v>256</v>
      </c>
      <c r="K1289" s="1" t="e">
        <f aca="false">_xlfn.xlookup(J1289,REF!$D$2:$D$12,REF!$E$2:$E$12)</f>
        <v>#NAME?</v>
      </c>
      <c r="L1289" s="44" t="s">
        <v>918</v>
      </c>
      <c r="M1289" s="44" t="s">
        <v>787</v>
      </c>
      <c r="N1289" s="44" t="s">
        <v>379</v>
      </c>
      <c r="O1289" s="44" t="s">
        <v>790</v>
      </c>
      <c r="P1289" s="47" t="str">
        <f aca="false">_xlfn.CONCAT(B1289,C1289,D1289,E1289,F1289)</f>
        <v>BC Turvania1.3Inverter(MBUS-14)46019.569444444446019.569444444446019.6090277778</v>
      </c>
      <c r="Q1289" s="44" t="str">
        <f aca="false">_xlfn.CONCAT(H1289,I1289,J1289)</f>
        <v>DAURDE</v>
      </c>
    </row>
    <row r="1290" customFormat="false" ht="15" hidden="true" customHeight="false" outlineLevel="0" collapsed="false">
      <c r="A1290" s="43"/>
      <c r="B1290" s="44" t="s">
        <v>246</v>
      </c>
      <c r="C1290" s="44" t="s">
        <v>279</v>
      </c>
      <c r="D1290" s="45" t="n">
        <v>46019.5694444444</v>
      </c>
      <c r="E1290" s="45" t="n">
        <v>46019.5694444444</v>
      </c>
      <c r="F1290" s="45" t="n">
        <v>46019.6090277778</v>
      </c>
      <c r="G1290" s="46" t="n">
        <f aca="false">F1290-E1290</f>
        <v>0.0395833333333333</v>
      </c>
      <c r="H1290" s="44" t="s">
        <v>248</v>
      </c>
      <c r="I1290" s="44"/>
      <c r="J1290" s="44" t="s">
        <v>256</v>
      </c>
      <c r="K1290" s="1" t="e">
        <f aca="false">_xlfn.xlookup(J1290,REF!$D$2:$D$12,REF!$E$2:$E$12)</f>
        <v>#NAME?</v>
      </c>
      <c r="L1290" s="44" t="s">
        <v>918</v>
      </c>
      <c r="M1290" s="44" t="s">
        <v>787</v>
      </c>
      <c r="N1290" s="44" t="s">
        <v>379</v>
      </c>
      <c r="O1290" s="44" t="s">
        <v>790</v>
      </c>
      <c r="P1290" s="47" t="str">
        <f aca="false">_xlfn.CONCAT(B1290,C1290,D1290,E1290,F1290)</f>
        <v>BC Turvania1.3Inverter(MBUS-15)46019.569444444446019.569444444446019.6090277778</v>
      </c>
      <c r="Q1290" s="44" t="str">
        <f aca="false">_xlfn.CONCAT(H1290,I1290,J1290)</f>
        <v>DAURDE</v>
      </c>
    </row>
    <row r="1291" customFormat="false" ht="15" hidden="true" customHeight="false" outlineLevel="0" collapsed="false">
      <c r="A1291" s="43"/>
      <c r="B1291" s="44" t="s">
        <v>884</v>
      </c>
      <c r="C1291" s="44" t="s">
        <v>277</v>
      </c>
      <c r="D1291" s="45" t="n">
        <v>46019.5694444444</v>
      </c>
      <c r="E1291" s="45" t="n">
        <v>46019.5694444444</v>
      </c>
      <c r="F1291" s="45" t="n">
        <v>46019.6090277778</v>
      </c>
      <c r="G1291" s="46" t="n">
        <f aca="false">F1291-E1291</f>
        <v>0.0395833333333333</v>
      </c>
      <c r="H1291" s="44" t="s">
        <v>248</v>
      </c>
      <c r="I1291" s="44"/>
      <c r="J1291" s="44" t="s">
        <v>256</v>
      </c>
      <c r="K1291" s="1" t="e">
        <f aca="false">_xlfn.xlookup(J1291,REF!$D$2:$D$12,REF!$E$2:$E$12)</f>
        <v>#NAME?</v>
      </c>
      <c r="L1291" s="44" t="s">
        <v>918</v>
      </c>
      <c r="M1291" s="44" t="s">
        <v>787</v>
      </c>
      <c r="N1291" s="44" t="s">
        <v>379</v>
      </c>
      <c r="O1291" s="44" t="s">
        <v>790</v>
      </c>
      <c r="P1291" s="47" t="str">
        <f aca="false">_xlfn.CONCAT(B1291,C1291,D1291,E1291,F1291)</f>
        <v>BC Turvania1.4Inverter(MBUS-12)46019.569444444446019.569444444446019.6090277778</v>
      </c>
      <c r="Q1291" s="44" t="str">
        <f aca="false">_xlfn.CONCAT(H1291,I1291,J1291)</f>
        <v>DAURDE</v>
      </c>
    </row>
    <row r="1292" customFormat="false" ht="15" hidden="true" customHeight="false" outlineLevel="0" collapsed="false">
      <c r="A1292" s="43"/>
      <c r="B1292" s="44" t="s">
        <v>884</v>
      </c>
      <c r="C1292" s="44" t="s">
        <v>247</v>
      </c>
      <c r="D1292" s="45" t="n">
        <v>46019.5694444444</v>
      </c>
      <c r="E1292" s="45" t="n">
        <v>46019.5694444444</v>
      </c>
      <c r="F1292" s="45" t="n">
        <v>46019.6090277778</v>
      </c>
      <c r="G1292" s="46" t="n">
        <f aca="false">F1292-E1292</f>
        <v>0.0395833333333333</v>
      </c>
      <c r="H1292" s="44" t="s">
        <v>248</v>
      </c>
      <c r="I1292" s="44"/>
      <c r="J1292" s="44" t="s">
        <v>256</v>
      </c>
      <c r="K1292" s="1" t="e">
        <f aca="false">_xlfn.xlookup(J1292,REF!$D$2:$D$12,REF!$E$2:$E$12)</f>
        <v>#NAME?</v>
      </c>
      <c r="L1292" s="44" t="s">
        <v>918</v>
      </c>
      <c r="M1292" s="44" t="s">
        <v>787</v>
      </c>
      <c r="N1292" s="44" t="s">
        <v>379</v>
      </c>
      <c r="O1292" s="44" t="s">
        <v>790</v>
      </c>
      <c r="P1292" s="47" t="str">
        <f aca="false">_xlfn.CONCAT(B1292,C1292,D1292,E1292,F1292)</f>
        <v>BC Turvania1.4Inverter(MBUS-13)46019.569444444446019.569444444446019.6090277778</v>
      </c>
      <c r="Q1292" s="44" t="str">
        <f aca="false">_xlfn.CONCAT(H1292,I1292,J1292)</f>
        <v>DAURDE</v>
      </c>
    </row>
    <row r="1293" customFormat="false" ht="15" hidden="true" customHeight="false" outlineLevel="0" collapsed="false">
      <c r="A1293" s="43"/>
      <c r="B1293" s="44" t="s">
        <v>884</v>
      </c>
      <c r="C1293" s="44" t="s">
        <v>280</v>
      </c>
      <c r="D1293" s="45" t="n">
        <v>46019.5694444444</v>
      </c>
      <c r="E1293" s="45" t="n">
        <v>46019.5694444444</v>
      </c>
      <c r="F1293" s="45" t="n">
        <v>46019.6090277778</v>
      </c>
      <c r="G1293" s="46" t="n">
        <f aca="false">F1293-E1293</f>
        <v>0.0395833333333333</v>
      </c>
      <c r="H1293" s="44" t="s">
        <v>248</v>
      </c>
      <c r="I1293" s="44"/>
      <c r="J1293" s="44" t="s">
        <v>256</v>
      </c>
      <c r="K1293" s="1" t="e">
        <f aca="false">_xlfn.xlookup(J1293,REF!$D$2:$D$12,REF!$E$2:$E$12)</f>
        <v>#NAME?</v>
      </c>
      <c r="L1293" s="44" t="s">
        <v>918</v>
      </c>
      <c r="M1293" s="44" t="s">
        <v>787</v>
      </c>
      <c r="N1293" s="44" t="s">
        <v>379</v>
      </c>
      <c r="O1293" s="44" t="s">
        <v>790</v>
      </c>
      <c r="P1293" s="47" t="str">
        <f aca="false">_xlfn.CONCAT(B1293,C1293,D1293,E1293,F1293)</f>
        <v>BC Turvania1.4Inverter(MBUS-14)46019.569444444446019.569444444446019.6090277778</v>
      </c>
      <c r="Q1293" s="44" t="str">
        <f aca="false">_xlfn.CONCAT(H1293,I1293,J1293)</f>
        <v>DAURDE</v>
      </c>
    </row>
    <row r="1294" customFormat="false" ht="15" hidden="true" customHeight="false" outlineLevel="0" collapsed="false">
      <c r="A1294" s="43"/>
      <c r="B1294" s="44" t="s">
        <v>884</v>
      </c>
      <c r="C1294" s="44" t="s">
        <v>279</v>
      </c>
      <c r="D1294" s="45" t="n">
        <v>46019.5694444444</v>
      </c>
      <c r="E1294" s="45" t="n">
        <v>46019.5694444444</v>
      </c>
      <c r="F1294" s="45" t="n">
        <v>46019.6090277778</v>
      </c>
      <c r="G1294" s="46" t="n">
        <f aca="false">F1294-E1294</f>
        <v>0.0395833333333333</v>
      </c>
      <c r="H1294" s="44" t="s">
        <v>248</v>
      </c>
      <c r="I1294" s="44"/>
      <c r="J1294" s="44" t="s">
        <v>256</v>
      </c>
      <c r="K1294" s="1" t="e">
        <f aca="false">_xlfn.xlookup(J1294,REF!$D$2:$D$12,REF!$E$2:$E$12)</f>
        <v>#NAME?</v>
      </c>
      <c r="L1294" s="44" t="s">
        <v>918</v>
      </c>
      <c r="M1294" s="44" t="s">
        <v>787</v>
      </c>
      <c r="N1294" s="44" t="s">
        <v>379</v>
      </c>
      <c r="O1294" s="44" t="s">
        <v>790</v>
      </c>
      <c r="P1294" s="47" t="str">
        <f aca="false">_xlfn.CONCAT(B1294,C1294,D1294,E1294,F1294)</f>
        <v>BC Turvania1.4Inverter(MBUS-15)46019.569444444446019.569444444446019.6090277778</v>
      </c>
      <c r="Q1294" s="44" t="str">
        <f aca="false">_xlfn.CONCAT(H1294,I1294,J1294)</f>
        <v>DAURDE</v>
      </c>
    </row>
    <row r="1295" customFormat="false" ht="15" hidden="true" customHeight="false" outlineLevel="0" collapsed="false">
      <c r="A1295" s="43"/>
      <c r="B1295" s="44" t="s">
        <v>885</v>
      </c>
      <c r="C1295" s="44" t="s">
        <v>277</v>
      </c>
      <c r="D1295" s="45" t="n">
        <v>46019.5694444444</v>
      </c>
      <c r="E1295" s="45" t="n">
        <v>46019.5694444444</v>
      </c>
      <c r="F1295" s="45" t="n">
        <v>46019.6090277778</v>
      </c>
      <c r="G1295" s="46" t="n">
        <f aca="false">F1295-E1295</f>
        <v>0.0395833333333333</v>
      </c>
      <c r="H1295" s="44" t="s">
        <v>248</v>
      </c>
      <c r="I1295" s="44"/>
      <c r="J1295" s="44" t="s">
        <v>256</v>
      </c>
      <c r="K1295" s="1" t="e">
        <f aca="false">_xlfn.xlookup(J1295,REF!$D$2:$D$12,REF!$E$2:$E$12)</f>
        <v>#NAME?</v>
      </c>
      <c r="L1295" s="44" t="s">
        <v>918</v>
      </c>
      <c r="M1295" s="44" t="s">
        <v>787</v>
      </c>
      <c r="N1295" s="44" t="s">
        <v>379</v>
      </c>
      <c r="O1295" s="44" t="s">
        <v>790</v>
      </c>
      <c r="P1295" s="47" t="str">
        <f aca="false">_xlfn.CONCAT(B1295,C1295,D1295,E1295,F1295)</f>
        <v>BC Turvania1.5Inverter(MBUS-12)46019.569444444446019.569444444446019.6090277778</v>
      </c>
      <c r="Q1295" s="44" t="str">
        <f aca="false">_xlfn.CONCAT(H1295,I1295,J1295)</f>
        <v>DAURDE</v>
      </c>
    </row>
    <row r="1296" customFormat="false" ht="15" hidden="true" customHeight="false" outlineLevel="0" collapsed="false">
      <c r="A1296" s="43"/>
      <c r="B1296" s="44" t="s">
        <v>885</v>
      </c>
      <c r="C1296" s="44" t="s">
        <v>247</v>
      </c>
      <c r="D1296" s="45" t="n">
        <v>46019.5694444444</v>
      </c>
      <c r="E1296" s="45" t="n">
        <v>46019.5694444444</v>
      </c>
      <c r="F1296" s="45" t="n">
        <v>46019.6090277778</v>
      </c>
      <c r="G1296" s="46" t="n">
        <f aca="false">F1296-E1296</f>
        <v>0.0395833333333333</v>
      </c>
      <c r="H1296" s="44" t="s">
        <v>248</v>
      </c>
      <c r="I1296" s="44"/>
      <c r="J1296" s="44" t="s">
        <v>256</v>
      </c>
      <c r="K1296" s="1" t="e">
        <f aca="false">_xlfn.xlookup(J1296,REF!$D$2:$D$12,REF!$E$2:$E$12)</f>
        <v>#NAME?</v>
      </c>
      <c r="L1296" s="44" t="s">
        <v>918</v>
      </c>
      <c r="M1296" s="44" t="s">
        <v>787</v>
      </c>
      <c r="N1296" s="44" t="s">
        <v>379</v>
      </c>
      <c r="O1296" s="44" t="s">
        <v>790</v>
      </c>
      <c r="P1296" s="47" t="str">
        <f aca="false">_xlfn.CONCAT(B1296,C1296,D1296,E1296,F1296)</f>
        <v>BC Turvania1.5Inverter(MBUS-13)46019.569444444446019.569444444446019.6090277778</v>
      </c>
      <c r="Q1296" s="44" t="str">
        <f aca="false">_xlfn.CONCAT(H1296,I1296,J1296)</f>
        <v>DAURDE</v>
      </c>
    </row>
    <row r="1297" customFormat="false" ht="15" hidden="true" customHeight="false" outlineLevel="0" collapsed="false">
      <c r="A1297" s="43"/>
      <c r="B1297" s="44" t="s">
        <v>885</v>
      </c>
      <c r="C1297" s="44" t="s">
        <v>280</v>
      </c>
      <c r="D1297" s="45" t="n">
        <v>46019.5694444444</v>
      </c>
      <c r="E1297" s="45" t="n">
        <v>46019.5694444444</v>
      </c>
      <c r="F1297" s="45" t="n">
        <v>46019.6090277778</v>
      </c>
      <c r="G1297" s="46" t="n">
        <f aca="false">F1297-E1297</f>
        <v>0.0395833333333333</v>
      </c>
      <c r="H1297" s="44" t="s">
        <v>248</v>
      </c>
      <c r="I1297" s="44"/>
      <c r="J1297" s="44" t="s">
        <v>256</v>
      </c>
      <c r="K1297" s="1" t="e">
        <f aca="false">_xlfn.xlookup(J1297,REF!$D$2:$D$12,REF!$E$2:$E$12)</f>
        <v>#NAME?</v>
      </c>
      <c r="L1297" s="44" t="s">
        <v>918</v>
      </c>
      <c r="M1297" s="44" t="s">
        <v>787</v>
      </c>
      <c r="N1297" s="44" t="s">
        <v>379</v>
      </c>
      <c r="O1297" s="44" t="s">
        <v>790</v>
      </c>
      <c r="P1297" s="47" t="str">
        <f aca="false">_xlfn.CONCAT(B1297,C1297,D1297,E1297,F1297)</f>
        <v>BC Turvania1.5Inverter(MBUS-14)46019.569444444446019.569444444446019.6090277778</v>
      </c>
      <c r="Q1297" s="44" t="str">
        <f aca="false">_xlfn.CONCAT(H1297,I1297,J1297)</f>
        <v>DAURDE</v>
      </c>
    </row>
    <row r="1298" customFormat="false" ht="15" hidden="true" customHeight="false" outlineLevel="0" collapsed="false">
      <c r="A1298" s="43"/>
      <c r="B1298" s="44" t="s">
        <v>885</v>
      </c>
      <c r="C1298" s="44" t="s">
        <v>255</v>
      </c>
      <c r="D1298" s="45" t="n">
        <v>46019.5694444444</v>
      </c>
      <c r="E1298" s="45" t="n">
        <v>46019.5694444444</v>
      </c>
      <c r="F1298" s="45" t="n">
        <v>46019.6090277778</v>
      </c>
      <c r="G1298" s="46" t="n">
        <f aca="false">F1298-E1298</f>
        <v>0.0395833333333333</v>
      </c>
      <c r="H1298" s="44" t="s">
        <v>248</v>
      </c>
      <c r="I1298" s="44"/>
      <c r="J1298" s="44" t="s">
        <v>256</v>
      </c>
      <c r="K1298" s="1" t="e">
        <f aca="false">_xlfn.xlookup(J1298,REF!$D$2:$D$12,REF!$E$2:$E$12)</f>
        <v>#NAME?</v>
      </c>
      <c r="L1298" s="44" t="s">
        <v>918</v>
      </c>
      <c r="M1298" s="44" t="s">
        <v>787</v>
      </c>
      <c r="N1298" s="44" t="s">
        <v>379</v>
      </c>
      <c r="O1298" s="44" t="s">
        <v>790</v>
      </c>
      <c r="P1298" s="47" t="str">
        <f aca="false">_xlfn.CONCAT(B1298,C1298,D1298,E1298,F1298)</f>
        <v>BC Turvania1.5Inverter(MBUS-1)46019.569444444446019.569444444446019.6090277778</v>
      </c>
      <c r="Q1298" s="44" t="str">
        <f aca="false">_xlfn.CONCAT(H1298,I1298,J1298)</f>
        <v>DAURDE</v>
      </c>
    </row>
    <row r="1299" customFormat="false" ht="15" hidden="true" customHeight="false" outlineLevel="0" collapsed="false">
      <c r="B1299" s="1" t="s">
        <v>697</v>
      </c>
      <c r="C1299" s="1" t="s">
        <v>247</v>
      </c>
      <c r="D1299" s="14" t="n">
        <v>46021.9270833333</v>
      </c>
      <c r="E1299" s="14" t="n">
        <v>46021.9270833333</v>
      </c>
      <c r="F1299" s="14" t="n">
        <v>46022.3958333333</v>
      </c>
      <c r="G1299" s="46" t="n">
        <f aca="false">F1299-E1299</f>
        <v>0.46875</v>
      </c>
      <c r="H1299" s="20" t="s">
        <v>248</v>
      </c>
      <c r="J1299" s="20" t="s">
        <v>256</v>
      </c>
      <c r="K1299" s="1" t="e">
        <f aca="false">_xlfn.xlookup(J1299,REF!$D$2:$D$12,REF!$E$2:$E$12)</f>
        <v>#NAME?</v>
      </c>
      <c r="L1299" s="1" t="s">
        <v>636</v>
      </c>
      <c r="M1299" s="20" t="s">
        <v>258</v>
      </c>
      <c r="N1299" s="20" t="s">
        <v>379</v>
      </c>
      <c r="O1299" s="1" t="s">
        <v>399</v>
      </c>
      <c r="P1299" s="1" t="str">
        <f aca="false">_xlfn.CONCAT(B1299,C1299,D1299,E1299,F1299)</f>
        <v>BC Formoso1.1Inverter(MBUS-13)46021.927083333346021.927083333346022.3958333333</v>
      </c>
      <c r="Q1299" s="1" t="str">
        <f aca="false">_xlfn.CONCAT(H1299,I1299,J1299)</f>
        <v>DAURDE</v>
      </c>
    </row>
    <row r="1300" customFormat="false" ht="15" hidden="true" customHeight="false" outlineLevel="0" collapsed="false">
      <c r="B1300" s="1" t="s">
        <v>697</v>
      </c>
      <c r="C1300" s="1" t="s">
        <v>277</v>
      </c>
      <c r="D1300" s="14" t="n">
        <v>46021.9270833333</v>
      </c>
      <c r="E1300" s="14" t="n">
        <v>46021.9270833333</v>
      </c>
      <c r="F1300" s="14" t="n">
        <v>46022.3958333333</v>
      </c>
      <c r="G1300" s="46" t="n">
        <f aca="false">F1300-E1300</f>
        <v>0.46875</v>
      </c>
      <c r="H1300" s="20" t="s">
        <v>248</v>
      </c>
      <c r="J1300" s="20" t="s">
        <v>256</v>
      </c>
      <c r="K1300" s="1" t="e">
        <f aca="false">_xlfn.xlookup(J1300,REF!$D$2:$D$12,REF!$E$2:$E$12)</f>
        <v>#NAME?</v>
      </c>
      <c r="L1300" s="1" t="s">
        <v>636</v>
      </c>
      <c r="M1300" s="20" t="s">
        <v>258</v>
      </c>
      <c r="N1300" s="20" t="s">
        <v>379</v>
      </c>
      <c r="O1300" s="1" t="s">
        <v>399</v>
      </c>
      <c r="P1300" s="1" t="str">
        <f aca="false">_xlfn.CONCAT(B1300,C1300,D1300,E1300,F1300)</f>
        <v>BC Formoso1.1Inverter(MBUS-12)46021.927083333346021.927083333346022.3958333333</v>
      </c>
      <c r="Q1300" s="1" t="str">
        <f aca="false">_xlfn.CONCAT(H1300,I1300,J1300)</f>
        <v>DAURDE</v>
      </c>
    </row>
    <row r="1301" customFormat="false" ht="15" hidden="true" customHeight="false" outlineLevel="0" collapsed="false">
      <c r="B1301" s="1" t="s">
        <v>697</v>
      </c>
      <c r="C1301" s="1" t="s">
        <v>279</v>
      </c>
      <c r="D1301" s="14" t="n">
        <v>46021.9270833333</v>
      </c>
      <c r="E1301" s="14" t="n">
        <v>46021.9270833333</v>
      </c>
      <c r="F1301" s="14" t="n">
        <v>46022.3958333333</v>
      </c>
      <c r="G1301" s="46" t="n">
        <f aca="false">F1301-E1301</f>
        <v>0.46875</v>
      </c>
      <c r="H1301" s="20" t="s">
        <v>248</v>
      </c>
      <c r="J1301" s="20" t="s">
        <v>256</v>
      </c>
      <c r="K1301" s="1" t="e">
        <f aca="false">_xlfn.xlookup(J1301,REF!$D$2:$D$12,REF!$E$2:$E$12)</f>
        <v>#NAME?</v>
      </c>
      <c r="L1301" s="1" t="s">
        <v>636</v>
      </c>
      <c r="M1301" s="20" t="s">
        <v>258</v>
      </c>
      <c r="N1301" s="20" t="s">
        <v>379</v>
      </c>
      <c r="O1301" s="1" t="s">
        <v>399</v>
      </c>
      <c r="P1301" s="1" t="str">
        <f aca="false">_xlfn.CONCAT(B1301,C1301,D1301,E1301,F1301)</f>
        <v>BC Formoso1.1Inverter(MBUS-15)46021.927083333346021.927083333346022.3958333333</v>
      </c>
      <c r="Q1301" s="1" t="str">
        <f aca="false">_xlfn.CONCAT(H1301,I1301,J1301)</f>
        <v>DAURDE</v>
      </c>
    </row>
    <row r="1302" customFormat="false" ht="15" hidden="true" customHeight="false" outlineLevel="0" collapsed="false">
      <c r="B1302" s="1" t="s">
        <v>697</v>
      </c>
      <c r="C1302" s="1" t="s">
        <v>280</v>
      </c>
      <c r="D1302" s="14" t="n">
        <v>46021.9270833333</v>
      </c>
      <c r="E1302" s="14" t="n">
        <v>46021.9270833333</v>
      </c>
      <c r="F1302" s="14" t="n">
        <v>46022.3958333333</v>
      </c>
      <c r="G1302" s="46" t="n">
        <f aca="false">F1302-E1302</f>
        <v>0.46875</v>
      </c>
      <c r="H1302" s="20" t="s">
        <v>248</v>
      </c>
      <c r="J1302" s="20" t="s">
        <v>256</v>
      </c>
      <c r="K1302" s="1" t="e">
        <f aca="false">_xlfn.xlookup(J1302,REF!$D$2:$D$12,REF!$E$2:$E$12)</f>
        <v>#NAME?</v>
      </c>
      <c r="L1302" s="1" t="s">
        <v>636</v>
      </c>
      <c r="M1302" s="20" t="s">
        <v>258</v>
      </c>
      <c r="N1302" s="20" t="s">
        <v>379</v>
      </c>
      <c r="O1302" s="1" t="s">
        <v>399</v>
      </c>
      <c r="P1302" s="1" t="str">
        <f aca="false">_xlfn.CONCAT(B1302,C1302,D1302,E1302,F1302)</f>
        <v>BC Formoso1.1Inverter(MBUS-14)46021.927083333346021.927083333346022.3958333333</v>
      </c>
      <c r="Q1302" s="1" t="str">
        <f aca="false">_xlfn.CONCAT(H1302,I1302,J1302)</f>
        <v>DAURDE</v>
      </c>
    </row>
    <row r="1303" customFormat="false" ht="15" hidden="true" customHeight="false" outlineLevel="0" collapsed="false">
      <c r="B1303" s="1" t="s">
        <v>622</v>
      </c>
      <c r="C1303" s="1" t="s">
        <v>280</v>
      </c>
      <c r="D1303" s="14" t="n">
        <v>46021.9270833333</v>
      </c>
      <c r="E1303" s="14" t="n">
        <v>46021.9270833333</v>
      </c>
      <c r="F1303" s="14" t="n">
        <v>46022.3958333333</v>
      </c>
      <c r="G1303" s="46" t="n">
        <f aca="false">F1303-E1303</f>
        <v>0.46875</v>
      </c>
      <c r="H1303" s="20" t="s">
        <v>248</v>
      </c>
      <c r="J1303" s="20" t="s">
        <v>256</v>
      </c>
      <c r="K1303" s="1" t="e">
        <f aca="false">_xlfn.xlookup(J1303,REF!$D$2:$D$12,REF!$E$2:$E$12)</f>
        <v>#NAME?</v>
      </c>
      <c r="L1303" s="1" t="s">
        <v>636</v>
      </c>
      <c r="M1303" s="20" t="s">
        <v>258</v>
      </c>
      <c r="N1303" s="20" t="s">
        <v>379</v>
      </c>
      <c r="O1303" s="1" t="s">
        <v>399</v>
      </c>
      <c r="P1303" s="1" t="str">
        <f aca="false">_xlfn.CONCAT(B1303,C1303,D1303,E1303,F1303)</f>
        <v>BC Formoso2.2Inverter(MBUS-14)46021.927083333346021.927083333346022.3958333333</v>
      </c>
      <c r="Q1303" s="1" t="str">
        <f aca="false">_xlfn.CONCAT(H1303,I1303,J1303)</f>
        <v>DAURDE</v>
      </c>
    </row>
    <row r="1304" customFormat="false" ht="15" hidden="true" customHeight="false" outlineLevel="0" collapsed="false">
      <c r="B1304" s="1" t="s">
        <v>622</v>
      </c>
      <c r="C1304" s="1" t="s">
        <v>247</v>
      </c>
      <c r="D1304" s="14" t="n">
        <v>46021.9270833333</v>
      </c>
      <c r="E1304" s="14" t="n">
        <v>46021.9270833333</v>
      </c>
      <c r="F1304" s="14" t="n">
        <v>46022.3958333333</v>
      </c>
      <c r="G1304" s="46" t="n">
        <f aca="false">F1304-E1304</f>
        <v>0.46875</v>
      </c>
      <c r="H1304" s="20" t="s">
        <v>248</v>
      </c>
      <c r="J1304" s="20" t="s">
        <v>256</v>
      </c>
      <c r="K1304" s="1" t="e">
        <f aca="false">_xlfn.xlookup(J1304,REF!$D$2:$D$12,REF!$E$2:$E$12)</f>
        <v>#NAME?</v>
      </c>
      <c r="L1304" s="1" t="s">
        <v>636</v>
      </c>
      <c r="M1304" s="20" t="s">
        <v>258</v>
      </c>
      <c r="N1304" s="20" t="s">
        <v>379</v>
      </c>
      <c r="O1304" s="1" t="s">
        <v>399</v>
      </c>
      <c r="P1304" s="1" t="str">
        <f aca="false">_xlfn.CONCAT(B1304,C1304,D1304,E1304,F1304)</f>
        <v>BC Formoso2.2Inverter(MBUS-13)46021.927083333346021.927083333346022.3958333333</v>
      </c>
      <c r="Q1304" s="1" t="str">
        <f aca="false">_xlfn.CONCAT(H1304,I1304,J1304)</f>
        <v>DAURDE</v>
      </c>
    </row>
    <row r="1305" customFormat="false" ht="15" hidden="true" customHeight="false" outlineLevel="0" collapsed="false">
      <c r="B1305" s="1" t="s">
        <v>622</v>
      </c>
      <c r="C1305" s="1" t="s">
        <v>277</v>
      </c>
      <c r="D1305" s="14" t="n">
        <v>46021.9270833333</v>
      </c>
      <c r="E1305" s="14" t="n">
        <v>46021.9270833333</v>
      </c>
      <c r="F1305" s="14" t="n">
        <v>46022.3958333333</v>
      </c>
      <c r="G1305" s="46" t="n">
        <f aca="false">F1305-E1305</f>
        <v>0.46875</v>
      </c>
      <c r="H1305" s="20" t="s">
        <v>248</v>
      </c>
      <c r="J1305" s="20" t="s">
        <v>256</v>
      </c>
      <c r="K1305" s="1" t="e">
        <f aca="false">_xlfn.xlookup(J1305,REF!$D$2:$D$12,REF!$E$2:$E$12)</f>
        <v>#NAME?</v>
      </c>
      <c r="L1305" s="1" t="s">
        <v>636</v>
      </c>
      <c r="M1305" s="20" t="s">
        <v>258</v>
      </c>
      <c r="N1305" s="20" t="s">
        <v>379</v>
      </c>
      <c r="O1305" s="1" t="s">
        <v>399</v>
      </c>
      <c r="P1305" s="1" t="str">
        <f aca="false">_xlfn.CONCAT(B1305,C1305,D1305,E1305,F1305)</f>
        <v>BC Formoso2.2Inverter(MBUS-12)46021.927083333346021.927083333346022.3958333333</v>
      </c>
      <c r="Q1305" s="1" t="str">
        <f aca="false">_xlfn.CONCAT(H1305,I1305,J1305)</f>
        <v>DAURDE</v>
      </c>
    </row>
    <row r="1306" customFormat="false" ht="15" hidden="true" customHeight="false" outlineLevel="0" collapsed="false">
      <c r="B1306" s="1" t="s">
        <v>622</v>
      </c>
      <c r="C1306" s="1" t="s">
        <v>255</v>
      </c>
      <c r="D1306" s="14" t="n">
        <v>46021.9270833333</v>
      </c>
      <c r="E1306" s="14" t="n">
        <v>46021.9270833333</v>
      </c>
      <c r="F1306" s="14" t="n">
        <v>46022.3958333333</v>
      </c>
      <c r="G1306" s="46" t="n">
        <f aca="false">F1306-E1306</f>
        <v>0.46875</v>
      </c>
      <c r="H1306" s="20" t="s">
        <v>248</v>
      </c>
      <c r="J1306" s="20" t="s">
        <v>256</v>
      </c>
      <c r="K1306" s="1" t="e">
        <f aca="false">_xlfn.xlookup(J1306,REF!$D$2:$D$12,REF!$E$2:$E$12)</f>
        <v>#NAME?</v>
      </c>
      <c r="L1306" s="1" t="s">
        <v>636</v>
      </c>
      <c r="M1306" s="20" t="s">
        <v>258</v>
      </c>
      <c r="N1306" s="20" t="s">
        <v>379</v>
      </c>
      <c r="O1306" s="1" t="s">
        <v>399</v>
      </c>
      <c r="P1306" s="1" t="str">
        <f aca="false">_xlfn.CONCAT(B1306,C1306,D1306,E1306,F1306)</f>
        <v>BC Formoso2.2Inverter(MBUS-1)46021.927083333346021.927083333346022.3958333333</v>
      </c>
      <c r="Q1306" s="1" t="str">
        <f aca="false">_xlfn.CONCAT(H1306,I1306,J1306)</f>
        <v>DAURDE</v>
      </c>
    </row>
    <row r="1307" customFormat="false" ht="15" hidden="true" customHeight="false" outlineLevel="0" collapsed="false">
      <c r="A1307" s="43"/>
      <c r="B1307" s="44" t="s">
        <v>701</v>
      </c>
      <c r="C1307" s="44" t="s">
        <v>608</v>
      </c>
      <c r="D1307" s="45" t="n">
        <v>46020.5381944444</v>
      </c>
      <c r="E1307" s="45" t="n">
        <v>46020.5381944444</v>
      </c>
      <c r="F1307" s="45" t="n">
        <v>46020.5833333333</v>
      </c>
      <c r="G1307" s="46" t="n">
        <f aca="false">F1307-E1307</f>
        <v>0.0451388888888889</v>
      </c>
      <c r="H1307" s="44" t="s">
        <v>248</v>
      </c>
      <c r="I1307" s="44"/>
      <c r="J1307" s="44" t="s">
        <v>249</v>
      </c>
      <c r="K1307" s="1" t="e">
        <f aca="false">_xlfn.xlookup(J1307,REF!$D$2:$D$12,REF!$E$2:$E$12)</f>
        <v>#NAME?</v>
      </c>
      <c r="L1307" s="44" t="s">
        <v>910</v>
      </c>
      <c r="M1307" s="44" t="s">
        <v>251</v>
      </c>
      <c r="N1307" s="44" t="s">
        <v>252</v>
      </c>
      <c r="O1307" s="44" t="s">
        <v>911</v>
      </c>
      <c r="P1307" s="47"/>
      <c r="Q1307" s="44"/>
    </row>
    <row r="1308" customFormat="false" ht="15" hidden="true" customHeight="false" outlineLevel="0" collapsed="false">
      <c r="A1308" s="43"/>
      <c r="B1308" s="44" t="s">
        <v>701</v>
      </c>
      <c r="C1308" s="44" t="s">
        <v>608</v>
      </c>
      <c r="D1308" s="45" t="n">
        <v>46021.5138888889</v>
      </c>
      <c r="E1308" s="45" t="n">
        <v>46020.5381944444</v>
      </c>
      <c r="F1308" s="45" t="n">
        <v>46021.2916666667</v>
      </c>
      <c r="G1308" s="46" t="n">
        <f aca="false">F1308-E1308</f>
        <v>0.753472222222222</v>
      </c>
      <c r="H1308" s="44" t="s">
        <v>248</v>
      </c>
      <c r="I1308" s="44"/>
      <c r="J1308" s="44" t="s">
        <v>249</v>
      </c>
      <c r="K1308" s="1" t="e">
        <f aca="false">_xlfn.xlookup(J1308,REF!$D$2:$D$12,REF!$E$2:$E$12)</f>
        <v>#NAME?</v>
      </c>
      <c r="L1308" s="44" t="s">
        <v>910</v>
      </c>
      <c r="M1308" s="44" t="s">
        <v>251</v>
      </c>
      <c r="N1308" s="44" t="s">
        <v>252</v>
      </c>
      <c r="O1308" s="44" t="s">
        <v>911</v>
      </c>
      <c r="P1308" s="47"/>
      <c r="Q1308" s="44"/>
    </row>
    <row r="1309" customFormat="false" ht="15" hidden="true" customHeight="false" outlineLevel="0" collapsed="false">
      <c r="B1309" s="1" t="s">
        <v>380</v>
      </c>
      <c r="C1309" s="1" t="s">
        <v>277</v>
      </c>
      <c r="D1309" s="14" t="n">
        <v>46003.2222222222</v>
      </c>
      <c r="E1309" s="14" t="n">
        <v>46003.2222222222</v>
      </c>
      <c r="F1309" s="14" t="n">
        <v>46003.3465277778</v>
      </c>
      <c r="G1309" s="46" t="n">
        <f aca="false">F1309-E1309</f>
        <v>0.124305555555556</v>
      </c>
      <c r="H1309" s="20" t="s">
        <v>248</v>
      </c>
      <c r="J1309" s="20" t="s">
        <v>256</v>
      </c>
      <c r="K1309" s="1" t="e">
        <f aca="false">_xlfn.xlookup(J1309,REF!$D$2:$D$12,REF!$E$2:$E$12)</f>
        <v>#NAME?</v>
      </c>
      <c r="L1309" s="1" t="s">
        <v>919</v>
      </c>
      <c r="M1309" s="20" t="s">
        <v>258</v>
      </c>
      <c r="N1309" s="20" t="s">
        <v>379</v>
      </c>
      <c r="O1309" s="1" t="s">
        <v>399</v>
      </c>
      <c r="P1309" s="1" t="str">
        <f aca="false">_xlfn.CONCAT(B1309,C1309,D1309,E1309,F1309)</f>
        <v>ARAGUATINS 1.1Inverter(MBUS-12)46003.222222222246003.222222222246003.3465277778</v>
      </c>
      <c r="Q1309" s="1" t="str">
        <f aca="false">_xlfn.CONCAT(H1309,I1309,J1309)</f>
        <v>DAURDE</v>
      </c>
    </row>
    <row r="1310" customFormat="false" ht="15" hidden="true" customHeight="false" outlineLevel="0" collapsed="false">
      <c r="B1310" s="1" t="s">
        <v>380</v>
      </c>
      <c r="C1310" s="1" t="s">
        <v>247</v>
      </c>
      <c r="D1310" s="14" t="n">
        <v>46003.2222222222</v>
      </c>
      <c r="E1310" s="14" t="n">
        <v>46003.2222222222</v>
      </c>
      <c r="F1310" s="14" t="n">
        <v>46003.3465277778</v>
      </c>
      <c r="G1310" s="46" t="n">
        <f aca="false">F1310-E1310</f>
        <v>0.124305555555556</v>
      </c>
      <c r="H1310" s="20" t="s">
        <v>248</v>
      </c>
      <c r="J1310" s="20" t="s">
        <v>256</v>
      </c>
      <c r="K1310" s="1" t="e">
        <f aca="false">_xlfn.xlookup(J1310,REF!$D$2:$D$12,REF!$E$2:$E$12)</f>
        <v>#NAME?</v>
      </c>
      <c r="L1310" s="1" t="s">
        <v>919</v>
      </c>
      <c r="M1310" s="20" t="s">
        <v>258</v>
      </c>
      <c r="N1310" s="20" t="s">
        <v>379</v>
      </c>
      <c r="O1310" s="1" t="s">
        <v>399</v>
      </c>
      <c r="P1310" s="1" t="str">
        <f aca="false">_xlfn.CONCAT(B1310,C1310,D1310,E1310,F1310)</f>
        <v>ARAGUATINS 1.1Inverter(MBUS-13)46003.222222222246003.222222222246003.3465277778</v>
      </c>
      <c r="Q1310" s="1" t="str">
        <f aca="false">_xlfn.CONCAT(H1310,I1310,J1310)</f>
        <v>DAURDE</v>
      </c>
    </row>
    <row r="1311" customFormat="false" ht="15" hidden="true" customHeight="false" outlineLevel="0" collapsed="false">
      <c r="B1311" s="1" t="s">
        <v>380</v>
      </c>
      <c r="C1311" s="1" t="s">
        <v>280</v>
      </c>
      <c r="D1311" s="14" t="n">
        <v>46003.2222222222</v>
      </c>
      <c r="E1311" s="14" t="n">
        <v>46003.2222222222</v>
      </c>
      <c r="F1311" s="14" t="n">
        <v>46003.3465277778</v>
      </c>
      <c r="G1311" s="46" t="n">
        <f aca="false">F1311-E1311</f>
        <v>0.124305555555556</v>
      </c>
      <c r="H1311" s="20" t="s">
        <v>248</v>
      </c>
      <c r="J1311" s="20" t="s">
        <v>256</v>
      </c>
      <c r="K1311" s="1" t="e">
        <f aca="false">_xlfn.xlookup(J1311,REF!$D$2:$D$12,REF!$E$2:$E$12)</f>
        <v>#NAME?</v>
      </c>
      <c r="L1311" s="1" t="s">
        <v>919</v>
      </c>
      <c r="M1311" s="20" t="s">
        <v>258</v>
      </c>
      <c r="N1311" s="20" t="s">
        <v>379</v>
      </c>
      <c r="O1311" s="1" t="s">
        <v>399</v>
      </c>
      <c r="P1311" s="1" t="str">
        <f aca="false">_xlfn.CONCAT(B1311,C1311,D1311,E1311,F1311)</f>
        <v>ARAGUATINS 1.1Inverter(MBUS-14)46003.222222222246003.222222222246003.3465277778</v>
      </c>
      <c r="Q1311" s="1" t="str">
        <f aca="false">_xlfn.CONCAT(H1311,I1311,J1311)</f>
        <v>DAURDE</v>
      </c>
    </row>
    <row r="1312" customFormat="false" ht="15" hidden="true" customHeight="false" outlineLevel="0" collapsed="false">
      <c r="B1312" s="1" t="s">
        <v>380</v>
      </c>
      <c r="C1312" s="1" t="s">
        <v>279</v>
      </c>
      <c r="D1312" s="14" t="n">
        <v>46003.2222222222</v>
      </c>
      <c r="E1312" s="14" t="n">
        <v>46003.2222222222</v>
      </c>
      <c r="F1312" s="14" t="n">
        <v>46003.3465277778</v>
      </c>
      <c r="G1312" s="46" t="n">
        <f aca="false">F1312-E1312</f>
        <v>0.124305555555556</v>
      </c>
      <c r="H1312" s="20" t="s">
        <v>248</v>
      </c>
      <c r="J1312" s="20" t="s">
        <v>256</v>
      </c>
      <c r="K1312" s="1" t="e">
        <f aca="false">_xlfn.xlookup(J1312,REF!$D$2:$D$12,REF!$E$2:$E$12)</f>
        <v>#NAME?</v>
      </c>
      <c r="L1312" s="1" t="s">
        <v>919</v>
      </c>
      <c r="M1312" s="20" t="s">
        <v>258</v>
      </c>
      <c r="N1312" s="20" t="s">
        <v>379</v>
      </c>
      <c r="O1312" s="1" t="s">
        <v>399</v>
      </c>
      <c r="P1312" s="1" t="str">
        <f aca="false">_xlfn.CONCAT(B1312,C1312,D1312,E1312,F1312)</f>
        <v>ARAGUATINS 1.1Inverter(MBUS-15)46003.222222222246003.222222222246003.3465277778</v>
      </c>
      <c r="Q1312" s="1" t="str">
        <f aca="false">_xlfn.CONCAT(H1312,I1312,J1312)</f>
        <v>DAURDE</v>
      </c>
    </row>
    <row r="1313" customFormat="false" ht="15" hidden="true" customHeight="false" outlineLevel="0" collapsed="false">
      <c r="B1313" s="1" t="s">
        <v>381</v>
      </c>
      <c r="C1313" s="1" t="s">
        <v>277</v>
      </c>
      <c r="D1313" s="14" t="n">
        <v>46003.2222222222</v>
      </c>
      <c r="E1313" s="14" t="n">
        <v>46003.2222222222</v>
      </c>
      <c r="F1313" s="14" t="n">
        <v>46003.3465277778</v>
      </c>
      <c r="G1313" s="46" t="n">
        <f aca="false">F1313-E1313</f>
        <v>0.124305555555556</v>
      </c>
      <c r="H1313" s="20" t="s">
        <v>248</v>
      </c>
      <c r="J1313" s="20" t="s">
        <v>256</v>
      </c>
      <c r="K1313" s="1" t="e">
        <f aca="false">_xlfn.xlookup(J1313,REF!$D$2:$D$12,REF!$E$2:$E$12)</f>
        <v>#NAME?</v>
      </c>
      <c r="L1313" s="1" t="s">
        <v>919</v>
      </c>
      <c r="M1313" s="20" t="s">
        <v>258</v>
      </c>
      <c r="N1313" s="20" t="s">
        <v>379</v>
      </c>
      <c r="O1313" s="1" t="s">
        <v>399</v>
      </c>
      <c r="P1313" s="1" t="str">
        <f aca="false">_xlfn.CONCAT(B1313,C1313,D1313,E1313,F1313)</f>
        <v>ARAGUATINS 1.2Inverter(MBUS-12)46003.222222222246003.222222222246003.3465277778</v>
      </c>
      <c r="Q1313" s="1" t="str">
        <f aca="false">_xlfn.CONCAT(H1313,I1313,J1313)</f>
        <v>DAURDE</v>
      </c>
    </row>
    <row r="1314" customFormat="false" ht="15" hidden="true" customHeight="false" outlineLevel="0" collapsed="false">
      <c r="B1314" s="1" t="s">
        <v>381</v>
      </c>
      <c r="C1314" s="1" t="s">
        <v>247</v>
      </c>
      <c r="D1314" s="14" t="n">
        <v>46003.2222222222</v>
      </c>
      <c r="E1314" s="14" t="n">
        <v>46003.2222222222</v>
      </c>
      <c r="F1314" s="14" t="n">
        <v>46003.3465277778</v>
      </c>
      <c r="G1314" s="46" t="n">
        <f aca="false">F1314-E1314</f>
        <v>0.124305555555556</v>
      </c>
      <c r="H1314" s="20" t="s">
        <v>248</v>
      </c>
      <c r="J1314" s="20" t="s">
        <v>256</v>
      </c>
      <c r="K1314" s="1" t="e">
        <f aca="false">_xlfn.xlookup(J1314,REF!$D$2:$D$12,REF!$E$2:$E$12)</f>
        <v>#NAME?</v>
      </c>
      <c r="L1314" s="1" t="s">
        <v>919</v>
      </c>
      <c r="M1314" s="20" t="s">
        <v>258</v>
      </c>
      <c r="N1314" s="20" t="s">
        <v>379</v>
      </c>
      <c r="O1314" s="1" t="s">
        <v>399</v>
      </c>
      <c r="P1314" s="1" t="str">
        <f aca="false">_xlfn.CONCAT(B1314,C1314,D1314,E1314,F1314)</f>
        <v>ARAGUATINS 1.2Inverter(MBUS-13)46003.222222222246003.222222222246003.3465277778</v>
      </c>
      <c r="Q1314" s="1" t="str">
        <f aca="false">_xlfn.CONCAT(H1314,I1314,J1314)</f>
        <v>DAURDE</v>
      </c>
    </row>
    <row r="1315" customFormat="false" ht="15" hidden="true" customHeight="false" outlineLevel="0" collapsed="false">
      <c r="B1315" s="1" t="s">
        <v>381</v>
      </c>
      <c r="C1315" s="1" t="s">
        <v>280</v>
      </c>
      <c r="D1315" s="14" t="n">
        <v>46003.2222222222</v>
      </c>
      <c r="E1315" s="14" t="n">
        <v>46003.2222222222</v>
      </c>
      <c r="F1315" s="14" t="n">
        <v>46003.3465277778</v>
      </c>
      <c r="G1315" s="46" t="n">
        <f aca="false">F1315-E1315</f>
        <v>0.124305555555556</v>
      </c>
      <c r="H1315" s="20" t="s">
        <v>248</v>
      </c>
      <c r="J1315" s="20" t="s">
        <v>256</v>
      </c>
      <c r="K1315" s="1" t="e">
        <f aca="false">_xlfn.xlookup(J1315,REF!$D$2:$D$12,REF!$E$2:$E$12)</f>
        <v>#NAME?</v>
      </c>
      <c r="L1315" s="1" t="s">
        <v>919</v>
      </c>
      <c r="M1315" s="20" t="s">
        <v>258</v>
      </c>
      <c r="N1315" s="20" t="s">
        <v>379</v>
      </c>
      <c r="O1315" s="1" t="s">
        <v>399</v>
      </c>
      <c r="P1315" s="1" t="str">
        <f aca="false">_xlfn.CONCAT(B1315,C1315,D1315,E1315,F1315)</f>
        <v>ARAGUATINS 1.2Inverter(MBUS-14)46003.222222222246003.222222222246003.3465277778</v>
      </c>
      <c r="Q1315" s="1" t="str">
        <f aca="false">_xlfn.CONCAT(H1315,I1315,J1315)</f>
        <v>DAURDE</v>
      </c>
    </row>
    <row r="1316" customFormat="false" ht="15" hidden="true" customHeight="false" outlineLevel="0" collapsed="false">
      <c r="B1316" s="1" t="s">
        <v>381</v>
      </c>
      <c r="C1316" s="1" t="s">
        <v>279</v>
      </c>
      <c r="D1316" s="14" t="n">
        <v>46003.2222222222</v>
      </c>
      <c r="E1316" s="14" t="n">
        <v>46003.2222222222</v>
      </c>
      <c r="F1316" s="14" t="n">
        <v>46003.3465277778</v>
      </c>
      <c r="G1316" s="46" t="n">
        <f aca="false">F1316-E1316</f>
        <v>0.124305555555556</v>
      </c>
      <c r="H1316" s="20" t="s">
        <v>248</v>
      </c>
      <c r="J1316" s="20" t="s">
        <v>256</v>
      </c>
      <c r="K1316" s="1" t="e">
        <f aca="false">_xlfn.xlookup(J1316,REF!$D$2:$D$12,REF!$E$2:$E$12)</f>
        <v>#NAME?</v>
      </c>
      <c r="L1316" s="1" t="s">
        <v>919</v>
      </c>
      <c r="M1316" s="20" t="s">
        <v>258</v>
      </c>
      <c r="N1316" s="20" t="s">
        <v>379</v>
      </c>
      <c r="O1316" s="1" t="s">
        <v>399</v>
      </c>
      <c r="P1316" s="1" t="str">
        <f aca="false">_xlfn.CONCAT(B1316,C1316,D1316,E1316,F1316)</f>
        <v>ARAGUATINS 1.2Inverter(MBUS-15)46003.222222222246003.222222222246003.3465277778</v>
      </c>
      <c r="Q1316" s="1" t="str">
        <f aca="false">_xlfn.CONCAT(H1316,I1316,J1316)</f>
        <v>DAURDE</v>
      </c>
    </row>
    <row r="1317" customFormat="false" ht="15" hidden="true" customHeight="false" outlineLevel="0" collapsed="false">
      <c r="B1317" s="1" t="s">
        <v>382</v>
      </c>
      <c r="C1317" s="1" t="s">
        <v>383</v>
      </c>
      <c r="D1317" s="14" t="n">
        <v>46003.2222222222</v>
      </c>
      <c r="E1317" s="14" t="n">
        <v>46003.2222222222</v>
      </c>
      <c r="F1317" s="14" t="n">
        <v>46003.3465277778</v>
      </c>
      <c r="G1317" s="46" t="n">
        <f aca="false">F1317-E1317</f>
        <v>0.124305555555556</v>
      </c>
      <c r="H1317" s="20" t="s">
        <v>248</v>
      </c>
      <c r="J1317" s="20" t="s">
        <v>256</v>
      </c>
      <c r="K1317" s="1" t="e">
        <f aca="false">_xlfn.xlookup(J1317,REF!$D$2:$D$12,REF!$E$2:$E$12)</f>
        <v>#NAME?</v>
      </c>
      <c r="L1317" s="1" t="s">
        <v>919</v>
      </c>
      <c r="M1317" s="20" t="s">
        <v>258</v>
      </c>
      <c r="N1317" s="20" t="s">
        <v>379</v>
      </c>
      <c r="O1317" s="1" t="s">
        <v>399</v>
      </c>
      <c r="P1317" s="1" t="str">
        <f aca="false">_xlfn.CONCAT(B1317,C1317,D1317,E1317,F1317)</f>
        <v>ARAGUATINS 1.3Inverter(MBUS-20)46003.222222222246003.222222222246003.3465277778</v>
      </c>
      <c r="Q1317" s="1" t="str">
        <f aca="false">_xlfn.CONCAT(H1317,I1317,J1317)</f>
        <v>DAURDE</v>
      </c>
    </row>
    <row r="1318" customFormat="false" ht="15" hidden="true" customHeight="false" outlineLevel="0" collapsed="false">
      <c r="B1318" s="1" t="s">
        <v>382</v>
      </c>
      <c r="C1318" s="1" t="s">
        <v>255</v>
      </c>
      <c r="D1318" s="14" t="n">
        <v>46003.2222222222</v>
      </c>
      <c r="E1318" s="14" t="n">
        <v>46003.2222222222</v>
      </c>
      <c r="F1318" s="14" t="n">
        <v>46003.3465277778</v>
      </c>
      <c r="G1318" s="46" t="n">
        <f aca="false">F1318-E1318</f>
        <v>0.124305555555556</v>
      </c>
      <c r="H1318" s="20" t="s">
        <v>248</v>
      </c>
      <c r="J1318" s="20" t="s">
        <v>256</v>
      </c>
      <c r="K1318" s="1" t="e">
        <f aca="false">_xlfn.xlookup(J1318,REF!$D$2:$D$12,REF!$E$2:$E$12)</f>
        <v>#NAME?</v>
      </c>
      <c r="L1318" s="1" t="s">
        <v>919</v>
      </c>
      <c r="M1318" s="20" t="s">
        <v>258</v>
      </c>
      <c r="N1318" s="20" t="s">
        <v>379</v>
      </c>
      <c r="O1318" s="1" t="s">
        <v>399</v>
      </c>
      <c r="P1318" s="1" t="str">
        <f aca="false">_xlfn.CONCAT(B1318,C1318,D1318,E1318,F1318)</f>
        <v>ARAGUATINS 1.3Inverter(MBUS-1)46003.222222222246003.222222222246003.3465277778</v>
      </c>
      <c r="Q1318" s="1" t="str">
        <f aca="false">_xlfn.CONCAT(H1318,I1318,J1318)</f>
        <v>DAURDE</v>
      </c>
    </row>
    <row r="1319" customFormat="false" ht="15" hidden="true" customHeight="false" outlineLevel="0" collapsed="false">
      <c r="B1319" s="1" t="s">
        <v>276</v>
      </c>
      <c r="C1319" s="1" t="s">
        <v>277</v>
      </c>
      <c r="D1319" s="14" t="n">
        <v>46003.2222222222</v>
      </c>
      <c r="E1319" s="14" t="n">
        <v>46003.2222222222</v>
      </c>
      <c r="F1319" s="14" t="n">
        <v>46003.3465277778</v>
      </c>
      <c r="G1319" s="46" t="n">
        <f aca="false">F1319-E1319</f>
        <v>0.124305555555556</v>
      </c>
      <c r="H1319" s="20" t="s">
        <v>248</v>
      </c>
      <c r="J1319" s="20" t="s">
        <v>256</v>
      </c>
      <c r="K1319" s="1" t="e">
        <f aca="false">_xlfn.xlookup(J1319,REF!$D$2:$D$12,REF!$E$2:$E$12)</f>
        <v>#NAME?</v>
      </c>
      <c r="L1319" s="1" t="s">
        <v>919</v>
      </c>
      <c r="M1319" s="20" t="s">
        <v>258</v>
      </c>
      <c r="N1319" s="20" t="s">
        <v>379</v>
      </c>
      <c r="O1319" s="1" t="s">
        <v>399</v>
      </c>
      <c r="P1319" s="1" t="str">
        <f aca="false">_xlfn.CONCAT(B1319,C1319,D1319,E1319,F1319)</f>
        <v>ARAGUATINS 2.1Inverter(MBUS-12)46003.222222222246003.222222222246003.3465277778</v>
      </c>
      <c r="Q1319" s="1" t="str">
        <f aca="false">_xlfn.CONCAT(H1319,I1319,J1319)</f>
        <v>DAURDE</v>
      </c>
    </row>
    <row r="1320" customFormat="false" ht="15" hidden="true" customHeight="false" outlineLevel="0" collapsed="false">
      <c r="B1320" s="1" t="s">
        <v>276</v>
      </c>
      <c r="C1320" s="1" t="s">
        <v>279</v>
      </c>
      <c r="D1320" s="14" t="n">
        <v>46003.2222222222</v>
      </c>
      <c r="E1320" s="14" t="n">
        <v>46003.2222222222</v>
      </c>
      <c r="F1320" s="14" t="n">
        <v>46003.3465277778</v>
      </c>
      <c r="G1320" s="46" t="n">
        <f aca="false">F1320-E1320</f>
        <v>0.124305555555556</v>
      </c>
      <c r="H1320" s="20" t="s">
        <v>248</v>
      </c>
      <c r="J1320" s="20" t="s">
        <v>256</v>
      </c>
      <c r="K1320" s="1" t="e">
        <f aca="false">_xlfn.xlookup(J1320,REF!$D$2:$D$12,REF!$E$2:$E$12)</f>
        <v>#NAME?</v>
      </c>
      <c r="L1320" s="1" t="s">
        <v>919</v>
      </c>
      <c r="M1320" s="20" t="s">
        <v>258</v>
      </c>
      <c r="N1320" s="20" t="s">
        <v>379</v>
      </c>
      <c r="O1320" s="1" t="s">
        <v>399</v>
      </c>
      <c r="P1320" s="1" t="str">
        <f aca="false">_xlfn.CONCAT(B1320,C1320,D1320,E1320,F1320)</f>
        <v>ARAGUATINS 2.1Inverter(MBUS-15)46003.222222222246003.222222222246003.3465277778</v>
      </c>
      <c r="Q1320" s="1" t="str">
        <f aca="false">_xlfn.CONCAT(H1320,I1320,J1320)</f>
        <v>DAURDE</v>
      </c>
    </row>
    <row r="1321" customFormat="false" ht="15" hidden="true" customHeight="false" outlineLevel="0" collapsed="false">
      <c r="B1321" s="1" t="s">
        <v>276</v>
      </c>
      <c r="C1321" s="1" t="s">
        <v>280</v>
      </c>
      <c r="D1321" s="14" t="n">
        <v>46003.2222222222</v>
      </c>
      <c r="E1321" s="14" t="n">
        <v>46003.2222222222</v>
      </c>
      <c r="F1321" s="14" t="n">
        <v>46003.3465277778</v>
      </c>
      <c r="G1321" s="46" t="n">
        <f aca="false">F1321-E1321</f>
        <v>0.124305555555556</v>
      </c>
      <c r="H1321" s="20" t="s">
        <v>248</v>
      </c>
      <c r="J1321" s="20" t="s">
        <v>256</v>
      </c>
      <c r="K1321" s="1" t="e">
        <f aca="false">_xlfn.xlookup(J1321,REF!$D$2:$D$12,REF!$E$2:$E$12)</f>
        <v>#NAME?</v>
      </c>
      <c r="L1321" s="1" t="s">
        <v>919</v>
      </c>
      <c r="M1321" s="20" t="s">
        <v>258</v>
      </c>
      <c r="N1321" s="20" t="s">
        <v>379</v>
      </c>
      <c r="O1321" s="1" t="s">
        <v>399</v>
      </c>
      <c r="P1321" s="1" t="str">
        <f aca="false">_xlfn.CONCAT(B1321,C1321,D1321,E1321,F1321)</f>
        <v>ARAGUATINS 2.1Inverter(MBUS-14)46003.222222222246003.222222222246003.3465277778</v>
      </c>
      <c r="Q1321" s="1" t="str">
        <f aca="false">_xlfn.CONCAT(H1321,I1321,J1321)</f>
        <v>DAURDE</v>
      </c>
    </row>
    <row r="1322" customFormat="false" ht="15" hidden="true" customHeight="false" outlineLevel="0" collapsed="false">
      <c r="B1322" s="1" t="s">
        <v>276</v>
      </c>
      <c r="C1322" s="1" t="s">
        <v>255</v>
      </c>
      <c r="D1322" s="14" t="n">
        <v>46003.2222222222</v>
      </c>
      <c r="E1322" s="14" t="n">
        <v>46003.2222222222</v>
      </c>
      <c r="F1322" s="14" t="n">
        <v>46003.3465277778</v>
      </c>
      <c r="G1322" s="46" t="n">
        <f aca="false">F1322-E1322</f>
        <v>0.124305555555556</v>
      </c>
      <c r="H1322" s="20" t="s">
        <v>248</v>
      </c>
      <c r="J1322" s="20" t="s">
        <v>256</v>
      </c>
      <c r="K1322" s="1" t="e">
        <f aca="false">_xlfn.xlookup(J1322,REF!$D$2:$D$12,REF!$E$2:$E$12)</f>
        <v>#NAME?</v>
      </c>
      <c r="L1322" s="1" t="s">
        <v>919</v>
      </c>
      <c r="M1322" s="20" t="s">
        <v>258</v>
      </c>
      <c r="N1322" s="20" t="s">
        <v>379</v>
      </c>
      <c r="O1322" s="1" t="s">
        <v>399</v>
      </c>
      <c r="P1322" s="1" t="str">
        <f aca="false">_xlfn.CONCAT(B1322,C1322,D1322,E1322,F1322)</f>
        <v>ARAGUATINS 2.1Inverter(MBUS-1)46003.222222222246003.222222222246003.3465277778</v>
      </c>
      <c r="Q1322" s="1" t="str">
        <f aca="false">_xlfn.CONCAT(H1322,I1322,J1322)</f>
        <v>DAURDE</v>
      </c>
    </row>
    <row r="1323" customFormat="false" ht="15" hidden="true" customHeight="false" outlineLevel="0" collapsed="false">
      <c r="B1323" s="1" t="s">
        <v>386</v>
      </c>
      <c r="C1323" s="1" t="s">
        <v>279</v>
      </c>
      <c r="D1323" s="14" t="n">
        <v>46003.2222222222</v>
      </c>
      <c r="E1323" s="14" t="n">
        <v>46003.2222222222</v>
      </c>
      <c r="F1323" s="14" t="n">
        <v>46003.3465277778</v>
      </c>
      <c r="G1323" s="46" t="n">
        <f aca="false">F1323-E1323</f>
        <v>0.124305555555556</v>
      </c>
      <c r="H1323" s="20" t="s">
        <v>248</v>
      </c>
      <c r="J1323" s="20" t="s">
        <v>256</v>
      </c>
      <c r="K1323" s="1" t="e">
        <f aca="false">_xlfn.xlookup(J1323,REF!$D$2:$D$12,REF!$E$2:$E$12)</f>
        <v>#NAME?</v>
      </c>
      <c r="L1323" s="1" t="s">
        <v>919</v>
      </c>
      <c r="M1323" s="20" t="s">
        <v>258</v>
      </c>
      <c r="N1323" s="20" t="s">
        <v>379</v>
      </c>
      <c r="O1323" s="1" t="s">
        <v>399</v>
      </c>
      <c r="P1323" s="1" t="str">
        <f aca="false">_xlfn.CONCAT(B1323,C1323,D1323,E1323,F1323)</f>
        <v>ARAGUATINS 2.2Inverter(MBUS-15)46003.222222222246003.222222222246003.3465277778</v>
      </c>
      <c r="Q1323" s="1" t="str">
        <f aca="false">_xlfn.CONCAT(H1323,I1323,J1323)</f>
        <v>DAURDE</v>
      </c>
    </row>
    <row r="1324" customFormat="false" ht="15" hidden="true" customHeight="false" outlineLevel="0" collapsed="false">
      <c r="B1324" s="1" t="s">
        <v>386</v>
      </c>
      <c r="C1324" s="1" t="s">
        <v>247</v>
      </c>
      <c r="D1324" s="14" t="n">
        <v>46003.2222222222</v>
      </c>
      <c r="E1324" s="14" t="n">
        <v>46003.2222222222</v>
      </c>
      <c r="F1324" s="14" t="n">
        <v>46003.3465277778</v>
      </c>
      <c r="G1324" s="46" t="n">
        <f aca="false">F1324-E1324</f>
        <v>0.124305555555556</v>
      </c>
      <c r="H1324" s="20" t="s">
        <v>248</v>
      </c>
      <c r="J1324" s="20" t="s">
        <v>256</v>
      </c>
      <c r="K1324" s="1" t="e">
        <f aca="false">_xlfn.xlookup(J1324,REF!$D$2:$D$12,REF!$E$2:$E$12)</f>
        <v>#NAME?</v>
      </c>
      <c r="L1324" s="1" t="s">
        <v>919</v>
      </c>
      <c r="M1324" s="20" t="s">
        <v>258</v>
      </c>
      <c r="N1324" s="20" t="s">
        <v>379</v>
      </c>
      <c r="O1324" s="1" t="s">
        <v>399</v>
      </c>
      <c r="P1324" s="1" t="str">
        <f aca="false">_xlfn.CONCAT(B1324,C1324,D1324,E1324,F1324)</f>
        <v>ARAGUATINS 2.2Inverter(MBUS-13)46003.222222222246003.222222222246003.3465277778</v>
      </c>
      <c r="Q1324" s="1" t="str">
        <f aca="false">_xlfn.CONCAT(H1324,I1324,J1324)</f>
        <v>DAURDE</v>
      </c>
    </row>
    <row r="1325" customFormat="false" ht="15" hidden="true" customHeight="false" outlineLevel="0" collapsed="false">
      <c r="B1325" s="1" t="s">
        <v>386</v>
      </c>
      <c r="C1325" s="1" t="s">
        <v>280</v>
      </c>
      <c r="D1325" s="14" t="n">
        <v>46003.2222222222</v>
      </c>
      <c r="E1325" s="14" t="n">
        <v>46003.2222222222</v>
      </c>
      <c r="F1325" s="14" t="n">
        <v>46003.3465277778</v>
      </c>
      <c r="G1325" s="46" t="n">
        <f aca="false">F1325-E1325</f>
        <v>0.124305555555556</v>
      </c>
      <c r="H1325" s="20" t="s">
        <v>248</v>
      </c>
      <c r="J1325" s="20" t="s">
        <v>256</v>
      </c>
      <c r="K1325" s="1" t="e">
        <f aca="false">_xlfn.xlookup(J1325,REF!$D$2:$D$12,REF!$E$2:$E$12)</f>
        <v>#NAME?</v>
      </c>
      <c r="L1325" s="1" t="s">
        <v>919</v>
      </c>
      <c r="M1325" s="20" t="s">
        <v>258</v>
      </c>
      <c r="N1325" s="20" t="s">
        <v>379</v>
      </c>
      <c r="O1325" s="1" t="s">
        <v>399</v>
      </c>
      <c r="P1325" s="1" t="str">
        <f aca="false">_xlfn.CONCAT(B1325,C1325,D1325,E1325,F1325)</f>
        <v>ARAGUATINS 2.2Inverter(MBUS-14)46003.222222222246003.222222222246003.3465277778</v>
      </c>
      <c r="Q1325" s="1" t="str">
        <f aca="false">_xlfn.CONCAT(H1325,I1325,J1325)</f>
        <v>DAURDE</v>
      </c>
    </row>
    <row r="1326" customFormat="false" ht="15" hidden="true" customHeight="false" outlineLevel="0" collapsed="false">
      <c r="B1326" s="1" t="s">
        <v>386</v>
      </c>
      <c r="C1326" s="1" t="s">
        <v>277</v>
      </c>
      <c r="D1326" s="14" t="n">
        <v>46003.2222222222</v>
      </c>
      <c r="E1326" s="14" t="n">
        <v>46003.2222222222</v>
      </c>
      <c r="F1326" s="14" t="n">
        <v>46003.3465277778</v>
      </c>
      <c r="G1326" s="46" t="n">
        <f aca="false">F1326-E1326</f>
        <v>0.124305555555556</v>
      </c>
      <c r="H1326" s="20" t="s">
        <v>248</v>
      </c>
      <c r="J1326" s="20" t="s">
        <v>256</v>
      </c>
      <c r="K1326" s="1" t="e">
        <f aca="false">_xlfn.xlookup(J1326,REF!$D$2:$D$12,REF!$E$2:$E$12)</f>
        <v>#NAME?</v>
      </c>
      <c r="L1326" s="1" t="s">
        <v>919</v>
      </c>
      <c r="M1326" s="20" t="s">
        <v>258</v>
      </c>
      <c r="N1326" s="20" t="s">
        <v>379</v>
      </c>
      <c r="O1326" s="1" t="s">
        <v>399</v>
      </c>
      <c r="P1326" s="1" t="str">
        <f aca="false">_xlfn.CONCAT(B1326,C1326,D1326,E1326,F1326)</f>
        <v>ARAGUATINS 2.2Inverter(MBUS-12)46003.222222222246003.222222222246003.3465277778</v>
      </c>
      <c r="Q1326" s="1" t="str">
        <f aca="false">_xlfn.CONCAT(H1326,I1326,J1326)</f>
        <v>DAURDE</v>
      </c>
    </row>
    <row r="1327" customFormat="false" ht="15" hidden="true" customHeight="false" outlineLevel="0" collapsed="false">
      <c r="B1327" s="1" t="s">
        <v>388</v>
      </c>
      <c r="C1327" s="1" t="s">
        <v>277</v>
      </c>
      <c r="D1327" s="14" t="n">
        <v>46003.2222222222</v>
      </c>
      <c r="E1327" s="14" t="n">
        <v>46003.2222222222</v>
      </c>
      <c r="F1327" s="14" t="n">
        <v>46003.3465277778</v>
      </c>
      <c r="G1327" s="46" t="n">
        <f aca="false">F1327-E1327</f>
        <v>0.124305555555556</v>
      </c>
      <c r="H1327" s="20" t="s">
        <v>248</v>
      </c>
      <c r="J1327" s="20" t="s">
        <v>256</v>
      </c>
      <c r="K1327" s="1" t="e">
        <f aca="false">_xlfn.xlookup(J1327,REF!$D$2:$D$12,REF!$E$2:$E$12)</f>
        <v>#NAME?</v>
      </c>
      <c r="L1327" s="1" t="s">
        <v>919</v>
      </c>
      <c r="M1327" s="20" t="s">
        <v>258</v>
      </c>
      <c r="N1327" s="20" t="s">
        <v>379</v>
      </c>
      <c r="O1327" s="1" t="s">
        <v>399</v>
      </c>
      <c r="P1327" s="1" t="str">
        <f aca="false">_xlfn.CONCAT(B1327,C1327,D1327,E1327,F1327)</f>
        <v>ARAGUATINS 2.3Inverter(MBUS-12)46003.222222222246003.222222222246003.3465277778</v>
      </c>
      <c r="Q1327" s="1" t="str">
        <f aca="false">_xlfn.CONCAT(H1327,I1327,J1327)</f>
        <v>DAURDE</v>
      </c>
    </row>
    <row r="1328" customFormat="false" ht="15" hidden="true" customHeight="false" outlineLevel="0" collapsed="false">
      <c r="B1328" s="1" t="s">
        <v>388</v>
      </c>
      <c r="C1328" s="1" t="s">
        <v>247</v>
      </c>
      <c r="D1328" s="14" t="n">
        <v>46003.2222222222</v>
      </c>
      <c r="E1328" s="14" t="n">
        <v>46003.2222222222</v>
      </c>
      <c r="F1328" s="14" t="n">
        <v>46003.3465277778</v>
      </c>
      <c r="G1328" s="46" t="n">
        <f aca="false">F1328-E1328</f>
        <v>0.124305555555556</v>
      </c>
      <c r="H1328" s="20" t="s">
        <v>248</v>
      </c>
      <c r="J1328" s="20" t="s">
        <v>256</v>
      </c>
      <c r="K1328" s="1" t="e">
        <f aca="false">_xlfn.xlookup(J1328,REF!$D$2:$D$12,REF!$E$2:$E$12)</f>
        <v>#NAME?</v>
      </c>
      <c r="L1328" s="1" t="s">
        <v>919</v>
      </c>
      <c r="M1328" s="20" t="s">
        <v>258</v>
      </c>
      <c r="N1328" s="20" t="s">
        <v>379</v>
      </c>
      <c r="O1328" s="1" t="s">
        <v>399</v>
      </c>
      <c r="P1328" s="1" t="str">
        <f aca="false">_xlfn.CONCAT(B1328,C1328,D1328,E1328,F1328)</f>
        <v>ARAGUATINS 2.3Inverter(MBUS-13)46003.222222222246003.222222222246003.3465277778</v>
      </c>
      <c r="Q1328" s="1" t="str">
        <f aca="false">_xlfn.CONCAT(H1328,I1328,J1328)</f>
        <v>DAURDE</v>
      </c>
    </row>
    <row r="1329" customFormat="false" ht="15" hidden="true" customHeight="false" outlineLevel="0" collapsed="false">
      <c r="B1329" s="1" t="s">
        <v>805</v>
      </c>
      <c r="C1329" s="1" t="s">
        <v>806</v>
      </c>
      <c r="D1329" s="14" t="n">
        <v>46002.3402777778</v>
      </c>
      <c r="E1329" s="14" t="n">
        <v>46002.3402777778</v>
      </c>
      <c r="F1329" s="14" t="n">
        <v>46002.4652777778</v>
      </c>
      <c r="G1329" s="46" t="n">
        <f aca="false">F1329-E1329</f>
        <v>0.125</v>
      </c>
      <c r="H1329" s="20" t="s">
        <v>313</v>
      </c>
      <c r="J1329" s="20" t="s">
        <v>230</v>
      </c>
      <c r="K1329" s="1" t="e">
        <f aca="false">_xlfn.xlookup(J1329,REF!$D$2:$D$12,REF!$E$2:$E$12)</f>
        <v>#NAME?</v>
      </c>
      <c r="L1329" s="1" t="s">
        <v>886</v>
      </c>
      <c r="M1329" s="20" t="s">
        <v>288</v>
      </c>
      <c r="N1329" s="20" t="s">
        <v>315</v>
      </c>
      <c r="O1329" s="1" t="s">
        <v>887</v>
      </c>
      <c r="P1329" s="1" t="str">
        <f aca="false">_xlfn.CONCAT(B1329,C1329,D1329,E1329,F1329)</f>
        <v>Rio Monte ISG75CX(COM2-001)_001_01846002.340277777846002.340277777846002.4652777778</v>
      </c>
      <c r="Q1329" s="1" t="str">
        <f aca="false">_xlfn.CONCAT(H1329,I1329,J1329)</f>
        <v>DPRUFV</v>
      </c>
    </row>
    <row r="1330" customFormat="false" ht="15" hidden="true" customHeight="false" outlineLevel="0" collapsed="false">
      <c r="B1330" s="1" t="s">
        <v>807</v>
      </c>
      <c r="C1330" s="1" t="s">
        <v>808</v>
      </c>
      <c r="D1330" s="14" t="n">
        <v>46002.3402777778</v>
      </c>
      <c r="E1330" s="14" t="n">
        <v>46002.3402777778</v>
      </c>
      <c r="F1330" s="14" t="n">
        <v>46002.4652777778</v>
      </c>
      <c r="G1330" s="46" t="n">
        <f aca="false">F1330-E1330</f>
        <v>0.125</v>
      </c>
      <c r="H1330" s="20" t="s">
        <v>313</v>
      </c>
      <c r="J1330" s="20" t="s">
        <v>230</v>
      </c>
      <c r="K1330" s="1" t="e">
        <f aca="false">_xlfn.xlookup(J1330,REF!$D$2:$D$12,REF!$E$2:$E$12)</f>
        <v>#NAME?</v>
      </c>
      <c r="L1330" s="1" t="s">
        <v>886</v>
      </c>
      <c r="M1330" s="20" t="s">
        <v>288</v>
      </c>
      <c r="N1330" s="20" t="s">
        <v>315</v>
      </c>
      <c r="O1330" s="1" t="s">
        <v>887</v>
      </c>
      <c r="P1330" s="1" t="str">
        <f aca="false">_xlfn.CONCAT(B1330,C1330,D1330,E1330,F1330)</f>
        <v>Rio Monte IISG40CX(COM2-007)_001_01746002.340277777846002.340277777846002.4652777778</v>
      </c>
      <c r="Q1330" s="1" t="str">
        <f aca="false">_xlfn.CONCAT(H1330,I1330,J1330)</f>
        <v>DPRUFV</v>
      </c>
    </row>
    <row r="1331" customFormat="false" ht="15" hidden="true" customHeight="false" outlineLevel="0" collapsed="false">
      <c r="B1331" s="1" t="s">
        <v>807</v>
      </c>
      <c r="C1331" s="1" t="s">
        <v>809</v>
      </c>
      <c r="D1331" s="14" t="n">
        <v>46002.3402777778</v>
      </c>
      <c r="E1331" s="14" t="n">
        <v>46002.3402777778</v>
      </c>
      <c r="F1331" s="14" t="n">
        <v>46002.4652777778</v>
      </c>
      <c r="G1331" s="46" t="n">
        <f aca="false">F1331-E1331</f>
        <v>0.125</v>
      </c>
      <c r="H1331" s="20" t="s">
        <v>313</v>
      </c>
      <c r="J1331" s="20" t="s">
        <v>230</v>
      </c>
      <c r="K1331" s="1" t="e">
        <f aca="false">_xlfn.xlookup(J1331,REF!$D$2:$D$12,REF!$E$2:$E$12)</f>
        <v>#NAME?</v>
      </c>
      <c r="L1331" s="1" t="s">
        <v>886</v>
      </c>
      <c r="M1331" s="20" t="s">
        <v>288</v>
      </c>
      <c r="N1331" s="20" t="s">
        <v>315</v>
      </c>
      <c r="O1331" s="1" t="s">
        <v>887</v>
      </c>
      <c r="P1331" s="1" t="str">
        <f aca="false">_xlfn.CONCAT(B1331,C1331,D1331,E1331,F1331)</f>
        <v>Rio Monte IISG60KTL(COM1-002)_001_00546002.340277777846002.340277777846002.4652777778</v>
      </c>
      <c r="Q1331" s="1" t="str">
        <f aca="false">_xlfn.CONCAT(H1331,I1331,J1331)</f>
        <v>DPRUFV</v>
      </c>
    </row>
    <row r="1332" customFormat="false" ht="15" hidden="true" customHeight="false" outlineLevel="0" collapsed="false">
      <c r="B1332" s="1" t="s">
        <v>807</v>
      </c>
      <c r="C1332" s="1" t="s">
        <v>810</v>
      </c>
      <c r="D1332" s="14" t="n">
        <v>46002.3402777778</v>
      </c>
      <c r="E1332" s="14" t="n">
        <v>46002.3402777778</v>
      </c>
      <c r="F1332" s="14" t="n">
        <v>46002.4652777778</v>
      </c>
      <c r="G1332" s="46" t="n">
        <f aca="false">F1332-E1332</f>
        <v>0.125</v>
      </c>
      <c r="H1332" s="20" t="s">
        <v>313</v>
      </c>
      <c r="J1332" s="20" t="s">
        <v>230</v>
      </c>
      <c r="K1332" s="1" t="e">
        <f aca="false">_xlfn.xlookup(J1332,REF!$D$2:$D$12,REF!$E$2:$E$12)</f>
        <v>#NAME?</v>
      </c>
      <c r="L1332" s="1" t="s">
        <v>886</v>
      </c>
      <c r="M1332" s="20" t="s">
        <v>288</v>
      </c>
      <c r="N1332" s="20" t="s">
        <v>315</v>
      </c>
      <c r="O1332" s="1" t="s">
        <v>887</v>
      </c>
      <c r="P1332" s="1" t="str">
        <f aca="false">_xlfn.CONCAT(B1332,C1332,D1332,E1332,F1332)</f>
        <v>Rio Monte IISG60KTL(COM1-003)_001__01146002.340277777846002.340277777846002.4652777778</v>
      </c>
      <c r="Q1332" s="1" t="str">
        <f aca="false">_xlfn.CONCAT(H1332,I1332,J1332)</f>
        <v>DPRUFV</v>
      </c>
    </row>
    <row r="1333" customFormat="false" ht="15" hidden="true" customHeight="false" outlineLevel="0" collapsed="false">
      <c r="B1333" s="1" t="s">
        <v>807</v>
      </c>
      <c r="C1333" s="1" t="s">
        <v>811</v>
      </c>
      <c r="D1333" s="14" t="n">
        <v>46002.3402777778</v>
      </c>
      <c r="E1333" s="14" t="n">
        <v>46002.3402777778</v>
      </c>
      <c r="F1333" s="14" t="n">
        <v>46002.4652777778</v>
      </c>
      <c r="G1333" s="46" t="n">
        <f aca="false">F1333-E1333</f>
        <v>0.125</v>
      </c>
      <c r="H1333" s="20" t="s">
        <v>313</v>
      </c>
      <c r="J1333" s="20" t="s">
        <v>230</v>
      </c>
      <c r="K1333" s="1" t="e">
        <f aca="false">_xlfn.xlookup(J1333,REF!$D$2:$D$12,REF!$E$2:$E$12)</f>
        <v>#NAME?</v>
      </c>
      <c r="L1333" s="1" t="s">
        <v>886</v>
      </c>
      <c r="M1333" s="20" t="s">
        <v>288</v>
      </c>
      <c r="N1333" s="20" t="s">
        <v>315</v>
      </c>
      <c r="O1333" s="1" t="s">
        <v>887</v>
      </c>
      <c r="P1333" s="1" t="str">
        <f aca="false">_xlfn.CONCAT(B1333,C1333,D1333,E1333,F1333)</f>
        <v>Rio Monte IISG60KTL(COM1-004)_001_00746002.340277777846002.340277777846002.4652777778</v>
      </c>
      <c r="Q1333" s="1" t="str">
        <f aca="false">_xlfn.CONCAT(H1333,I1333,J1333)</f>
        <v>DPRUFV</v>
      </c>
    </row>
    <row r="1334" customFormat="false" ht="15" hidden="true" customHeight="false" outlineLevel="0" collapsed="false">
      <c r="B1334" s="1" t="s">
        <v>807</v>
      </c>
      <c r="C1334" s="1" t="s">
        <v>812</v>
      </c>
      <c r="D1334" s="14" t="n">
        <v>46002.3402777778</v>
      </c>
      <c r="E1334" s="14" t="n">
        <v>46002.3402777778</v>
      </c>
      <c r="F1334" s="14" t="n">
        <v>46002.4652777778</v>
      </c>
      <c r="G1334" s="46" t="n">
        <f aca="false">F1334-E1334</f>
        <v>0.125</v>
      </c>
      <c r="H1334" s="20" t="s">
        <v>313</v>
      </c>
      <c r="J1334" s="20" t="s">
        <v>230</v>
      </c>
      <c r="K1334" s="1" t="e">
        <f aca="false">_xlfn.xlookup(J1334,REF!$D$2:$D$12,REF!$E$2:$E$12)</f>
        <v>#NAME?</v>
      </c>
      <c r="L1334" s="1" t="s">
        <v>886</v>
      </c>
      <c r="M1334" s="20" t="s">
        <v>288</v>
      </c>
      <c r="N1334" s="20" t="s">
        <v>315</v>
      </c>
      <c r="O1334" s="1" t="s">
        <v>887</v>
      </c>
      <c r="P1334" s="1" t="str">
        <f aca="false">_xlfn.CONCAT(B1334,C1334,D1334,E1334,F1334)</f>
        <v>Rio Monte IISG60KTL(COM1-005)_001_00946002.340277777846002.340277777846002.4652777778</v>
      </c>
      <c r="Q1334" s="1" t="str">
        <f aca="false">_xlfn.CONCAT(H1334,I1334,J1334)</f>
        <v>DPRUFV</v>
      </c>
    </row>
    <row r="1335" customFormat="false" ht="15" hidden="true" customHeight="false" outlineLevel="0" collapsed="false">
      <c r="B1335" s="1" t="s">
        <v>807</v>
      </c>
      <c r="C1335" s="1" t="s">
        <v>813</v>
      </c>
      <c r="D1335" s="14" t="n">
        <v>46002.3402777778</v>
      </c>
      <c r="E1335" s="14" t="n">
        <v>46002.3402777778</v>
      </c>
      <c r="F1335" s="14" t="n">
        <v>46002.4652777778</v>
      </c>
      <c r="G1335" s="46" t="n">
        <f aca="false">F1335-E1335</f>
        <v>0.125</v>
      </c>
      <c r="H1335" s="20" t="s">
        <v>313</v>
      </c>
      <c r="J1335" s="20" t="s">
        <v>230</v>
      </c>
      <c r="K1335" s="1" t="e">
        <f aca="false">_xlfn.xlookup(J1335,REF!$D$2:$D$12,REF!$E$2:$E$12)</f>
        <v>#NAME?</v>
      </c>
      <c r="L1335" s="1" t="s">
        <v>886</v>
      </c>
      <c r="M1335" s="20" t="s">
        <v>288</v>
      </c>
      <c r="N1335" s="20" t="s">
        <v>315</v>
      </c>
      <c r="O1335" s="1" t="s">
        <v>887</v>
      </c>
      <c r="P1335" s="1" t="str">
        <f aca="false">_xlfn.CONCAT(B1335,C1335,D1335,E1335,F1335)</f>
        <v>Rio Monte IISG60KTL(COM1-006)_001_00646002.340277777846002.340277777846002.4652777778</v>
      </c>
      <c r="Q1335" s="1" t="str">
        <f aca="false">_xlfn.CONCAT(H1335,I1335,J1335)</f>
        <v>DPRUFV</v>
      </c>
    </row>
    <row r="1336" customFormat="false" ht="15" hidden="true" customHeight="false" outlineLevel="0" collapsed="false">
      <c r="B1336" s="1" t="s">
        <v>816</v>
      </c>
      <c r="C1336" s="1" t="s">
        <v>817</v>
      </c>
      <c r="D1336" s="14" t="n">
        <v>46002.3402777778</v>
      </c>
      <c r="E1336" s="14" t="n">
        <v>46002.3402777778</v>
      </c>
      <c r="F1336" s="14" t="n">
        <v>46002.4652777778</v>
      </c>
      <c r="G1336" s="46" t="n">
        <f aca="false">F1336-E1336</f>
        <v>0.125</v>
      </c>
      <c r="H1336" s="20" t="s">
        <v>313</v>
      </c>
      <c r="J1336" s="20" t="s">
        <v>230</v>
      </c>
      <c r="K1336" s="1" t="e">
        <f aca="false">_xlfn.xlookup(J1336,REF!$D$2:$D$12,REF!$E$2:$E$12)</f>
        <v>#NAME?</v>
      </c>
      <c r="L1336" s="1" t="s">
        <v>886</v>
      </c>
      <c r="M1336" s="20" t="s">
        <v>288</v>
      </c>
      <c r="N1336" s="20" t="s">
        <v>315</v>
      </c>
      <c r="O1336" s="1" t="s">
        <v>887</v>
      </c>
      <c r="P1336" s="1" t="str">
        <f aca="false">_xlfn.CONCAT(B1336,C1336,D1336,E1336,F1336)</f>
        <v>Rio Monte IIISG60KTL(COM1-008)_001_01646002.340277777846002.340277777846002.4652777778</v>
      </c>
      <c r="Q1336" s="1" t="str">
        <f aca="false">_xlfn.CONCAT(H1336,I1336,J1336)</f>
        <v>DPRUFV</v>
      </c>
    </row>
    <row r="1337" customFormat="false" ht="15" hidden="true" customHeight="false" outlineLevel="0" collapsed="false">
      <c r="B1337" s="1" t="s">
        <v>816</v>
      </c>
      <c r="C1337" s="1" t="s">
        <v>818</v>
      </c>
      <c r="D1337" s="14" t="n">
        <v>46002.3402777778</v>
      </c>
      <c r="E1337" s="14" t="n">
        <v>46002.3402777778</v>
      </c>
      <c r="F1337" s="14" t="n">
        <v>46002.4652777778</v>
      </c>
      <c r="G1337" s="46" t="n">
        <f aca="false">F1337-E1337</f>
        <v>0.125</v>
      </c>
      <c r="H1337" s="20" t="s">
        <v>313</v>
      </c>
      <c r="J1337" s="20" t="s">
        <v>230</v>
      </c>
      <c r="K1337" s="1" t="e">
        <f aca="false">_xlfn.xlookup(J1337,REF!$D$2:$D$12,REF!$E$2:$E$12)</f>
        <v>#NAME?</v>
      </c>
      <c r="L1337" s="1" t="s">
        <v>886</v>
      </c>
      <c r="M1337" s="20" t="s">
        <v>288</v>
      </c>
      <c r="N1337" s="20" t="s">
        <v>315</v>
      </c>
      <c r="O1337" s="1" t="s">
        <v>887</v>
      </c>
      <c r="P1337" s="1" t="str">
        <f aca="false">_xlfn.CONCAT(B1337,C1337,D1337,E1337,F1337)</f>
        <v>Rio Monte IIISG60KTL(COM1-009)_001_01046002.340277777846002.340277777846002.4652777778</v>
      </c>
      <c r="Q1337" s="1" t="str">
        <f aca="false">_xlfn.CONCAT(H1337,I1337,J1337)</f>
        <v>DPRUFV</v>
      </c>
    </row>
    <row r="1338" customFormat="false" ht="15" hidden="true" customHeight="false" outlineLevel="0" collapsed="false">
      <c r="B1338" s="1" t="s">
        <v>816</v>
      </c>
      <c r="C1338" s="1" t="s">
        <v>819</v>
      </c>
      <c r="D1338" s="14" t="n">
        <v>46002.3402777778</v>
      </c>
      <c r="E1338" s="14" t="n">
        <v>46002.3402777778</v>
      </c>
      <c r="F1338" s="14" t="n">
        <v>46002.4652777778</v>
      </c>
      <c r="G1338" s="46" t="n">
        <f aca="false">F1338-E1338</f>
        <v>0.125</v>
      </c>
      <c r="H1338" s="20" t="s">
        <v>313</v>
      </c>
      <c r="J1338" s="20" t="s">
        <v>230</v>
      </c>
      <c r="K1338" s="1" t="e">
        <f aca="false">_xlfn.xlookup(J1338,REF!$D$2:$D$12,REF!$E$2:$E$12)</f>
        <v>#NAME?</v>
      </c>
      <c r="L1338" s="1" t="s">
        <v>886</v>
      </c>
      <c r="M1338" s="20" t="s">
        <v>288</v>
      </c>
      <c r="N1338" s="20" t="s">
        <v>315</v>
      </c>
      <c r="O1338" s="1" t="s">
        <v>887</v>
      </c>
      <c r="P1338" s="1" t="str">
        <f aca="false">_xlfn.CONCAT(B1338,C1338,D1338,E1338,F1338)</f>
        <v>Rio Monte IIISG60KTL(COM1-010)_001_01246002.340277777846002.340277777846002.4652777778</v>
      </c>
      <c r="Q1338" s="1" t="str">
        <f aca="false">_xlfn.CONCAT(H1338,I1338,J1338)</f>
        <v>DPRUFV</v>
      </c>
    </row>
    <row r="1339" customFormat="false" ht="15" hidden="true" customHeight="false" outlineLevel="0" collapsed="false">
      <c r="B1339" s="1" t="s">
        <v>816</v>
      </c>
      <c r="C1339" s="1" t="s">
        <v>820</v>
      </c>
      <c r="D1339" s="14" t="n">
        <v>46002.3402777778</v>
      </c>
      <c r="E1339" s="14" t="n">
        <v>46002.3402777778</v>
      </c>
      <c r="F1339" s="14" t="n">
        <v>46002.4652777778</v>
      </c>
      <c r="G1339" s="46" t="n">
        <f aca="false">F1339-E1339</f>
        <v>0.125</v>
      </c>
      <c r="H1339" s="20" t="s">
        <v>313</v>
      </c>
      <c r="J1339" s="20" t="s">
        <v>230</v>
      </c>
      <c r="K1339" s="1" t="e">
        <f aca="false">_xlfn.xlookup(J1339,REF!$D$2:$D$12,REF!$E$2:$E$12)</f>
        <v>#NAME?</v>
      </c>
      <c r="L1339" s="1" t="s">
        <v>886</v>
      </c>
      <c r="M1339" s="20" t="s">
        <v>288</v>
      </c>
      <c r="N1339" s="20" t="s">
        <v>315</v>
      </c>
      <c r="O1339" s="1" t="s">
        <v>887</v>
      </c>
      <c r="P1339" s="1" t="str">
        <f aca="false">_xlfn.CONCAT(B1339,C1339,D1339,E1339,F1339)</f>
        <v>Rio Monte IIISG60KTL(COM1-011)_001_00246002.340277777846002.340277777846002.4652777778</v>
      </c>
      <c r="Q1339" s="1" t="str">
        <f aca="false">_xlfn.CONCAT(H1339,I1339,J1339)</f>
        <v>DPRUFV</v>
      </c>
    </row>
    <row r="1340" customFormat="false" ht="15" hidden="true" customHeight="false" outlineLevel="0" collapsed="false">
      <c r="B1340" s="1" t="s">
        <v>816</v>
      </c>
      <c r="C1340" s="1" t="s">
        <v>821</v>
      </c>
      <c r="D1340" s="14" t="n">
        <v>46002.3402777778</v>
      </c>
      <c r="E1340" s="14" t="n">
        <v>46002.3402777778</v>
      </c>
      <c r="F1340" s="14" t="n">
        <v>46002.4652777778</v>
      </c>
      <c r="G1340" s="46" t="n">
        <f aca="false">F1340-E1340</f>
        <v>0.125</v>
      </c>
      <c r="H1340" s="20" t="s">
        <v>313</v>
      </c>
      <c r="J1340" s="20" t="s">
        <v>230</v>
      </c>
      <c r="K1340" s="1" t="e">
        <f aca="false">_xlfn.xlookup(J1340,REF!$D$2:$D$12,REF!$E$2:$E$12)</f>
        <v>#NAME?</v>
      </c>
      <c r="L1340" s="1" t="s">
        <v>886</v>
      </c>
      <c r="M1340" s="20" t="s">
        <v>288</v>
      </c>
      <c r="N1340" s="20" t="s">
        <v>315</v>
      </c>
      <c r="O1340" s="1" t="s">
        <v>887</v>
      </c>
      <c r="P1340" s="1" t="str">
        <f aca="false">_xlfn.CONCAT(B1340,C1340,D1340,E1340,F1340)</f>
        <v>Rio Monte IIISG60KTL(COM1-012)_001_01546002.340277777846002.340277777846002.4652777778</v>
      </c>
      <c r="Q1340" s="1" t="str">
        <f aca="false">_xlfn.CONCAT(H1340,I1340,J1340)</f>
        <v>DPRUFV</v>
      </c>
    </row>
    <row r="1341" customFormat="false" ht="15" hidden="true" customHeight="false" outlineLevel="0" collapsed="false">
      <c r="B1341" s="1" t="s">
        <v>816</v>
      </c>
      <c r="C1341" s="1" t="s">
        <v>822</v>
      </c>
      <c r="D1341" s="14" t="n">
        <v>46002.3402777778</v>
      </c>
      <c r="E1341" s="14" t="n">
        <v>46002.3402777778</v>
      </c>
      <c r="F1341" s="14" t="n">
        <v>46002.4652777778</v>
      </c>
      <c r="G1341" s="46" t="n">
        <f aca="false">F1341-E1341</f>
        <v>0.125</v>
      </c>
      <c r="H1341" s="20" t="s">
        <v>313</v>
      </c>
      <c r="J1341" s="20" t="s">
        <v>230</v>
      </c>
      <c r="K1341" s="1" t="e">
        <f aca="false">_xlfn.xlookup(J1341,REF!$D$2:$D$12,REF!$E$2:$E$12)</f>
        <v>#NAME?</v>
      </c>
      <c r="L1341" s="1" t="s">
        <v>886</v>
      </c>
      <c r="M1341" s="20" t="s">
        <v>288</v>
      </c>
      <c r="N1341" s="20" t="s">
        <v>315</v>
      </c>
      <c r="O1341" s="1" t="s">
        <v>887</v>
      </c>
      <c r="P1341" s="1" t="str">
        <f aca="false">_xlfn.CONCAT(B1341,C1341,D1341,E1341,F1341)</f>
        <v>Rio Monte IIISG60KTL(COM1-013)_001_00346002.340277777846002.340277777846002.4652777778</v>
      </c>
      <c r="Q1341" s="1" t="str">
        <f aca="false">_xlfn.CONCAT(H1341,I1341,J1341)</f>
        <v>DPRUFV</v>
      </c>
    </row>
    <row r="1342" customFormat="false" ht="15" hidden="true" customHeight="false" outlineLevel="0" collapsed="false">
      <c r="B1342" s="1" t="s">
        <v>816</v>
      </c>
      <c r="C1342" s="1" t="s">
        <v>823</v>
      </c>
      <c r="D1342" s="14" t="n">
        <v>46002.3402777778</v>
      </c>
      <c r="E1342" s="14" t="n">
        <v>46002.3402777778</v>
      </c>
      <c r="F1342" s="14" t="n">
        <v>46002.4652777778</v>
      </c>
      <c r="G1342" s="46" t="n">
        <f aca="false">F1342-E1342</f>
        <v>0.125</v>
      </c>
      <c r="H1342" s="20" t="s">
        <v>313</v>
      </c>
      <c r="J1342" s="20" t="s">
        <v>230</v>
      </c>
      <c r="K1342" s="1" t="e">
        <f aca="false">_xlfn.xlookup(J1342,REF!$D$2:$D$12,REF!$E$2:$E$12)</f>
        <v>#NAME?</v>
      </c>
      <c r="L1342" s="1" t="s">
        <v>886</v>
      </c>
      <c r="M1342" s="20" t="s">
        <v>288</v>
      </c>
      <c r="N1342" s="20" t="s">
        <v>315</v>
      </c>
      <c r="O1342" s="1" t="s">
        <v>887</v>
      </c>
      <c r="P1342" s="1" t="str">
        <f aca="false">_xlfn.CONCAT(B1342,C1342,D1342,E1342,F1342)</f>
        <v>Rio Monte IIISG60KTL(COM1-014)_001_00446002.340277777846002.340277777846002.4652777778</v>
      </c>
      <c r="Q1342" s="1" t="str">
        <f aca="false">_xlfn.CONCAT(H1342,I1342,J1342)</f>
        <v>DPRUFV</v>
      </c>
    </row>
    <row r="1343" customFormat="false" ht="15" hidden="true" customHeight="false" outlineLevel="0" collapsed="false">
      <c r="B1343" s="1" t="s">
        <v>816</v>
      </c>
      <c r="C1343" s="1" t="s">
        <v>824</v>
      </c>
      <c r="D1343" s="14" t="n">
        <v>46002.3402777778</v>
      </c>
      <c r="E1343" s="14" t="n">
        <v>46002.3402777778</v>
      </c>
      <c r="F1343" s="14" t="n">
        <v>46002.4652777778</v>
      </c>
      <c r="G1343" s="46" t="n">
        <f aca="false">F1343-E1343</f>
        <v>0.125</v>
      </c>
      <c r="H1343" s="20" t="s">
        <v>313</v>
      </c>
      <c r="J1343" s="20" t="s">
        <v>230</v>
      </c>
      <c r="K1343" s="1" t="e">
        <f aca="false">_xlfn.xlookup(J1343,REF!$D$2:$D$12,REF!$E$2:$E$12)</f>
        <v>#NAME?</v>
      </c>
      <c r="L1343" s="1" t="s">
        <v>886</v>
      </c>
      <c r="M1343" s="20" t="s">
        <v>288</v>
      </c>
      <c r="N1343" s="20" t="s">
        <v>315</v>
      </c>
      <c r="O1343" s="1" t="s">
        <v>887</v>
      </c>
      <c r="P1343" s="1" t="str">
        <f aca="false">_xlfn.CONCAT(B1343,C1343,D1343,E1343,F1343)</f>
        <v>Rio Monte IIISG60KTL(COM1-015)_001_01346002.340277777846002.340277777846002.4652777778</v>
      </c>
      <c r="Q1343" s="1" t="str">
        <f aca="false">_xlfn.CONCAT(H1343,I1343,J1343)</f>
        <v>DPRUFV</v>
      </c>
    </row>
    <row r="1344" customFormat="false" ht="15" hidden="true" customHeight="false" outlineLevel="0" collapsed="false">
      <c r="B1344" s="1" t="s">
        <v>816</v>
      </c>
      <c r="C1344" s="1" t="s">
        <v>825</v>
      </c>
      <c r="D1344" s="14" t="n">
        <v>46002.3402777778</v>
      </c>
      <c r="E1344" s="14" t="n">
        <v>46002.3402777778</v>
      </c>
      <c r="F1344" s="14" t="n">
        <v>46002.4652777778</v>
      </c>
      <c r="G1344" s="46" t="n">
        <f aca="false">F1344-E1344</f>
        <v>0.125</v>
      </c>
      <c r="H1344" s="20" t="s">
        <v>313</v>
      </c>
      <c r="J1344" s="20" t="s">
        <v>230</v>
      </c>
      <c r="K1344" s="1" t="e">
        <f aca="false">_xlfn.xlookup(J1344,REF!$D$2:$D$12,REF!$E$2:$E$12)</f>
        <v>#NAME?</v>
      </c>
      <c r="L1344" s="1" t="s">
        <v>886</v>
      </c>
      <c r="M1344" s="20" t="s">
        <v>288</v>
      </c>
      <c r="N1344" s="20" t="s">
        <v>315</v>
      </c>
      <c r="O1344" s="1" t="s">
        <v>887</v>
      </c>
      <c r="P1344" s="1" t="str">
        <f aca="false">_xlfn.CONCAT(B1344,C1344,D1344,E1344,F1344)</f>
        <v>Rio Monte IIISG60KTL(COM1-016)_001_01446002.340277777846002.340277777846002.4652777778</v>
      </c>
      <c r="Q1344" s="1" t="str">
        <f aca="false">_xlfn.CONCAT(H1344,I1344,J1344)</f>
        <v>DPRUFV</v>
      </c>
    </row>
    <row r="1345" customFormat="false" ht="15" hidden="true" customHeight="false" outlineLevel="0" collapsed="false">
      <c r="B1345" s="1" t="s">
        <v>816</v>
      </c>
      <c r="C1345" s="1" t="s">
        <v>826</v>
      </c>
      <c r="D1345" s="14" t="n">
        <v>46002.3402777778</v>
      </c>
      <c r="E1345" s="14" t="n">
        <v>46002.3402777778</v>
      </c>
      <c r="F1345" s="14" t="n">
        <v>46002.4652777778</v>
      </c>
      <c r="G1345" s="46" t="n">
        <f aca="false">F1345-E1345</f>
        <v>0.125</v>
      </c>
      <c r="H1345" s="20" t="s">
        <v>313</v>
      </c>
      <c r="J1345" s="20" t="s">
        <v>230</v>
      </c>
      <c r="K1345" s="1" t="e">
        <f aca="false">_xlfn.xlookup(J1345,REF!$D$2:$D$12,REF!$E$2:$E$12)</f>
        <v>#NAME?</v>
      </c>
      <c r="L1345" s="1" t="s">
        <v>886</v>
      </c>
      <c r="M1345" s="20" t="s">
        <v>288</v>
      </c>
      <c r="N1345" s="20" t="s">
        <v>315</v>
      </c>
      <c r="O1345" s="1" t="s">
        <v>887</v>
      </c>
      <c r="P1345" s="1" t="str">
        <f aca="false">_xlfn.CONCAT(B1345,C1345,D1345,E1345,F1345)</f>
        <v>Rio Monte IIISG60KTL(COM1-017)_001_00846002.340277777846002.340277777846002.4652777778</v>
      </c>
      <c r="Q1345" s="1" t="str">
        <f aca="false">_xlfn.CONCAT(H1345,I1345,J1345)</f>
        <v>DPRUFV</v>
      </c>
    </row>
    <row r="1346" customFormat="false" ht="15" hidden="false" customHeight="false" outlineLevel="0" collapsed="false">
      <c r="A1346" s="43"/>
      <c r="B1346" s="44" t="s">
        <v>622</v>
      </c>
      <c r="C1346" s="44" t="s">
        <v>280</v>
      </c>
      <c r="D1346" s="45" t="n">
        <v>46021.5104166667</v>
      </c>
      <c r="E1346" s="45" t="n">
        <v>46021.5104166667</v>
      </c>
      <c r="F1346" s="45" t="n">
        <v>46021.6944444444</v>
      </c>
      <c r="G1346" s="46" t="n">
        <f aca="false">F1346-E1346</f>
        <v>0.184027777777778</v>
      </c>
      <c r="H1346" s="44" t="s">
        <v>445</v>
      </c>
      <c r="I1346" s="44" t="s">
        <v>263</v>
      </c>
      <c r="J1346" s="44" t="s">
        <v>264</v>
      </c>
      <c r="K1346" s="1" t="e">
        <f aca="false">_xlfn.xlookup(J1346,REF!$D$2:$D$12,REF!$E$2:$E$12)</f>
        <v>#NAME?</v>
      </c>
      <c r="L1346" s="44" t="s">
        <v>915</v>
      </c>
      <c r="M1346" s="44" t="s">
        <v>266</v>
      </c>
      <c r="N1346" s="44" t="s">
        <v>252</v>
      </c>
      <c r="O1346" s="44" t="s">
        <v>920</v>
      </c>
      <c r="P1346" s="47" t="str">
        <f aca="false">_xlfn.CONCAT(B1346,C1346,D1346,E1346,F1346)</f>
        <v>BC Formoso2.2Inverter(MBUS-14)46021.510416666746021.510416666746021.6944444444</v>
      </c>
      <c r="Q1346" s="44" t="str">
        <f aca="false">_xlfn.CONCAT(H1346,I1346,J1346)</f>
        <v>LIGRFOCOM</v>
      </c>
    </row>
    <row r="1347" customFormat="false" ht="15" hidden="false" customHeight="false" outlineLevel="0" collapsed="false">
      <c r="A1347" s="43"/>
      <c r="B1347" s="44" t="s">
        <v>622</v>
      </c>
      <c r="C1347" s="44" t="s">
        <v>247</v>
      </c>
      <c r="D1347" s="45" t="n">
        <v>46021.5104166667</v>
      </c>
      <c r="E1347" s="45" t="n">
        <v>46021.5104166667</v>
      </c>
      <c r="F1347" s="45" t="n">
        <v>46021.6944444444</v>
      </c>
      <c r="G1347" s="46" t="n">
        <f aca="false">F1347-E1347</f>
        <v>0.184027777777778</v>
      </c>
      <c r="H1347" s="44" t="s">
        <v>445</v>
      </c>
      <c r="I1347" s="44" t="s">
        <v>263</v>
      </c>
      <c r="J1347" s="44" t="s">
        <v>264</v>
      </c>
      <c r="K1347" s="1" t="e">
        <f aca="false">_xlfn.xlookup(J1347,REF!$D$2:$D$12,REF!$E$2:$E$12)</f>
        <v>#NAME?</v>
      </c>
      <c r="L1347" s="44" t="s">
        <v>915</v>
      </c>
      <c r="M1347" s="44" t="s">
        <v>266</v>
      </c>
      <c r="N1347" s="44" t="s">
        <v>252</v>
      </c>
      <c r="O1347" s="44" t="s">
        <v>920</v>
      </c>
      <c r="P1347" s="47" t="str">
        <f aca="false">_xlfn.CONCAT(B1347,C1347,D1347,E1347,F1347)</f>
        <v>BC Formoso2.2Inverter(MBUS-13)46021.510416666746021.510416666746021.6944444444</v>
      </c>
      <c r="Q1347" s="44" t="str">
        <f aca="false">_xlfn.CONCAT(H1347,I1347,J1347)</f>
        <v>LIGRFOCOM</v>
      </c>
    </row>
    <row r="1348" customFormat="false" ht="15" hidden="false" customHeight="false" outlineLevel="0" collapsed="false">
      <c r="A1348" s="43"/>
      <c r="B1348" s="44" t="s">
        <v>622</v>
      </c>
      <c r="C1348" s="44" t="s">
        <v>277</v>
      </c>
      <c r="D1348" s="45" t="n">
        <v>46021.5104166667</v>
      </c>
      <c r="E1348" s="45" t="n">
        <v>46021.5104166667</v>
      </c>
      <c r="F1348" s="45" t="n">
        <v>46021.6944444444</v>
      </c>
      <c r="G1348" s="46" t="n">
        <f aca="false">F1348-E1348</f>
        <v>0.184027777777778</v>
      </c>
      <c r="H1348" s="44" t="s">
        <v>445</v>
      </c>
      <c r="I1348" s="44" t="s">
        <v>263</v>
      </c>
      <c r="J1348" s="44" t="s">
        <v>264</v>
      </c>
      <c r="K1348" s="1" t="e">
        <f aca="false">_xlfn.xlookup(J1348,REF!$D$2:$D$12,REF!$E$2:$E$12)</f>
        <v>#NAME?</v>
      </c>
      <c r="L1348" s="44" t="s">
        <v>915</v>
      </c>
      <c r="M1348" s="44" t="s">
        <v>266</v>
      </c>
      <c r="N1348" s="44" t="s">
        <v>252</v>
      </c>
      <c r="O1348" s="44" t="s">
        <v>920</v>
      </c>
      <c r="P1348" s="47" t="str">
        <f aca="false">_xlfn.CONCAT(B1348,C1348,D1348,E1348,F1348)</f>
        <v>BC Formoso2.2Inverter(MBUS-12)46021.510416666746021.510416666746021.6944444444</v>
      </c>
      <c r="Q1348" s="44" t="str">
        <f aca="false">_xlfn.CONCAT(H1348,I1348,J1348)</f>
        <v>LIGRFOCOM</v>
      </c>
    </row>
    <row r="1349" customFormat="false" ht="15" hidden="false" customHeight="false" outlineLevel="0" collapsed="false">
      <c r="A1349" s="43"/>
      <c r="B1349" s="44" t="s">
        <v>622</v>
      </c>
      <c r="C1349" s="44" t="s">
        <v>255</v>
      </c>
      <c r="D1349" s="45" t="n">
        <v>46021.5104166667</v>
      </c>
      <c r="E1349" s="45" t="n">
        <v>46021.5104166667</v>
      </c>
      <c r="F1349" s="45" t="n">
        <v>46021.6944444444</v>
      </c>
      <c r="G1349" s="46" t="n">
        <f aca="false">F1349-E1349</f>
        <v>0.184027777777778</v>
      </c>
      <c r="H1349" s="44" t="s">
        <v>445</v>
      </c>
      <c r="I1349" s="44" t="s">
        <v>263</v>
      </c>
      <c r="J1349" s="44" t="s">
        <v>264</v>
      </c>
      <c r="K1349" s="1" t="e">
        <f aca="false">_xlfn.xlookup(J1349,REF!$D$2:$D$12,REF!$E$2:$E$12)</f>
        <v>#NAME?</v>
      </c>
      <c r="L1349" s="44" t="s">
        <v>915</v>
      </c>
      <c r="M1349" s="44" t="s">
        <v>266</v>
      </c>
      <c r="N1349" s="44" t="s">
        <v>252</v>
      </c>
      <c r="O1349" s="44" t="s">
        <v>920</v>
      </c>
      <c r="P1349" s="47" t="str">
        <f aca="false">_xlfn.CONCAT(B1349,C1349,D1349,E1349,F1349)</f>
        <v>BC Formoso2.2Inverter(MBUS-1)46021.510416666746021.510416666746021.6944444444</v>
      </c>
      <c r="Q1349" s="44" t="str">
        <f aca="false">_xlfn.CONCAT(H1349,I1349,J1349)</f>
        <v>LIGRFOCOM</v>
      </c>
    </row>
    <row r="1350" customFormat="false" ht="15" hidden="true" customHeight="false" outlineLevel="0" collapsed="false">
      <c r="A1350" s="43"/>
      <c r="B1350" s="44" t="s">
        <v>325</v>
      </c>
      <c r="C1350" s="44" t="s">
        <v>326</v>
      </c>
      <c r="D1350" s="45" t="n">
        <v>46021.5694444444</v>
      </c>
      <c r="E1350" s="45" t="n">
        <v>46021.5694444444</v>
      </c>
      <c r="F1350" s="45" t="n">
        <v>46021.7222222222</v>
      </c>
      <c r="G1350" s="46" t="n">
        <f aca="false">F1350-E1350</f>
        <v>0.152777777777778</v>
      </c>
      <c r="H1350" s="44" t="s">
        <v>248</v>
      </c>
      <c r="I1350" s="44"/>
      <c r="J1350" s="44" t="s">
        <v>256</v>
      </c>
      <c r="K1350" s="1" t="e">
        <f aca="false">_xlfn.xlookup(J1350,REF!$D$2:$D$12,REF!$E$2:$E$12)</f>
        <v>#NAME?</v>
      </c>
      <c r="L1350" s="44" t="s">
        <v>921</v>
      </c>
      <c r="M1350" s="44" t="s">
        <v>258</v>
      </c>
      <c r="N1350" s="44" t="s">
        <v>379</v>
      </c>
      <c r="O1350" s="44" t="s">
        <v>922</v>
      </c>
      <c r="P1350" s="47" t="str">
        <f aca="false">_xlfn.CONCAT(B1350,C1350,D1350,E1350,F1350)</f>
        <v>BC Panama1.2ART_00446021.569444444446021.569444444446021.7222222222</v>
      </c>
      <c r="Q1350" s="44" t="str">
        <f aca="false">_xlfn.CONCAT(H1350,I1350,J1350)</f>
        <v>DAURDE</v>
      </c>
    </row>
    <row r="1351" s="42" customFormat="true" ht="15" hidden="true" customHeight="false" outlineLevel="0" collapsed="false">
      <c r="A1351" s="38"/>
      <c r="B1351" s="39" t="s">
        <v>923</v>
      </c>
      <c r="C1351" s="39" t="s">
        <v>924</v>
      </c>
      <c r="D1351" s="31" t="s">
        <v>925</v>
      </c>
      <c r="E1351" s="31" t="s">
        <v>925</v>
      </c>
      <c r="F1351" s="31"/>
      <c r="G1351" s="40" t="n">
        <f aca="false">F1351-E1351</f>
        <v>-6685989.44513889</v>
      </c>
      <c r="H1351" s="1" t="s">
        <v>248</v>
      </c>
      <c r="I1351" s="1"/>
      <c r="J1351" s="1" t="s">
        <v>249</v>
      </c>
      <c r="K1351" s="1" t="e">
        <f aca="false">_xlfn.xlookup(J1351,REF!$D$2:$D$12,REF!$E$2:$E$12)</f>
        <v>#NAME?</v>
      </c>
      <c r="L1351" s="1" t="s">
        <v>926</v>
      </c>
      <c r="M1351" s="1" t="s">
        <v>288</v>
      </c>
      <c r="N1351" s="1" t="s">
        <v>289</v>
      </c>
      <c r="O1351" s="1" t="s">
        <v>927</v>
      </c>
      <c r="P1351" s="41" t="str">
        <f aca="false">_xlfn.CONCAT(B1351,C1351,D1351,E1351,F1351)</f>
        <v>VAZANTE II - UFV 2Inverter-ES218005834908/12/20205 10:4108/12/20205 10:41</v>
      </c>
      <c r="Q1351" s="39" t="str">
        <f aca="false">_xlfn.CONCAT(H1351,I1351,J1351)</f>
        <v>DAUINV</v>
      </c>
    </row>
    <row r="1352" s="42" customFormat="true" ht="15" hidden="true" customHeight="false" outlineLevel="0" collapsed="false">
      <c r="A1352" s="38"/>
      <c r="B1352" s="39" t="s">
        <v>923</v>
      </c>
      <c r="C1352" s="39" t="s">
        <v>928</v>
      </c>
      <c r="D1352" s="31" t="s">
        <v>925</v>
      </c>
      <c r="E1352" s="31" t="s">
        <v>925</v>
      </c>
      <c r="F1352" s="31"/>
      <c r="G1352" s="40" t="n">
        <f aca="false">F1352-E1352</f>
        <v>-6685989.44513889</v>
      </c>
      <c r="H1352" s="1" t="s">
        <v>248</v>
      </c>
      <c r="I1352" s="1"/>
      <c r="J1352" s="1" t="s">
        <v>249</v>
      </c>
      <c r="K1352" s="1" t="e">
        <f aca="false">_xlfn.xlookup(J1352,REF!$D$2:$D$12,REF!$E$2:$E$12)</f>
        <v>#NAME?</v>
      </c>
      <c r="L1352" s="1" t="s">
        <v>926</v>
      </c>
      <c r="M1352" s="1" t="s">
        <v>288</v>
      </c>
      <c r="N1352" s="1" t="s">
        <v>289</v>
      </c>
      <c r="O1352" s="1" t="s">
        <v>927</v>
      </c>
      <c r="P1352" s="41" t="str">
        <f aca="false">_xlfn.CONCAT(B1352,C1352,D1352,E1352,F1352)</f>
        <v>VAZANTE II - UFV 2Inverter-ES217002732608/12/20205 10:4108/12/20205 10:41</v>
      </c>
      <c r="Q1352" s="39" t="str">
        <f aca="false">_xlfn.CONCAT(H1352,I1352,J1352)</f>
        <v>DAUINV</v>
      </c>
    </row>
    <row r="1353" customFormat="false" ht="15" hidden="true" customHeight="false" outlineLevel="0" collapsed="false">
      <c r="A1353" s="38"/>
      <c r="B1353" s="1" t="s">
        <v>923</v>
      </c>
      <c r="C1353" s="1" t="s">
        <v>754</v>
      </c>
      <c r="D1353" s="14" t="n">
        <v>45998.2534722222</v>
      </c>
      <c r="E1353" s="14" t="n">
        <v>45998.2534722222</v>
      </c>
      <c r="F1353" s="14" t="n">
        <v>46013.3645833333</v>
      </c>
      <c r="G1353" s="15" t="n">
        <f aca="false">F1353-E1353</f>
        <v>15.1111111111111</v>
      </c>
      <c r="H1353" s="1" t="s">
        <v>248</v>
      </c>
      <c r="J1353" s="1" t="s">
        <v>249</v>
      </c>
      <c r="K1353" s="1" t="e">
        <f aca="false">_xlfn.xlookup(J1353,REF!$D$2:$D$12,REF!$E$2:$E$12)</f>
        <v>#NAME?</v>
      </c>
      <c r="L1353" s="1" t="s">
        <v>926</v>
      </c>
      <c r="M1353" s="1" t="s">
        <v>288</v>
      </c>
      <c r="N1353" s="1" t="s">
        <v>289</v>
      </c>
      <c r="O1353" s="1" t="s">
        <v>929</v>
      </c>
      <c r="P1353" s="1" t="str">
        <f aca="false">_xlfn.CONCAT(B1353,C1353,D1353,E1353,F1353)</f>
        <v>VAZANTE II - UFV 2Inverter(MBUS-8)45998.253472222245998.253472222246013.3645833333</v>
      </c>
      <c r="Q1353" s="1" t="str">
        <f aca="false">_xlfn.CONCAT(H1353,I1353,J1353)</f>
        <v>DAUINV</v>
      </c>
    </row>
    <row r="1354" s="42" customFormat="true" ht="15" hidden="true" customHeight="false" outlineLevel="0" collapsed="false">
      <c r="A1354" s="38"/>
      <c r="B1354" s="39" t="s">
        <v>923</v>
      </c>
      <c r="C1354" s="39" t="s">
        <v>930</v>
      </c>
      <c r="D1354" s="31" t="s">
        <v>925</v>
      </c>
      <c r="E1354" s="31" t="s">
        <v>925</v>
      </c>
      <c r="F1354" s="31"/>
      <c r="G1354" s="40" t="n">
        <f aca="false">F1354-E1354</f>
        <v>-6685989.44513889</v>
      </c>
      <c r="H1354" s="1" t="s">
        <v>248</v>
      </c>
      <c r="I1354" s="1"/>
      <c r="J1354" s="1" t="s">
        <v>249</v>
      </c>
      <c r="K1354" s="1" t="e">
        <f aca="false">_xlfn.xlookup(J1354,REF!$D$2:$D$12,REF!$E$2:$E$12)</f>
        <v>#NAME?</v>
      </c>
      <c r="L1354" s="1" t="s">
        <v>926</v>
      </c>
      <c r="M1354" s="1" t="s">
        <v>288</v>
      </c>
      <c r="N1354" s="1" t="s">
        <v>289</v>
      </c>
      <c r="O1354" s="1" t="s">
        <v>927</v>
      </c>
      <c r="P1354" s="41" t="str">
        <f aca="false">_xlfn.CONCAT(B1354,C1354,D1354,E1354,F1354)</f>
        <v>VAZANTE II - UFV 2Inverter-ES218005897708/12/20205 10:4108/12/20205 10:41</v>
      </c>
      <c r="Q1354" s="39" t="str">
        <f aca="false">_xlfn.CONCAT(H1354,I1354,J1354)</f>
        <v>DAUINV</v>
      </c>
    </row>
    <row r="1355" s="42" customFormat="true" ht="15" hidden="true" customHeight="false" outlineLevel="0" collapsed="false">
      <c r="A1355" s="38"/>
      <c r="B1355" s="39" t="s">
        <v>923</v>
      </c>
      <c r="C1355" s="39" t="s">
        <v>931</v>
      </c>
      <c r="D1355" s="31" t="s">
        <v>925</v>
      </c>
      <c r="E1355" s="31" t="s">
        <v>925</v>
      </c>
      <c r="F1355" s="31"/>
      <c r="G1355" s="40" t="n">
        <f aca="false">F1355-E1355</f>
        <v>-6685989.44513889</v>
      </c>
      <c r="H1355" s="1" t="s">
        <v>248</v>
      </c>
      <c r="I1355" s="1"/>
      <c r="J1355" s="1" t="s">
        <v>249</v>
      </c>
      <c r="K1355" s="1" t="e">
        <f aca="false">_xlfn.xlookup(J1355,REF!$D$2:$D$12,REF!$E$2:$E$12)</f>
        <v>#NAME?</v>
      </c>
      <c r="L1355" s="1" t="s">
        <v>926</v>
      </c>
      <c r="M1355" s="1" t="s">
        <v>288</v>
      </c>
      <c r="N1355" s="1" t="s">
        <v>289</v>
      </c>
      <c r="O1355" s="1" t="s">
        <v>927</v>
      </c>
      <c r="P1355" s="41" t="str">
        <f aca="false">_xlfn.CONCAT(B1355,C1355,D1355,E1355,F1355)</f>
        <v>VAZANTE II - UFV 2Inverter-ES217002814108/12/20205 10:4108/12/20205 10:41</v>
      </c>
      <c r="Q1355" s="39" t="str">
        <f aca="false">_xlfn.CONCAT(H1355,I1355,J1355)</f>
        <v>DAUINV</v>
      </c>
    </row>
    <row r="1356" customFormat="false" ht="15" hidden="true" customHeight="false" outlineLevel="0" collapsed="false">
      <c r="A1356" s="43"/>
      <c r="B1356" s="44" t="s">
        <v>726</v>
      </c>
      <c r="C1356" s="44" t="s">
        <v>280</v>
      </c>
      <c r="D1356" s="45" t="n">
        <v>45992.3910069445</v>
      </c>
      <c r="E1356" s="45" t="n">
        <v>45992.3910069445</v>
      </c>
      <c r="F1356" s="45" t="n">
        <v>45992.4186226852</v>
      </c>
      <c r="G1356" s="46" t="n">
        <v>0.0276157407407407</v>
      </c>
      <c r="H1356" s="44" t="s">
        <v>248</v>
      </c>
      <c r="I1356" s="44"/>
      <c r="J1356" s="44" t="s">
        <v>256</v>
      </c>
      <c r="K1356" s="1" t="e">
        <f aca="false">_xlfn.xlookup(J1356,REF!$D$2:$D$12,REF!$E$2:$E$12)</f>
        <v>#NAME?</v>
      </c>
      <c r="L1356" s="44" t="s">
        <v>410</v>
      </c>
      <c r="M1356" s="44" t="s">
        <v>258</v>
      </c>
      <c r="N1356" s="44" t="s">
        <v>259</v>
      </c>
      <c r="O1356" s="44" t="s">
        <v>736</v>
      </c>
      <c r="P1356" s="47" t="str">
        <f aca="false">_xlfn.CONCAT(B1356,C1356,D1356,E1356,F1356)</f>
        <v>BC Clareira1.1Inverter(MBUS-14)45992.391006944545992.391006944545992.4186226852</v>
      </c>
      <c r="Q1356" s="44" t="str">
        <f aca="false">_xlfn.CONCAT(H1356,I1356,J1356)</f>
        <v>DAURDE</v>
      </c>
    </row>
    <row r="1357" customFormat="false" ht="15" hidden="true" customHeight="false" outlineLevel="0" collapsed="false">
      <c r="A1357" s="43"/>
      <c r="B1357" s="44" t="s">
        <v>726</v>
      </c>
      <c r="C1357" s="44" t="s">
        <v>279</v>
      </c>
      <c r="D1357" s="45" t="n">
        <v>45992.3910069445</v>
      </c>
      <c r="E1357" s="45" t="n">
        <v>45992.3910069445</v>
      </c>
      <c r="F1357" s="45" t="n">
        <v>45992.4186226852</v>
      </c>
      <c r="G1357" s="46" t="n">
        <v>0.0276157407407407</v>
      </c>
      <c r="H1357" s="44" t="s">
        <v>248</v>
      </c>
      <c r="I1357" s="44"/>
      <c r="J1357" s="44" t="s">
        <v>256</v>
      </c>
      <c r="K1357" s="1" t="e">
        <f aca="false">_xlfn.xlookup(J1357,REF!$D$2:$D$12,REF!$E$2:$E$12)</f>
        <v>#NAME?</v>
      </c>
      <c r="L1357" s="44" t="s">
        <v>410</v>
      </c>
      <c r="M1357" s="44" t="s">
        <v>258</v>
      </c>
      <c r="N1357" s="44" t="s">
        <v>259</v>
      </c>
      <c r="O1357" s="44" t="s">
        <v>736</v>
      </c>
      <c r="P1357" s="47" t="str">
        <f aca="false">_xlfn.CONCAT(B1357,C1357,D1357,E1357,F1357)</f>
        <v>BC Clareira1.1Inverter(MBUS-15)45992.391006944545992.391006944545992.4186226852</v>
      </c>
      <c r="Q1357" s="44" t="str">
        <f aca="false">_xlfn.CONCAT(H1357,I1357,J1357)</f>
        <v>DAURDE</v>
      </c>
    </row>
    <row r="1358" customFormat="false" ht="15" hidden="true" customHeight="false" outlineLevel="0" collapsed="false">
      <c r="A1358" s="43"/>
      <c r="B1358" s="44" t="s">
        <v>726</v>
      </c>
      <c r="C1358" s="44" t="s">
        <v>690</v>
      </c>
      <c r="D1358" s="45" t="n">
        <v>45992.3910069445</v>
      </c>
      <c r="E1358" s="45" t="n">
        <v>45992.3910069445</v>
      </c>
      <c r="F1358" s="45" t="n">
        <v>45992.4186226852</v>
      </c>
      <c r="G1358" s="46" t="n">
        <v>0.0276157407407407</v>
      </c>
      <c r="H1358" s="44" t="s">
        <v>248</v>
      </c>
      <c r="I1358" s="44"/>
      <c r="J1358" s="44" t="s">
        <v>256</v>
      </c>
      <c r="K1358" s="1" t="e">
        <f aca="false">_xlfn.xlookup(J1358,REF!$D$2:$D$12,REF!$E$2:$E$12)</f>
        <v>#NAME?</v>
      </c>
      <c r="L1358" s="44" t="s">
        <v>410</v>
      </c>
      <c r="M1358" s="44" t="s">
        <v>258</v>
      </c>
      <c r="N1358" s="44" t="s">
        <v>259</v>
      </c>
      <c r="O1358" s="44" t="s">
        <v>736</v>
      </c>
      <c r="P1358" s="47" t="str">
        <f aca="false">_xlfn.CONCAT(B1358,C1358,D1358,E1358,F1358)</f>
        <v>BC Clareira1.1Inverter(MBUS-16)45992.391006944545992.391006944545992.4186226852</v>
      </c>
      <c r="Q1358" s="44" t="str">
        <f aca="false">_xlfn.CONCAT(H1358,I1358,J1358)</f>
        <v>DAURDE</v>
      </c>
    </row>
    <row r="1359" customFormat="false" ht="15" hidden="true" customHeight="false" outlineLevel="0" collapsed="false">
      <c r="A1359" s="43"/>
      <c r="B1359" s="44" t="s">
        <v>726</v>
      </c>
      <c r="C1359" s="44" t="s">
        <v>277</v>
      </c>
      <c r="D1359" s="45" t="n">
        <v>45992.3910069445</v>
      </c>
      <c r="E1359" s="45" t="n">
        <v>45992.3910069445</v>
      </c>
      <c r="F1359" s="45" t="n">
        <v>45992.4186226852</v>
      </c>
      <c r="G1359" s="46" t="n">
        <v>0.0276157407407407</v>
      </c>
      <c r="H1359" s="44" t="s">
        <v>248</v>
      </c>
      <c r="I1359" s="44"/>
      <c r="J1359" s="44" t="s">
        <v>256</v>
      </c>
      <c r="K1359" s="1" t="e">
        <f aca="false">_xlfn.xlookup(J1359,REF!$D$2:$D$12,REF!$E$2:$E$12)</f>
        <v>#NAME?</v>
      </c>
      <c r="L1359" s="44" t="s">
        <v>410</v>
      </c>
      <c r="M1359" s="44" t="s">
        <v>258</v>
      </c>
      <c r="N1359" s="44" t="s">
        <v>259</v>
      </c>
      <c r="O1359" s="44" t="s">
        <v>736</v>
      </c>
      <c r="P1359" s="47" t="str">
        <f aca="false">_xlfn.CONCAT(B1359,C1359,D1359,E1359,F1359)</f>
        <v>BC Clareira1.1Inverter(MBUS-12)45992.391006944545992.391006944545992.4186226852</v>
      </c>
      <c r="Q1359" s="44" t="str">
        <f aca="false">_xlfn.CONCAT(H1359,I1359,J1359)</f>
        <v>DAURDE</v>
      </c>
    </row>
    <row r="1360" customFormat="false" ht="15" hidden="true" customHeight="false" outlineLevel="0" collapsed="false">
      <c r="A1360" s="43"/>
      <c r="B1360" s="44" t="s">
        <v>726</v>
      </c>
      <c r="C1360" s="44" t="s">
        <v>247</v>
      </c>
      <c r="D1360" s="45" t="n">
        <v>45992.3910069445</v>
      </c>
      <c r="E1360" s="45" t="n">
        <v>45992.3910069445</v>
      </c>
      <c r="F1360" s="45" t="n">
        <v>45992.4186226852</v>
      </c>
      <c r="G1360" s="46" t="n">
        <v>0.0276157407407407</v>
      </c>
      <c r="H1360" s="44" t="s">
        <v>248</v>
      </c>
      <c r="I1360" s="44"/>
      <c r="J1360" s="44" t="s">
        <v>256</v>
      </c>
      <c r="K1360" s="1" t="e">
        <f aca="false">_xlfn.xlookup(J1360,REF!$D$2:$D$12,REF!$E$2:$E$12)</f>
        <v>#NAME?</v>
      </c>
      <c r="L1360" s="44" t="s">
        <v>410</v>
      </c>
      <c r="M1360" s="44" t="s">
        <v>258</v>
      </c>
      <c r="N1360" s="44" t="s">
        <v>259</v>
      </c>
      <c r="O1360" s="44" t="s">
        <v>736</v>
      </c>
      <c r="P1360" s="47" t="str">
        <f aca="false">_xlfn.CONCAT(B1360,C1360,D1360,E1360,F1360)</f>
        <v>BC Clareira1.1Inverter(MBUS-13)45992.391006944545992.391006944545992.4186226852</v>
      </c>
      <c r="Q1360" s="44" t="str">
        <f aca="false">_xlfn.CONCAT(H1360,I1360,J1360)</f>
        <v>DAURDE</v>
      </c>
    </row>
    <row r="1361" customFormat="false" ht="15" hidden="true" customHeight="false" outlineLevel="0" collapsed="false">
      <c r="A1361" s="43"/>
      <c r="B1361" s="44" t="s">
        <v>731</v>
      </c>
      <c r="C1361" s="44" t="s">
        <v>396</v>
      </c>
      <c r="D1361" s="45" t="n">
        <v>45992.3913541667</v>
      </c>
      <c r="E1361" s="45" t="n">
        <v>45992.3913541667</v>
      </c>
      <c r="F1361" s="45" t="n">
        <v>45992.4184259259</v>
      </c>
      <c r="G1361" s="46" t="n">
        <v>0.0270717592592593</v>
      </c>
      <c r="H1361" s="44" t="s">
        <v>248</v>
      </c>
      <c r="I1361" s="44"/>
      <c r="J1361" s="44" t="s">
        <v>256</v>
      </c>
      <c r="K1361" s="1" t="e">
        <f aca="false">_xlfn.xlookup(J1361,REF!$D$2:$D$12,REF!$E$2:$E$12)</f>
        <v>#NAME?</v>
      </c>
      <c r="L1361" s="44" t="s">
        <v>410</v>
      </c>
      <c r="M1361" s="44" t="s">
        <v>258</v>
      </c>
      <c r="N1361" s="44" t="s">
        <v>259</v>
      </c>
      <c r="O1361" s="44" t="s">
        <v>736</v>
      </c>
      <c r="P1361" s="47" t="str">
        <f aca="false">_xlfn.CONCAT(B1361,C1361,D1361,E1361,F1361)</f>
        <v>BC Clareira1.2215KTL-H3(MBUS-12)45992.391354166745992.391354166745992.4184259259</v>
      </c>
      <c r="Q1361" s="44" t="str">
        <f aca="false">_xlfn.CONCAT(H1361,I1361,J1361)</f>
        <v>DAURDE</v>
      </c>
    </row>
    <row r="1362" customFormat="false" ht="15" hidden="true" customHeight="false" outlineLevel="0" collapsed="false">
      <c r="A1362" s="43"/>
      <c r="B1362" s="44" t="s">
        <v>731</v>
      </c>
      <c r="C1362" s="44" t="s">
        <v>734</v>
      </c>
      <c r="D1362" s="45" t="n">
        <v>45992.3913541667</v>
      </c>
      <c r="E1362" s="45" t="n">
        <v>45992.3913541667</v>
      </c>
      <c r="F1362" s="45" t="n">
        <v>45992.4184259259</v>
      </c>
      <c r="G1362" s="46" t="n">
        <v>0.0270717592592593</v>
      </c>
      <c r="H1362" s="44" t="s">
        <v>248</v>
      </c>
      <c r="I1362" s="44"/>
      <c r="J1362" s="44" t="s">
        <v>256</v>
      </c>
      <c r="K1362" s="1" t="e">
        <f aca="false">_xlfn.xlookup(J1362,REF!$D$2:$D$12,REF!$E$2:$E$12)</f>
        <v>#NAME?</v>
      </c>
      <c r="L1362" s="44" t="s">
        <v>410</v>
      </c>
      <c r="M1362" s="44" t="s">
        <v>258</v>
      </c>
      <c r="N1362" s="44" t="s">
        <v>259</v>
      </c>
      <c r="O1362" s="44" t="s">
        <v>736</v>
      </c>
      <c r="P1362" s="47" t="str">
        <f aca="false">_xlfn.CONCAT(B1362,C1362,D1362,E1362,F1362)</f>
        <v>BC Clareira1.2100KTL-H1(MBUS-14)45992.391354166745992.391354166745992.4184259259</v>
      </c>
      <c r="Q1362" s="44" t="str">
        <f aca="false">_xlfn.CONCAT(H1362,I1362,J1362)</f>
        <v>DAURDE</v>
      </c>
    </row>
    <row r="1363" customFormat="false" ht="15" hidden="true" customHeight="false" outlineLevel="0" collapsed="false">
      <c r="A1363" s="43"/>
      <c r="B1363" s="44" t="s">
        <v>731</v>
      </c>
      <c r="C1363" s="44" t="s">
        <v>397</v>
      </c>
      <c r="D1363" s="45" t="n">
        <v>45992.3913541667</v>
      </c>
      <c r="E1363" s="45" t="n">
        <v>45992.3913541667</v>
      </c>
      <c r="F1363" s="45" t="n">
        <v>45992.4184259259</v>
      </c>
      <c r="G1363" s="46" t="n">
        <v>0.0270717592592593</v>
      </c>
      <c r="H1363" s="44" t="s">
        <v>248</v>
      </c>
      <c r="I1363" s="44"/>
      <c r="J1363" s="44" t="s">
        <v>256</v>
      </c>
      <c r="K1363" s="1" t="e">
        <f aca="false">_xlfn.xlookup(J1363,REF!$D$2:$D$12,REF!$E$2:$E$12)</f>
        <v>#NAME?</v>
      </c>
      <c r="L1363" s="44" t="s">
        <v>410</v>
      </c>
      <c r="M1363" s="44" t="s">
        <v>258</v>
      </c>
      <c r="N1363" s="44" t="s">
        <v>259</v>
      </c>
      <c r="O1363" s="44" t="s">
        <v>736</v>
      </c>
      <c r="P1363" s="47" t="str">
        <f aca="false">_xlfn.CONCAT(B1363,C1363,D1363,E1363,F1363)</f>
        <v>BC Clareira1.2215KTL-H3(MBUS-13)45992.391354166745992.391354166745992.4184259259</v>
      </c>
      <c r="Q1363" s="44" t="str">
        <f aca="false">_xlfn.CONCAT(H1363,I1363,J1363)</f>
        <v>DAURDE</v>
      </c>
    </row>
    <row r="1364" customFormat="false" ht="15" hidden="true" customHeight="false" outlineLevel="0" collapsed="false">
      <c r="B1364" s="1" t="s">
        <v>685</v>
      </c>
      <c r="C1364" s="1" t="s">
        <v>255</v>
      </c>
      <c r="D1364" s="14" t="n">
        <v>46011.1666666667</v>
      </c>
      <c r="E1364" s="14" t="n">
        <v>46011.1666666667</v>
      </c>
      <c r="F1364" s="14" t="n">
        <v>46011.3506944444</v>
      </c>
      <c r="G1364" s="46" t="n">
        <f aca="false">F1364-E1364</f>
        <v>0.184027777777778</v>
      </c>
      <c r="H1364" s="1" t="s">
        <v>248</v>
      </c>
      <c r="J1364" s="1" t="s">
        <v>230</v>
      </c>
      <c r="K1364" s="1" t="e">
        <f aca="false">_xlfn.xlookup(J1364,REF!$D$2:$D$12,REF!$E$2:$E$12)</f>
        <v>#NAME?</v>
      </c>
      <c r="L1364" s="30" t="s">
        <v>410</v>
      </c>
      <c r="M1364" s="1" t="s">
        <v>783</v>
      </c>
      <c r="N1364" s="1" t="s">
        <v>252</v>
      </c>
      <c r="O1364" s="1" t="s">
        <v>914</v>
      </c>
      <c r="P1364" s="1" t="str">
        <f aca="false">_xlfn.CONCAT(B1364,C1364,D1364,E1364,F1364)</f>
        <v>BC Camarao1.1Inverter(MBUS-1)46011.166666666746011.166666666746011.3506944444</v>
      </c>
      <c r="Q1364" s="1" t="str">
        <f aca="false">_xlfn.CONCAT(H1364,I1364,J1364)</f>
        <v>DAUUFV</v>
      </c>
    </row>
    <row r="1365" customFormat="false" ht="15" hidden="true" customHeight="false" outlineLevel="0" collapsed="false">
      <c r="B1365" s="1" t="s">
        <v>685</v>
      </c>
      <c r="C1365" s="1" t="s">
        <v>396</v>
      </c>
      <c r="D1365" s="14" t="n">
        <v>46011.1666666667</v>
      </c>
      <c r="E1365" s="14" t="n">
        <v>46011.1666666667</v>
      </c>
      <c r="F1365" s="14" t="n">
        <v>46011.3506944444</v>
      </c>
      <c r="G1365" s="46" t="n">
        <f aca="false">F1365-E1365</f>
        <v>0.184027777777778</v>
      </c>
      <c r="H1365" s="1" t="s">
        <v>248</v>
      </c>
      <c r="J1365" s="1" t="s">
        <v>230</v>
      </c>
      <c r="K1365" s="1" t="e">
        <f aca="false">_xlfn.xlookup(J1365,REF!$D$2:$D$12,REF!$E$2:$E$12)</f>
        <v>#NAME?</v>
      </c>
      <c r="L1365" s="30" t="s">
        <v>410</v>
      </c>
      <c r="M1365" s="1" t="s">
        <v>783</v>
      </c>
      <c r="N1365" s="1" t="s">
        <v>252</v>
      </c>
      <c r="O1365" s="1" t="s">
        <v>914</v>
      </c>
      <c r="P1365" s="1" t="str">
        <f aca="false">_xlfn.CONCAT(B1365,C1365,D1365,E1365,F1365)</f>
        <v>BC Camarao1.1215KTL-H3(MBUS-12)46011.166666666746011.166666666746011.3506944444</v>
      </c>
      <c r="Q1365" s="1" t="str">
        <f aca="false">_xlfn.CONCAT(H1365,I1365,J1365)</f>
        <v>DAUUFV</v>
      </c>
    </row>
    <row r="1366" customFormat="false" ht="15" hidden="true" customHeight="false" outlineLevel="0" collapsed="false">
      <c r="B1366" s="1" t="s">
        <v>685</v>
      </c>
      <c r="C1366" s="1" t="s">
        <v>397</v>
      </c>
      <c r="D1366" s="14" t="n">
        <v>46011.1666666667</v>
      </c>
      <c r="E1366" s="14" t="n">
        <v>46011.1666666667</v>
      </c>
      <c r="F1366" s="14" t="n">
        <v>46011.3506944444</v>
      </c>
      <c r="G1366" s="46" t="n">
        <f aca="false">F1366-E1366</f>
        <v>0.184027777777778</v>
      </c>
      <c r="H1366" s="1" t="s">
        <v>248</v>
      </c>
      <c r="J1366" s="1" t="s">
        <v>230</v>
      </c>
      <c r="K1366" s="1" t="e">
        <f aca="false">_xlfn.xlookup(J1366,REF!$D$2:$D$12,REF!$E$2:$E$12)</f>
        <v>#NAME?</v>
      </c>
      <c r="L1366" s="30" t="s">
        <v>410</v>
      </c>
      <c r="M1366" s="1" t="s">
        <v>783</v>
      </c>
      <c r="N1366" s="1" t="s">
        <v>252</v>
      </c>
      <c r="O1366" s="1" t="s">
        <v>914</v>
      </c>
      <c r="P1366" s="1" t="str">
        <f aca="false">_xlfn.CONCAT(B1366,C1366,D1366,E1366,F1366)</f>
        <v>BC Camarao1.1215KTL-H3(MBUS-13)46011.166666666746011.166666666746011.3506944444</v>
      </c>
      <c r="Q1366" s="1" t="str">
        <f aca="false">_xlfn.CONCAT(H1366,I1366,J1366)</f>
        <v>DAUUFV</v>
      </c>
    </row>
    <row r="1367" customFormat="false" ht="15" hidden="true" customHeight="false" outlineLevel="0" collapsed="false">
      <c r="B1367" s="1" t="s">
        <v>685</v>
      </c>
      <c r="C1367" s="1" t="s">
        <v>391</v>
      </c>
      <c r="D1367" s="14" t="n">
        <v>46011.1666666667</v>
      </c>
      <c r="E1367" s="14" t="n">
        <v>46011.1666666667</v>
      </c>
      <c r="F1367" s="14" t="n">
        <v>46011.3506944444</v>
      </c>
      <c r="G1367" s="46" t="n">
        <f aca="false">F1367-E1367</f>
        <v>0.184027777777778</v>
      </c>
      <c r="H1367" s="1" t="s">
        <v>248</v>
      </c>
      <c r="J1367" s="1" t="s">
        <v>230</v>
      </c>
      <c r="K1367" s="1" t="e">
        <f aca="false">_xlfn.xlookup(J1367,REF!$D$2:$D$12,REF!$E$2:$E$12)</f>
        <v>#NAME?</v>
      </c>
      <c r="L1367" s="30" t="s">
        <v>410</v>
      </c>
      <c r="M1367" s="1" t="s">
        <v>783</v>
      </c>
      <c r="N1367" s="1" t="s">
        <v>252</v>
      </c>
      <c r="O1367" s="1" t="s">
        <v>914</v>
      </c>
      <c r="P1367" s="1" t="str">
        <f aca="false">_xlfn.CONCAT(B1367,C1367,D1367,E1367,F1367)</f>
        <v>BC Camarao1.1215KTL-H3(MBUS-16)46011.166666666746011.166666666746011.3506944444</v>
      </c>
      <c r="Q1367" s="1" t="str">
        <f aca="false">_xlfn.CONCAT(H1367,I1367,J1367)</f>
        <v>DAUUFV</v>
      </c>
    </row>
    <row r="1368" customFormat="false" ht="15" hidden="true" customHeight="false" outlineLevel="0" collapsed="false">
      <c r="B1368" s="1" t="s">
        <v>685</v>
      </c>
      <c r="C1368" s="1" t="s">
        <v>395</v>
      </c>
      <c r="D1368" s="14" t="n">
        <v>46011.1666666667</v>
      </c>
      <c r="E1368" s="14" t="n">
        <v>46011.1666666667</v>
      </c>
      <c r="F1368" s="14" t="n">
        <v>46011.3506944444</v>
      </c>
      <c r="G1368" s="46" t="n">
        <f aca="false">F1368-E1368</f>
        <v>0.184027777777778</v>
      </c>
      <c r="H1368" s="1" t="s">
        <v>248</v>
      </c>
      <c r="J1368" s="1" t="s">
        <v>230</v>
      </c>
      <c r="K1368" s="1" t="e">
        <f aca="false">_xlfn.xlookup(J1368,REF!$D$2:$D$12,REF!$E$2:$E$12)</f>
        <v>#NAME?</v>
      </c>
      <c r="L1368" s="30" t="s">
        <v>410</v>
      </c>
      <c r="M1368" s="1" t="s">
        <v>783</v>
      </c>
      <c r="N1368" s="1" t="s">
        <v>252</v>
      </c>
      <c r="O1368" s="1" t="s">
        <v>914</v>
      </c>
      <c r="P1368" s="1" t="str">
        <f aca="false">_xlfn.CONCAT(B1368,C1368,D1368,E1368,F1368)</f>
        <v>BC Camarao1.1215KTL-H3(MBUS-15)46011.166666666746011.166666666746011.3506944444</v>
      </c>
      <c r="Q1368" s="1" t="str">
        <f aca="false">_xlfn.CONCAT(H1368,I1368,J1368)</f>
        <v>DAUUFV</v>
      </c>
    </row>
    <row r="1369" customFormat="false" ht="15" hidden="true" customHeight="false" outlineLevel="0" collapsed="false">
      <c r="B1369" s="1" t="s">
        <v>798</v>
      </c>
      <c r="C1369" s="1" t="s">
        <v>799</v>
      </c>
      <c r="D1369" s="14" t="n">
        <v>46010.5631944445</v>
      </c>
      <c r="E1369" s="14" t="n">
        <v>46010.5631944445</v>
      </c>
      <c r="F1369" s="14" t="n">
        <v>46010.6458333333</v>
      </c>
      <c r="G1369" s="46" t="n">
        <f aca="false">F1369-E1369</f>
        <v>0.0826388888888889</v>
      </c>
      <c r="H1369" s="20" t="s">
        <v>313</v>
      </c>
      <c r="J1369" s="1" t="s">
        <v>230</v>
      </c>
      <c r="K1369" s="1" t="e">
        <f aca="false">_xlfn.xlookup(J1369,REF!$D$2:$D$12,REF!$E$2:$E$12)</f>
        <v>#NAME?</v>
      </c>
      <c r="L1369" s="1" t="s">
        <v>932</v>
      </c>
      <c r="M1369" s="1" t="s">
        <v>288</v>
      </c>
      <c r="N1369" s="1" t="s">
        <v>315</v>
      </c>
      <c r="O1369" s="1" t="s">
        <v>933</v>
      </c>
      <c r="P1369" s="1" t="str">
        <f aca="false">_xlfn.CONCAT(B1369,C1369,D1369,E1369,F1369)</f>
        <v>CORUMBÁ I - UFV 1U01.I0146010.563194444546010.563194444546010.6458333333</v>
      </c>
      <c r="Q1369" s="1" t="str">
        <f aca="false">_xlfn.CONCAT(H1369,I1369,J1369)</f>
        <v>DPRUFV</v>
      </c>
    </row>
    <row r="1370" customFormat="false" ht="15" hidden="true" customHeight="false" outlineLevel="0" collapsed="false">
      <c r="B1370" s="1" t="s">
        <v>798</v>
      </c>
      <c r="C1370" s="1" t="s">
        <v>759</v>
      </c>
      <c r="D1370" s="14" t="n">
        <v>46010.5631944445</v>
      </c>
      <c r="E1370" s="14" t="n">
        <v>46010.5631944445</v>
      </c>
      <c r="F1370" s="14" t="n">
        <v>46010.6458333333</v>
      </c>
      <c r="G1370" s="46" t="n">
        <f aca="false">F1370-E1370</f>
        <v>0.0826388888888889</v>
      </c>
      <c r="H1370" s="20" t="s">
        <v>313</v>
      </c>
      <c r="J1370" s="1" t="s">
        <v>230</v>
      </c>
      <c r="K1370" s="1" t="e">
        <f aca="false">_xlfn.xlookup(J1370,REF!$D$2:$D$12,REF!$E$2:$E$12)</f>
        <v>#NAME?</v>
      </c>
      <c r="L1370" s="1" t="s">
        <v>932</v>
      </c>
      <c r="M1370" s="1" t="s">
        <v>288</v>
      </c>
      <c r="N1370" s="1" t="s">
        <v>315</v>
      </c>
      <c r="O1370" s="1" t="s">
        <v>933</v>
      </c>
      <c r="P1370" s="1" t="str">
        <f aca="false">_xlfn.CONCAT(B1370,C1370,D1370,E1370,F1370)</f>
        <v>CORUMBÁ I - UFV 1U01.I0246010.563194444546010.563194444546010.6458333333</v>
      </c>
      <c r="Q1370" s="1" t="str">
        <f aca="false">_xlfn.CONCAT(H1370,I1370,J1370)</f>
        <v>DPRUFV</v>
      </c>
    </row>
    <row r="1371" customFormat="false" ht="15" hidden="true" customHeight="false" outlineLevel="0" collapsed="false">
      <c r="B1371" s="1" t="s">
        <v>798</v>
      </c>
      <c r="C1371" s="1" t="s">
        <v>761</v>
      </c>
      <c r="D1371" s="14" t="n">
        <v>46010.5631944445</v>
      </c>
      <c r="E1371" s="14" t="n">
        <v>46010.5631944445</v>
      </c>
      <c r="F1371" s="14" t="n">
        <v>46010.6458333333</v>
      </c>
      <c r="G1371" s="46" t="n">
        <f aca="false">F1371-E1371</f>
        <v>0.0826388888888889</v>
      </c>
      <c r="H1371" s="20" t="s">
        <v>313</v>
      </c>
      <c r="J1371" s="1" t="s">
        <v>230</v>
      </c>
      <c r="K1371" s="1" t="e">
        <f aca="false">_xlfn.xlookup(J1371,REF!$D$2:$D$12,REF!$E$2:$E$12)</f>
        <v>#NAME?</v>
      </c>
      <c r="L1371" s="1" t="s">
        <v>932</v>
      </c>
      <c r="M1371" s="1" t="s">
        <v>288</v>
      </c>
      <c r="N1371" s="1" t="s">
        <v>315</v>
      </c>
      <c r="O1371" s="1" t="s">
        <v>933</v>
      </c>
      <c r="P1371" s="1" t="str">
        <f aca="false">_xlfn.CONCAT(B1371,C1371,D1371,E1371,F1371)</f>
        <v>CORUMBÁ I - UFV 1U01.I0346010.563194444546010.563194444546010.6458333333</v>
      </c>
      <c r="Q1371" s="1" t="str">
        <f aca="false">_xlfn.CONCAT(H1371,I1371,J1371)</f>
        <v>DPRUFV</v>
      </c>
    </row>
    <row r="1372" customFormat="false" ht="15" hidden="true" customHeight="false" outlineLevel="0" collapsed="false">
      <c r="B1372" s="1" t="s">
        <v>798</v>
      </c>
      <c r="C1372" s="1" t="s">
        <v>762</v>
      </c>
      <c r="D1372" s="14" t="n">
        <v>46010.5631944445</v>
      </c>
      <c r="E1372" s="14" t="n">
        <v>46010.5631944445</v>
      </c>
      <c r="F1372" s="14" t="n">
        <v>46010.6458333333</v>
      </c>
      <c r="G1372" s="46" t="n">
        <f aca="false">F1372-E1372</f>
        <v>0.0826388888888889</v>
      </c>
      <c r="H1372" s="20" t="s">
        <v>313</v>
      </c>
      <c r="J1372" s="1" t="s">
        <v>230</v>
      </c>
      <c r="K1372" s="1" t="e">
        <f aca="false">_xlfn.xlookup(J1372,REF!$D$2:$D$12,REF!$E$2:$E$12)</f>
        <v>#NAME?</v>
      </c>
      <c r="L1372" s="1" t="s">
        <v>932</v>
      </c>
      <c r="M1372" s="1" t="s">
        <v>288</v>
      </c>
      <c r="N1372" s="1" t="s">
        <v>315</v>
      </c>
      <c r="O1372" s="1" t="s">
        <v>933</v>
      </c>
      <c r="P1372" s="1" t="str">
        <f aca="false">_xlfn.CONCAT(B1372,C1372,D1372,E1372,F1372)</f>
        <v>CORUMBÁ I - UFV 1U01.I0446010.563194444546010.563194444546010.6458333333</v>
      </c>
      <c r="Q1372" s="1" t="str">
        <f aca="false">_xlfn.CONCAT(H1372,I1372,J1372)</f>
        <v>DPRUFV</v>
      </c>
    </row>
    <row r="1373" customFormat="false" ht="15" hidden="true" customHeight="false" outlineLevel="0" collapsed="false">
      <c r="B1373" s="1" t="s">
        <v>798</v>
      </c>
      <c r="C1373" s="1" t="s">
        <v>763</v>
      </c>
      <c r="D1373" s="14" t="n">
        <v>46010.5631944445</v>
      </c>
      <c r="E1373" s="14" t="n">
        <v>46010.5631944445</v>
      </c>
      <c r="F1373" s="14" t="n">
        <v>46010.6458333333</v>
      </c>
      <c r="G1373" s="46" t="n">
        <f aca="false">F1373-E1373</f>
        <v>0.0826388888888889</v>
      </c>
      <c r="H1373" s="20" t="s">
        <v>313</v>
      </c>
      <c r="J1373" s="1" t="s">
        <v>230</v>
      </c>
      <c r="K1373" s="1" t="e">
        <f aca="false">_xlfn.xlookup(J1373,REF!$D$2:$D$12,REF!$E$2:$E$12)</f>
        <v>#NAME?</v>
      </c>
      <c r="L1373" s="1" t="s">
        <v>932</v>
      </c>
      <c r="M1373" s="1" t="s">
        <v>288</v>
      </c>
      <c r="N1373" s="1" t="s">
        <v>315</v>
      </c>
      <c r="O1373" s="1" t="s">
        <v>933</v>
      </c>
      <c r="P1373" s="1" t="str">
        <f aca="false">_xlfn.CONCAT(B1373,C1373,D1373,E1373,F1373)</f>
        <v>CORUMBÁ I - UFV 1U01.I0546010.563194444546010.563194444546010.6458333333</v>
      </c>
      <c r="Q1373" s="1" t="str">
        <f aca="false">_xlfn.CONCAT(H1373,I1373,J1373)</f>
        <v>DPRUFV</v>
      </c>
    </row>
    <row r="1374" customFormat="false" ht="15" hidden="false" customHeight="false" outlineLevel="0" collapsed="false">
      <c r="A1374" s="43"/>
      <c r="B1374" s="44" t="s">
        <v>699</v>
      </c>
      <c r="C1374" s="44" t="s">
        <v>247</v>
      </c>
      <c r="D1374" s="45" t="n">
        <v>45995.7006944444</v>
      </c>
      <c r="E1374" s="45" t="n">
        <v>45995.7006944444</v>
      </c>
      <c r="F1374" s="45" t="n">
        <v>46022.9999884259</v>
      </c>
      <c r="G1374" s="46" t="n">
        <v>27.2992939814815</v>
      </c>
      <c r="H1374" s="44" t="s">
        <v>445</v>
      </c>
      <c r="I1374" s="44" t="s">
        <v>263</v>
      </c>
      <c r="J1374" s="44" t="s">
        <v>264</v>
      </c>
      <c r="K1374" s="1" t="e">
        <f aca="false">_xlfn.xlookup(J1374,REF!$D$2:$D$12,REF!$E$2:$E$12)</f>
        <v>#NAME?</v>
      </c>
      <c r="L1374" s="44" t="s">
        <v>934</v>
      </c>
      <c r="M1374" s="44" t="s">
        <v>266</v>
      </c>
      <c r="N1374" s="44" t="s">
        <v>252</v>
      </c>
      <c r="O1374" s="44" t="s">
        <v>935</v>
      </c>
      <c r="P1374" s="1" t="str">
        <f aca="false">_xlfn.CONCAT(B1374,C1374,D1374,E1374,F1374)</f>
        <v>BC Formoso1.3Inverter(MBUS-13)45995.700694444445995.700694444446022.9999884259</v>
      </c>
      <c r="Q1374" s="44" t="str">
        <f aca="false">_xlfn.CONCAT(H1374,I1374,J1374)</f>
        <v>LIGRFOCOM</v>
      </c>
    </row>
    <row r="1375" customFormat="false" ht="15" hidden="false" customHeight="false" outlineLevel="0" collapsed="false">
      <c r="A1375" s="43"/>
      <c r="B1375" s="44" t="s">
        <v>699</v>
      </c>
      <c r="C1375" s="44" t="s">
        <v>277</v>
      </c>
      <c r="D1375" s="45" t="n">
        <v>45995.7006944444</v>
      </c>
      <c r="E1375" s="45" t="n">
        <v>45995.7006944444</v>
      </c>
      <c r="F1375" s="45" t="n">
        <v>46022.9999884259</v>
      </c>
      <c r="G1375" s="46" t="n">
        <v>27.2992939814815</v>
      </c>
      <c r="H1375" s="44" t="s">
        <v>445</v>
      </c>
      <c r="I1375" s="44" t="s">
        <v>263</v>
      </c>
      <c r="J1375" s="44" t="s">
        <v>264</v>
      </c>
      <c r="K1375" s="1" t="e">
        <f aca="false">_xlfn.xlookup(J1375,REF!$D$2:$D$12,REF!$E$2:$E$12)</f>
        <v>#NAME?</v>
      </c>
      <c r="L1375" s="44" t="s">
        <v>934</v>
      </c>
      <c r="M1375" s="44" t="s">
        <v>266</v>
      </c>
      <c r="N1375" s="44" t="s">
        <v>252</v>
      </c>
      <c r="O1375" s="44" t="s">
        <v>935</v>
      </c>
      <c r="P1375" s="1" t="str">
        <f aca="false">_xlfn.CONCAT(B1375,C1375,D1375,E1375,F1375)</f>
        <v>BC Formoso1.3Inverter(MBUS-12)45995.700694444445995.700694444446022.9999884259</v>
      </c>
      <c r="Q1375" s="44" t="str">
        <f aca="false">_xlfn.CONCAT(H1375,I1375,J1375)</f>
        <v>LIGRFOCOM</v>
      </c>
    </row>
    <row r="1376" customFormat="false" ht="15" hidden="true" customHeight="false" outlineLevel="0" collapsed="false">
      <c r="B1376" s="1" t="s">
        <v>685</v>
      </c>
      <c r="C1376" s="1" t="s">
        <v>255</v>
      </c>
      <c r="D1376" s="14" t="n">
        <v>46009.8611111111</v>
      </c>
      <c r="E1376" s="14" t="n">
        <v>46009.8611111111</v>
      </c>
      <c r="F1376" s="14" t="n">
        <v>46010.5694444444</v>
      </c>
      <c r="G1376" s="46" t="n">
        <f aca="false">F1376-E1376</f>
        <v>0.708333333333333</v>
      </c>
      <c r="H1376" s="20" t="s">
        <v>248</v>
      </c>
      <c r="J1376" s="1" t="s">
        <v>256</v>
      </c>
      <c r="K1376" s="1" t="e">
        <f aca="false">_xlfn.xlookup(J1376,REF!$D$2:$D$12,REF!$E$2:$E$12)</f>
        <v>#NAME?</v>
      </c>
      <c r="L1376" s="1" t="s">
        <v>936</v>
      </c>
      <c r="M1376" s="1" t="s">
        <v>258</v>
      </c>
      <c r="N1376" s="1" t="s">
        <v>379</v>
      </c>
      <c r="O1376" s="1" t="s">
        <v>937</v>
      </c>
      <c r="P1376" s="1" t="str">
        <f aca="false">_xlfn.CONCAT(B1376,C1376,D1376,E1376,F1376)</f>
        <v>BC Camarao1.1Inverter(MBUS-1)46009.861111111146009.861111111146010.5694444444</v>
      </c>
      <c r="Q1376" s="1" t="str">
        <f aca="false">_xlfn.CONCAT(H1376,I1376,J1376)</f>
        <v>DAURDE</v>
      </c>
    </row>
    <row r="1377" customFormat="false" ht="15" hidden="true" customHeight="false" outlineLevel="0" collapsed="false">
      <c r="B1377" s="1" t="s">
        <v>685</v>
      </c>
      <c r="C1377" s="1" t="s">
        <v>396</v>
      </c>
      <c r="D1377" s="14" t="n">
        <v>46009.8611111111</v>
      </c>
      <c r="E1377" s="14" t="n">
        <v>46009.8611111111</v>
      </c>
      <c r="F1377" s="14" t="n">
        <v>46010.5694444444</v>
      </c>
      <c r="G1377" s="46" t="n">
        <f aca="false">F1377-E1377</f>
        <v>0.708333333333333</v>
      </c>
      <c r="H1377" s="20" t="s">
        <v>248</v>
      </c>
      <c r="J1377" s="1" t="s">
        <v>256</v>
      </c>
      <c r="K1377" s="1" t="e">
        <f aca="false">_xlfn.xlookup(J1377,REF!$D$2:$D$12,REF!$E$2:$E$12)</f>
        <v>#NAME?</v>
      </c>
      <c r="L1377" s="1" t="s">
        <v>936</v>
      </c>
      <c r="M1377" s="1" t="s">
        <v>258</v>
      </c>
      <c r="N1377" s="1" t="s">
        <v>379</v>
      </c>
      <c r="O1377" s="1" t="s">
        <v>937</v>
      </c>
      <c r="P1377" s="1" t="str">
        <f aca="false">_xlfn.CONCAT(B1377,C1377,D1377,E1377,F1377)</f>
        <v>BC Camarao1.1215KTL-H3(MBUS-12)46009.861111111146009.861111111146010.5694444444</v>
      </c>
      <c r="Q1377" s="1" t="str">
        <f aca="false">_xlfn.CONCAT(H1377,I1377,J1377)</f>
        <v>DAURDE</v>
      </c>
    </row>
    <row r="1378" customFormat="false" ht="15" hidden="true" customHeight="false" outlineLevel="0" collapsed="false">
      <c r="B1378" s="1" t="s">
        <v>685</v>
      </c>
      <c r="C1378" s="1" t="s">
        <v>397</v>
      </c>
      <c r="D1378" s="14" t="n">
        <v>46009.8611111111</v>
      </c>
      <c r="E1378" s="14" t="n">
        <v>46009.8611111111</v>
      </c>
      <c r="F1378" s="14" t="n">
        <v>46010.5694444444</v>
      </c>
      <c r="G1378" s="46" t="n">
        <f aca="false">F1378-E1378</f>
        <v>0.708333333333333</v>
      </c>
      <c r="H1378" s="20" t="s">
        <v>248</v>
      </c>
      <c r="J1378" s="1" t="s">
        <v>256</v>
      </c>
      <c r="K1378" s="1" t="e">
        <f aca="false">_xlfn.xlookup(J1378,REF!$D$2:$D$12,REF!$E$2:$E$12)</f>
        <v>#NAME?</v>
      </c>
      <c r="L1378" s="1" t="s">
        <v>936</v>
      </c>
      <c r="M1378" s="1" t="s">
        <v>258</v>
      </c>
      <c r="N1378" s="1" t="s">
        <v>379</v>
      </c>
      <c r="O1378" s="1" t="s">
        <v>937</v>
      </c>
      <c r="P1378" s="1" t="str">
        <f aca="false">_xlfn.CONCAT(B1378,C1378,D1378,E1378,F1378)</f>
        <v>BC Camarao1.1215KTL-H3(MBUS-13)46009.861111111146009.861111111146010.5694444444</v>
      </c>
      <c r="Q1378" s="1" t="str">
        <f aca="false">_xlfn.CONCAT(H1378,I1378,J1378)</f>
        <v>DAURDE</v>
      </c>
    </row>
    <row r="1379" customFormat="false" ht="15" hidden="true" customHeight="false" outlineLevel="0" collapsed="false">
      <c r="B1379" s="1" t="s">
        <v>685</v>
      </c>
      <c r="C1379" s="1" t="s">
        <v>391</v>
      </c>
      <c r="D1379" s="14" t="n">
        <v>46009.8611111111</v>
      </c>
      <c r="E1379" s="14" t="n">
        <v>46009.8611111111</v>
      </c>
      <c r="F1379" s="14" t="n">
        <v>46010.5694444444</v>
      </c>
      <c r="G1379" s="46" t="n">
        <f aca="false">F1379-E1379</f>
        <v>0.708333333333333</v>
      </c>
      <c r="H1379" s="20" t="s">
        <v>248</v>
      </c>
      <c r="J1379" s="1" t="s">
        <v>256</v>
      </c>
      <c r="K1379" s="1" t="e">
        <f aca="false">_xlfn.xlookup(J1379,REF!$D$2:$D$12,REF!$E$2:$E$12)</f>
        <v>#NAME?</v>
      </c>
      <c r="L1379" s="1" t="s">
        <v>936</v>
      </c>
      <c r="M1379" s="1" t="s">
        <v>258</v>
      </c>
      <c r="N1379" s="1" t="s">
        <v>379</v>
      </c>
      <c r="O1379" s="1" t="s">
        <v>937</v>
      </c>
      <c r="P1379" s="1" t="str">
        <f aca="false">_xlfn.CONCAT(B1379,C1379,D1379,E1379,F1379)</f>
        <v>BC Camarao1.1215KTL-H3(MBUS-16)46009.861111111146009.861111111146010.5694444444</v>
      </c>
      <c r="Q1379" s="1" t="str">
        <f aca="false">_xlfn.CONCAT(H1379,I1379,J1379)</f>
        <v>DAURDE</v>
      </c>
    </row>
    <row r="1380" customFormat="false" ht="15" hidden="true" customHeight="false" outlineLevel="0" collapsed="false">
      <c r="B1380" s="1" t="s">
        <v>685</v>
      </c>
      <c r="C1380" s="1" t="s">
        <v>395</v>
      </c>
      <c r="D1380" s="14" t="n">
        <v>46009.8611111111</v>
      </c>
      <c r="E1380" s="14" t="n">
        <v>46009.8611111111</v>
      </c>
      <c r="F1380" s="14" t="n">
        <v>46010.5694444444</v>
      </c>
      <c r="G1380" s="46" t="n">
        <f aca="false">F1380-E1380</f>
        <v>0.708333333333333</v>
      </c>
      <c r="H1380" s="20" t="s">
        <v>248</v>
      </c>
      <c r="J1380" s="1" t="s">
        <v>256</v>
      </c>
      <c r="K1380" s="1" t="e">
        <f aca="false">_xlfn.xlookup(J1380,REF!$D$2:$D$12,REF!$E$2:$E$12)</f>
        <v>#NAME?</v>
      </c>
      <c r="L1380" s="1" t="s">
        <v>936</v>
      </c>
      <c r="M1380" s="1" t="s">
        <v>258</v>
      </c>
      <c r="N1380" s="1" t="s">
        <v>379</v>
      </c>
      <c r="O1380" s="1" t="s">
        <v>937</v>
      </c>
      <c r="P1380" s="1" t="str">
        <f aca="false">_xlfn.CONCAT(B1380,C1380,D1380,E1380,F1380)</f>
        <v>BC Camarao1.1215KTL-H3(MBUS-15)46009.861111111146009.861111111146010.5694444444</v>
      </c>
      <c r="Q1380" s="1" t="str">
        <f aca="false">_xlfn.CONCAT(H1380,I1380,J1380)</f>
        <v>DAURDE</v>
      </c>
    </row>
    <row r="1381" customFormat="false" ht="15" hidden="true" customHeight="false" outlineLevel="0" collapsed="false">
      <c r="B1381" s="1" t="s">
        <v>688</v>
      </c>
      <c r="C1381" s="1" t="s">
        <v>689</v>
      </c>
      <c r="D1381" s="14" t="n">
        <v>46009.8611111111</v>
      </c>
      <c r="E1381" s="14" t="n">
        <v>46009.8611111111</v>
      </c>
      <c r="F1381" s="14" t="n">
        <v>46010.5694444444</v>
      </c>
      <c r="G1381" s="46" t="n">
        <f aca="false">F1381-E1381</f>
        <v>0.708333333333333</v>
      </c>
      <c r="H1381" s="20" t="s">
        <v>248</v>
      </c>
      <c r="J1381" s="1" t="s">
        <v>256</v>
      </c>
      <c r="K1381" s="1" t="e">
        <f aca="false">_xlfn.xlookup(J1381,REF!$D$2:$D$12,REF!$E$2:$E$12)</f>
        <v>#NAME?</v>
      </c>
      <c r="L1381" s="1" t="s">
        <v>936</v>
      </c>
      <c r="M1381" s="1" t="s">
        <v>258</v>
      </c>
      <c r="N1381" s="1" t="s">
        <v>379</v>
      </c>
      <c r="O1381" s="1" t="s">
        <v>937</v>
      </c>
      <c r="P1381" s="1" t="str">
        <f aca="false">_xlfn.CONCAT(B1381,C1381,D1381,E1381,F1381)</f>
        <v>BC Camarao1.2Inv. 446009.861111111146009.861111111146010.5694444444</v>
      </c>
      <c r="Q1381" s="1" t="str">
        <f aca="false">_xlfn.CONCAT(H1381,I1381,J1381)</f>
        <v>DAURDE</v>
      </c>
    </row>
    <row r="1382" customFormat="false" ht="15" hidden="true" customHeight="false" outlineLevel="0" collapsed="false">
      <c r="B1382" s="1" t="s">
        <v>688</v>
      </c>
      <c r="C1382" s="1" t="s">
        <v>690</v>
      </c>
      <c r="D1382" s="14" t="n">
        <v>46009.8611111111</v>
      </c>
      <c r="E1382" s="14" t="n">
        <v>46009.8611111111</v>
      </c>
      <c r="F1382" s="14" t="n">
        <v>46010.5694444444</v>
      </c>
      <c r="G1382" s="46" t="n">
        <f aca="false">F1382-E1382</f>
        <v>0.708333333333333</v>
      </c>
      <c r="H1382" s="20" t="s">
        <v>248</v>
      </c>
      <c r="J1382" s="1" t="s">
        <v>256</v>
      </c>
      <c r="K1382" s="1" t="e">
        <f aca="false">_xlfn.xlookup(J1382,REF!$D$2:$D$12,REF!$E$2:$E$12)</f>
        <v>#NAME?</v>
      </c>
      <c r="L1382" s="1" t="s">
        <v>936</v>
      </c>
      <c r="M1382" s="1" t="s">
        <v>258</v>
      </c>
      <c r="N1382" s="1" t="s">
        <v>379</v>
      </c>
      <c r="O1382" s="1" t="s">
        <v>937</v>
      </c>
      <c r="P1382" s="1" t="str">
        <f aca="false">_xlfn.CONCAT(B1382,C1382,D1382,E1382,F1382)</f>
        <v>BC Camarao1.2Inverter(MBUS-16)46009.861111111146009.861111111146010.5694444444</v>
      </c>
      <c r="Q1382" s="1" t="str">
        <f aca="false">_xlfn.CONCAT(H1382,I1382,J1382)</f>
        <v>DAURDE</v>
      </c>
    </row>
    <row r="1383" customFormat="false" ht="15" hidden="true" customHeight="false" outlineLevel="0" collapsed="false">
      <c r="B1383" s="1" t="s">
        <v>688</v>
      </c>
      <c r="C1383" s="1" t="s">
        <v>277</v>
      </c>
      <c r="D1383" s="14" t="n">
        <v>46009.8611111111</v>
      </c>
      <c r="E1383" s="14" t="n">
        <v>46009.8611111111</v>
      </c>
      <c r="F1383" s="14" t="n">
        <v>46010.5694444444</v>
      </c>
      <c r="G1383" s="46" t="n">
        <f aca="false">F1383-E1383</f>
        <v>0.708333333333333</v>
      </c>
      <c r="H1383" s="20" t="s">
        <v>248</v>
      </c>
      <c r="J1383" s="1" t="s">
        <v>256</v>
      </c>
      <c r="K1383" s="1" t="e">
        <f aca="false">_xlfn.xlookup(J1383,REF!$D$2:$D$12,REF!$E$2:$E$12)</f>
        <v>#NAME?</v>
      </c>
      <c r="L1383" s="1" t="s">
        <v>936</v>
      </c>
      <c r="M1383" s="1" t="s">
        <v>258</v>
      </c>
      <c r="N1383" s="1" t="s">
        <v>379</v>
      </c>
      <c r="O1383" s="1" t="s">
        <v>937</v>
      </c>
      <c r="P1383" s="1" t="str">
        <f aca="false">_xlfn.CONCAT(B1383,C1383,D1383,E1383,F1383)</f>
        <v>BC Camarao1.2Inverter(MBUS-12)46009.861111111146009.861111111146010.5694444444</v>
      </c>
      <c r="Q1383" s="1" t="str">
        <f aca="false">_xlfn.CONCAT(H1383,I1383,J1383)</f>
        <v>DAURDE</v>
      </c>
    </row>
    <row r="1384" customFormat="false" ht="15" hidden="true" customHeight="false" outlineLevel="0" collapsed="false">
      <c r="B1384" s="1" t="s">
        <v>688</v>
      </c>
      <c r="C1384" s="1" t="s">
        <v>691</v>
      </c>
      <c r="D1384" s="14" t="n">
        <v>46009.8611111111</v>
      </c>
      <c r="E1384" s="14" t="n">
        <v>46009.8611111111</v>
      </c>
      <c r="F1384" s="14" t="n">
        <v>46010.5694444444</v>
      </c>
      <c r="G1384" s="46" t="n">
        <f aca="false">F1384-E1384</f>
        <v>0.708333333333333</v>
      </c>
      <c r="H1384" s="20" t="s">
        <v>248</v>
      </c>
      <c r="J1384" s="1" t="s">
        <v>256</v>
      </c>
      <c r="K1384" s="1" t="e">
        <f aca="false">_xlfn.xlookup(J1384,REF!$D$2:$D$12,REF!$E$2:$E$12)</f>
        <v>#NAME?</v>
      </c>
      <c r="L1384" s="1" t="s">
        <v>936</v>
      </c>
      <c r="M1384" s="1" t="s">
        <v>258</v>
      </c>
      <c r="N1384" s="1" t="s">
        <v>379</v>
      </c>
      <c r="O1384" s="1" t="s">
        <v>937</v>
      </c>
      <c r="P1384" s="1" t="str">
        <f aca="false">_xlfn.CONCAT(B1384,C1384,D1384,E1384,F1384)</f>
        <v>BC Camarao1.2Inv. 346009.861111111146009.861111111146010.5694444444</v>
      </c>
      <c r="Q1384" s="1" t="str">
        <f aca="false">_xlfn.CONCAT(H1384,I1384,J1384)</f>
        <v>DAURDE</v>
      </c>
    </row>
    <row r="1385" customFormat="false" ht="15" hidden="true" customHeight="false" outlineLevel="0" collapsed="false">
      <c r="B1385" s="1" t="s">
        <v>688</v>
      </c>
      <c r="C1385" s="1" t="s">
        <v>255</v>
      </c>
      <c r="D1385" s="14" t="n">
        <v>46009.8611111111</v>
      </c>
      <c r="E1385" s="14" t="n">
        <v>46009.8611111111</v>
      </c>
      <c r="F1385" s="14" t="n">
        <v>46010.5694444444</v>
      </c>
      <c r="G1385" s="46" t="n">
        <f aca="false">F1385-E1385</f>
        <v>0.708333333333333</v>
      </c>
      <c r="H1385" s="20" t="s">
        <v>248</v>
      </c>
      <c r="J1385" s="1" t="s">
        <v>256</v>
      </c>
      <c r="K1385" s="1" t="e">
        <f aca="false">_xlfn.xlookup(J1385,REF!$D$2:$D$12,REF!$E$2:$E$12)</f>
        <v>#NAME?</v>
      </c>
      <c r="L1385" s="1" t="s">
        <v>936</v>
      </c>
      <c r="M1385" s="1" t="s">
        <v>258</v>
      </c>
      <c r="N1385" s="1" t="s">
        <v>379</v>
      </c>
      <c r="O1385" s="1" t="s">
        <v>937</v>
      </c>
      <c r="P1385" s="1" t="str">
        <f aca="false">_xlfn.CONCAT(B1385,C1385,D1385,E1385,F1385)</f>
        <v>BC Camarao1.2Inverter(MBUS-1)46009.861111111146009.861111111146010.5694444444</v>
      </c>
      <c r="Q1385" s="1" t="str">
        <f aca="false">_xlfn.CONCAT(H1385,I1385,J1385)</f>
        <v>DAURDE</v>
      </c>
    </row>
    <row r="1386" customFormat="false" ht="15" hidden="true" customHeight="false" outlineLevel="0" collapsed="false">
      <c r="B1386" s="1" t="s">
        <v>390</v>
      </c>
      <c r="C1386" s="1" t="s">
        <v>391</v>
      </c>
      <c r="D1386" s="14" t="n">
        <v>46009.8611111111</v>
      </c>
      <c r="E1386" s="14" t="n">
        <v>46009.8611111111</v>
      </c>
      <c r="F1386" s="14" t="n">
        <v>46010.5694444444</v>
      </c>
      <c r="G1386" s="46" t="n">
        <f aca="false">F1386-E1386</f>
        <v>0.708333333333333</v>
      </c>
      <c r="H1386" s="20" t="s">
        <v>248</v>
      </c>
      <c r="J1386" s="1" t="s">
        <v>256</v>
      </c>
      <c r="K1386" s="1" t="e">
        <f aca="false">_xlfn.xlookup(J1386,REF!$D$2:$D$12,REF!$E$2:$E$12)</f>
        <v>#NAME?</v>
      </c>
      <c r="L1386" s="1" t="s">
        <v>936</v>
      </c>
      <c r="M1386" s="1" t="s">
        <v>258</v>
      </c>
      <c r="N1386" s="1" t="s">
        <v>379</v>
      </c>
      <c r="O1386" s="1" t="s">
        <v>937</v>
      </c>
      <c r="P1386" s="1" t="str">
        <f aca="false">_xlfn.CONCAT(B1386,C1386,D1386,E1386,F1386)</f>
        <v>BC Camarao1.3215KTL-H3(MBUS-16)46009.861111111146009.861111111146010.5694444444</v>
      </c>
      <c r="Q1386" s="1" t="str">
        <f aca="false">_xlfn.CONCAT(H1386,I1386,J1386)</f>
        <v>DAURDE</v>
      </c>
    </row>
    <row r="1387" customFormat="false" ht="15" hidden="true" customHeight="false" outlineLevel="0" collapsed="false">
      <c r="B1387" s="1" t="s">
        <v>390</v>
      </c>
      <c r="C1387" s="1" t="s">
        <v>394</v>
      </c>
      <c r="D1387" s="14" t="n">
        <v>46009.8611111111</v>
      </c>
      <c r="E1387" s="14" t="n">
        <v>46009.8611111111</v>
      </c>
      <c r="F1387" s="14" t="n">
        <v>46010.5694444444</v>
      </c>
      <c r="G1387" s="46" t="n">
        <f aca="false">F1387-E1387</f>
        <v>0.708333333333333</v>
      </c>
      <c r="H1387" s="20" t="s">
        <v>248</v>
      </c>
      <c r="J1387" s="1" t="s">
        <v>256</v>
      </c>
      <c r="K1387" s="1" t="e">
        <f aca="false">_xlfn.xlookup(J1387,REF!$D$2:$D$12,REF!$E$2:$E$12)</f>
        <v>#NAME?</v>
      </c>
      <c r="L1387" s="1" t="s">
        <v>936</v>
      </c>
      <c r="M1387" s="1" t="s">
        <v>258</v>
      </c>
      <c r="N1387" s="1" t="s">
        <v>379</v>
      </c>
      <c r="O1387" s="1" t="s">
        <v>937</v>
      </c>
      <c r="P1387" s="1" t="str">
        <f aca="false">_xlfn.CONCAT(B1387,C1387,D1387,E1387,F1387)</f>
        <v>BC Camarao1.3215KTL-H3(MBUS-14)46009.861111111146009.861111111146010.5694444444</v>
      </c>
      <c r="Q1387" s="1" t="str">
        <f aca="false">_xlfn.CONCAT(H1387,I1387,J1387)</f>
        <v>DAURDE</v>
      </c>
    </row>
    <row r="1388" customFormat="false" ht="15" hidden="true" customHeight="false" outlineLevel="0" collapsed="false">
      <c r="B1388" s="1" t="s">
        <v>390</v>
      </c>
      <c r="C1388" s="1" t="s">
        <v>395</v>
      </c>
      <c r="D1388" s="14" t="n">
        <v>46009.8611111111</v>
      </c>
      <c r="E1388" s="14" t="n">
        <v>46009.8611111111</v>
      </c>
      <c r="F1388" s="14" t="n">
        <v>46010.5694444444</v>
      </c>
      <c r="G1388" s="46" t="n">
        <f aca="false">F1388-E1388</f>
        <v>0.708333333333333</v>
      </c>
      <c r="H1388" s="20" t="s">
        <v>248</v>
      </c>
      <c r="J1388" s="1" t="s">
        <v>256</v>
      </c>
      <c r="K1388" s="1" t="e">
        <f aca="false">_xlfn.xlookup(J1388,REF!$D$2:$D$12,REF!$E$2:$E$12)</f>
        <v>#NAME?</v>
      </c>
      <c r="L1388" s="1" t="s">
        <v>936</v>
      </c>
      <c r="M1388" s="1" t="s">
        <v>258</v>
      </c>
      <c r="N1388" s="1" t="s">
        <v>379</v>
      </c>
      <c r="O1388" s="1" t="s">
        <v>937</v>
      </c>
      <c r="P1388" s="1" t="str">
        <f aca="false">_xlfn.CONCAT(B1388,C1388,D1388,E1388,F1388)</f>
        <v>BC Camarao1.3215KTL-H3(MBUS-15)46009.861111111146009.861111111146010.5694444444</v>
      </c>
      <c r="Q1388" s="1" t="str">
        <f aca="false">_xlfn.CONCAT(H1388,I1388,J1388)</f>
        <v>DAURDE</v>
      </c>
    </row>
    <row r="1389" customFormat="false" ht="15" hidden="true" customHeight="false" outlineLevel="0" collapsed="false">
      <c r="B1389" s="1" t="s">
        <v>390</v>
      </c>
      <c r="C1389" s="1" t="s">
        <v>396</v>
      </c>
      <c r="D1389" s="14" t="n">
        <v>46009.8611111111</v>
      </c>
      <c r="E1389" s="14" t="n">
        <v>46009.8611111111</v>
      </c>
      <c r="F1389" s="14" t="n">
        <v>46010.5694444444</v>
      </c>
      <c r="G1389" s="46" t="n">
        <f aca="false">F1389-E1389</f>
        <v>0.708333333333333</v>
      </c>
      <c r="H1389" s="20" t="s">
        <v>248</v>
      </c>
      <c r="J1389" s="1" t="s">
        <v>256</v>
      </c>
      <c r="K1389" s="1" t="e">
        <f aca="false">_xlfn.xlookup(J1389,REF!$D$2:$D$12,REF!$E$2:$E$12)</f>
        <v>#NAME?</v>
      </c>
      <c r="L1389" s="1" t="s">
        <v>936</v>
      </c>
      <c r="M1389" s="1" t="s">
        <v>258</v>
      </c>
      <c r="N1389" s="1" t="s">
        <v>379</v>
      </c>
      <c r="O1389" s="1" t="s">
        <v>937</v>
      </c>
      <c r="P1389" s="1" t="str">
        <f aca="false">_xlfn.CONCAT(B1389,C1389,D1389,E1389,F1389)</f>
        <v>BC Camarao1.3215KTL-H3(MBUS-12)46009.861111111146009.861111111146010.5694444444</v>
      </c>
      <c r="Q1389" s="1" t="str">
        <f aca="false">_xlfn.CONCAT(H1389,I1389,J1389)</f>
        <v>DAURDE</v>
      </c>
    </row>
    <row r="1390" customFormat="false" ht="15" hidden="true" customHeight="false" outlineLevel="0" collapsed="false">
      <c r="B1390" s="1" t="s">
        <v>390</v>
      </c>
      <c r="C1390" s="1" t="s">
        <v>397</v>
      </c>
      <c r="D1390" s="14" t="n">
        <v>46009.8611111111</v>
      </c>
      <c r="E1390" s="14" t="n">
        <v>46009.8611111111</v>
      </c>
      <c r="F1390" s="14" t="n">
        <v>46010.5694444444</v>
      </c>
      <c r="G1390" s="46" t="n">
        <f aca="false">F1390-E1390</f>
        <v>0.708333333333333</v>
      </c>
      <c r="H1390" s="20" t="s">
        <v>248</v>
      </c>
      <c r="J1390" s="1" t="s">
        <v>256</v>
      </c>
      <c r="K1390" s="1" t="e">
        <f aca="false">_xlfn.xlookup(J1390,REF!$D$2:$D$12,REF!$E$2:$E$12)</f>
        <v>#NAME?</v>
      </c>
      <c r="L1390" s="1" t="s">
        <v>936</v>
      </c>
      <c r="M1390" s="1" t="s">
        <v>258</v>
      </c>
      <c r="N1390" s="1" t="s">
        <v>379</v>
      </c>
      <c r="O1390" s="1" t="s">
        <v>937</v>
      </c>
      <c r="P1390" s="1" t="str">
        <f aca="false">_xlfn.CONCAT(B1390,C1390,D1390,E1390,F1390)</f>
        <v>BC Camarao1.3215KTL-H3(MBUS-13)46009.861111111146009.861111111146010.5694444444</v>
      </c>
      <c r="Q1390" s="1" t="str">
        <f aca="false">_xlfn.CONCAT(H1390,I1390,J1390)</f>
        <v>DAURDE</v>
      </c>
    </row>
    <row r="1391" customFormat="false" ht="15" hidden="true" customHeight="false" outlineLevel="0" collapsed="false">
      <c r="B1391" s="1" t="s">
        <v>692</v>
      </c>
      <c r="C1391" s="1" t="s">
        <v>693</v>
      </c>
      <c r="D1391" s="14" t="n">
        <v>46009.8611111111</v>
      </c>
      <c r="E1391" s="14" t="n">
        <v>46009.8611111111</v>
      </c>
      <c r="F1391" s="14" t="n">
        <v>46010.5694444444</v>
      </c>
      <c r="G1391" s="46" t="n">
        <f aca="false">F1391-E1391</f>
        <v>0.708333333333333</v>
      </c>
      <c r="H1391" s="20" t="s">
        <v>248</v>
      </c>
      <c r="J1391" s="1" t="s">
        <v>256</v>
      </c>
      <c r="K1391" s="1" t="e">
        <f aca="false">_xlfn.xlookup(J1391,REF!$D$2:$D$12,REF!$E$2:$E$12)</f>
        <v>#NAME?</v>
      </c>
      <c r="L1391" s="1" t="s">
        <v>936</v>
      </c>
      <c r="M1391" s="1" t="s">
        <v>258</v>
      </c>
      <c r="N1391" s="1" t="s">
        <v>379</v>
      </c>
      <c r="O1391" s="1" t="s">
        <v>937</v>
      </c>
      <c r="P1391" s="1" t="str">
        <f aca="false">_xlfn.CONCAT(B1391,C1391,D1391,E1391,F1391)</f>
        <v>BC Camarao1.4inv. 146009.861111111146009.861111111146010.5694444444</v>
      </c>
      <c r="Q1391" s="1" t="str">
        <f aca="false">_xlfn.CONCAT(H1391,I1391,J1391)</f>
        <v>DAURDE</v>
      </c>
    </row>
    <row r="1392" customFormat="false" ht="15" hidden="true" customHeight="false" outlineLevel="0" collapsed="false">
      <c r="B1392" s="1" t="s">
        <v>692</v>
      </c>
      <c r="C1392" s="1" t="s">
        <v>394</v>
      </c>
      <c r="D1392" s="14" t="n">
        <v>46009.8611111111</v>
      </c>
      <c r="E1392" s="14" t="n">
        <v>46009.8611111111</v>
      </c>
      <c r="F1392" s="14" t="n">
        <v>46010.5694444444</v>
      </c>
      <c r="G1392" s="46" t="n">
        <f aca="false">F1392-E1392</f>
        <v>0.708333333333333</v>
      </c>
      <c r="H1392" s="20" t="s">
        <v>248</v>
      </c>
      <c r="J1392" s="1" t="s">
        <v>256</v>
      </c>
      <c r="K1392" s="1" t="e">
        <f aca="false">_xlfn.xlookup(J1392,REF!$D$2:$D$12,REF!$E$2:$E$12)</f>
        <v>#NAME?</v>
      </c>
      <c r="L1392" s="1" t="s">
        <v>936</v>
      </c>
      <c r="M1392" s="1" t="s">
        <v>258</v>
      </c>
      <c r="N1392" s="1" t="s">
        <v>379</v>
      </c>
      <c r="O1392" s="1" t="s">
        <v>937</v>
      </c>
      <c r="P1392" s="1" t="str">
        <f aca="false">_xlfn.CONCAT(B1392,C1392,D1392,E1392,F1392)</f>
        <v>BC Camarao1.4215KTL-H3(MBUS-14)46009.861111111146009.861111111146010.5694444444</v>
      </c>
      <c r="Q1392" s="1" t="str">
        <f aca="false">_xlfn.CONCAT(H1392,I1392,J1392)</f>
        <v>DAURDE</v>
      </c>
    </row>
    <row r="1393" customFormat="false" ht="15" hidden="true" customHeight="false" outlineLevel="0" collapsed="false">
      <c r="B1393" s="1" t="s">
        <v>692</v>
      </c>
      <c r="C1393" s="1" t="s">
        <v>397</v>
      </c>
      <c r="D1393" s="14" t="n">
        <v>46009.8611111111</v>
      </c>
      <c r="E1393" s="14" t="n">
        <v>46009.8611111111</v>
      </c>
      <c r="F1393" s="14" t="n">
        <v>46010.5694444444</v>
      </c>
      <c r="G1393" s="46" t="n">
        <f aca="false">F1393-E1393</f>
        <v>0.708333333333333</v>
      </c>
      <c r="H1393" s="20" t="s">
        <v>248</v>
      </c>
      <c r="J1393" s="1" t="s">
        <v>256</v>
      </c>
      <c r="K1393" s="1" t="e">
        <f aca="false">_xlfn.xlookup(J1393,REF!$D$2:$D$12,REF!$E$2:$E$12)</f>
        <v>#NAME?</v>
      </c>
      <c r="L1393" s="1" t="s">
        <v>936</v>
      </c>
      <c r="M1393" s="1" t="s">
        <v>258</v>
      </c>
      <c r="N1393" s="1" t="s">
        <v>379</v>
      </c>
      <c r="O1393" s="1" t="s">
        <v>937</v>
      </c>
      <c r="P1393" s="1" t="str">
        <f aca="false">_xlfn.CONCAT(B1393,C1393,D1393,E1393,F1393)</f>
        <v>BC Camarao1.4215KTL-H3(MBUS-13)46009.861111111146009.861111111146010.5694444444</v>
      </c>
      <c r="Q1393" s="1" t="str">
        <f aca="false">_xlfn.CONCAT(H1393,I1393,J1393)</f>
        <v>DAURDE</v>
      </c>
    </row>
    <row r="1394" customFormat="false" ht="15" hidden="true" customHeight="false" outlineLevel="0" collapsed="false">
      <c r="B1394" s="1" t="s">
        <v>692</v>
      </c>
      <c r="C1394" s="1" t="s">
        <v>391</v>
      </c>
      <c r="D1394" s="14" t="n">
        <v>46009.8611111111</v>
      </c>
      <c r="E1394" s="14" t="n">
        <v>46009.8611111111</v>
      </c>
      <c r="F1394" s="14" t="n">
        <v>46010.5694444444</v>
      </c>
      <c r="G1394" s="46" t="n">
        <f aca="false">F1394-E1394</f>
        <v>0.708333333333333</v>
      </c>
      <c r="H1394" s="20" t="s">
        <v>248</v>
      </c>
      <c r="J1394" s="1" t="s">
        <v>256</v>
      </c>
      <c r="K1394" s="1" t="e">
        <f aca="false">_xlfn.xlookup(J1394,REF!$D$2:$D$12,REF!$E$2:$E$12)</f>
        <v>#NAME?</v>
      </c>
      <c r="L1394" s="1" t="s">
        <v>936</v>
      </c>
      <c r="M1394" s="1" t="s">
        <v>258</v>
      </c>
      <c r="N1394" s="1" t="s">
        <v>379</v>
      </c>
      <c r="O1394" s="1" t="s">
        <v>937</v>
      </c>
      <c r="P1394" s="1" t="str">
        <f aca="false">_xlfn.CONCAT(B1394,C1394,D1394,E1394,F1394)</f>
        <v>BC Camarao1.4215KTL-H3(MBUS-16)46009.861111111146009.861111111146010.5694444444</v>
      </c>
      <c r="Q1394" s="1" t="str">
        <f aca="false">_xlfn.CONCAT(H1394,I1394,J1394)</f>
        <v>DAURDE</v>
      </c>
    </row>
    <row r="1395" customFormat="false" ht="15" hidden="true" customHeight="false" outlineLevel="0" collapsed="false">
      <c r="B1395" s="1" t="s">
        <v>692</v>
      </c>
      <c r="C1395" s="1" t="s">
        <v>395</v>
      </c>
      <c r="D1395" s="14" t="n">
        <v>46009.8611111111</v>
      </c>
      <c r="E1395" s="14" t="n">
        <v>46009.8611111111</v>
      </c>
      <c r="F1395" s="14" t="n">
        <v>46010.5694444444</v>
      </c>
      <c r="G1395" s="46" t="n">
        <f aca="false">F1395-E1395</f>
        <v>0.708333333333333</v>
      </c>
      <c r="H1395" s="20" t="s">
        <v>248</v>
      </c>
      <c r="J1395" s="1" t="s">
        <v>256</v>
      </c>
      <c r="K1395" s="1" t="e">
        <f aca="false">_xlfn.xlookup(J1395,REF!$D$2:$D$12,REF!$E$2:$E$12)</f>
        <v>#NAME?</v>
      </c>
      <c r="L1395" s="1" t="s">
        <v>936</v>
      </c>
      <c r="M1395" s="1" t="s">
        <v>258</v>
      </c>
      <c r="N1395" s="1" t="s">
        <v>379</v>
      </c>
      <c r="O1395" s="1" t="s">
        <v>937</v>
      </c>
      <c r="P1395" s="1" t="str">
        <f aca="false">_xlfn.CONCAT(B1395,C1395,D1395,E1395,F1395)</f>
        <v>BC Camarao1.4215KTL-H3(MBUS-15)46009.861111111146009.861111111146010.5694444444</v>
      </c>
      <c r="Q1395" s="1" t="str">
        <f aca="false">_xlfn.CONCAT(H1395,I1395,J1395)</f>
        <v>DAURDE</v>
      </c>
    </row>
    <row r="1396" customFormat="false" ht="15" hidden="true" customHeight="false" outlineLevel="0" collapsed="false">
      <c r="B1396" s="1" t="s">
        <v>694</v>
      </c>
      <c r="C1396" s="1" t="s">
        <v>395</v>
      </c>
      <c r="D1396" s="14" t="n">
        <v>46009.8611111111</v>
      </c>
      <c r="E1396" s="14" t="n">
        <v>46009.8611111111</v>
      </c>
      <c r="F1396" s="14" t="n">
        <v>46010.5694444444</v>
      </c>
      <c r="G1396" s="46" t="n">
        <f aca="false">F1396-E1396</f>
        <v>0.708333333333333</v>
      </c>
      <c r="H1396" s="20" t="s">
        <v>248</v>
      </c>
      <c r="J1396" s="1" t="s">
        <v>256</v>
      </c>
      <c r="K1396" s="1" t="e">
        <f aca="false">_xlfn.xlookup(J1396,REF!$D$2:$D$12,REF!$E$2:$E$12)</f>
        <v>#NAME?</v>
      </c>
      <c r="L1396" s="1" t="s">
        <v>936</v>
      </c>
      <c r="M1396" s="1" t="s">
        <v>258</v>
      </c>
      <c r="N1396" s="1" t="s">
        <v>379</v>
      </c>
      <c r="O1396" s="1" t="s">
        <v>937</v>
      </c>
      <c r="P1396" s="1" t="str">
        <f aca="false">_xlfn.CONCAT(B1396,C1396,D1396,E1396,F1396)</f>
        <v>BC Camarao1.5215KTL-H3(MBUS-15)46009.861111111146009.861111111146010.5694444444</v>
      </c>
      <c r="Q1396" s="1" t="str">
        <f aca="false">_xlfn.CONCAT(H1396,I1396,J1396)</f>
        <v>DAURDE</v>
      </c>
    </row>
    <row r="1397" customFormat="false" ht="15" hidden="true" customHeight="false" outlineLevel="0" collapsed="false">
      <c r="B1397" s="1" t="s">
        <v>694</v>
      </c>
      <c r="C1397" s="1" t="s">
        <v>255</v>
      </c>
      <c r="D1397" s="14" t="n">
        <v>46009.8611111111</v>
      </c>
      <c r="E1397" s="14" t="n">
        <v>46009.8611111111</v>
      </c>
      <c r="F1397" s="14" t="n">
        <v>46010.5694444444</v>
      </c>
      <c r="G1397" s="46" t="n">
        <f aca="false">F1397-E1397</f>
        <v>0.708333333333333</v>
      </c>
      <c r="H1397" s="20" t="s">
        <v>248</v>
      </c>
      <c r="J1397" s="1" t="s">
        <v>256</v>
      </c>
      <c r="K1397" s="1" t="e">
        <f aca="false">_xlfn.xlookup(J1397,REF!$D$2:$D$12,REF!$E$2:$E$12)</f>
        <v>#NAME?</v>
      </c>
      <c r="L1397" s="1" t="s">
        <v>936</v>
      </c>
      <c r="M1397" s="1" t="s">
        <v>258</v>
      </c>
      <c r="N1397" s="1" t="s">
        <v>379</v>
      </c>
      <c r="O1397" s="1" t="s">
        <v>937</v>
      </c>
      <c r="P1397" s="1" t="str">
        <f aca="false">_xlfn.CONCAT(B1397,C1397,D1397,E1397,F1397)</f>
        <v>BC Camarao1.5Inverter(MBUS-1)46009.861111111146009.861111111146010.5694444444</v>
      </c>
      <c r="Q1397" s="1" t="str">
        <f aca="false">_xlfn.CONCAT(H1397,I1397,J1397)</f>
        <v>DAURDE</v>
      </c>
    </row>
    <row r="1398" customFormat="false" ht="15" hidden="true" customHeight="false" outlineLevel="0" collapsed="false">
      <c r="B1398" s="1" t="s">
        <v>694</v>
      </c>
      <c r="C1398" s="1" t="s">
        <v>397</v>
      </c>
      <c r="D1398" s="14" t="n">
        <v>46009.8611111111</v>
      </c>
      <c r="E1398" s="14" t="n">
        <v>46009.8611111111</v>
      </c>
      <c r="F1398" s="14" t="n">
        <v>46010.5694444444</v>
      </c>
      <c r="G1398" s="46" t="n">
        <f aca="false">F1398-E1398</f>
        <v>0.708333333333333</v>
      </c>
      <c r="H1398" s="20" t="s">
        <v>248</v>
      </c>
      <c r="J1398" s="1" t="s">
        <v>256</v>
      </c>
      <c r="K1398" s="1" t="e">
        <f aca="false">_xlfn.xlookup(J1398,REF!$D$2:$D$12,REF!$E$2:$E$12)</f>
        <v>#NAME?</v>
      </c>
      <c r="L1398" s="1" t="s">
        <v>936</v>
      </c>
      <c r="M1398" s="1" t="s">
        <v>258</v>
      </c>
      <c r="N1398" s="1" t="s">
        <v>379</v>
      </c>
      <c r="O1398" s="1" t="s">
        <v>937</v>
      </c>
      <c r="P1398" s="1" t="str">
        <f aca="false">_xlfn.CONCAT(B1398,C1398,D1398,E1398,F1398)</f>
        <v>BC Camarao1.5215KTL-H3(MBUS-13)46009.861111111146009.861111111146010.5694444444</v>
      </c>
      <c r="Q1398" s="1" t="str">
        <f aca="false">_xlfn.CONCAT(H1398,I1398,J1398)</f>
        <v>DAURDE</v>
      </c>
    </row>
    <row r="1399" customFormat="false" ht="15" hidden="true" customHeight="false" outlineLevel="0" collapsed="false">
      <c r="B1399" s="1" t="s">
        <v>694</v>
      </c>
      <c r="C1399" s="1" t="s">
        <v>396</v>
      </c>
      <c r="D1399" s="14" t="n">
        <v>46009.8611111111</v>
      </c>
      <c r="E1399" s="14" t="n">
        <v>46009.8611111111</v>
      </c>
      <c r="F1399" s="14" t="n">
        <v>46010.5694444444</v>
      </c>
      <c r="G1399" s="46" t="n">
        <f aca="false">F1399-E1399</f>
        <v>0.708333333333333</v>
      </c>
      <c r="H1399" s="20" t="s">
        <v>248</v>
      </c>
      <c r="J1399" s="1" t="s">
        <v>256</v>
      </c>
      <c r="K1399" s="1" t="e">
        <f aca="false">_xlfn.xlookup(J1399,REF!$D$2:$D$12,REF!$E$2:$E$12)</f>
        <v>#NAME?</v>
      </c>
      <c r="L1399" s="1" t="s">
        <v>936</v>
      </c>
      <c r="M1399" s="1" t="s">
        <v>258</v>
      </c>
      <c r="N1399" s="1" t="s">
        <v>379</v>
      </c>
      <c r="O1399" s="1" t="s">
        <v>937</v>
      </c>
      <c r="P1399" s="1" t="str">
        <f aca="false">_xlfn.CONCAT(B1399,C1399,D1399,E1399,F1399)</f>
        <v>BC Camarao1.5215KTL-H3(MBUS-12)46009.861111111146009.861111111146010.5694444444</v>
      </c>
      <c r="Q1399" s="1" t="str">
        <f aca="false">_xlfn.CONCAT(H1399,I1399,J1399)</f>
        <v>DAURDE</v>
      </c>
    </row>
    <row r="1400" customFormat="false" ht="15" hidden="true" customHeight="false" outlineLevel="0" collapsed="false">
      <c r="B1400" s="1" t="s">
        <v>694</v>
      </c>
      <c r="C1400" s="1" t="s">
        <v>280</v>
      </c>
      <c r="D1400" s="14" t="n">
        <v>46009.8611111111</v>
      </c>
      <c r="E1400" s="14" t="n">
        <v>46009.8611111111</v>
      </c>
      <c r="F1400" s="14" t="n">
        <v>46010.5694444444</v>
      </c>
      <c r="G1400" s="46" t="n">
        <f aca="false">F1400-E1400</f>
        <v>0.708333333333333</v>
      </c>
      <c r="H1400" s="20" t="s">
        <v>248</v>
      </c>
      <c r="J1400" s="1" t="s">
        <v>256</v>
      </c>
      <c r="K1400" s="1" t="e">
        <f aca="false">_xlfn.xlookup(J1400,REF!$D$2:$D$12,REF!$E$2:$E$12)</f>
        <v>#NAME?</v>
      </c>
      <c r="L1400" s="1" t="s">
        <v>936</v>
      </c>
      <c r="M1400" s="1" t="s">
        <v>258</v>
      </c>
      <c r="N1400" s="1" t="s">
        <v>379</v>
      </c>
      <c r="O1400" s="1" t="s">
        <v>937</v>
      </c>
      <c r="P1400" s="1" t="str">
        <f aca="false">_xlfn.CONCAT(B1400,C1400,D1400,E1400,F1400)</f>
        <v>BC Camarao1.5Inverter(MBUS-14)46009.861111111146009.861111111146010.5694444444</v>
      </c>
      <c r="Q1400" s="1" t="str">
        <f aca="false">_xlfn.CONCAT(H1400,I1400,J1400)</f>
        <v>DAURDE</v>
      </c>
    </row>
    <row r="1401" s="42" customFormat="true" ht="15" hidden="true" customHeight="false" outlineLevel="0" collapsed="false">
      <c r="A1401" s="38"/>
      <c r="B1401" s="39" t="s">
        <v>938</v>
      </c>
      <c r="C1401" s="39" t="s">
        <v>702</v>
      </c>
      <c r="D1401" s="31" t="n">
        <v>46004.2986111111</v>
      </c>
      <c r="E1401" s="31" t="n">
        <v>46004.2986111111</v>
      </c>
      <c r="F1401" s="31" t="n">
        <v>46006.7118055556</v>
      </c>
      <c r="G1401" s="40" t="n">
        <f aca="false">+F1401-E1401</f>
        <v>2.41319444444444</v>
      </c>
      <c r="H1401" s="39" t="s">
        <v>248</v>
      </c>
      <c r="I1401" s="39"/>
      <c r="J1401" s="39" t="s">
        <v>256</v>
      </c>
      <c r="K1401" s="1" t="e">
        <f aca="false">_xlfn.xlookup(J1401,REF!$D$2:$D$12,REF!$E$2:$E$12)</f>
        <v>#NAME?</v>
      </c>
      <c r="L1401" s="39" t="s">
        <v>939</v>
      </c>
      <c r="M1401" s="39" t="s">
        <v>258</v>
      </c>
      <c r="N1401" s="39" t="s">
        <v>379</v>
      </c>
      <c r="O1401" s="39" t="s">
        <v>940</v>
      </c>
      <c r="P1401" s="41" t="str">
        <f aca="false">_xlfn.CONCAT(B1401,C1401,D1401,E1401,F1401)</f>
        <v>Vazante IInverter0146004.298611111146004.298611111146006.7118055556</v>
      </c>
      <c r="Q1401" s="1" t="str">
        <f aca="false">_xlfn.CONCAT(H1401,I1401,J1401)</f>
        <v>DAURDE</v>
      </c>
    </row>
    <row r="1402" s="42" customFormat="true" ht="15" hidden="true" customHeight="false" outlineLevel="0" collapsed="false">
      <c r="A1402" s="38"/>
      <c r="B1402" s="39" t="s">
        <v>938</v>
      </c>
      <c r="C1402" s="39" t="s">
        <v>706</v>
      </c>
      <c r="D1402" s="31" t="n">
        <v>46004.2986111111</v>
      </c>
      <c r="E1402" s="31" t="n">
        <v>46004.2986111111</v>
      </c>
      <c r="F1402" s="31" t="n">
        <v>46006.7118055556</v>
      </c>
      <c r="G1402" s="40" t="n">
        <f aca="false">+F1402-E1402</f>
        <v>2.41319444444444</v>
      </c>
      <c r="H1402" s="39" t="s">
        <v>248</v>
      </c>
      <c r="I1402" s="39"/>
      <c r="J1402" s="39" t="s">
        <v>256</v>
      </c>
      <c r="K1402" s="1" t="e">
        <f aca="false">_xlfn.xlookup(J1402,REF!$D$2:$D$12,REF!$E$2:$E$12)</f>
        <v>#NAME?</v>
      </c>
      <c r="L1402" s="39" t="s">
        <v>939</v>
      </c>
      <c r="M1402" s="39" t="s">
        <v>258</v>
      </c>
      <c r="N1402" s="39" t="s">
        <v>379</v>
      </c>
      <c r="O1402" s="39" t="s">
        <v>940</v>
      </c>
      <c r="P1402" s="41" t="str">
        <f aca="false">_xlfn.CONCAT(B1402,C1402,D1402,E1402,F1402)</f>
        <v>Vazante IInverter0246004.298611111146004.298611111146006.7118055556</v>
      </c>
      <c r="Q1402" s="1" t="str">
        <f aca="false">_xlfn.CONCAT(H1402,I1402,J1402)</f>
        <v>DAURDE</v>
      </c>
    </row>
    <row r="1403" s="42" customFormat="true" ht="15" hidden="true" customHeight="false" outlineLevel="0" collapsed="false">
      <c r="A1403" s="38"/>
      <c r="B1403" s="39" t="s">
        <v>938</v>
      </c>
      <c r="C1403" s="39" t="s">
        <v>707</v>
      </c>
      <c r="D1403" s="31" t="n">
        <v>46004.2986111111</v>
      </c>
      <c r="E1403" s="31" t="n">
        <v>46004.2986111111</v>
      </c>
      <c r="F1403" s="31" t="n">
        <v>46006.7118055556</v>
      </c>
      <c r="G1403" s="40" t="n">
        <f aca="false">+F1403-E1403</f>
        <v>2.41319444444444</v>
      </c>
      <c r="H1403" s="39" t="s">
        <v>248</v>
      </c>
      <c r="I1403" s="39"/>
      <c r="J1403" s="39" t="s">
        <v>256</v>
      </c>
      <c r="K1403" s="1" t="e">
        <f aca="false">_xlfn.xlookup(J1403,REF!$D$2:$D$12,REF!$E$2:$E$12)</f>
        <v>#NAME?</v>
      </c>
      <c r="L1403" s="39" t="s">
        <v>939</v>
      </c>
      <c r="M1403" s="39" t="s">
        <v>258</v>
      </c>
      <c r="N1403" s="39" t="s">
        <v>379</v>
      </c>
      <c r="O1403" s="39" t="s">
        <v>940</v>
      </c>
      <c r="P1403" s="41" t="str">
        <f aca="false">_xlfn.CONCAT(B1403,C1403,D1403,E1403,F1403)</f>
        <v>Vazante IInverter0346004.298611111146004.298611111146006.7118055556</v>
      </c>
      <c r="Q1403" s="1" t="str">
        <f aca="false">_xlfn.CONCAT(H1403,I1403,J1403)</f>
        <v>DAURDE</v>
      </c>
    </row>
    <row r="1404" s="42" customFormat="true" ht="15" hidden="true" customHeight="false" outlineLevel="0" collapsed="false">
      <c r="A1404" s="38"/>
      <c r="B1404" s="39" t="s">
        <v>938</v>
      </c>
      <c r="C1404" s="39" t="s">
        <v>708</v>
      </c>
      <c r="D1404" s="31" t="n">
        <v>46004.2986111111</v>
      </c>
      <c r="E1404" s="31" t="n">
        <v>46004.2986111111</v>
      </c>
      <c r="F1404" s="31" t="n">
        <v>46006.7118055556</v>
      </c>
      <c r="G1404" s="40" t="n">
        <f aca="false">+F1404-E1404</f>
        <v>2.41319444444444</v>
      </c>
      <c r="H1404" s="39" t="s">
        <v>248</v>
      </c>
      <c r="I1404" s="39"/>
      <c r="J1404" s="39" t="s">
        <v>256</v>
      </c>
      <c r="K1404" s="1" t="e">
        <f aca="false">_xlfn.xlookup(J1404,REF!$D$2:$D$12,REF!$E$2:$E$12)</f>
        <v>#NAME?</v>
      </c>
      <c r="L1404" s="39" t="s">
        <v>939</v>
      </c>
      <c r="M1404" s="39" t="s">
        <v>258</v>
      </c>
      <c r="N1404" s="39" t="s">
        <v>379</v>
      </c>
      <c r="O1404" s="39" t="s">
        <v>940</v>
      </c>
      <c r="P1404" s="41" t="str">
        <f aca="false">_xlfn.CONCAT(B1404,C1404,D1404,E1404,F1404)</f>
        <v>Vazante IInverter0446004.298611111146004.298611111146006.7118055556</v>
      </c>
      <c r="Q1404" s="1" t="str">
        <f aca="false">_xlfn.CONCAT(H1404,I1404,J1404)</f>
        <v>DAURDE</v>
      </c>
    </row>
    <row r="1405" s="42" customFormat="true" ht="15" hidden="true" customHeight="false" outlineLevel="0" collapsed="false">
      <c r="A1405" s="38"/>
      <c r="B1405" s="39" t="s">
        <v>938</v>
      </c>
      <c r="C1405" s="39" t="s">
        <v>709</v>
      </c>
      <c r="D1405" s="31" t="n">
        <v>46004.2986111111</v>
      </c>
      <c r="E1405" s="31" t="n">
        <v>46004.2986111111</v>
      </c>
      <c r="F1405" s="31" t="n">
        <v>46006.7118055556</v>
      </c>
      <c r="G1405" s="40" t="n">
        <f aca="false">+F1405-E1405</f>
        <v>2.41319444444444</v>
      </c>
      <c r="H1405" s="39" t="s">
        <v>248</v>
      </c>
      <c r="I1405" s="39"/>
      <c r="J1405" s="39" t="s">
        <v>256</v>
      </c>
      <c r="K1405" s="1" t="e">
        <f aca="false">_xlfn.xlookup(J1405,REF!$D$2:$D$12,REF!$E$2:$E$12)</f>
        <v>#NAME?</v>
      </c>
      <c r="L1405" s="39" t="s">
        <v>939</v>
      </c>
      <c r="M1405" s="39" t="s">
        <v>258</v>
      </c>
      <c r="N1405" s="39" t="s">
        <v>379</v>
      </c>
      <c r="O1405" s="39" t="s">
        <v>940</v>
      </c>
      <c r="P1405" s="41" t="str">
        <f aca="false">_xlfn.CONCAT(B1405,C1405,D1405,E1405,F1405)</f>
        <v>Vazante IInverter0546004.298611111146004.298611111146006.7118055556</v>
      </c>
      <c r="Q1405" s="1" t="str">
        <f aca="false">_xlfn.CONCAT(H1405,I1405,J1405)</f>
        <v>DAURDE</v>
      </c>
    </row>
    <row r="1406" s="42" customFormat="true" ht="15" hidden="true" customHeight="false" outlineLevel="0" collapsed="false">
      <c r="A1406" s="38"/>
      <c r="B1406" s="39" t="s">
        <v>938</v>
      </c>
      <c r="C1406" s="39" t="s">
        <v>710</v>
      </c>
      <c r="D1406" s="31" t="n">
        <v>46004.2986111111</v>
      </c>
      <c r="E1406" s="31" t="n">
        <v>46004.2986111111</v>
      </c>
      <c r="F1406" s="31" t="n">
        <v>46006.7118055556</v>
      </c>
      <c r="G1406" s="40" t="n">
        <f aca="false">+F1406-E1406</f>
        <v>2.41319444444444</v>
      </c>
      <c r="H1406" s="39" t="s">
        <v>248</v>
      </c>
      <c r="I1406" s="39"/>
      <c r="J1406" s="39" t="s">
        <v>256</v>
      </c>
      <c r="K1406" s="1" t="e">
        <f aca="false">_xlfn.xlookup(J1406,REF!$D$2:$D$12,REF!$E$2:$E$12)</f>
        <v>#NAME?</v>
      </c>
      <c r="L1406" s="39" t="s">
        <v>939</v>
      </c>
      <c r="M1406" s="39" t="s">
        <v>258</v>
      </c>
      <c r="N1406" s="39" t="s">
        <v>379</v>
      </c>
      <c r="O1406" s="39" t="s">
        <v>940</v>
      </c>
      <c r="P1406" s="41" t="str">
        <f aca="false">_xlfn.CONCAT(B1406,C1406,D1406,E1406,F1406)</f>
        <v>Vazante IInverter0646004.298611111146004.298611111146006.7118055556</v>
      </c>
      <c r="Q1406" s="1" t="str">
        <f aca="false">_xlfn.CONCAT(H1406,I1406,J1406)</f>
        <v>DAURDE</v>
      </c>
    </row>
    <row r="1407" s="42" customFormat="true" ht="15" hidden="true" customHeight="false" outlineLevel="0" collapsed="false">
      <c r="A1407" s="38"/>
      <c r="B1407" s="39" t="s">
        <v>938</v>
      </c>
      <c r="C1407" s="39" t="s">
        <v>711</v>
      </c>
      <c r="D1407" s="31" t="n">
        <v>46004.2986111111</v>
      </c>
      <c r="E1407" s="31" t="n">
        <v>46004.2986111111</v>
      </c>
      <c r="F1407" s="31" t="n">
        <v>46006.7118055556</v>
      </c>
      <c r="G1407" s="40" t="n">
        <f aca="false">+F1407-E1407</f>
        <v>2.41319444444444</v>
      </c>
      <c r="H1407" s="39" t="s">
        <v>248</v>
      </c>
      <c r="I1407" s="39"/>
      <c r="J1407" s="39" t="s">
        <v>256</v>
      </c>
      <c r="K1407" s="1" t="e">
        <f aca="false">_xlfn.xlookup(J1407,REF!$D$2:$D$12,REF!$E$2:$E$12)</f>
        <v>#NAME?</v>
      </c>
      <c r="L1407" s="39" t="s">
        <v>939</v>
      </c>
      <c r="M1407" s="39" t="s">
        <v>258</v>
      </c>
      <c r="N1407" s="39" t="s">
        <v>379</v>
      </c>
      <c r="O1407" s="39" t="s">
        <v>940</v>
      </c>
      <c r="P1407" s="41" t="str">
        <f aca="false">_xlfn.CONCAT(B1407,C1407,D1407,E1407,F1407)</f>
        <v>Vazante IInverter0746004.298611111146004.298611111146006.7118055556</v>
      </c>
      <c r="Q1407" s="1" t="str">
        <f aca="false">_xlfn.CONCAT(H1407,I1407,J1407)</f>
        <v>DAURDE</v>
      </c>
    </row>
    <row r="1408" s="42" customFormat="true" ht="15" hidden="true" customHeight="false" outlineLevel="0" collapsed="false">
      <c r="A1408" s="38"/>
      <c r="B1408" s="39" t="s">
        <v>938</v>
      </c>
      <c r="C1408" s="39" t="s">
        <v>712</v>
      </c>
      <c r="D1408" s="31" t="n">
        <v>46004.2986111111</v>
      </c>
      <c r="E1408" s="31" t="n">
        <v>46004.2986111111</v>
      </c>
      <c r="F1408" s="31" t="n">
        <v>46006.7118055556</v>
      </c>
      <c r="G1408" s="40" t="n">
        <f aca="false">+F1408-E1408</f>
        <v>2.41319444444444</v>
      </c>
      <c r="H1408" s="39" t="s">
        <v>248</v>
      </c>
      <c r="I1408" s="39"/>
      <c r="J1408" s="39" t="s">
        <v>256</v>
      </c>
      <c r="K1408" s="1" t="e">
        <f aca="false">_xlfn.xlookup(J1408,REF!$D$2:$D$12,REF!$E$2:$E$12)</f>
        <v>#NAME?</v>
      </c>
      <c r="L1408" s="39" t="s">
        <v>939</v>
      </c>
      <c r="M1408" s="39" t="s">
        <v>258</v>
      </c>
      <c r="N1408" s="39" t="s">
        <v>379</v>
      </c>
      <c r="O1408" s="39" t="s">
        <v>940</v>
      </c>
      <c r="P1408" s="41" t="str">
        <f aca="false">_xlfn.CONCAT(B1408,C1408,D1408,E1408,F1408)</f>
        <v>Vazante IInverter0846004.298611111146004.298611111146006.7118055556</v>
      </c>
      <c r="Q1408" s="1" t="str">
        <f aca="false">_xlfn.CONCAT(H1408,I1408,J1408)</f>
        <v>DAURDE</v>
      </c>
    </row>
    <row r="1409" s="42" customFormat="true" ht="15" hidden="true" customHeight="false" outlineLevel="0" collapsed="false">
      <c r="A1409" s="38"/>
      <c r="B1409" s="39" t="s">
        <v>938</v>
      </c>
      <c r="C1409" s="39" t="s">
        <v>713</v>
      </c>
      <c r="D1409" s="31" t="n">
        <v>46004.2986111111</v>
      </c>
      <c r="E1409" s="31" t="n">
        <v>46004.2986111111</v>
      </c>
      <c r="F1409" s="31" t="n">
        <v>46006.7118055556</v>
      </c>
      <c r="G1409" s="40" t="n">
        <f aca="false">+F1409-E1409</f>
        <v>2.41319444444444</v>
      </c>
      <c r="H1409" s="39" t="s">
        <v>248</v>
      </c>
      <c r="I1409" s="39"/>
      <c r="J1409" s="39" t="s">
        <v>256</v>
      </c>
      <c r="K1409" s="1" t="e">
        <f aca="false">_xlfn.xlookup(J1409,REF!$D$2:$D$12,REF!$E$2:$E$12)</f>
        <v>#NAME?</v>
      </c>
      <c r="L1409" s="39" t="s">
        <v>939</v>
      </c>
      <c r="M1409" s="39" t="s">
        <v>258</v>
      </c>
      <c r="N1409" s="39" t="s">
        <v>379</v>
      </c>
      <c r="O1409" s="39" t="s">
        <v>940</v>
      </c>
      <c r="P1409" s="41" t="str">
        <f aca="false">_xlfn.CONCAT(B1409,C1409,D1409,E1409,F1409)</f>
        <v>Vazante IInverter0946004.298611111146004.298611111146006.7118055556</v>
      </c>
      <c r="Q1409" s="1" t="str">
        <f aca="false">_xlfn.CONCAT(H1409,I1409,J1409)</f>
        <v>DAURDE</v>
      </c>
    </row>
    <row r="1410" s="42" customFormat="true" ht="15" hidden="true" customHeight="false" outlineLevel="0" collapsed="false">
      <c r="A1410" s="38"/>
      <c r="B1410" s="39" t="s">
        <v>938</v>
      </c>
      <c r="C1410" s="39" t="s">
        <v>714</v>
      </c>
      <c r="D1410" s="31" t="n">
        <v>46004.2986111111</v>
      </c>
      <c r="E1410" s="31" t="n">
        <v>46004.2986111111</v>
      </c>
      <c r="F1410" s="31" t="n">
        <v>46006.7118055556</v>
      </c>
      <c r="G1410" s="40" t="n">
        <f aca="false">+F1410-E1410</f>
        <v>2.41319444444444</v>
      </c>
      <c r="H1410" s="39" t="s">
        <v>248</v>
      </c>
      <c r="I1410" s="39"/>
      <c r="J1410" s="39" t="s">
        <v>256</v>
      </c>
      <c r="K1410" s="1" t="e">
        <f aca="false">_xlfn.xlookup(J1410,REF!$D$2:$D$12,REF!$E$2:$E$12)</f>
        <v>#NAME?</v>
      </c>
      <c r="L1410" s="39" t="s">
        <v>939</v>
      </c>
      <c r="M1410" s="39" t="s">
        <v>258</v>
      </c>
      <c r="N1410" s="39" t="s">
        <v>379</v>
      </c>
      <c r="O1410" s="39" t="s">
        <v>940</v>
      </c>
      <c r="P1410" s="41" t="str">
        <f aca="false">_xlfn.CONCAT(B1410,C1410,D1410,E1410,F1410)</f>
        <v>Vazante IInverter1046004.298611111146004.298611111146006.7118055556</v>
      </c>
      <c r="Q1410" s="1" t="str">
        <f aca="false">_xlfn.CONCAT(H1410,I1410,J1410)</f>
        <v>DAURDE</v>
      </c>
    </row>
    <row r="1411" s="42" customFormat="true" ht="15" hidden="true" customHeight="false" outlineLevel="0" collapsed="false">
      <c r="A1411" s="38"/>
      <c r="B1411" s="39" t="s">
        <v>938</v>
      </c>
      <c r="C1411" s="39" t="s">
        <v>715</v>
      </c>
      <c r="D1411" s="31" t="n">
        <v>46004.2986111111</v>
      </c>
      <c r="E1411" s="31" t="n">
        <v>46004.2986111111</v>
      </c>
      <c r="F1411" s="31" t="n">
        <v>46006.7118055556</v>
      </c>
      <c r="G1411" s="40" t="n">
        <f aca="false">+F1411-E1411</f>
        <v>2.41319444444444</v>
      </c>
      <c r="H1411" s="39" t="s">
        <v>248</v>
      </c>
      <c r="I1411" s="39"/>
      <c r="J1411" s="39" t="s">
        <v>256</v>
      </c>
      <c r="K1411" s="1" t="e">
        <f aca="false">_xlfn.xlookup(J1411,REF!$D$2:$D$12,REF!$E$2:$E$12)</f>
        <v>#NAME?</v>
      </c>
      <c r="L1411" s="39" t="s">
        <v>939</v>
      </c>
      <c r="M1411" s="39" t="s">
        <v>258</v>
      </c>
      <c r="N1411" s="39" t="s">
        <v>379</v>
      </c>
      <c r="O1411" s="39" t="s">
        <v>940</v>
      </c>
      <c r="P1411" s="41" t="str">
        <f aca="false">_xlfn.CONCAT(B1411,C1411,D1411,E1411,F1411)</f>
        <v>Vazante IInverter1146004.298611111146004.298611111146006.7118055556</v>
      </c>
      <c r="Q1411" s="1" t="str">
        <f aca="false">_xlfn.CONCAT(H1411,I1411,J1411)</f>
        <v>DAURDE</v>
      </c>
    </row>
    <row r="1412" s="42" customFormat="true" ht="15" hidden="true" customHeight="false" outlineLevel="0" collapsed="false">
      <c r="A1412" s="38"/>
      <c r="B1412" s="39" t="s">
        <v>938</v>
      </c>
      <c r="C1412" s="39" t="s">
        <v>274</v>
      </c>
      <c r="D1412" s="31" t="n">
        <v>46004.2986111111</v>
      </c>
      <c r="E1412" s="31" t="n">
        <v>46004.2986111111</v>
      </c>
      <c r="F1412" s="31" t="n">
        <v>46006.7118055556</v>
      </c>
      <c r="G1412" s="40" t="n">
        <f aca="false">+F1412-E1412</f>
        <v>2.41319444444444</v>
      </c>
      <c r="H1412" s="39" t="s">
        <v>248</v>
      </c>
      <c r="I1412" s="39"/>
      <c r="J1412" s="39" t="s">
        <v>256</v>
      </c>
      <c r="K1412" s="1" t="e">
        <f aca="false">_xlfn.xlookup(J1412,REF!$D$2:$D$12,REF!$E$2:$E$12)</f>
        <v>#NAME?</v>
      </c>
      <c r="L1412" s="39" t="s">
        <v>939</v>
      </c>
      <c r="M1412" s="39" t="s">
        <v>258</v>
      </c>
      <c r="N1412" s="39" t="s">
        <v>379</v>
      </c>
      <c r="O1412" s="39" t="s">
        <v>940</v>
      </c>
      <c r="P1412" s="41" t="str">
        <f aca="false">_xlfn.CONCAT(B1412,C1412,D1412,E1412,F1412)</f>
        <v>Vazante IInverter1246004.298611111146004.298611111146006.7118055556</v>
      </c>
      <c r="Q1412" s="1" t="str">
        <f aca="false">_xlfn.CONCAT(H1412,I1412,J1412)</f>
        <v>DAURDE</v>
      </c>
    </row>
    <row r="1413" s="42" customFormat="true" ht="15" hidden="true" customHeight="false" outlineLevel="0" collapsed="false">
      <c r="A1413" s="38"/>
      <c r="B1413" s="39" t="s">
        <v>938</v>
      </c>
      <c r="C1413" s="39" t="s">
        <v>608</v>
      </c>
      <c r="D1413" s="31" t="n">
        <v>46004.2986111111</v>
      </c>
      <c r="E1413" s="31" t="n">
        <v>46004.2986111111</v>
      </c>
      <c r="F1413" s="31" t="n">
        <v>46006.7118055556</v>
      </c>
      <c r="G1413" s="40" t="n">
        <f aca="false">+F1413-E1413</f>
        <v>2.41319444444444</v>
      </c>
      <c r="H1413" s="39" t="s">
        <v>248</v>
      </c>
      <c r="I1413" s="39"/>
      <c r="J1413" s="39" t="s">
        <v>256</v>
      </c>
      <c r="K1413" s="1" t="e">
        <f aca="false">_xlfn.xlookup(J1413,REF!$D$2:$D$12,REF!$E$2:$E$12)</f>
        <v>#NAME?</v>
      </c>
      <c r="L1413" s="39" t="s">
        <v>939</v>
      </c>
      <c r="M1413" s="39" t="s">
        <v>258</v>
      </c>
      <c r="N1413" s="39" t="s">
        <v>379</v>
      </c>
      <c r="O1413" s="39" t="s">
        <v>940</v>
      </c>
      <c r="P1413" s="41" t="str">
        <f aca="false">_xlfn.CONCAT(B1413,C1413,D1413,E1413,F1413)</f>
        <v>Vazante IInverter1346004.298611111146004.298611111146006.7118055556</v>
      </c>
      <c r="Q1413" s="1" t="str">
        <f aca="false">_xlfn.CONCAT(H1413,I1413,J1413)</f>
        <v>DAURDE</v>
      </c>
    </row>
    <row r="1414" s="42" customFormat="true" ht="15" hidden="true" customHeight="false" outlineLevel="0" collapsed="false">
      <c r="A1414" s="38"/>
      <c r="B1414" s="39" t="s">
        <v>938</v>
      </c>
      <c r="C1414" s="39" t="s">
        <v>716</v>
      </c>
      <c r="D1414" s="31" t="n">
        <v>46004.2986111111</v>
      </c>
      <c r="E1414" s="31" t="n">
        <v>46004.2986111111</v>
      </c>
      <c r="F1414" s="31" t="n">
        <v>46006.7118055556</v>
      </c>
      <c r="G1414" s="40" t="n">
        <f aca="false">+F1414-E1414</f>
        <v>2.41319444444444</v>
      </c>
      <c r="H1414" s="39" t="s">
        <v>248</v>
      </c>
      <c r="I1414" s="39"/>
      <c r="J1414" s="39" t="s">
        <v>256</v>
      </c>
      <c r="K1414" s="1" t="e">
        <f aca="false">_xlfn.xlookup(J1414,REF!$D$2:$D$12,REF!$E$2:$E$12)</f>
        <v>#NAME?</v>
      </c>
      <c r="L1414" s="39" t="s">
        <v>939</v>
      </c>
      <c r="M1414" s="39" t="s">
        <v>258</v>
      </c>
      <c r="N1414" s="39" t="s">
        <v>379</v>
      </c>
      <c r="O1414" s="39" t="s">
        <v>940</v>
      </c>
      <c r="P1414" s="41" t="str">
        <f aca="false">_xlfn.CONCAT(B1414,C1414,D1414,E1414,F1414)</f>
        <v>Vazante IInverter1446004.298611111146004.298611111146006.7118055556</v>
      </c>
      <c r="Q1414" s="1" t="str">
        <f aca="false">_xlfn.CONCAT(H1414,I1414,J1414)</f>
        <v>DAURDE</v>
      </c>
    </row>
    <row r="1415" s="42" customFormat="true" ht="15" hidden="true" customHeight="false" outlineLevel="0" collapsed="false">
      <c r="A1415" s="38"/>
      <c r="B1415" s="39" t="s">
        <v>938</v>
      </c>
      <c r="C1415" s="39" t="s">
        <v>717</v>
      </c>
      <c r="D1415" s="31" t="n">
        <v>46004.2986111111</v>
      </c>
      <c r="E1415" s="31" t="n">
        <v>46004.2986111111</v>
      </c>
      <c r="F1415" s="31" t="n">
        <v>46006.7118055556</v>
      </c>
      <c r="G1415" s="40" t="n">
        <f aca="false">+F1415-E1415</f>
        <v>2.41319444444444</v>
      </c>
      <c r="H1415" s="39" t="s">
        <v>248</v>
      </c>
      <c r="I1415" s="39"/>
      <c r="J1415" s="39" t="s">
        <v>256</v>
      </c>
      <c r="K1415" s="1" t="e">
        <f aca="false">_xlfn.xlookup(J1415,REF!$D$2:$D$12,REF!$E$2:$E$12)</f>
        <v>#NAME?</v>
      </c>
      <c r="L1415" s="39" t="s">
        <v>939</v>
      </c>
      <c r="M1415" s="39" t="s">
        <v>258</v>
      </c>
      <c r="N1415" s="39" t="s">
        <v>379</v>
      </c>
      <c r="O1415" s="39" t="s">
        <v>940</v>
      </c>
      <c r="P1415" s="41" t="str">
        <f aca="false">_xlfn.CONCAT(B1415,C1415,D1415,E1415,F1415)</f>
        <v>Vazante IInverter1546004.298611111146004.298611111146006.7118055556</v>
      </c>
      <c r="Q1415" s="1" t="str">
        <f aca="false">_xlfn.CONCAT(H1415,I1415,J1415)</f>
        <v>DAURDE</v>
      </c>
    </row>
    <row r="1416" s="42" customFormat="true" ht="15" hidden="true" customHeight="false" outlineLevel="0" collapsed="false">
      <c r="A1416" s="38"/>
      <c r="B1416" s="39" t="s">
        <v>938</v>
      </c>
      <c r="C1416" s="39" t="s">
        <v>718</v>
      </c>
      <c r="D1416" s="31" t="n">
        <v>46004.2986111111</v>
      </c>
      <c r="E1416" s="31" t="n">
        <v>46004.2986111111</v>
      </c>
      <c r="F1416" s="31" t="n">
        <v>46006.7118055556</v>
      </c>
      <c r="G1416" s="40" t="n">
        <f aca="false">+F1416-E1416</f>
        <v>2.41319444444444</v>
      </c>
      <c r="H1416" s="39" t="s">
        <v>248</v>
      </c>
      <c r="I1416" s="39"/>
      <c r="J1416" s="39" t="s">
        <v>256</v>
      </c>
      <c r="K1416" s="1" t="e">
        <f aca="false">_xlfn.xlookup(J1416,REF!$D$2:$D$12,REF!$E$2:$E$12)</f>
        <v>#NAME?</v>
      </c>
      <c r="L1416" s="39" t="s">
        <v>939</v>
      </c>
      <c r="M1416" s="39" t="s">
        <v>258</v>
      </c>
      <c r="N1416" s="39" t="s">
        <v>379</v>
      </c>
      <c r="O1416" s="39" t="s">
        <v>940</v>
      </c>
      <c r="P1416" s="41" t="str">
        <f aca="false">_xlfn.CONCAT(B1416,C1416,D1416,E1416,F1416)</f>
        <v>Vazante IInverter1646004.298611111146004.298611111146006.7118055556</v>
      </c>
      <c r="Q1416" s="1" t="str">
        <f aca="false">_xlfn.CONCAT(H1416,I1416,J1416)</f>
        <v>DAURDE</v>
      </c>
    </row>
    <row r="1417" s="42" customFormat="true" ht="15" hidden="true" customHeight="false" outlineLevel="0" collapsed="false">
      <c r="A1417" s="38"/>
      <c r="B1417" s="39" t="s">
        <v>938</v>
      </c>
      <c r="C1417" s="39" t="s">
        <v>719</v>
      </c>
      <c r="D1417" s="31" t="n">
        <v>46004.2986111111</v>
      </c>
      <c r="E1417" s="31" t="n">
        <v>46004.2986111111</v>
      </c>
      <c r="F1417" s="31" t="n">
        <v>46006.7118055556</v>
      </c>
      <c r="G1417" s="40" t="n">
        <f aca="false">+F1417-E1417</f>
        <v>2.41319444444444</v>
      </c>
      <c r="H1417" s="39" t="s">
        <v>248</v>
      </c>
      <c r="I1417" s="39"/>
      <c r="J1417" s="39" t="s">
        <v>256</v>
      </c>
      <c r="K1417" s="1" t="e">
        <f aca="false">_xlfn.xlookup(J1417,REF!$D$2:$D$12,REF!$E$2:$E$12)</f>
        <v>#NAME?</v>
      </c>
      <c r="L1417" s="39" t="s">
        <v>939</v>
      </c>
      <c r="M1417" s="39" t="s">
        <v>258</v>
      </c>
      <c r="N1417" s="39" t="s">
        <v>379</v>
      </c>
      <c r="O1417" s="39" t="s">
        <v>940</v>
      </c>
      <c r="P1417" s="41" t="str">
        <f aca="false">_xlfn.CONCAT(B1417,C1417,D1417,E1417,F1417)</f>
        <v>Vazante IInverter1746004.298611111146004.298611111146006.7118055556</v>
      </c>
      <c r="Q1417" s="1" t="str">
        <f aca="false">_xlfn.CONCAT(H1417,I1417,J1417)</f>
        <v>DAURDE</v>
      </c>
    </row>
    <row r="1418" s="42" customFormat="true" ht="15" hidden="true" customHeight="false" outlineLevel="0" collapsed="false">
      <c r="A1418" s="38"/>
      <c r="B1418" s="39" t="s">
        <v>941</v>
      </c>
      <c r="C1418" s="39" t="s">
        <v>942</v>
      </c>
      <c r="D1418" s="31" t="n">
        <v>46004.2986111111</v>
      </c>
      <c r="E1418" s="31" t="n">
        <v>46004.2986111111</v>
      </c>
      <c r="F1418" s="31" t="n">
        <v>46006.7118055556</v>
      </c>
      <c r="G1418" s="40" t="n">
        <f aca="false">+F1418-E1418</f>
        <v>2.41319444444444</v>
      </c>
      <c r="H1418" s="39" t="s">
        <v>248</v>
      </c>
      <c r="I1418" s="39"/>
      <c r="J1418" s="39" t="s">
        <v>256</v>
      </c>
      <c r="K1418" s="1" t="e">
        <f aca="false">_xlfn.xlookup(J1418,REF!$D$2:$D$12,REF!$E$2:$E$12)</f>
        <v>#NAME?</v>
      </c>
      <c r="L1418" s="39" t="s">
        <v>939</v>
      </c>
      <c r="M1418" s="39" t="s">
        <v>258</v>
      </c>
      <c r="N1418" s="39" t="s">
        <v>379</v>
      </c>
      <c r="O1418" s="39" t="s">
        <v>940</v>
      </c>
      <c r="P1418" s="41" t="str">
        <f aca="false">_xlfn.CONCAT(B1418,C1418,D1418,E1418,F1418)</f>
        <v>Vazante IIInverter 146004.298611111146004.298611111146006.7118055556</v>
      </c>
      <c r="Q1418" s="1" t="str">
        <f aca="false">_xlfn.CONCAT(H1418,I1418,J1418)</f>
        <v>DAURDE</v>
      </c>
    </row>
    <row r="1419" s="42" customFormat="true" ht="15" hidden="true" customHeight="false" outlineLevel="0" collapsed="false">
      <c r="A1419" s="38"/>
      <c r="B1419" s="39" t="s">
        <v>941</v>
      </c>
      <c r="C1419" s="39" t="s">
        <v>943</v>
      </c>
      <c r="D1419" s="31" t="n">
        <v>46004.2986111111</v>
      </c>
      <c r="E1419" s="31" t="n">
        <v>46004.2986111111</v>
      </c>
      <c r="F1419" s="31" t="n">
        <v>46006.7118055556</v>
      </c>
      <c r="G1419" s="40" t="n">
        <f aca="false">+F1419-E1419</f>
        <v>2.41319444444444</v>
      </c>
      <c r="H1419" s="39" t="s">
        <v>248</v>
      </c>
      <c r="I1419" s="39"/>
      <c r="J1419" s="39" t="s">
        <v>256</v>
      </c>
      <c r="K1419" s="1" t="e">
        <f aca="false">_xlfn.xlookup(J1419,REF!$D$2:$D$12,REF!$E$2:$E$12)</f>
        <v>#NAME?</v>
      </c>
      <c r="L1419" s="39" t="s">
        <v>939</v>
      </c>
      <c r="M1419" s="39" t="s">
        <v>258</v>
      </c>
      <c r="N1419" s="39" t="s">
        <v>379</v>
      </c>
      <c r="O1419" s="39" t="s">
        <v>940</v>
      </c>
      <c r="P1419" s="41" t="str">
        <f aca="false">_xlfn.CONCAT(B1419,C1419,D1419,E1419,F1419)</f>
        <v>Vazante IIInverter 246004.298611111146004.298611111146006.7118055556</v>
      </c>
      <c r="Q1419" s="1" t="str">
        <f aca="false">_xlfn.CONCAT(H1419,I1419,J1419)</f>
        <v>DAURDE</v>
      </c>
    </row>
    <row r="1420" s="42" customFormat="true" ht="15" hidden="true" customHeight="false" outlineLevel="0" collapsed="false">
      <c r="A1420" s="38"/>
      <c r="B1420" s="39" t="s">
        <v>941</v>
      </c>
      <c r="C1420" s="39" t="s">
        <v>944</v>
      </c>
      <c r="D1420" s="31" t="n">
        <v>46004.2986111111</v>
      </c>
      <c r="E1420" s="31" t="n">
        <v>46004.2986111111</v>
      </c>
      <c r="F1420" s="31" t="n">
        <v>46006.7118055556</v>
      </c>
      <c r="G1420" s="40" t="n">
        <f aca="false">+F1420-E1420</f>
        <v>2.41319444444444</v>
      </c>
      <c r="H1420" s="39" t="s">
        <v>248</v>
      </c>
      <c r="I1420" s="39"/>
      <c r="J1420" s="39" t="s">
        <v>256</v>
      </c>
      <c r="K1420" s="1" t="e">
        <f aca="false">_xlfn.xlookup(J1420,REF!$D$2:$D$12,REF!$E$2:$E$12)</f>
        <v>#NAME?</v>
      </c>
      <c r="L1420" s="39" t="s">
        <v>939</v>
      </c>
      <c r="M1420" s="39" t="s">
        <v>258</v>
      </c>
      <c r="N1420" s="39" t="s">
        <v>379</v>
      </c>
      <c r="O1420" s="39" t="s">
        <v>940</v>
      </c>
      <c r="P1420" s="41" t="str">
        <f aca="false">_xlfn.CONCAT(B1420,C1420,D1420,E1420,F1420)</f>
        <v>Vazante IIInverter 346004.298611111146004.298611111146006.7118055556</v>
      </c>
      <c r="Q1420" s="1" t="str">
        <f aca="false">_xlfn.CONCAT(H1420,I1420,J1420)</f>
        <v>DAURDE</v>
      </c>
    </row>
    <row r="1421" s="42" customFormat="true" ht="15" hidden="true" customHeight="false" outlineLevel="0" collapsed="false">
      <c r="A1421" s="38"/>
      <c r="B1421" s="39" t="s">
        <v>941</v>
      </c>
      <c r="C1421" s="39" t="s">
        <v>945</v>
      </c>
      <c r="D1421" s="31" t="n">
        <v>46004.2986111111</v>
      </c>
      <c r="E1421" s="31" t="n">
        <v>46004.2986111111</v>
      </c>
      <c r="F1421" s="31" t="n">
        <v>46006.7118055556</v>
      </c>
      <c r="G1421" s="40" t="n">
        <f aca="false">+F1421-E1421</f>
        <v>2.41319444444444</v>
      </c>
      <c r="H1421" s="39" t="s">
        <v>248</v>
      </c>
      <c r="I1421" s="39"/>
      <c r="J1421" s="39" t="s">
        <v>256</v>
      </c>
      <c r="K1421" s="1" t="e">
        <f aca="false">_xlfn.xlookup(J1421,REF!$D$2:$D$12,REF!$E$2:$E$12)</f>
        <v>#NAME?</v>
      </c>
      <c r="L1421" s="39" t="s">
        <v>939</v>
      </c>
      <c r="M1421" s="39" t="s">
        <v>258</v>
      </c>
      <c r="N1421" s="39" t="s">
        <v>379</v>
      </c>
      <c r="O1421" s="39" t="s">
        <v>940</v>
      </c>
      <c r="P1421" s="41" t="str">
        <f aca="false">_xlfn.CONCAT(B1421,C1421,D1421,E1421,F1421)</f>
        <v>Vazante IIInverter 446004.298611111146004.298611111146006.7118055556</v>
      </c>
      <c r="Q1421" s="1" t="str">
        <f aca="false">_xlfn.CONCAT(H1421,I1421,J1421)</f>
        <v>DAURDE</v>
      </c>
    </row>
    <row r="1422" s="42" customFormat="true" ht="15" hidden="true" customHeight="false" outlineLevel="0" collapsed="false">
      <c r="A1422" s="38"/>
      <c r="B1422" s="39" t="s">
        <v>941</v>
      </c>
      <c r="C1422" s="39" t="s">
        <v>946</v>
      </c>
      <c r="D1422" s="31" t="n">
        <v>46004.2986111111</v>
      </c>
      <c r="E1422" s="31" t="n">
        <v>46004.2986111111</v>
      </c>
      <c r="F1422" s="31" t="n">
        <v>46006.7118055556</v>
      </c>
      <c r="G1422" s="40" t="n">
        <f aca="false">+F1422-E1422</f>
        <v>2.41319444444444</v>
      </c>
      <c r="H1422" s="39" t="s">
        <v>248</v>
      </c>
      <c r="I1422" s="39"/>
      <c r="J1422" s="39" t="s">
        <v>256</v>
      </c>
      <c r="K1422" s="1" t="e">
        <f aca="false">_xlfn.xlookup(J1422,REF!$D$2:$D$12,REF!$E$2:$E$12)</f>
        <v>#NAME?</v>
      </c>
      <c r="L1422" s="39" t="s">
        <v>939</v>
      </c>
      <c r="M1422" s="39" t="s">
        <v>258</v>
      </c>
      <c r="N1422" s="39" t="s">
        <v>379</v>
      </c>
      <c r="O1422" s="39" t="s">
        <v>940</v>
      </c>
      <c r="P1422" s="41" t="str">
        <f aca="false">_xlfn.CONCAT(B1422,C1422,D1422,E1422,F1422)</f>
        <v>Vazante IIInverter 546004.298611111146004.298611111146006.7118055556</v>
      </c>
      <c r="Q1422" s="1" t="str">
        <f aca="false">_xlfn.CONCAT(H1422,I1422,J1422)</f>
        <v>DAURDE</v>
      </c>
    </row>
    <row r="1423" s="42" customFormat="true" ht="15" hidden="true" customHeight="false" outlineLevel="0" collapsed="false">
      <c r="A1423" s="38"/>
      <c r="B1423" s="39" t="s">
        <v>941</v>
      </c>
      <c r="C1423" s="39" t="s">
        <v>947</v>
      </c>
      <c r="D1423" s="31" t="n">
        <v>46004.2986111111</v>
      </c>
      <c r="E1423" s="31" t="n">
        <v>46004.2986111111</v>
      </c>
      <c r="F1423" s="31" t="n">
        <v>46006.7118055556</v>
      </c>
      <c r="G1423" s="40" t="n">
        <f aca="false">+F1423-E1423</f>
        <v>2.41319444444444</v>
      </c>
      <c r="H1423" s="39" t="s">
        <v>248</v>
      </c>
      <c r="I1423" s="39"/>
      <c r="J1423" s="39" t="s">
        <v>256</v>
      </c>
      <c r="K1423" s="1" t="e">
        <f aca="false">_xlfn.xlookup(J1423,REF!$D$2:$D$12,REF!$E$2:$E$12)</f>
        <v>#NAME?</v>
      </c>
      <c r="L1423" s="39" t="s">
        <v>939</v>
      </c>
      <c r="M1423" s="39" t="s">
        <v>258</v>
      </c>
      <c r="N1423" s="39" t="s">
        <v>379</v>
      </c>
      <c r="O1423" s="39" t="s">
        <v>940</v>
      </c>
      <c r="P1423" s="41" t="str">
        <f aca="false">_xlfn.CONCAT(B1423,C1423,D1423,E1423,F1423)</f>
        <v>Vazante IIInverter 646004.298611111146004.298611111146006.7118055556</v>
      </c>
      <c r="Q1423" s="1" t="str">
        <f aca="false">_xlfn.CONCAT(H1423,I1423,J1423)</f>
        <v>DAURDE</v>
      </c>
    </row>
    <row r="1424" s="42" customFormat="true" ht="15" hidden="true" customHeight="false" outlineLevel="0" collapsed="false">
      <c r="A1424" s="38"/>
      <c r="B1424" s="39" t="s">
        <v>941</v>
      </c>
      <c r="C1424" s="39" t="s">
        <v>948</v>
      </c>
      <c r="D1424" s="31" t="n">
        <v>46004.2986111111</v>
      </c>
      <c r="E1424" s="31" t="n">
        <v>46004.2986111111</v>
      </c>
      <c r="F1424" s="31" t="n">
        <v>46006.7118055556</v>
      </c>
      <c r="G1424" s="40" t="n">
        <f aca="false">+F1424-E1424</f>
        <v>2.41319444444444</v>
      </c>
      <c r="H1424" s="39" t="s">
        <v>248</v>
      </c>
      <c r="I1424" s="39"/>
      <c r="J1424" s="39" t="s">
        <v>256</v>
      </c>
      <c r="K1424" s="1" t="e">
        <f aca="false">_xlfn.xlookup(J1424,REF!$D$2:$D$12,REF!$E$2:$E$12)</f>
        <v>#NAME?</v>
      </c>
      <c r="L1424" s="39" t="s">
        <v>939</v>
      </c>
      <c r="M1424" s="39" t="s">
        <v>258</v>
      </c>
      <c r="N1424" s="39" t="s">
        <v>379</v>
      </c>
      <c r="O1424" s="39" t="s">
        <v>940</v>
      </c>
      <c r="P1424" s="41" t="str">
        <f aca="false">_xlfn.CONCAT(B1424,C1424,D1424,E1424,F1424)</f>
        <v>Vazante IIInverter 746004.298611111146004.298611111146006.7118055556</v>
      </c>
      <c r="Q1424" s="1" t="str">
        <f aca="false">_xlfn.CONCAT(H1424,I1424,J1424)</f>
        <v>DAURDE</v>
      </c>
    </row>
    <row r="1425" s="42" customFormat="true" ht="15" hidden="true" customHeight="false" outlineLevel="0" collapsed="false">
      <c r="A1425" s="38"/>
      <c r="B1425" s="39" t="s">
        <v>941</v>
      </c>
      <c r="C1425" s="39" t="s">
        <v>949</v>
      </c>
      <c r="D1425" s="31" t="n">
        <v>46004.2986111111</v>
      </c>
      <c r="E1425" s="31" t="n">
        <v>46004.2986111111</v>
      </c>
      <c r="F1425" s="31" t="n">
        <v>46006.7118055556</v>
      </c>
      <c r="G1425" s="40" t="n">
        <f aca="false">+F1425-E1425</f>
        <v>2.41319444444444</v>
      </c>
      <c r="H1425" s="39" t="s">
        <v>248</v>
      </c>
      <c r="I1425" s="39"/>
      <c r="J1425" s="39" t="s">
        <v>256</v>
      </c>
      <c r="K1425" s="1" t="e">
        <f aca="false">_xlfn.xlookup(J1425,REF!$D$2:$D$12,REF!$E$2:$E$12)</f>
        <v>#NAME?</v>
      </c>
      <c r="L1425" s="39" t="s">
        <v>939</v>
      </c>
      <c r="M1425" s="39" t="s">
        <v>258</v>
      </c>
      <c r="N1425" s="39" t="s">
        <v>379</v>
      </c>
      <c r="O1425" s="39" t="s">
        <v>940</v>
      </c>
      <c r="P1425" s="41" t="str">
        <f aca="false">_xlfn.CONCAT(B1425,C1425,D1425,E1425,F1425)</f>
        <v>Vazante IIInverter 846004.298611111146004.298611111146006.7118055556</v>
      </c>
      <c r="Q1425" s="1" t="str">
        <f aca="false">_xlfn.CONCAT(H1425,I1425,J1425)</f>
        <v>DAURDE</v>
      </c>
    </row>
    <row r="1426" s="42" customFormat="true" ht="15" hidden="true" customHeight="false" outlineLevel="0" collapsed="false">
      <c r="A1426" s="38"/>
      <c r="B1426" s="39" t="s">
        <v>941</v>
      </c>
      <c r="C1426" s="39" t="s">
        <v>950</v>
      </c>
      <c r="D1426" s="31" t="n">
        <v>46004.2986111111</v>
      </c>
      <c r="E1426" s="31" t="n">
        <v>46004.2986111111</v>
      </c>
      <c r="F1426" s="31" t="n">
        <v>46006.7118055556</v>
      </c>
      <c r="G1426" s="40" t="n">
        <f aca="false">+F1426-E1426</f>
        <v>2.41319444444444</v>
      </c>
      <c r="H1426" s="39" t="s">
        <v>248</v>
      </c>
      <c r="I1426" s="39"/>
      <c r="J1426" s="39" t="s">
        <v>256</v>
      </c>
      <c r="K1426" s="1" t="e">
        <f aca="false">_xlfn.xlookup(J1426,REF!$D$2:$D$12,REF!$E$2:$E$12)</f>
        <v>#NAME?</v>
      </c>
      <c r="L1426" s="39" t="s">
        <v>939</v>
      </c>
      <c r="M1426" s="39" t="s">
        <v>258</v>
      </c>
      <c r="N1426" s="39" t="s">
        <v>379</v>
      </c>
      <c r="O1426" s="39" t="s">
        <v>940</v>
      </c>
      <c r="P1426" s="41" t="str">
        <f aca="false">_xlfn.CONCAT(B1426,C1426,D1426,E1426,F1426)</f>
        <v>Vazante IIInverter 946004.298611111146004.298611111146006.7118055556</v>
      </c>
      <c r="Q1426" s="1" t="str">
        <f aca="false">_xlfn.CONCAT(H1426,I1426,J1426)</f>
        <v>DAURDE</v>
      </c>
    </row>
    <row r="1427" s="42" customFormat="true" ht="15" hidden="true" customHeight="false" outlineLevel="0" collapsed="false">
      <c r="A1427" s="38"/>
      <c r="B1427" s="39" t="s">
        <v>941</v>
      </c>
      <c r="C1427" s="39" t="s">
        <v>951</v>
      </c>
      <c r="D1427" s="31" t="n">
        <v>46004.2986111111</v>
      </c>
      <c r="E1427" s="31" t="n">
        <v>46004.2986111111</v>
      </c>
      <c r="F1427" s="31" t="n">
        <v>46006.7118055556</v>
      </c>
      <c r="G1427" s="40" t="n">
        <f aca="false">+F1427-E1427</f>
        <v>2.41319444444444</v>
      </c>
      <c r="H1427" s="39" t="s">
        <v>248</v>
      </c>
      <c r="I1427" s="39"/>
      <c r="J1427" s="39" t="s">
        <v>256</v>
      </c>
      <c r="K1427" s="1" t="e">
        <f aca="false">_xlfn.xlookup(J1427,REF!$D$2:$D$12,REF!$E$2:$E$12)</f>
        <v>#NAME?</v>
      </c>
      <c r="L1427" s="39" t="s">
        <v>939</v>
      </c>
      <c r="M1427" s="39" t="s">
        <v>258</v>
      </c>
      <c r="N1427" s="39" t="s">
        <v>379</v>
      </c>
      <c r="O1427" s="39" t="s">
        <v>940</v>
      </c>
      <c r="P1427" s="41" t="str">
        <f aca="false">_xlfn.CONCAT(B1427,C1427,D1427,E1427,F1427)</f>
        <v>Vazante IIInverter 1046004.298611111146004.298611111146006.7118055556</v>
      </c>
      <c r="Q1427" s="1" t="str">
        <f aca="false">_xlfn.CONCAT(H1427,I1427,J1427)</f>
        <v>DAURDE</v>
      </c>
    </row>
    <row r="1428" s="42" customFormat="true" ht="15" hidden="true" customHeight="false" outlineLevel="0" collapsed="false">
      <c r="A1428" s="38"/>
      <c r="B1428" s="39" t="s">
        <v>941</v>
      </c>
      <c r="C1428" s="39" t="s">
        <v>952</v>
      </c>
      <c r="D1428" s="31" t="n">
        <v>46004.2986111111</v>
      </c>
      <c r="E1428" s="31" t="n">
        <v>46004.2986111111</v>
      </c>
      <c r="F1428" s="31" t="n">
        <v>46006.7118055556</v>
      </c>
      <c r="G1428" s="40" t="n">
        <f aca="false">+F1428-E1428</f>
        <v>2.41319444444444</v>
      </c>
      <c r="H1428" s="39" t="s">
        <v>248</v>
      </c>
      <c r="I1428" s="39"/>
      <c r="J1428" s="39" t="s">
        <v>256</v>
      </c>
      <c r="K1428" s="1" t="e">
        <f aca="false">_xlfn.xlookup(J1428,REF!$D$2:$D$12,REF!$E$2:$E$12)</f>
        <v>#NAME?</v>
      </c>
      <c r="L1428" s="39" t="s">
        <v>939</v>
      </c>
      <c r="M1428" s="39" t="s">
        <v>258</v>
      </c>
      <c r="N1428" s="39" t="s">
        <v>379</v>
      </c>
      <c r="O1428" s="39" t="s">
        <v>940</v>
      </c>
      <c r="P1428" s="41" t="str">
        <f aca="false">_xlfn.CONCAT(B1428,C1428,D1428,E1428,F1428)</f>
        <v>Vazante IIInverter 1146004.298611111146004.298611111146006.7118055556</v>
      </c>
      <c r="Q1428" s="1" t="str">
        <f aca="false">_xlfn.CONCAT(H1428,I1428,J1428)</f>
        <v>DAURDE</v>
      </c>
    </row>
    <row r="1429" s="42" customFormat="true" ht="15" hidden="true" customHeight="false" outlineLevel="0" collapsed="false">
      <c r="A1429" s="38"/>
      <c r="B1429" s="39" t="s">
        <v>941</v>
      </c>
      <c r="C1429" s="39" t="s">
        <v>953</v>
      </c>
      <c r="D1429" s="31" t="n">
        <v>46004.2986111111</v>
      </c>
      <c r="E1429" s="31" t="n">
        <v>46004.2986111111</v>
      </c>
      <c r="F1429" s="31" t="n">
        <v>46006.7118055556</v>
      </c>
      <c r="G1429" s="40" t="n">
        <f aca="false">+F1429-E1429</f>
        <v>2.41319444444444</v>
      </c>
      <c r="H1429" s="39" t="s">
        <v>248</v>
      </c>
      <c r="I1429" s="39"/>
      <c r="J1429" s="39" t="s">
        <v>256</v>
      </c>
      <c r="K1429" s="1" t="e">
        <f aca="false">_xlfn.xlookup(J1429,REF!$D$2:$D$12,REF!$E$2:$E$12)</f>
        <v>#NAME?</v>
      </c>
      <c r="L1429" s="39" t="s">
        <v>939</v>
      </c>
      <c r="M1429" s="39" t="s">
        <v>258</v>
      </c>
      <c r="N1429" s="39" t="s">
        <v>379</v>
      </c>
      <c r="O1429" s="39" t="s">
        <v>940</v>
      </c>
      <c r="P1429" s="41" t="str">
        <f aca="false">_xlfn.CONCAT(B1429,C1429,D1429,E1429,F1429)</f>
        <v>Vazante IIInverter 1246004.298611111146004.298611111146006.7118055556</v>
      </c>
      <c r="Q1429" s="1" t="str">
        <f aca="false">_xlfn.CONCAT(H1429,I1429,J1429)</f>
        <v>DAURDE</v>
      </c>
    </row>
    <row r="1430" s="42" customFormat="true" ht="15" hidden="true" customHeight="false" outlineLevel="0" collapsed="false">
      <c r="A1430" s="38"/>
      <c r="B1430" s="39" t="s">
        <v>941</v>
      </c>
      <c r="C1430" s="39" t="s">
        <v>954</v>
      </c>
      <c r="D1430" s="31" t="n">
        <v>46004.2986111111</v>
      </c>
      <c r="E1430" s="31" t="n">
        <v>46004.2986111111</v>
      </c>
      <c r="F1430" s="31" t="n">
        <v>46006.7118055556</v>
      </c>
      <c r="G1430" s="40" t="n">
        <f aca="false">+F1430-E1430</f>
        <v>2.41319444444444</v>
      </c>
      <c r="H1430" s="39" t="s">
        <v>248</v>
      </c>
      <c r="I1430" s="39"/>
      <c r="J1430" s="39" t="s">
        <v>256</v>
      </c>
      <c r="K1430" s="1" t="e">
        <f aca="false">_xlfn.xlookup(J1430,REF!$D$2:$D$12,REF!$E$2:$E$12)</f>
        <v>#NAME?</v>
      </c>
      <c r="L1430" s="39" t="s">
        <v>939</v>
      </c>
      <c r="M1430" s="39" t="s">
        <v>258</v>
      </c>
      <c r="N1430" s="39" t="s">
        <v>379</v>
      </c>
      <c r="O1430" s="39" t="s">
        <v>940</v>
      </c>
      <c r="P1430" s="41" t="str">
        <f aca="false">_xlfn.CONCAT(B1430,C1430,D1430,E1430,F1430)</f>
        <v>Vazante IIInverter 1346004.298611111146004.298611111146006.7118055556</v>
      </c>
      <c r="Q1430" s="1" t="str">
        <f aca="false">_xlfn.CONCAT(H1430,I1430,J1430)</f>
        <v>DAURDE</v>
      </c>
    </row>
    <row r="1431" s="42" customFormat="true" ht="15" hidden="true" customHeight="false" outlineLevel="0" collapsed="false">
      <c r="A1431" s="38"/>
      <c r="B1431" s="39" t="s">
        <v>941</v>
      </c>
      <c r="C1431" s="39" t="s">
        <v>955</v>
      </c>
      <c r="D1431" s="31" t="n">
        <v>46004.2986111111</v>
      </c>
      <c r="E1431" s="31" t="n">
        <v>46004.2986111111</v>
      </c>
      <c r="F1431" s="31" t="n">
        <v>46006.7118055556</v>
      </c>
      <c r="G1431" s="40" t="n">
        <f aca="false">+F1431-E1431</f>
        <v>2.41319444444444</v>
      </c>
      <c r="H1431" s="39" t="s">
        <v>248</v>
      </c>
      <c r="I1431" s="39"/>
      <c r="J1431" s="39" t="s">
        <v>256</v>
      </c>
      <c r="K1431" s="1" t="e">
        <f aca="false">_xlfn.xlookup(J1431,REF!$D$2:$D$12,REF!$E$2:$E$12)</f>
        <v>#NAME?</v>
      </c>
      <c r="L1431" s="39" t="s">
        <v>939</v>
      </c>
      <c r="M1431" s="39" t="s">
        <v>258</v>
      </c>
      <c r="N1431" s="39" t="s">
        <v>379</v>
      </c>
      <c r="O1431" s="39" t="s">
        <v>940</v>
      </c>
      <c r="P1431" s="41" t="str">
        <f aca="false">_xlfn.CONCAT(B1431,C1431,D1431,E1431,F1431)</f>
        <v>Vazante IIInverter 1446004.298611111146004.298611111146006.7118055556</v>
      </c>
      <c r="Q1431" s="1" t="str">
        <f aca="false">_xlfn.CONCAT(H1431,I1431,J1431)</f>
        <v>DAURDE</v>
      </c>
    </row>
    <row r="1432" s="42" customFormat="true" ht="15" hidden="true" customHeight="false" outlineLevel="0" collapsed="false">
      <c r="A1432" s="38"/>
      <c r="B1432" s="39" t="s">
        <v>941</v>
      </c>
      <c r="C1432" s="39" t="s">
        <v>956</v>
      </c>
      <c r="D1432" s="31" t="n">
        <v>46004.2986111111</v>
      </c>
      <c r="E1432" s="31" t="n">
        <v>46004.2986111111</v>
      </c>
      <c r="F1432" s="31" t="n">
        <v>46006.7118055556</v>
      </c>
      <c r="G1432" s="40" t="n">
        <f aca="false">+F1432-E1432</f>
        <v>2.41319444444444</v>
      </c>
      <c r="H1432" s="39" t="s">
        <v>248</v>
      </c>
      <c r="I1432" s="39"/>
      <c r="J1432" s="39" t="s">
        <v>256</v>
      </c>
      <c r="K1432" s="1" t="e">
        <f aca="false">_xlfn.xlookup(J1432,REF!$D$2:$D$12,REF!$E$2:$E$12)</f>
        <v>#NAME?</v>
      </c>
      <c r="L1432" s="39" t="s">
        <v>939</v>
      </c>
      <c r="M1432" s="39" t="s">
        <v>258</v>
      </c>
      <c r="N1432" s="39" t="s">
        <v>379</v>
      </c>
      <c r="O1432" s="39" t="s">
        <v>940</v>
      </c>
      <c r="P1432" s="41" t="str">
        <f aca="false">_xlfn.CONCAT(B1432,C1432,D1432,E1432,F1432)</f>
        <v>Vazante IIInverter 1546004.298611111146004.298611111146006.7118055556</v>
      </c>
      <c r="Q1432" s="1" t="str">
        <f aca="false">_xlfn.CONCAT(H1432,I1432,J1432)</f>
        <v>DAURDE</v>
      </c>
    </row>
    <row r="1433" s="42" customFormat="true" ht="15" hidden="true" customHeight="false" outlineLevel="0" collapsed="false">
      <c r="A1433" s="38"/>
      <c r="B1433" s="39" t="s">
        <v>941</v>
      </c>
      <c r="C1433" s="39" t="s">
        <v>957</v>
      </c>
      <c r="D1433" s="31" t="n">
        <v>46004.2986111111</v>
      </c>
      <c r="E1433" s="31" t="n">
        <v>46004.2986111111</v>
      </c>
      <c r="F1433" s="31" t="n">
        <v>46006.7118055556</v>
      </c>
      <c r="G1433" s="40" t="n">
        <f aca="false">+F1433-E1433</f>
        <v>2.41319444444444</v>
      </c>
      <c r="H1433" s="39" t="s">
        <v>248</v>
      </c>
      <c r="I1433" s="39"/>
      <c r="J1433" s="39" t="s">
        <v>256</v>
      </c>
      <c r="K1433" s="1" t="e">
        <f aca="false">_xlfn.xlookup(J1433,REF!$D$2:$D$12,REF!$E$2:$E$12)</f>
        <v>#NAME?</v>
      </c>
      <c r="L1433" s="39" t="s">
        <v>939</v>
      </c>
      <c r="M1433" s="39" t="s">
        <v>258</v>
      </c>
      <c r="N1433" s="39" t="s">
        <v>379</v>
      </c>
      <c r="O1433" s="39" t="s">
        <v>940</v>
      </c>
      <c r="P1433" s="41" t="str">
        <f aca="false">_xlfn.CONCAT(B1433,C1433,D1433,E1433,F1433)</f>
        <v>Vazante IIInverter 1646004.298611111146004.298611111146006.7118055556</v>
      </c>
      <c r="Q1433" s="1" t="str">
        <f aca="false">_xlfn.CONCAT(H1433,I1433,J1433)</f>
        <v>DAURDE</v>
      </c>
    </row>
    <row r="1434" s="42" customFormat="true" ht="15" hidden="true" customHeight="false" outlineLevel="0" collapsed="false">
      <c r="A1434" s="38"/>
      <c r="B1434" s="39" t="s">
        <v>941</v>
      </c>
      <c r="C1434" s="39" t="s">
        <v>958</v>
      </c>
      <c r="D1434" s="31" t="n">
        <v>46004.2986111111</v>
      </c>
      <c r="E1434" s="31" t="n">
        <v>46004.2986111111</v>
      </c>
      <c r="F1434" s="31" t="n">
        <v>46006.7118055556</v>
      </c>
      <c r="G1434" s="40" t="n">
        <f aca="false">+F1434-E1434</f>
        <v>2.41319444444444</v>
      </c>
      <c r="H1434" s="39" t="s">
        <v>248</v>
      </c>
      <c r="I1434" s="39"/>
      <c r="J1434" s="39" t="s">
        <v>256</v>
      </c>
      <c r="K1434" s="1" t="e">
        <f aca="false">_xlfn.xlookup(J1434,REF!$D$2:$D$12,REF!$E$2:$E$12)</f>
        <v>#NAME?</v>
      </c>
      <c r="L1434" s="39" t="s">
        <v>939</v>
      </c>
      <c r="M1434" s="39" t="s">
        <v>258</v>
      </c>
      <c r="N1434" s="39" t="s">
        <v>379</v>
      </c>
      <c r="O1434" s="39" t="s">
        <v>940</v>
      </c>
      <c r="P1434" s="41" t="str">
        <f aca="false">_xlfn.CONCAT(B1434,C1434,D1434,E1434,F1434)</f>
        <v>Vazante IIInverter 1746004.298611111146004.298611111146006.7118055556</v>
      </c>
      <c r="Q1434" s="1" t="str">
        <f aca="false">_xlfn.CONCAT(H1434,I1434,J1434)</f>
        <v>DAURDE</v>
      </c>
    </row>
    <row r="1435" s="42" customFormat="true" ht="15" hidden="true" customHeight="false" outlineLevel="0" collapsed="false">
      <c r="A1435" s="38"/>
      <c r="B1435" s="39" t="s">
        <v>959</v>
      </c>
      <c r="C1435" s="39" t="s">
        <v>741</v>
      </c>
      <c r="D1435" s="31" t="n">
        <v>46004.2986111111</v>
      </c>
      <c r="E1435" s="31" t="n">
        <v>46004.2986111111</v>
      </c>
      <c r="F1435" s="31" t="n">
        <v>46006.7118055556</v>
      </c>
      <c r="G1435" s="40" t="n">
        <f aca="false">+F1435-E1435</f>
        <v>2.41319444444444</v>
      </c>
      <c r="H1435" s="39" t="s">
        <v>248</v>
      </c>
      <c r="I1435" s="39"/>
      <c r="J1435" s="39" t="s">
        <v>256</v>
      </c>
      <c r="K1435" s="1" t="e">
        <f aca="false">_xlfn.xlookup(J1435,REF!$D$2:$D$12,REF!$E$2:$E$12)</f>
        <v>#NAME?</v>
      </c>
      <c r="L1435" s="39" t="s">
        <v>939</v>
      </c>
      <c r="M1435" s="39" t="s">
        <v>258</v>
      </c>
      <c r="N1435" s="39" t="s">
        <v>379</v>
      </c>
      <c r="O1435" s="39" t="s">
        <v>940</v>
      </c>
      <c r="P1435" s="41" t="str">
        <f aca="false">_xlfn.CONCAT(B1435,C1435,D1435,E1435,F1435)</f>
        <v>Vazante IIIInversor 146004.298611111146004.298611111146006.7118055556</v>
      </c>
      <c r="Q1435" s="1" t="str">
        <f aca="false">_xlfn.CONCAT(H1435,I1435,J1435)</f>
        <v>DAURDE</v>
      </c>
    </row>
    <row r="1436" s="42" customFormat="true" ht="15" hidden="true" customHeight="false" outlineLevel="0" collapsed="false">
      <c r="A1436" s="38"/>
      <c r="B1436" s="39" t="s">
        <v>959</v>
      </c>
      <c r="C1436" s="39" t="s">
        <v>742</v>
      </c>
      <c r="D1436" s="31" t="n">
        <v>46004.2986111111</v>
      </c>
      <c r="E1436" s="31" t="n">
        <v>46004.2986111111</v>
      </c>
      <c r="F1436" s="31" t="n">
        <v>46006.7118055556</v>
      </c>
      <c r="G1436" s="40" t="n">
        <f aca="false">+F1436-E1436</f>
        <v>2.41319444444444</v>
      </c>
      <c r="H1436" s="39" t="s">
        <v>248</v>
      </c>
      <c r="I1436" s="39"/>
      <c r="J1436" s="39" t="s">
        <v>256</v>
      </c>
      <c r="K1436" s="1" t="e">
        <f aca="false">_xlfn.xlookup(J1436,REF!$D$2:$D$12,REF!$E$2:$E$12)</f>
        <v>#NAME?</v>
      </c>
      <c r="L1436" s="39" t="s">
        <v>939</v>
      </c>
      <c r="M1436" s="39" t="s">
        <v>258</v>
      </c>
      <c r="N1436" s="39" t="s">
        <v>379</v>
      </c>
      <c r="O1436" s="39" t="s">
        <v>940</v>
      </c>
      <c r="P1436" s="41" t="str">
        <f aca="false">_xlfn.CONCAT(B1436,C1436,D1436,E1436,F1436)</f>
        <v>Vazante IIIInversor 246004.298611111146004.298611111146006.7118055556</v>
      </c>
      <c r="Q1436" s="1" t="str">
        <f aca="false">_xlfn.CONCAT(H1436,I1436,J1436)</f>
        <v>DAURDE</v>
      </c>
    </row>
    <row r="1437" s="42" customFormat="true" ht="15" hidden="true" customHeight="false" outlineLevel="0" collapsed="false">
      <c r="A1437" s="38"/>
      <c r="B1437" s="39" t="s">
        <v>959</v>
      </c>
      <c r="C1437" s="39" t="s">
        <v>743</v>
      </c>
      <c r="D1437" s="31" t="n">
        <v>46004.2986111111</v>
      </c>
      <c r="E1437" s="31" t="n">
        <v>46004.2986111111</v>
      </c>
      <c r="F1437" s="31" t="n">
        <v>46006.7118055556</v>
      </c>
      <c r="G1437" s="40" t="n">
        <f aca="false">+F1437-E1437</f>
        <v>2.41319444444444</v>
      </c>
      <c r="H1437" s="39" t="s">
        <v>248</v>
      </c>
      <c r="I1437" s="39"/>
      <c r="J1437" s="39" t="s">
        <v>256</v>
      </c>
      <c r="K1437" s="1" t="e">
        <f aca="false">_xlfn.xlookup(J1437,REF!$D$2:$D$12,REF!$E$2:$E$12)</f>
        <v>#NAME?</v>
      </c>
      <c r="L1437" s="39" t="s">
        <v>939</v>
      </c>
      <c r="M1437" s="39" t="s">
        <v>258</v>
      </c>
      <c r="N1437" s="39" t="s">
        <v>379</v>
      </c>
      <c r="O1437" s="39" t="s">
        <v>940</v>
      </c>
      <c r="P1437" s="41" t="str">
        <f aca="false">_xlfn.CONCAT(B1437,C1437,D1437,E1437,F1437)</f>
        <v>Vazante IIIInversor 346004.298611111146004.298611111146006.7118055556</v>
      </c>
      <c r="Q1437" s="1" t="str">
        <f aca="false">_xlfn.CONCAT(H1437,I1437,J1437)</f>
        <v>DAURDE</v>
      </c>
    </row>
    <row r="1438" s="42" customFormat="true" ht="15" hidden="true" customHeight="false" outlineLevel="0" collapsed="false">
      <c r="A1438" s="38"/>
      <c r="B1438" s="39" t="s">
        <v>959</v>
      </c>
      <c r="C1438" s="39" t="s">
        <v>744</v>
      </c>
      <c r="D1438" s="31" t="n">
        <v>46004.2986111111</v>
      </c>
      <c r="E1438" s="31" t="n">
        <v>46004.2986111111</v>
      </c>
      <c r="F1438" s="31" t="n">
        <v>46006.7118055556</v>
      </c>
      <c r="G1438" s="40" t="n">
        <f aca="false">+F1438-E1438</f>
        <v>2.41319444444444</v>
      </c>
      <c r="H1438" s="39" t="s">
        <v>248</v>
      </c>
      <c r="I1438" s="39"/>
      <c r="J1438" s="39" t="s">
        <v>256</v>
      </c>
      <c r="K1438" s="1" t="e">
        <f aca="false">_xlfn.xlookup(J1438,REF!$D$2:$D$12,REF!$E$2:$E$12)</f>
        <v>#NAME?</v>
      </c>
      <c r="L1438" s="39" t="s">
        <v>939</v>
      </c>
      <c r="M1438" s="39" t="s">
        <v>258</v>
      </c>
      <c r="N1438" s="39" t="s">
        <v>379</v>
      </c>
      <c r="O1438" s="39" t="s">
        <v>940</v>
      </c>
      <c r="P1438" s="41" t="str">
        <f aca="false">_xlfn.CONCAT(B1438,C1438,D1438,E1438,F1438)</f>
        <v>Vazante IIIInversor 446004.298611111146004.298611111146006.7118055556</v>
      </c>
      <c r="Q1438" s="1" t="str">
        <f aca="false">_xlfn.CONCAT(H1438,I1438,J1438)</f>
        <v>DAURDE</v>
      </c>
    </row>
    <row r="1439" s="42" customFormat="true" ht="15" hidden="true" customHeight="false" outlineLevel="0" collapsed="false">
      <c r="A1439" s="38"/>
      <c r="B1439" s="39" t="s">
        <v>959</v>
      </c>
      <c r="C1439" s="39" t="s">
        <v>745</v>
      </c>
      <c r="D1439" s="31" t="n">
        <v>46004.2986111111</v>
      </c>
      <c r="E1439" s="31" t="n">
        <v>46004.2986111111</v>
      </c>
      <c r="F1439" s="31" t="n">
        <v>46006.7118055556</v>
      </c>
      <c r="G1439" s="40" t="n">
        <f aca="false">+F1439-E1439</f>
        <v>2.41319444444444</v>
      </c>
      <c r="H1439" s="39" t="s">
        <v>248</v>
      </c>
      <c r="I1439" s="39"/>
      <c r="J1439" s="39" t="s">
        <v>256</v>
      </c>
      <c r="K1439" s="1" t="e">
        <f aca="false">_xlfn.xlookup(J1439,REF!$D$2:$D$12,REF!$E$2:$E$12)</f>
        <v>#NAME?</v>
      </c>
      <c r="L1439" s="39" t="s">
        <v>939</v>
      </c>
      <c r="M1439" s="39" t="s">
        <v>258</v>
      </c>
      <c r="N1439" s="39" t="s">
        <v>379</v>
      </c>
      <c r="O1439" s="39" t="s">
        <v>940</v>
      </c>
      <c r="P1439" s="41" t="str">
        <f aca="false">_xlfn.CONCAT(B1439,C1439,D1439,E1439,F1439)</f>
        <v>Vazante IIIInversor 546004.298611111146004.298611111146006.7118055556</v>
      </c>
      <c r="Q1439" s="1" t="str">
        <f aca="false">_xlfn.CONCAT(H1439,I1439,J1439)</f>
        <v>DAURDE</v>
      </c>
    </row>
    <row r="1440" s="42" customFormat="true" ht="15" hidden="true" customHeight="false" outlineLevel="0" collapsed="false">
      <c r="A1440" s="38"/>
      <c r="B1440" s="39" t="s">
        <v>959</v>
      </c>
      <c r="C1440" s="39" t="s">
        <v>746</v>
      </c>
      <c r="D1440" s="31" t="n">
        <v>46004.2986111111</v>
      </c>
      <c r="E1440" s="31" t="n">
        <v>46004.2986111111</v>
      </c>
      <c r="F1440" s="31" t="n">
        <v>46006.7118055556</v>
      </c>
      <c r="G1440" s="40" t="n">
        <f aca="false">+F1440-E1440</f>
        <v>2.41319444444444</v>
      </c>
      <c r="H1440" s="39" t="s">
        <v>248</v>
      </c>
      <c r="I1440" s="39"/>
      <c r="J1440" s="39" t="s">
        <v>256</v>
      </c>
      <c r="K1440" s="1" t="e">
        <f aca="false">_xlfn.xlookup(J1440,REF!$D$2:$D$12,REF!$E$2:$E$12)</f>
        <v>#NAME?</v>
      </c>
      <c r="L1440" s="39" t="s">
        <v>939</v>
      </c>
      <c r="M1440" s="39" t="s">
        <v>258</v>
      </c>
      <c r="N1440" s="39" t="s">
        <v>379</v>
      </c>
      <c r="O1440" s="39" t="s">
        <v>940</v>
      </c>
      <c r="P1440" s="41" t="str">
        <f aca="false">_xlfn.CONCAT(B1440,C1440,D1440,E1440,F1440)</f>
        <v>Vazante IIIInversor 646004.298611111146004.298611111146006.7118055556</v>
      </c>
      <c r="Q1440" s="1" t="str">
        <f aca="false">_xlfn.CONCAT(H1440,I1440,J1440)</f>
        <v>DAURDE</v>
      </c>
    </row>
    <row r="1441" s="42" customFormat="true" ht="15" hidden="true" customHeight="false" outlineLevel="0" collapsed="false">
      <c r="A1441" s="38"/>
      <c r="B1441" s="39" t="s">
        <v>959</v>
      </c>
      <c r="C1441" s="39" t="s">
        <v>747</v>
      </c>
      <c r="D1441" s="31" t="n">
        <v>46004.2986111111</v>
      </c>
      <c r="E1441" s="31" t="n">
        <v>46004.2986111111</v>
      </c>
      <c r="F1441" s="31" t="n">
        <v>46006.7118055556</v>
      </c>
      <c r="G1441" s="40" t="n">
        <f aca="false">+F1441-E1441</f>
        <v>2.41319444444444</v>
      </c>
      <c r="H1441" s="39" t="s">
        <v>248</v>
      </c>
      <c r="I1441" s="39"/>
      <c r="J1441" s="39" t="s">
        <v>256</v>
      </c>
      <c r="K1441" s="1" t="e">
        <f aca="false">_xlfn.xlookup(J1441,REF!$D$2:$D$12,REF!$E$2:$E$12)</f>
        <v>#NAME?</v>
      </c>
      <c r="L1441" s="39" t="s">
        <v>939</v>
      </c>
      <c r="M1441" s="39" t="s">
        <v>258</v>
      </c>
      <c r="N1441" s="39" t="s">
        <v>379</v>
      </c>
      <c r="O1441" s="39" t="s">
        <v>940</v>
      </c>
      <c r="P1441" s="41" t="str">
        <f aca="false">_xlfn.CONCAT(B1441,C1441,D1441,E1441,F1441)</f>
        <v>Vazante IIIInversor 746004.298611111146004.298611111146006.7118055556</v>
      </c>
      <c r="Q1441" s="1" t="str">
        <f aca="false">_xlfn.CONCAT(H1441,I1441,J1441)</f>
        <v>DAURDE</v>
      </c>
    </row>
    <row r="1442" s="42" customFormat="true" ht="15" hidden="true" customHeight="false" outlineLevel="0" collapsed="false">
      <c r="A1442" s="38"/>
      <c r="B1442" s="39" t="s">
        <v>959</v>
      </c>
      <c r="C1442" s="39" t="s">
        <v>748</v>
      </c>
      <c r="D1442" s="31" t="n">
        <v>46004.2986111111</v>
      </c>
      <c r="E1442" s="31" t="n">
        <v>46004.2986111111</v>
      </c>
      <c r="F1442" s="31" t="n">
        <v>46006.7118055556</v>
      </c>
      <c r="G1442" s="40" t="n">
        <f aca="false">+F1442-E1442</f>
        <v>2.41319444444444</v>
      </c>
      <c r="H1442" s="39" t="s">
        <v>248</v>
      </c>
      <c r="I1442" s="39"/>
      <c r="J1442" s="39" t="s">
        <v>256</v>
      </c>
      <c r="K1442" s="1" t="e">
        <f aca="false">_xlfn.xlookup(J1442,REF!$D$2:$D$12,REF!$E$2:$E$12)</f>
        <v>#NAME?</v>
      </c>
      <c r="L1442" s="39" t="s">
        <v>939</v>
      </c>
      <c r="M1442" s="39" t="s">
        <v>258</v>
      </c>
      <c r="N1442" s="39" t="s">
        <v>379</v>
      </c>
      <c r="O1442" s="39" t="s">
        <v>940</v>
      </c>
      <c r="P1442" s="41" t="str">
        <f aca="false">_xlfn.CONCAT(B1442,C1442,D1442,E1442,F1442)</f>
        <v>Vazante IIIInversor 846004.298611111146004.298611111146006.7118055556</v>
      </c>
      <c r="Q1442" s="1" t="str">
        <f aca="false">_xlfn.CONCAT(H1442,I1442,J1442)</f>
        <v>DAURDE</v>
      </c>
    </row>
    <row r="1443" s="42" customFormat="true" ht="15" hidden="true" customHeight="false" outlineLevel="0" collapsed="false">
      <c r="A1443" s="38"/>
      <c r="B1443" s="39" t="s">
        <v>959</v>
      </c>
      <c r="C1443" s="39" t="s">
        <v>749</v>
      </c>
      <c r="D1443" s="31" t="n">
        <v>46004.2986111111</v>
      </c>
      <c r="E1443" s="31" t="n">
        <v>46004.2986111111</v>
      </c>
      <c r="F1443" s="31" t="n">
        <v>46006.7118055556</v>
      </c>
      <c r="G1443" s="40" t="n">
        <f aca="false">+F1443-E1443</f>
        <v>2.41319444444444</v>
      </c>
      <c r="H1443" s="39" t="s">
        <v>248</v>
      </c>
      <c r="I1443" s="39"/>
      <c r="J1443" s="39" t="s">
        <v>256</v>
      </c>
      <c r="K1443" s="1" t="e">
        <f aca="false">_xlfn.xlookup(J1443,REF!$D$2:$D$12,REF!$E$2:$E$12)</f>
        <v>#NAME?</v>
      </c>
      <c r="L1443" s="39" t="s">
        <v>939</v>
      </c>
      <c r="M1443" s="39" t="s">
        <v>258</v>
      </c>
      <c r="N1443" s="39" t="s">
        <v>379</v>
      </c>
      <c r="O1443" s="39" t="s">
        <v>940</v>
      </c>
      <c r="P1443" s="41" t="str">
        <f aca="false">_xlfn.CONCAT(B1443,C1443,D1443,E1443,F1443)</f>
        <v>Vazante IIIInversor 946004.298611111146004.298611111146006.7118055556</v>
      </c>
      <c r="Q1443" s="1" t="str">
        <f aca="false">_xlfn.CONCAT(H1443,I1443,J1443)</f>
        <v>DAURDE</v>
      </c>
    </row>
    <row r="1444" s="42" customFormat="true" ht="15" hidden="true" customHeight="false" outlineLevel="0" collapsed="false">
      <c r="A1444" s="38"/>
      <c r="B1444" s="39" t="s">
        <v>960</v>
      </c>
      <c r="C1444" s="39" t="s">
        <v>961</v>
      </c>
      <c r="D1444" s="31" t="n">
        <v>46004.2986111111</v>
      </c>
      <c r="E1444" s="31" t="n">
        <v>46004.2986111111</v>
      </c>
      <c r="F1444" s="31" t="n">
        <v>46006.7118055556</v>
      </c>
      <c r="G1444" s="40" t="n">
        <f aca="false">+F1444-E1444</f>
        <v>2.41319444444444</v>
      </c>
      <c r="H1444" s="39" t="s">
        <v>248</v>
      </c>
      <c r="I1444" s="39"/>
      <c r="J1444" s="39" t="s">
        <v>256</v>
      </c>
      <c r="K1444" s="1" t="e">
        <f aca="false">_xlfn.xlookup(J1444,REF!$D$2:$D$12,REF!$E$2:$E$12)</f>
        <v>#NAME?</v>
      </c>
      <c r="L1444" s="39" t="s">
        <v>939</v>
      </c>
      <c r="M1444" s="39" t="s">
        <v>258</v>
      </c>
      <c r="N1444" s="39" t="s">
        <v>379</v>
      </c>
      <c r="O1444" s="39" t="s">
        <v>940</v>
      </c>
      <c r="P1444" s="41" t="str">
        <f aca="false">_xlfn.CONCAT(B1444,C1444,D1444,E1444,F1444)</f>
        <v>VAZANTE II - UFV 1Inverter-ES217002861046004.298611111146004.298611111146006.7118055556</v>
      </c>
      <c r="Q1444" s="1" t="str">
        <f aca="false">_xlfn.CONCAT(H1444,I1444,J1444)</f>
        <v>DAURDE</v>
      </c>
    </row>
    <row r="1445" s="42" customFormat="true" ht="15" hidden="true" customHeight="false" outlineLevel="0" collapsed="false">
      <c r="A1445" s="38"/>
      <c r="B1445" s="39" t="s">
        <v>960</v>
      </c>
      <c r="C1445" s="39" t="s">
        <v>962</v>
      </c>
      <c r="D1445" s="31" t="n">
        <v>46004.2986111111</v>
      </c>
      <c r="E1445" s="31" t="n">
        <v>46004.2986111111</v>
      </c>
      <c r="F1445" s="31" t="n">
        <v>46006.7118055556</v>
      </c>
      <c r="G1445" s="40" t="n">
        <f aca="false">+F1445-E1445</f>
        <v>2.41319444444444</v>
      </c>
      <c r="H1445" s="39" t="s">
        <v>248</v>
      </c>
      <c r="I1445" s="39"/>
      <c r="J1445" s="39" t="s">
        <v>256</v>
      </c>
      <c r="K1445" s="1" t="e">
        <f aca="false">_xlfn.xlookup(J1445,REF!$D$2:$D$12,REF!$E$2:$E$12)</f>
        <v>#NAME?</v>
      </c>
      <c r="L1445" s="39" t="s">
        <v>939</v>
      </c>
      <c r="M1445" s="39" t="s">
        <v>258</v>
      </c>
      <c r="N1445" s="39" t="s">
        <v>379</v>
      </c>
      <c r="O1445" s="39" t="s">
        <v>940</v>
      </c>
      <c r="P1445" s="41" t="str">
        <f aca="false">_xlfn.CONCAT(B1445,C1445,D1445,E1445,F1445)</f>
        <v>VAZANTE II - UFV 1Inverter-ES218005918546004.298611111146004.298611111146006.7118055556</v>
      </c>
      <c r="Q1445" s="1" t="str">
        <f aca="false">_xlfn.CONCAT(H1445,I1445,J1445)</f>
        <v>DAURDE</v>
      </c>
    </row>
    <row r="1446" s="42" customFormat="true" ht="15" hidden="true" customHeight="false" outlineLevel="0" collapsed="false">
      <c r="A1446" s="38"/>
      <c r="B1446" s="39" t="s">
        <v>960</v>
      </c>
      <c r="C1446" s="39" t="s">
        <v>963</v>
      </c>
      <c r="D1446" s="31" t="n">
        <v>46004.2986111111</v>
      </c>
      <c r="E1446" s="31" t="n">
        <v>46004.2986111111</v>
      </c>
      <c r="F1446" s="31" t="n">
        <v>46006.7118055556</v>
      </c>
      <c r="G1446" s="40" t="n">
        <f aca="false">+F1446-E1446</f>
        <v>2.41319444444444</v>
      </c>
      <c r="H1446" s="39" t="s">
        <v>248</v>
      </c>
      <c r="I1446" s="39"/>
      <c r="J1446" s="39" t="s">
        <v>256</v>
      </c>
      <c r="K1446" s="1" t="e">
        <f aca="false">_xlfn.xlookup(J1446,REF!$D$2:$D$12,REF!$E$2:$E$12)</f>
        <v>#NAME?</v>
      </c>
      <c r="L1446" s="39" t="s">
        <v>939</v>
      </c>
      <c r="M1446" s="39" t="s">
        <v>258</v>
      </c>
      <c r="N1446" s="39" t="s">
        <v>379</v>
      </c>
      <c r="O1446" s="39" t="s">
        <v>940</v>
      </c>
      <c r="P1446" s="41" t="str">
        <f aca="false">_xlfn.CONCAT(B1446,C1446,D1446,E1446,F1446)</f>
        <v>VAZANTE II - UFV 1Inverter-ES218005834846004.298611111146004.298611111146006.7118055556</v>
      </c>
      <c r="Q1446" s="1" t="str">
        <f aca="false">_xlfn.CONCAT(H1446,I1446,J1446)</f>
        <v>DAURDE</v>
      </c>
    </row>
    <row r="1447" s="42" customFormat="true" ht="15" hidden="true" customHeight="false" outlineLevel="0" collapsed="false">
      <c r="A1447" s="38"/>
      <c r="B1447" s="39" t="s">
        <v>960</v>
      </c>
      <c r="C1447" s="39" t="s">
        <v>964</v>
      </c>
      <c r="D1447" s="31" t="n">
        <v>46004.2986111111</v>
      </c>
      <c r="E1447" s="31" t="n">
        <v>46004.2986111111</v>
      </c>
      <c r="F1447" s="31" t="n">
        <v>46006.7118055556</v>
      </c>
      <c r="G1447" s="40" t="n">
        <f aca="false">+F1447-E1447</f>
        <v>2.41319444444444</v>
      </c>
      <c r="H1447" s="39" t="s">
        <v>248</v>
      </c>
      <c r="I1447" s="39"/>
      <c r="J1447" s="39" t="s">
        <v>256</v>
      </c>
      <c r="K1447" s="1" t="e">
        <f aca="false">_xlfn.xlookup(J1447,REF!$D$2:$D$12,REF!$E$2:$E$12)</f>
        <v>#NAME?</v>
      </c>
      <c r="L1447" s="39" t="s">
        <v>939</v>
      </c>
      <c r="M1447" s="39" t="s">
        <v>258</v>
      </c>
      <c r="N1447" s="39" t="s">
        <v>379</v>
      </c>
      <c r="O1447" s="39" t="s">
        <v>940</v>
      </c>
      <c r="P1447" s="41" t="str">
        <f aca="false">_xlfn.CONCAT(B1447,C1447,D1447,E1447,F1447)</f>
        <v>VAZANTE II - UFV 1Inverter-ES217008032846004.298611111146004.298611111146006.7118055556</v>
      </c>
      <c r="Q1447" s="1" t="str">
        <f aca="false">_xlfn.CONCAT(H1447,I1447,J1447)</f>
        <v>DAURDE</v>
      </c>
    </row>
    <row r="1448" s="42" customFormat="true" ht="15" hidden="true" customHeight="false" outlineLevel="0" collapsed="false">
      <c r="A1448" s="38"/>
      <c r="B1448" s="39" t="s">
        <v>960</v>
      </c>
      <c r="C1448" s="39" t="s">
        <v>965</v>
      </c>
      <c r="D1448" s="31" t="n">
        <v>46004.2986111111</v>
      </c>
      <c r="E1448" s="31" t="n">
        <v>46004.2986111111</v>
      </c>
      <c r="F1448" s="31" t="n">
        <v>46006.7118055556</v>
      </c>
      <c r="G1448" s="40" t="n">
        <f aca="false">+F1448-E1448</f>
        <v>2.41319444444444</v>
      </c>
      <c r="H1448" s="39" t="s">
        <v>248</v>
      </c>
      <c r="I1448" s="39"/>
      <c r="J1448" s="39" t="s">
        <v>256</v>
      </c>
      <c r="K1448" s="1" t="e">
        <f aca="false">_xlfn.xlookup(J1448,REF!$D$2:$D$12,REF!$E$2:$E$12)</f>
        <v>#NAME?</v>
      </c>
      <c r="L1448" s="39" t="s">
        <v>939</v>
      </c>
      <c r="M1448" s="39" t="s">
        <v>258</v>
      </c>
      <c r="N1448" s="39" t="s">
        <v>379</v>
      </c>
      <c r="O1448" s="39" t="s">
        <v>940</v>
      </c>
      <c r="P1448" s="41" t="str">
        <f aca="false">_xlfn.CONCAT(B1448,C1448,D1448,E1448,F1448)</f>
        <v>VAZANTE II - UFV 1Inverter-ES219001107946004.298611111146004.298611111146006.7118055556</v>
      </c>
      <c r="Q1448" s="1" t="str">
        <f aca="false">_xlfn.CONCAT(H1448,I1448,J1448)</f>
        <v>DAURDE</v>
      </c>
    </row>
    <row r="1449" s="42" customFormat="true" ht="15" hidden="true" customHeight="false" outlineLevel="0" collapsed="false">
      <c r="A1449" s="38"/>
      <c r="B1449" s="39" t="s">
        <v>923</v>
      </c>
      <c r="C1449" s="39" t="s">
        <v>924</v>
      </c>
      <c r="D1449" s="31" t="n">
        <v>46004.2986111111</v>
      </c>
      <c r="E1449" s="31" t="n">
        <v>46004.2986111111</v>
      </c>
      <c r="F1449" s="31" t="n">
        <v>46006.7118055556</v>
      </c>
      <c r="G1449" s="40" t="n">
        <f aca="false">+F1449-E1449</f>
        <v>2.41319444444444</v>
      </c>
      <c r="H1449" s="39" t="s">
        <v>248</v>
      </c>
      <c r="I1449" s="39"/>
      <c r="J1449" s="39" t="s">
        <v>256</v>
      </c>
      <c r="K1449" s="1" t="e">
        <f aca="false">_xlfn.xlookup(J1449,REF!$D$2:$D$12,REF!$E$2:$E$12)</f>
        <v>#NAME?</v>
      </c>
      <c r="L1449" s="39" t="s">
        <v>939</v>
      </c>
      <c r="M1449" s="39" t="s">
        <v>258</v>
      </c>
      <c r="N1449" s="39" t="s">
        <v>379</v>
      </c>
      <c r="O1449" s="39" t="s">
        <v>940</v>
      </c>
      <c r="P1449" s="41" t="str">
        <f aca="false">_xlfn.CONCAT(B1449,C1449,D1449,E1449,F1449)</f>
        <v>VAZANTE II - UFV 2Inverter-ES218005834946004.298611111146004.298611111146006.7118055556</v>
      </c>
      <c r="Q1449" s="1" t="str">
        <f aca="false">_xlfn.CONCAT(H1449,I1449,J1449)</f>
        <v>DAURDE</v>
      </c>
    </row>
    <row r="1450" s="42" customFormat="true" ht="15" hidden="true" customHeight="false" outlineLevel="0" collapsed="false">
      <c r="A1450" s="38"/>
      <c r="B1450" s="39" t="s">
        <v>923</v>
      </c>
      <c r="C1450" s="39" t="s">
        <v>928</v>
      </c>
      <c r="D1450" s="31" t="n">
        <v>46004.2986111111</v>
      </c>
      <c r="E1450" s="31" t="n">
        <v>46004.2986111111</v>
      </c>
      <c r="F1450" s="31" t="n">
        <v>46006.7118055556</v>
      </c>
      <c r="G1450" s="40" t="n">
        <f aca="false">+F1450-E1450</f>
        <v>2.41319444444444</v>
      </c>
      <c r="H1450" s="39" t="s">
        <v>248</v>
      </c>
      <c r="I1450" s="39"/>
      <c r="J1450" s="39" t="s">
        <v>256</v>
      </c>
      <c r="K1450" s="1" t="e">
        <f aca="false">_xlfn.xlookup(J1450,REF!$D$2:$D$12,REF!$E$2:$E$12)</f>
        <v>#NAME?</v>
      </c>
      <c r="L1450" s="39" t="s">
        <v>939</v>
      </c>
      <c r="M1450" s="39" t="s">
        <v>258</v>
      </c>
      <c r="N1450" s="39" t="s">
        <v>379</v>
      </c>
      <c r="O1450" s="39" t="s">
        <v>940</v>
      </c>
      <c r="P1450" s="41" t="str">
        <f aca="false">_xlfn.CONCAT(B1450,C1450,D1450,E1450,F1450)</f>
        <v>VAZANTE II - UFV 2Inverter-ES217002732646004.298611111146004.298611111146006.7118055556</v>
      </c>
      <c r="Q1450" s="1" t="str">
        <f aca="false">_xlfn.CONCAT(H1450,I1450,J1450)</f>
        <v>DAURDE</v>
      </c>
    </row>
    <row r="1451" s="42" customFormat="true" ht="15" hidden="true" customHeight="false" outlineLevel="0" collapsed="false">
      <c r="A1451" s="38"/>
      <c r="B1451" s="39" t="s">
        <v>923</v>
      </c>
      <c r="C1451" s="39" t="s">
        <v>966</v>
      </c>
      <c r="D1451" s="31" t="n">
        <v>46004.2986111111</v>
      </c>
      <c r="E1451" s="31" t="n">
        <v>46004.2986111111</v>
      </c>
      <c r="F1451" s="31" t="n">
        <v>46006.7118055556</v>
      </c>
      <c r="G1451" s="40" t="n">
        <f aca="false">+F1451-E1451</f>
        <v>2.41319444444444</v>
      </c>
      <c r="H1451" s="39" t="s">
        <v>248</v>
      </c>
      <c r="I1451" s="39"/>
      <c r="J1451" s="39" t="s">
        <v>256</v>
      </c>
      <c r="K1451" s="1" t="e">
        <f aca="false">_xlfn.xlookup(J1451,REF!$D$2:$D$12,REF!$E$2:$E$12)</f>
        <v>#NAME?</v>
      </c>
      <c r="L1451" s="39" t="s">
        <v>939</v>
      </c>
      <c r="M1451" s="39" t="s">
        <v>258</v>
      </c>
      <c r="N1451" s="39" t="s">
        <v>379</v>
      </c>
      <c r="O1451" s="39" t="s">
        <v>940</v>
      </c>
      <c r="P1451" s="41" t="str">
        <f aca="false">_xlfn.CONCAT(B1451,C1451,D1451,E1451,F1451)</f>
        <v>VAZANTE II - UFV 2Inverter-ES217002866446004.298611111146004.298611111146006.7118055556</v>
      </c>
      <c r="Q1451" s="1" t="str">
        <f aca="false">_xlfn.CONCAT(H1451,I1451,J1451)</f>
        <v>DAURDE</v>
      </c>
    </row>
    <row r="1452" s="42" customFormat="true" ht="15" hidden="true" customHeight="false" outlineLevel="0" collapsed="false">
      <c r="A1452" s="38"/>
      <c r="B1452" s="39" t="s">
        <v>923</v>
      </c>
      <c r="C1452" s="39" t="s">
        <v>930</v>
      </c>
      <c r="D1452" s="31" t="n">
        <v>46004.2986111111</v>
      </c>
      <c r="E1452" s="31" t="n">
        <v>46004.2986111111</v>
      </c>
      <c r="F1452" s="31" t="n">
        <v>46006.7118055556</v>
      </c>
      <c r="G1452" s="40" t="n">
        <f aca="false">+F1452-E1452</f>
        <v>2.41319444444444</v>
      </c>
      <c r="H1452" s="39" t="s">
        <v>248</v>
      </c>
      <c r="I1452" s="39"/>
      <c r="J1452" s="39" t="s">
        <v>256</v>
      </c>
      <c r="K1452" s="1" t="e">
        <f aca="false">_xlfn.xlookup(J1452,REF!$D$2:$D$12,REF!$E$2:$E$12)</f>
        <v>#NAME?</v>
      </c>
      <c r="L1452" s="39" t="s">
        <v>939</v>
      </c>
      <c r="M1452" s="39" t="s">
        <v>258</v>
      </c>
      <c r="N1452" s="39" t="s">
        <v>379</v>
      </c>
      <c r="O1452" s="39" t="s">
        <v>940</v>
      </c>
      <c r="P1452" s="41" t="str">
        <f aca="false">_xlfn.CONCAT(B1452,C1452,D1452,E1452,F1452)</f>
        <v>VAZANTE II - UFV 2Inverter-ES218005897746004.298611111146004.298611111146006.7118055556</v>
      </c>
      <c r="Q1452" s="1" t="str">
        <f aca="false">_xlfn.CONCAT(H1452,I1452,J1452)</f>
        <v>DAURDE</v>
      </c>
    </row>
    <row r="1453" s="42" customFormat="true" ht="15" hidden="true" customHeight="false" outlineLevel="0" collapsed="false">
      <c r="A1453" s="38"/>
      <c r="B1453" s="39" t="s">
        <v>923</v>
      </c>
      <c r="C1453" s="39" t="s">
        <v>931</v>
      </c>
      <c r="D1453" s="31" t="n">
        <v>46004.2986111111</v>
      </c>
      <c r="E1453" s="31" t="n">
        <v>46004.2986111111</v>
      </c>
      <c r="F1453" s="31" t="n">
        <v>46006.7118055556</v>
      </c>
      <c r="G1453" s="40" t="n">
        <f aca="false">+F1453-E1453</f>
        <v>2.41319444444444</v>
      </c>
      <c r="H1453" s="39" t="s">
        <v>248</v>
      </c>
      <c r="I1453" s="39"/>
      <c r="J1453" s="39" t="s">
        <v>256</v>
      </c>
      <c r="K1453" s="1" t="e">
        <f aca="false">_xlfn.xlookup(J1453,REF!$D$2:$D$12,REF!$E$2:$E$12)</f>
        <v>#NAME?</v>
      </c>
      <c r="L1453" s="39" t="s">
        <v>939</v>
      </c>
      <c r="M1453" s="39" t="s">
        <v>258</v>
      </c>
      <c r="N1453" s="39" t="s">
        <v>379</v>
      </c>
      <c r="O1453" s="39" t="s">
        <v>940</v>
      </c>
      <c r="P1453" s="41" t="str">
        <f aca="false">_xlfn.CONCAT(B1453,C1453,D1453,E1453,F1453)</f>
        <v>VAZANTE II - UFV 2Inverter-ES217002814146004.298611111146004.298611111146006.7118055556</v>
      </c>
      <c r="Q1453" s="1" t="str">
        <f aca="false">_xlfn.CONCAT(H1453,I1453,J1453)</f>
        <v>DAURDE</v>
      </c>
    </row>
    <row r="1454" s="42" customFormat="true" ht="15" hidden="true" customHeight="false" outlineLevel="0" collapsed="false">
      <c r="A1454" s="38"/>
      <c r="B1454" s="39" t="s">
        <v>967</v>
      </c>
      <c r="C1454" s="39" t="s">
        <v>968</v>
      </c>
      <c r="D1454" s="31" t="n">
        <v>46004.2986111111</v>
      </c>
      <c r="E1454" s="31" t="n">
        <v>46004.2986111111</v>
      </c>
      <c r="F1454" s="31" t="n">
        <v>46006.7118055556</v>
      </c>
      <c r="G1454" s="40" t="n">
        <f aca="false">+F1454-E1454</f>
        <v>2.41319444444444</v>
      </c>
      <c r="H1454" s="39" t="s">
        <v>248</v>
      </c>
      <c r="I1454" s="39"/>
      <c r="J1454" s="39" t="s">
        <v>256</v>
      </c>
      <c r="K1454" s="1" t="e">
        <f aca="false">_xlfn.xlookup(J1454,REF!$D$2:$D$12,REF!$E$2:$E$12)</f>
        <v>#NAME?</v>
      </c>
      <c r="L1454" s="39" t="s">
        <v>939</v>
      </c>
      <c r="M1454" s="39" t="s">
        <v>258</v>
      </c>
      <c r="N1454" s="39" t="s">
        <v>379</v>
      </c>
      <c r="O1454" s="39" t="s">
        <v>940</v>
      </c>
      <c r="P1454" s="41" t="str">
        <f aca="false">_xlfn.CONCAT(B1454,C1454,D1454,E1454,F1454)</f>
        <v>VAZANTE II - UFV 3Inverter-ES219001107046004.298611111146004.298611111146006.7118055556</v>
      </c>
      <c r="Q1454" s="1" t="str">
        <f aca="false">_xlfn.CONCAT(H1454,I1454,J1454)</f>
        <v>DAURDE</v>
      </c>
    </row>
    <row r="1455" s="42" customFormat="true" ht="15" hidden="true" customHeight="false" outlineLevel="0" collapsed="false">
      <c r="A1455" s="38"/>
      <c r="B1455" s="39" t="s">
        <v>967</v>
      </c>
      <c r="C1455" s="39" t="s">
        <v>969</v>
      </c>
      <c r="D1455" s="31" t="n">
        <v>46004.2986111111</v>
      </c>
      <c r="E1455" s="31" t="n">
        <v>46004.2986111111</v>
      </c>
      <c r="F1455" s="31" t="n">
        <v>46006.7118055556</v>
      </c>
      <c r="G1455" s="40" t="n">
        <f aca="false">+F1455-E1455</f>
        <v>2.41319444444444</v>
      </c>
      <c r="H1455" s="39" t="s">
        <v>248</v>
      </c>
      <c r="I1455" s="39"/>
      <c r="J1455" s="39" t="s">
        <v>256</v>
      </c>
      <c r="K1455" s="1" t="e">
        <f aca="false">_xlfn.xlookup(J1455,REF!$D$2:$D$12,REF!$E$2:$E$12)</f>
        <v>#NAME?</v>
      </c>
      <c r="L1455" s="39" t="s">
        <v>939</v>
      </c>
      <c r="M1455" s="39" t="s">
        <v>258</v>
      </c>
      <c r="N1455" s="39" t="s">
        <v>379</v>
      </c>
      <c r="O1455" s="39" t="s">
        <v>940</v>
      </c>
      <c r="P1455" s="41" t="str">
        <f aca="false">_xlfn.CONCAT(B1455,C1455,D1455,E1455,F1455)</f>
        <v>VAZANTE II - UFV 3Inverter-ES218005835046004.298611111146004.298611111146006.7118055556</v>
      </c>
      <c r="Q1455" s="1" t="str">
        <f aca="false">_xlfn.CONCAT(H1455,I1455,J1455)</f>
        <v>DAURDE</v>
      </c>
    </row>
    <row r="1456" s="42" customFormat="true" ht="15" hidden="true" customHeight="false" outlineLevel="0" collapsed="false">
      <c r="A1456" s="38"/>
      <c r="B1456" s="39" t="s">
        <v>967</v>
      </c>
      <c r="C1456" s="39" t="s">
        <v>970</v>
      </c>
      <c r="D1456" s="31" t="n">
        <v>46004.2986111111</v>
      </c>
      <c r="E1456" s="31" t="n">
        <v>46004.2986111111</v>
      </c>
      <c r="F1456" s="31" t="n">
        <v>46006.7118055556</v>
      </c>
      <c r="G1456" s="40" t="n">
        <f aca="false">+F1456-E1456</f>
        <v>2.41319444444444</v>
      </c>
      <c r="H1456" s="39" t="s">
        <v>248</v>
      </c>
      <c r="I1456" s="39"/>
      <c r="J1456" s="39" t="s">
        <v>256</v>
      </c>
      <c r="K1456" s="1" t="e">
        <f aca="false">_xlfn.xlookup(J1456,REF!$D$2:$D$12,REF!$E$2:$E$12)</f>
        <v>#NAME?</v>
      </c>
      <c r="L1456" s="39" t="s">
        <v>939</v>
      </c>
      <c r="M1456" s="39" t="s">
        <v>258</v>
      </c>
      <c r="N1456" s="39" t="s">
        <v>379</v>
      </c>
      <c r="O1456" s="39" t="s">
        <v>940</v>
      </c>
      <c r="P1456" s="41" t="str">
        <f aca="false">_xlfn.CONCAT(B1456,C1456,D1456,E1456,F1456)</f>
        <v>VAZANTE II - UFV 3Inverter-ES224006061446004.298611111146004.298611111146006.7118055556</v>
      </c>
      <c r="Q1456" s="1" t="str">
        <f aca="false">_xlfn.CONCAT(H1456,I1456,J1456)</f>
        <v>DAURDE</v>
      </c>
    </row>
    <row r="1457" customFormat="false" ht="15" hidden="true" customHeight="false" outlineLevel="0" collapsed="false">
      <c r="B1457" s="1" t="s">
        <v>382</v>
      </c>
      <c r="C1457" s="1" t="s">
        <v>383</v>
      </c>
      <c r="D1457" s="14" t="n">
        <v>46007.8333333333</v>
      </c>
      <c r="E1457" s="14" t="n">
        <v>46007.8333333333</v>
      </c>
      <c r="F1457" s="14" t="n">
        <v>46008.3256944444</v>
      </c>
      <c r="G1457" s="15" t="n">
        <f aca="false">+F1457-E1457</f>
        <v>0.492361111111111</v>
      </c>
      <c r="H1457" s="1" t="s">
        <v>248</v>
      </c>
      <c r="J1457" s="1" t="s">
        <v>230</v>
      </c>
      <c r="K1457" s="1" t="e">
        <f aca="false">_xlfn.xlookup(J1457,REF!$D$2:$D$12,REF!$E$2:$E$12)</f>
        <v>#NAME?</v>
      </c>
      <c r="L1457" s="30" t="s">
        <v>410</v>
      </c>
      <c r="M1457" s="1" t="s">
        <v>783</v>
      </c>
      <c r="N1457" s="1" t="s">
        <v>252</v>
      </c>
      <c r="O1457" s="1" t="s">
        <v>914</v>
      </c>
      <c r="P1457" s="1" t="str">
        <f aca="false">_xlfn.CONCAT(B1457,C1457,D1457,E1457,F1457)</f>
        <v>ARAGUATINS 1.3Inverter(MBUS-20)46007.833333333346007.833333333346008.3256944444</v>
      </c>
      <c r="Q1457" s="1" t="str">
        <f aca="false">_xlfn.CONCAT(H1457,I1457,J1457)</f>
        <v>DAUUFV</v>
      </c>
    </row>
    <row r="1458" customFormat="false" ht="15" hidden="true" customHeight="false" outlineLevel="0" collapsed="false">
      <c r="B1458" s="1" t="s">
        <v>382</v>
      </c>
      <c r="C1458" s="1" t="s">
        <v>255</v>
      </c>
      <c r="D1458" s="14" t="n">
        <v>46007.8333333333</v>
      </c>
      <c r="E1458" s="14" t="n">
        <v>46007.8333333333</v>
      </c>
      <c r="F1458" s="14" t="n">
        <v>46008.3256944444</v>
      </c>
      <c r="G1458" s="15" t="n">
        <f aca="false">+F1458-E1458</f>
        <v>0.492361111111111</v>
      </c>
      <c r="H1458" s="1" t="s">
        <v>248</v>
      </c>
      <c r="J1458" s="1" t="s">
        <v>230</v>
      </c>
      <c r="K1458" s="1" t="e">
        <f aca="false">_xlfn.xlookup(J1458,REF!$D$2:$D$12,REF!$E$2:$E$12)</f>
        <v>#NAME?</v>
      </c>
      <c r="L1458" s="30" t="s">
        <v>410</v>
      </c>
      <c r="M1458" s="1" t="s">
        <v>783</v>
      </c>
      <c r="N1458" s="1" t="s">
        <v>252</v>
      </c>
      <c r="O1458" s="1" t="s">
        <v>914</v>
      </c>
      <c r="P1458" s="1" t="str">
        <f aca="false">_xlfn.CONCAT(B1458,C1458,D1458,E1458,F1458)</f>
        <v>ARAGUATINS 1.3Inverter(MBUS-1)46007.833333333346007.833333333346008.3256944444</v>
      </c>
      <c r="Q1458" s="1" t="str">
        <f aca="false">_xlfn.CONCAT(H1458,I1458,J1458)</f>
        <v>DAUUFV</v>
      </c>
    </row>
    <row r="1459" customFormat="false" ht="15" hidden="true" customHeight="false" outlineLevel="0" collapsed="false">
      <c r="A1459" s="43"/>
      <c r="B1459" s="44" t="s">
        <v>698</v>
      </c>
      <c r="C1459" s="44" t="s">
        <v>247</v>
      </c>
      <c r="D1459" s="45" t="n">
        <v>45998.6875</v>
      </c>
      <c r="E1459" s="45" t="n">
        <v>45998.6875</v>
      </c>
      <c r="F1459" s="45" t="n">
        <v>46022.9999884259</v>
      </c>
      <c r="G1459" s="46" t="n">
        <f aca="false">F1459-E1459</f>
        <v>24.3124884259259</v>
      </c>
      <c r="H1459" s="44" t="s">
        <v>248</v>
      </c>
      <c r="I1459" s="44" t="s">
        <v>971</v>
      </c>
      <c r="J1459" s="44" t="s">
        <v>411</v>
      </c>
      <c r="K1459" s="1" t="e">
        <f aca="false">_xlfn.xlookup(J1459,REF!$D$2:$D$12,REF!$E$2:$E$12)</f>
        <v>#NAME?</v>
      </c>
      <c r="L1459" s="44" t="s">
        <v>972</v>
      </c>
      <c r="M1459" s="44" t="s">
        <v>288</v>
      </c>
      <c r="N1459" s="44" t="s">
        <v>289</v>
      </c>
      <c r="O1459" s="44" t="s">
        <v>973</v>
      </c>
      <c r="P1459" s="1" t="str">
        <f aca="false">_xlfn.CONCAT(B1459,C1459,D1459,E1459,F1459)</f>
        <v>BC Formoso1.2Inverter(MBUS-13)45998.687545998.687546022.9999884259</v>
      </c>
      <c r="Q1459" s="1" t="str">
        <f aca="false">_xlfn.CONCAT(H1459,I1459,J1459)</f>
        <v>DAU PRT</v>
      </c>
    </row>
    <row r="1460" customFormat="false" ht="15" hidden="true" customHeight="false" outlineLevel="0" collapsed="false">
      <c r="A1460" s="43"/>
      <c r="B1460" s="44" t="s">
        <v>698</v>
      </c>
      <c r="C1460" s="44" t="s">
        <v>277</v>
      </c>
      <c r="D1460" s="45" t="n">
        <v>45998.6875</v>
      </c>
      <c r="E1460" s="45" t="n">
        <v>45998.6875</v>
      </c>
      <c r="F1460" s="45" t="n">
        <v>46022.9999884259</v>
      </c>
      <c r="G1460" s="46" t="n">
        <f aca="false">F1460-E1460</f>
        <v>24.3124884259259</v>
      </c>
      <c r="H1460" s="44" t="s">
        <v>248</v>
      </c>
      <c r="I1460" s="44" t="s">
        <v>971</v>
      </c>
      <c r="J1460" s="44" t="s">
        <v>411</v>
      </c>
      <c r="K1460" s="1" t="e">
        <f aca="false">_xlfn.xlookup(J1460,REF!$D$2:$D$12,REF!$E$2:$E$12)</f>
        <v>#NAME?</v>
      </c>
      <c r="L1460" s="44" t="s">
        <v>972</v>
      </c>
      <c r="M1460" s="44" t="s">
        <v>288</v>
      </c>
      <c r="N1460" s="44" t="s">
        <v>289</v>
      </c>
      <c r="O1460" s="44" t="s">
        <v>973</v>
      </c>
      <c r="P1460" s="1" t="str">
        <f aca="false">_xlfn.CONCAT(B1460,C1460,D1460,E1460,F1460)</f>
        <v>BC Formoso1.2Inverter(MBUS-12)45998.687545998.687546022.9999884259</v>
      </c>
      <c r="Q1460" s="1" t="str">
        <f aca="false">_xlfn.CONCAT(H1460,I1460,J1460)</f>
        <v>DAU PRT</v>
      </c>
    </row>
    <row r="1461" customFormat="false" ht="15" hidden="true" customHeight="false" outlineLevel="0" collapsed="false">
      <c r="A1461" s="43"/>
      <c r="B1461" s="44" t="s">
        <v>698</v>
      </c>
      <c r="C1461" s="44" t="s">
        <v>279</v>
      </c>
      <c r="D1461" s="45" t="n">
        <v>45998.6875</v>
      </c>
      <c r="E1461" s="45" t="n">
        <v>45998.6875</v>
      </c>
      <c r="F1461" s="45" t="n">
        <v>46022.9999884259</v>
      </c>
      <c r="G1461" s="46" t="n">
        <f aca="false">F1461-E1461</f>
        <v>24.3124884259259</v>
      </c>
      <c r="H1461" s="44" t="s">
        <v>248</v>
      </c>
      <c r="I1461" s="44" t="s">
        <v>971</v>
      </c>
      <c r="J1461" s="44" t="s">
        <v>411</v>
      </c>
      <c r="K1461" s="1" t="e">
        <f aca="false">_xlfn.xlookup(J1461,REF!$D$2:$D$12,REF!$E$2:$E$12)</f>
        <v>#NAME?</v>
      </c>
      <c r="L1461" s="44" t="s">
        <v>972</v>
      </c>
      <c r="M1461" s="44" t="s">
        <v>288</v>
      </c>
      <c r="N1461" s="44" t="s">
        <v>289</v>
      </c>
      <c r="O1461" s="44" t="s">
        <v>973</v>
      </c>
      <c r="P1461" s="1" t="str">
        <f aca="false">_xlfn.CONCAT(B1461,C1461,D1461,E1461,F1461)</f>
        <v>BC Formoso1.2Inverter(MBUS-15)45998.687545998.687546022.9999884259</v>
      </c>
      <c r="Q1461" s="1" t="str">
        <f aca="false">_xlfn.CONCAT(H1461,I1461,J1461)</f>
        <v>DAU PRT</v>
      </c>
    </row>
    <row r="1462" customFormat="false" ht="15" hidden="true" customHeight="false" outlineLevel="0" collapsed="false">
      <c r="A1462" s="43"/>
      <c r="B1462" s="44" t="s">
        <v>698</v>
      </c>
      <c r="C1462" s="44" t="s">
        <v>280</v>
      </c>
      <c r="D1462" s="45" t="n">
        <v>45998.6875</v>
      </c>
      <c r="E1462" s="45" t="n">
        <v>45998.6875</v>
      </c>
      <c r="F1462" s="45" t="n">
        <v>46022.9999884259</v>
      </c>
      <c r="G1462" s="46" t="n">
        <f aca="false">F1462-E1462</f>
        <v>24.3124884259259</v>
      </c>
      <c r="H1462" s="44" t="s">
        <v>248</v>
      </c>
      <c r="I1462" s="44" t="s">
        <v>971</v>
      </c>
      <c r="J1462" s="44" t="s">
        <v>411</v>
      </c>
      <c r="K1462" s="1" t="e">
        <f aca="false">_xlfn.xlookup(J1462,REF!$D$2:$D$12,REF!$E$2:$E$12)</f>
        <v>#NAME?</v>
      </c>
      <c r="L1462" s="44" t="s">
        <v>972</v>
      </c>
      <c r="M1462" s="44" t="s">
        <v>288</v>
      </c>
      <c r="N1462" s="44" t="s">
        <v>289</v>
      </c>
      <c r="O1462" s="44" t="s">
        <v>973</v>
      </c>
      <c r="P1462" s="1" t="str">
        <f aca="false">_xlfn.CONCAT(B1462,C1462,D1462,E1462,F1462)</f>
        <v>BC Formoso1.2Inverter(MBUS-14)45998.687545998.687546022.9999884259</v>
      </c>
      <c r="Q1462" s="1" t="str">
        <f aca="false">_xlfn.CONCAT(H1462,I1462,J1462)</f>
        <v>DAU PRT</v>
      </c>
    </row>
    <row r="1463" customFormat="false" ht="15" hidden="true" customHeight="false" outlineLevel="0" collapsed="false">
      <c r="A1463" s="43"/>
      <c r="B1463" s="44" t="s">
        <v>697</v>
      </c>
      <c r="C1463" s="44" t="s">
        <v>247</v>
      </c>
      <c r="D1463" s="45" t="n">
        <v>46000.5486111111</v>
      </c>
      <c r="E1463" s="45" t="n">
        <v>46000.5486111111</v>
      </c>
      <c r="F1463" s="45" t="n">
        <v>46001.3715277778</v>
      </c>
      <c r="G1463" s="46" t="n">
        <f aca="false">F1463-E1463</f>
        <v>0.822916666666667</v>
      </c>
      <c r="H1463" s="44" t="s">
        <v>248</v>
      </c>
      <c r="I1463" s="44"/>
      <c r="J1463" s="44" t="s">
        <v>256</v>
      </c>
      <c r="K1463" s="1" t="e">
        <f aca="false">_xlfn.xlookup(J1463,REF!$D$2:$D$12,REF!$E$2:$E$12)</f>
        <v>#NAME?</v>
      </c>
      <c r="L1463" s="44" t="s">
        <v>974</v>
      </c>
      <c r="M1463" s="44" t="s">
        <v>258</v>
      </c>
      <c r="N1463" s="44" t="s">
        <v>259</v>
      </c>
      <c r="O1463" s="44" t="s">
        <v>696</v>
      </c>
      <c r="P1463" s="1" t="str">
        <f aca="false">_xlfn.CONCAT(B1463,C1463,D1463,E1463,F1463)</f>
        <v>BC Formoso1.1Inverter(MBUS-13)46000.548611111146000.548611111146001.3715277778</v>
      </c>
      <c r="Q1463" s="1" t="str">
        <f aca="false">_xlfn.CONCAT(H1463,I1463,J1463)</f>
        <v>DAURDE</v>
      </c>
    </row>
    <row r="1464" customFormat="false" ht="15" hidden="true" customHeight="false" outlineLevel="0" collapsed="false">
      <c r="A1464" s="43"/>
      <c r="B1464" s="44" t="s">
        <v>697</v>
      </c>
      <c r="C1464" s="44" t="s">
        <v>277</v>
      </c>
      <c r="D1464" s="45" t="n">
        <v>46000.5486111111</v>
      </c>
      <c r="E1464" s="45" t="n">
        <v>46000.5486111111</v>
      </c>
      <c r="F1464" s="45" t="n">
        <v>46001.3715277778</v>
      </c>
      <c r="G1464" s="46" t="n">
        <f aca="false">F1464-E1464</f>
        <v>0.822916666666667</v>
      </c>
      <c r="H1464" s="44" t="s">
        <v>248</v>
      </c>
      <c r="I1464" s="44"/>
      <c r="J1464" s="44" t="s">
        <v>256</v>
      </c>
      <c r="K1464" s="1" t="e">
        <f aca="false">_xlfn.xlookup(J1464,REF!$D$2:$D$12,REF!$E$2:$E$12)</f>
        <v>#NAME?</v>
      </c>
      <c r="L1464" s="44" t="s">
        <v>974</v>
      </c>
      <c r="M1464" s="44" t="s">
        <v>258</v>
      </c>
      <c r="N1464" s="44" t="s">
        <v>259</v>
      </c>
      <c r="O1464" s="44" t="s">
        <v>696</v>
      </c>
      <c r="P1464" s="1" t="str">
        <f aca="false">_xlfn.CONCAT(B1464,C1464,D1464,E1464,F1464)</f>
        <v>BC Formoso1.1Inverter(MBUS-12)46000.548611111146000.548611111146001.3715277778</v>
      </c>
      <c r="Q1464" s="1" t="str">
        <f aca="false">_xlfn.CONCAT(H1464,I1464,J1464)</f>
        <v>DAURDE</v>
      </c>
    </row>
    <row r="1465" customFormat="false" ht="15" hidden="true" customHeight="false" outlineLevel="0" collapsed="false">
      <c r="A1465" s="43"/>
      <c r="B1465" s="44" t="s">
        <v>697</v>
      </c>
      <c r="C1465" s="44" t="s">
        <v>279</v>
      </c>
      <c r="D1465" s="45" t="n">
        <v>46000.5486111111</v>
      </c>
      <c r="E1465" s="45" t="n">
        <v>46000.5486111111</v>
      </c>
      <c r="F1465" s="45" t="n">
        <v>46001.3715277778</v>
      </c>
      <c r="G1465" s="46" t="n">
        <f aca="false">F1465-E1465</f>
        <v>0.822916666666667</v>
      </c>
      <c r="H1465" s="44" t="s">
        <v>248</v>
      </c>
      <c r="I1465" s="44"/>
      <c r="J1465" s="44" t="s">
        <v>256</v>
      </c>
      <c r="K1465" s="1" t="e">
        <f aca="false">_xlfn.xlookup(J1465,REF!$D$2:$D$12,REF!$E$2:$E$12)</f>
        <v>#NAME?</v>
      </c>
      <c r="L1465" s="44" t="s">
        <v>974</v>
      </c>
      <c r="M1465" s="44" t="s">
        <v>258</v>
      </c>
      <c r="N1465" s="44" t="s">
        <v>259</v>
      </c>
      <c r="O1465" s="44" t="s">
        <v>696</v>
      </c>
      <c r="P1465" s="1" t="str">
        <f aca="false">_xlfn.CONCAT(B1465,C1465,D1465,E1465,F1465)</f>
        <v>BC Formoso1.1Inverter(MBUS-15)46000.548611111146000.548611111146001.3715277778</v>
      </c>
      <c r="Q1465" s="1" t="str">
        <f aca="false">_xlfn.CONCAT(H1465,I1465,J1465)</f>
        <v>DAURDE</v>
      </c>
    </row>
    <row r="1466" customFormat="false" ht="15" hidden="true" customHeight="false" outlineLevel="0" collapsed="false">
      <c r="A1466" s="43"/>
      <c r="B1466" s="44" t="s">
        <v>697</v>
      </c>
      <c r="C1466" s="44" t="s">
        <v>280</v>
      </c>
      <c r="D1466" s="45" t="n">
        <v>46000.5486111111</v>
      </c>
      <c r="E1466" s="45" t="n">
        <v>46000.5486111111</v>
      </c>
      <c r="F1466" s="45" t="n">
        <v>46001.3715277778</v>
      </c>
      <c r="G1466" s="46" t="n">
        <f aca="false">F1466-E1466</f>
        <v>0.822916666666667</v>
      </c>
      <c r="H1466" s="44" t="s">
        <v>248</v>
      </c>
      <c r="I1466" s="44"/>
      <c r="J1466" s="44" t="s">
        <v>256</v>
      </c>
      <c r="K1466" s="1" t="e">
        <f aca="false">_xlfn.xlookup(J1466,REF!$D$2:$D$12,REF!$E$2:$E$12)</f>
        <v>#NAME?</v>
      </c>
      <c r="L1466" s="44" t="s">
        <v>974</v>
      </c>
      <c r="M1466" s="44" t="s">
        <v>258</v>
      </c>
      <c r="N1466" s="44" t="s">
        <v>259</v>
      </c>
      <c r="O1466" s="44" t="s">
        <v>696</v>
      </c>
      <c r="P1466" s="1" t="str">
        <f aca="false">_xlfn.CONCAT(B1466,C1466,D1466,E1466,F1466)</f>
        <v>BC Formoso1.1Inverter(MBUS-14)46000.548611111146000.548611111146001.3715277778</v>
      </c>
      <c r="Q1466" s="1" t="str">
        <f aca="false">_xlfn.CONCAT(H1466,I1466,J1466)</f>
        <v>DAURDE</v>
      </c>
    </row>
    <row r="1467" customFormat="false" ht="15" hidden="true" customHeight="false" outlineLevel="0" collapsed="false">
      <c r="A1467" s="43"/>
      <c r="B1467" s="44" t="s">
        <v>698</v>
      </c>
      <c r="C1467" s="44" t="s">
        <v>247</v>
      </c>
      <c r="D1467" s="45" t="n">
        <v>46000.5486111111</v>
      </c>
      <c r="E1467" s="45" t="n">
        <v>46000.5486111111</v>
      </c>
      <c r="F1467" s="45" t="n">
        <v>46001.3715277778</v>
      </c>
      <c r="G1467" s="46" t="n">
        <f aca="false">F1467-E1467</f>
        <v>0.822916666666667</v>
      </c>
      <c r="H1467" s="44" t="s">
        <v>248</v>
      </c>
      <c r="I1467" s="44"/>
      <c r="J1467" s="44" t="s">
        <v>256</v>
      </c>
      <c r="K1467" s="1" t="e">
        <f aca="false">_xlfn.xlookup(J1467,REF!$D$2:$D$12,REF!$E$2:$E$12)</f>
        <v>#NAME?</v>
      </c>
      <c r="L1467" s="44" t="s">
        <v>974</v>
      </c>
      <c r="M1467" s="44" t="s">
        <v>258</v>
      </c>
      <c r="N1467" s="44" t="s">
        <v>259</v>
      </c>
      <c r="O1467" s="44" t="s">
        <v>696</v>
      </c>
      <c r="P1467" s="1" t="str">
        <f aca="false">_xlfn.CONCAT(B1467,C1467,D1467,E1467,F1467)</f>
        <v>BC Formoso1.2Inverter(MBUS-13)46000.548611111146000.548611111146001.3715277778</v>
      </c>
      <c r="Q1467" s="1" t="str">
        <f aca="false">_xlfn.CONCAT(H1467,I1467,J1467)</f>
        <v>DAURDE</v>
      </c>
    </row>
    <row r="1468" customFormat="false" ht="15" hidden="true" customHeight="false" outlineLevel="0" collapsed="false">
      <c r="A1468" s="43"/>
      <c r="B1468" s="44" t="s">
        <v>698</v>
      </c>
      <c r="C1468" s="44" t="s">
        <v>277</v>
      </c>
      <c r="D1468" s="45" t="n">
        <v>46000.5486111111</v>
      </c>
      <c r="E1468" s="45" t="n">
        <v>46000.5486111111</v>
      </c>
      <c r="F1468" s="45" t="n">
        <v>46001.3715277778</v>
      </c>
      <c r="G1468" s="46" t="n">
        <f aca="false">F1468-E1468</f>
        <v>0.822916666666667</v>
      </c>
      <c r="H1468" s="44" t="s">
        <v>248</v>
      </c>
      <c r="I1468" s="44"/>
      <c r="J1468" s="44" t="s">
        <v>256</v>
      </c>
      <c r="K1468" s="1" t="e">
        <f aca="false">_xlfn.xlookup(J1468,REF!$D$2:$D$12,REF!$E$2:$E$12)</f>
        <v>#NAME?</v>
      </c>
      <c r="L1468" s="44" t="s">
        <v>974</v>
      </c>
      <c r="M1468" s="44" t="s">
        <v>258</v>
      </c>
      <c r="N1468" s="44" t="s">
        <v>259</v>
      </c>
      <c r="O1468" s="44" t="s">
        <v>696</v>
      </c>
      <c r="P1468" s="1" t="str">
        <f aca="false">_xlfn.CONCAT(B1468,C1468,D1468,E1468,F1468)</f>
        <v>BC Formoso1.2Inverter(MBUS-12)46000.548611111146000.548611111146001.3715277778</v>
      </c>
      <c r="Q1468" s="1" t="str">
        <f aca="false">_xlfn.CONCAT(H1468,I1468,J1468)</f>
        <v>DAURDE</v>
      </c>
    </row>
    <row r="1469" customFormat="false" ht="15" hidden="true" customHeight="false" outlineLevel="0" collapsed="false">
      <c r="A1469" s="43"/>
      <c r="B1469" s="44" t="s">
        <v>698</v>
      </c>
      <c r="C1469" s="44" t="s">
        <v>279</v>
      </c>
      <c r="D1469" s="45" t="n">
        <v>46000.5486111111</v>
      </c>
      <c r="E1469" s="45" t="n">
        <v>46000.5486111111</v>
      </c>
      <c r="F1469" s="45" t="n">
        <v>46001.3715277778</v>
      </c>
      <c r="G1469" s="46" t="n">
        <f aca="false">F1469-E1469</f>
        <v>0.822916666666667</v>
      </c>
      <c r="H1469" s="44" t="s">
        <v>248</v>
      </c>
      <c r="I1469" s="44"/>
      <c r="J1469" s="44" t="s">
        <v>256</v>
      </c>
      <c r="K1469" s="1" t="e">
        <f aca="false">_xlfn.xlookup(J1469,REF!$D$2:$D$12,REF!$E$2:$E$12)</f>
        <v>#NAME?</v>
      </c>
      <c r="L1469" s="44" t="s">
        <v>974</v>
      </c>
      <c r="M1469" s="44" t="s">
        <v>258</v>
      </c>
      <c r="N1469" s="44" t="s">
        <v>259</v>
      </c>
      <c r="O1469" s="44" t="s">
        <v>696</v>
      </c>
      <c r="P1469" s="1" t="str">
        <f aca="false">_xlfn.CONCAT(B1469,C1469,D1469,E1469,F1469)</f>
        <v>BC Formoso1.2Inverter(MBUS-15)46000.548611111146000.548611111146001.3715277778</v>
      </c>
      <c r="Q1469" s="1" t="str">
        <f aca="false">_xlfn.CONCAT(H1469,I1469,J1469)</f>
        <v>DAURDE</v>
      </c>
    </row>
    <row r="1470" customFormat="false" ht="15" hidden="true" customHeight="false" outlineLevel="0" collapsed="false">
      <c r="A1470" s="43"/>
      <c r="B1470" s="44" t="s">
        <v>698</v>
      </c>
      <c r="C1470" s="44" t="s">
        <v>280</v>
      </c>
      <c r="D1470" s="45" t="n">
        <v>46000.5486111111</v>
      </c>
      <c r="E1470" s="45" t="n">
        <v>46000.5486111111</v>
      </c>
      <c r="F1470" s="45" t="n">
        <v>46001.3715277778</v>
      </c>
      <c r="G1470" s="46" t="n">
        <f aca="false">F1470-E1470</f>
        <v>0.822916666666667</v>
      </c>
      <c r="H1470" s="44" t="s">
        <v>248</v>
      </c>
      <c r="I1470" s="44"/>
      <c r="J1470" s="44" t="s">
        <v>256</v>
      </c>
      <c r="K1470" s="1" t="e">
        <f aca="false">_xlfn.xlookup(J1470,REF!$D$2:$D$12,REF!$E$2:$E$12)</f>
        <v>#NAME?</v>
      </c>
      <c r="L1470" s="44" t="s">
        <v>974</v>
      </c>
      <c r="M1470" s="44" t="s">
        <v>258</v>
      </c>
      <c r="N1470" s="44" t="s">
        <v>259</v>
      </c>
      <c r="O1470" s="44" t="s">
        <v>696</v>
      </c>
      <c r="P1470" s="1" t="str">
        <f aca="false">_xlfn.CONCAT(B1470,C1470,D1470,E1470,F1470)</f>
        <v>BC Formoso1.2Inverter(MBUS-14)46000.548611111146000.548611111146001.3715277778</v>
      </c>
      <c r="Q1470" s="1" t="str">
        <f aca="false">_xlfn.CONCAT(H1470,I1470,J1470)</f>
        <v>DAURDE</v>
      </c>
    </row>
    <row r="1471" customFormat="false" ht="15" hidden="true" customHeight="false" outlineLevel="0" collapsed="false">
      <c r="A1471" s="43"/>
      <c r="B1471" s="44" t="s">
        <v>699</v>
      </c>
      <c r="C1471" s="44" t="s">
        <v>247</v>
      </c>
      <c r="D1471" s="45" t="n">
        <v>46000.5486111111</v>
      </c>
      <c r="E1471" s="45" t="n">
        <v>46000.5486111111</v>
      </c>
      <c r="F1471" s="45" t="n">
        <v>46001.3715277778</v>
      </c>
      <c r="G1471" s="46" t="n">
        <f aca="false">F1471-E1471</f>
        <v>0.822916666666667</v>
      </c>
      <c r="H1471" s="44" t="s">
        <v>248</v>
      </c>
      <c r="I1471" s="44"/>
      <c r="J1471" s="44" t="s">
        <v>256</v>
      </c>
      <c r="K1471" s="1" t="e">
        <f aca="false">_xlfn.xlookup(J1471,REF!$D$2:$D$12,REF!$E$2:$E$12)</f>
        <v>#NAME?</v>
      </c>
      <c r="L1471" s="44" t="s">
        <v>974</v>
      </c>
      <c r="M1471" s="44" t="s">
        <v>258</v>
      </c>
      <c r="N1471" s="44" t="s">
        <v>259</v>
      </c>
      <c r="O1471" s="44" t="s">
        <v>696</v>
      </c>
      <c r="P1471" s="1" t="str">
        <f aca="false">_xlfn.CONCAT(B1471,C1471,D1471,E1471,F1471)</f>
        <v>BC Formoso1.3Inverter(MBUS-13)46000.548611111146000.548611111146001.3715277778</v>
      </c>
      <c r="Q1471" s="1" t="str">
        <f aca="false">_xlfn.CONCAT(H1471,I1471,J1471)</f>
        <v>DAURDE</v>
      </c>
    </row>
    <row r="1472" customFormat="false" ht="15" hidden="true" customHeight="false" outlineLevel="0" collapsed="false">
      <c r="A1472" s="43"/>
      <c r="B1472" s="44" t="s">
        <v>699</v>
      </c>
      <c r="C1472" s="44" t="s">
        <v>277</v>
      </c>
      <c r="D1472" s="45" t="n">
        <v>46000.5486111111</v>
      </c>
      <c r="E1472" s="45" t="n">
        <v>46000.5486111111</v>
      </c>
      <c r="F1472" s="45" t="n">
        <v>46001.3715277778</v>
      </c>
      <c r="G1472" s="46" t="n">
        <f aca="false">F1472-E1472</f>
        <v>0.822916666666667</v>
      </c>
      <c r="H1472" s="44" t="s">
        <v>248</v>
      </c>
      <c r="I1472" s="44"/>
      <c r="J1472" s="44" t="s">
        <v>256</v>
      </c>
      <c r="K1472" s="1" t="e">
        <f aca="false">_xlfn.xlookup(J1472,REF!$D$2:$D$12,REF!$E$2:$E$12)</f>
        <v>#NAME?</v>
      </c>
      <c r="L1472" s="44" t="s">
        <v>974</v>
      </c>
      <c r="M1472" s="44" t="s">
        <v>258</v>
      </c>
      <c r="N1472" s="44" t="s">
        <v>259</v>
      </c>
      <c r="O1472" s="44" t="s">
        <v>696</v>
      </c>
      <c r="P1472" s="1" t="str">
        <f aca="false">_xlfn.CONCAT(B1472,C1472,D1472,E1472,F1472)</f>
        <v>BC Formoso1.3Inverter(MBUS-12)46000.548611111146000.548611111146001.3715277778</v>
      </c>
      <c r="Q1472" s="1" t="str">
        <f aca="false">_xlfn.CONCAT(H1472,I1472,J1472)</f>
        <v>DAURDE</v>
      </c>
    </row>
    <row r="1473" customFormat="false" ht="15" hidden="true" customHeight="false" outlineLevel="0" collapsed="false">
      <c r="A1473" s="43"/>
      <c r="B1473" s="44" t="s">
        <v>330</v>
      </c>
      <c r="C1473" s="44" t="s">
        <v>277</v>
      </c>
      <c r="D1473" s="45" t="n">
        <v>46000.5486111111</v>
      </c>
      <c r="E1473" s="45" t="n">
        <v>46000.5486111111</v>
      </c>
      <c r="F1473" s="45" t="n">
        <v>46001.3715277778</v>
      </c>
      <c r="G1473" s="46" t="n">
        <f aca="false">F1473-E1473</f>
        <v>0.822916666666667</v>
      </c>
      <c r="H1473" s="44" t="s">
        <v>248</v>
      </c>
      <c r="I1473" s="44"/>
      <c r="J1473" s="44" t="s">
        <v>256</v>
      </c>
      <c r="K1473" s="1" t="e">
        <f aca="false">_xlfn.xlookup(J1473,REF!$D$2:$D$12,REF!$E$2:$E$12)</f>
        <v>#NAME?</v>
      </c>
      <c r="L1473" s="44" t="s">
        <v>974</v>
      </c>
      <c r="M1473" s="44" t="s">
        <v>258</v>
      </c>
      <c r="N1473" s="44" t="s">
        <v>259</v>
      </c>
      <c r="O1473" s="44" t="s">
        <v>696</v>
      </c>
      <c r="P1473" s="1" t="str">
        <f aca="false">_xlfn.CONCAT(B1473,C1473,D1473,E1473,F1473)</f>
        <v>BC Formoso2.1Inverter(MBUS-12)46000.548611111146000.548611111146001.3715277778</v>
      </c>
      <c r="Q1473" s="1" t="str">
        <f aca="false">_xlfn.CONCAT(H1473,I1473,J1473)</f>
        <v>DAURDE</v>
      </c>
    </row>
    <row r="1474" customFormat="false" ht="15" hidden="true" customHeight="false" outlineLevel="0" collapsed="false">
      <c r="A1474" s="43"/>
      <c r="B1474" s="44" t="s">
        <v>330</v>
      </c>
      <c r="C1474" s="44" t="s">
        <v>280</v>
      </c>
      <c r="D1474" s="45" t="n">
        <v>46000.5486111111</v>
      </c>
      <c r="E1474" s="45" t="n">
        <v>46000.5486111111</v>
      </c>
      <c r="F1474" s="45" t="n">
        <v>46001.3715277778</v>
      </c>
      <c r="G1474" s="46" t="n">
        <f aca="false">F1474-E1474</f>
        <v>0.822916666666667</v>
      </c>
      <c r="H1474" s="44" t="s">
        <v>248</v>
      </c>
      <c r="I1474" s="44"/>
      <c r="J1474" s="44" t="s">
        <v>256</v>
      </c>
      <c r="K1474" s="1" t="e">
        <f aca="false">_xlfn.xlookup(J1474,REF!$D$2:$D$12,REF!$E$2:$E$12)</f>
        <v>#NAME?</v>
      </c>
      <c r="L1474" s="44" t="s">
        <v>974</v>
      </c>
      <c r="M1474" s="44" t="s">
        <v>258</v>
      </c>
      <c r="N1474" s="44" t="s">
        <v>259</v>
      </c>
      <c r="O1474" s="44" t="s">
        <v>696</v>
      </c>
      <c r="P1474" s="1" t="str">
        <f aca="false">_xlfn.CONCAT(B1474,C1474,D1474,E1474,F1474)</f>
        <v>BC Formoso2.1Inverter(MBUS-14)46000.548611111146000.548611111146001.3715277778</v>
      </c>
      <c r="Q1474" s="1" t="str">
        <f aca="false">_xlfn.CONCAT(H1474,I1474,J1474)</f>
        <v>DAURDE</v>
      </c>
    </row>
    <row r="1475" customFormat="false" ht="15" hidden="true" customHeight="false" outlineLevel="0" collapsed="false">
      <c r="A1475" s="43"/>
      <c r="B1475" s="44" t="s">
        <v>330</v>
      </c>
      <c r="C1475" s="44" t="s">
        <v>247</v>
      </c>
      <c r="D1475" s="45" t="n">
        <v>46000.5486111111</v>
      </c>
      <c r="E1475" s="45" t="n">
        <v>46000.5486111111</v>
      </c>
      <c r="F1475" s="45" t="n">
        <v>46001.3715277778</v>
      </c>
      <c r="G1475" s="46" t="n">
        <f aca="false">F1475-E1475</f>
        <v>0.822916666666667</v>
      </c>
      <c r="H1475" s="44" t="s">
        <v>248</v>
      </c>
      <c r="I1475" s="44"/>
      <c r="J1475" s="44" t="s">
        <v>256</v>
      </c>
      <c r="K1475" s="1" t="e">
        <f aca="false">_xlfn.xlookup(J1475,REF!$D$2:$D$12,REF!$E$2:$E$12)</f>
        <v>#NAME?</v>
      </c>
      <c r="L1475" s="44" t="s">
        <v>974</v>
      </c>
      <c r="M1475" s="44" t="s">
        <v>258</v>
      </c>
      <c r="N1475" s="44" t="s">
        <v>259</v>
      </c>
      <c r="O1475" s="44" t="s">
        <v>696</v>
      </c>
      <c r="P1475" s="1" t="str">
        <f aca="false">_xlfn.CONCAT(B1475,C1475,D1475,E1475,F1475)</f>
        <v>BC Formoso2.1Inverter(MBUS-13)46000.548611111146000.548611111146001.3715277778</v>
      </c>
      <c r="Q1475" s="1" t="str">
        <f aca="false">_xlfn.CONCAT(H1475,I1475,J1475)</f>
        <v>DAURDE</v>
      </c>
    </row>
    <row r="1476" customFormat="false" ht="15" hidden="true" customHeight="false" outlineLevel="0" collapsed="false">
      <c r="A1476" s="43"/>
      <c r="B1476" s="44" t="s">
        <v>330</v>
      </c>
      <c r="C1476" s="44" t="s">
        <v>255</v>
      </c>
      <c r="D1476" s="45" t="n">
        <v>46000.5486111111</v>
      </c>
      <c r="E1476" s="45" t="n">
        <v>46000.5486111111</v>
      </c>
      <c r="F1476" s="45" t="n">
        <v>46001.3715277778</v>
      </c>
      <c r="G1476" s="46" t="n">
        <f aca="false">F1476-E1476</f>
        <v>0.822916666666667</v>
      </c>
      <c r="H1476" s="44" t="s">
        <v>248</v>
      </c>
      <c r="I1476" s="44"/>
      <c r="J1476" s="44" t="s">
        <v>256</v>
      </c>
      <c r="K1476" s="1" t="e">
        <f aca="false">_xlfn.xlookup(J1476,REF!$D$2:$D$12,REF!$E$2:$E$12)</f>
        <v>#NAME?</v>
      </c>
      <c r="L1476" s="44" t="s">
        <v>974</v>
      </c>
      <c r="M1476" s="44" t="s">
        <v>258</v>
      </c>
      <c r="N1476" s="44" t="s">
        <v>259</v>
      </c>
      <c r="O1476" s="44" t="s">
        <v>696</v>
      </c>
      <c r="P1476" s="1" t="str">
        <f aca="false">_xlfn.CONCAT(B1476,C1476,D1476,E1476,F1476)</f>
        <v>BC Formoso2.1Inverter(MBUS-1)46000.548611111146000.548611111146001.3715277778</v>
      </c>
      <c r="Q1476" s="1" t="str">
        <f aca="false">_xlfn.CONCAT(H1476,I1476,J1476)</f>
        <v>DAURDE</v>
      </c>
    </row>
    <row r="1477" customFormat="false" ht="15" hidden="true" customHeight="false" outlineLevel="0" collapsed="false">
      <c r="A1477" s="43"/>
      <c r="B1477" s="44" t="s">
        <v>622</v>
      </c>
      <c r="C1477" s="44" t="s">
        <v>280</v>
      </c>
      <c r="D1477" s="45" t="n">
        <v>46000.5486111111</v>
      </c>
      <c r="E1477" s="45" t="n">
        <v>46000.5486111111</v>
      </c>
      <c r="F1477" s="45" t="n">
        <v>46001.3715277778</v>
      </c>
      <c r="G1477" s="46" t="n">
        <f aca="false">F1477-E1477</f>
        <v>0.822916666666667</v>
      </c>
      <c r="H1477" s="44" t="s">
        <v>248</v>
      </c>
      <c r="I1477" s="44"/>
      <c r="J1477" s="44" t="s">
        <v>256</v>
      </c>
      <c r="K1477" s="1" t="e">
        <f aca="false">_xlfn.xlookup(J1477,REF!$D$2:$D$12,REF!$E$2:$E$12)</f>
        <v>#NAME?</v>
      </c>
      <c r="L1477" s="44" t="s">
        <v>974</v>
      </c>
      <c r="M1477" s="44" t="s">
        <v>258</v>
      </c>
      <c r="N1477" s="44" t="s">
        <v>259</v>
      </c>
      <c r="O1477" s="44" t="s">
        <v>696</v>
      </c>
      <c r="P1477" s="1" t="str">
        <f aca="false">_xlfn.CONCAT(B1477,C1477,D1477,E1477,F1477)</f>
        <v>BC Formoso2.2Inverter(MBUS-14)46000.548611111146000.548611111146001.3715277778</v>
      </c>
      <c r="Q1477" s="1" t="str">
        <f aca="false">_xlfn.CONCAT(H1477,I1477,J1477)</f>
        <v>DAURDE</v>
      </c>
    </row>
    <row r="1478" customFormat="false" ht="15" hidden="true" customHeight="false" outlineLevel="0" collapsed="false">
      <c r="A1478" s="43"/>
      <c r="B1478" s="44" t="s">
        <v>622</v>
      </c>
      <c r="C1478" s="44" t="s">
        <v>247</v>
      </c>
      <c r="D1478" s="45" t="n">
        <v>46000.5486111111</v>
      </c>
      <c r="E1478" s="45" t="n">
        <v>46000.5486111111</v>
      </c>
      <c r="F1478" s="45" t="n">
        <v>46001.3715277778</v>
      </c>
      <c r="G1478" s="46" t="n">
        <f aca="false">F1478-E1478</f>
        <v>0.822916666666667</v>
      </c>
      <c r="H1478" s="44" t="s">
        <v>248</v>
      </c>
      <c r="I1478" s="44"/>
      <c r="J1478" s="44" t="s">
        <v>256</v>
      </c>
      <c r="K1478" s="1" t="e">
        <f aca="false">_xlfn.xlookup(J1478,REF!$D$2:$D$12,REF!$E$2:$E$12)</f>
        <v>#NAME?</v>
      </c>
      <c r="L1478" s="44" t="s">
        <v>974</v>
      </c>
      <c r="M1478" s="44" t="s">
        <v>258</v>
      </c>
      <c r="N1478" s="44" t="s">
        <v>259</v>
      </c>
      <c r="O1478" s="44" t="s">
        <v>696</v>
      </c>
      <c r="P1478" s="1" t="str">
        <f aca="false">_xlfn.CONCAT(B1478,C1478,D1478,E1478,F1478)</f>
        <v>BC Formoso2.2Inverter(MBUS-13)46000.548611111146000.548611111146001.3715277778</v>
      </c>
      <c r="Q1478" s="1" t="str">
        <f aca="false">_xlfn.CONCAT(H1478,I1478,J1478)</f>
        <v>DAURDE</v>
      </c>
    </row>
    <row r="1479" customFormat="false" ht="15" hidden="true" customHeight="false" outlineLevel="0" collapsed="false">
      <c r="A1479" s="43"/>
      <c r="B1479" s="44" t="s">
        <v>622</v>
      </c>
      <c r="C1479" s="44" t="s">
        <v>277</v>
      </c>
      <c r="D1479" s="45" t="n">
        <v>46000.5486111111</v>
      </c>
      <c r="E1479" s="45" t="n">
        <v>46000.5486111111</v>
      </c>
      <c r="F1479" s="45" t="n">
        <v>46001.3715277778</v>
      </c>
      <c r="G1479" s="46" t="n">
        <f aca="false">F1479-E1479</f>
        <v>0.822916666666667</v>
      </c>
      <c r="H1479" s="44" t="s">
        <v>248</v>
      </c>
      <c r="I1479" s="44"/>
      <c r="J1479" s="44" t="s">
        <v>256</v>
      </c>
      <c r="K1479" s="1" t="e">
        <f aca="false">_xlfn.xlookup(J1479,REF!$D$2:$D$12,REF!$E$2:$E$12)</f>
        <v>#NAME?</v>
      </c>
      <c r="L1479" s="44" t="s">
        <v>974</v>
      </c>
      <c r="M1479" s="44" t="s">
        <v>258</v>
      </c>
      <c r="N1479" s="44" t="s">
        <v>259</v>
      </c>
      <c r="O1479" s="44" t="s">
        <v>696</v>
      </c>
      <c r="P1479" s="1" t="str">
        <f aca="false">_xlfn.CONCAT(B1479,C1479,D1479,E1479,F1479)</f>
        <v>BC Formoso2.2Inverter(MBUS-12)46000.548611111146000.548611111146001.3715277778</v>
      </c>
      <c r="Q1479" s="1" t="str">
        <f aca="false">_xlfn.CONCAT(H1479,I1479,J1479)</f>
        <v>DAURDE</v>
      </c>
    </row>
    <row r="1480" customFormat="false" ht="15" hidden="true" customHeight="false" outlineLevel="0" collapsed="false">
      <c r="A1480" s="43"/>
      <c r="B1480" s="44" t="s">
        <v>622</v>
      </c>
      <c r="C1480" s="44" t="s">
        <v>255</v>
      </c>
      <c r="D1480" s="45" t="n">
        <v>46000.5486111111</v>
      </c>
      <c r="E1480" s="45" t="n">
        <v>46000.5486111111</v>
      </c>
      <c r="F1480" s="45" t="n">
        <v>46001.3715277778</v>
      </c>
      <c r="G1480" s="46" t="n">
        <v>0.822916666666667</v>
      </c>
      <c r="H1480" s="44" t="s">
        <v>248</v>
      </c>
      <c r="I1480" s="44"/>
      <c r="J1480" s="44" t="s">
        <v>256</v>
      </c>
      <c r="K1480" s="1" t="e">
        <f aca="false">_xlfn.xlookup(J1480,REF!$D$2:$D$12,REF!$E$2:$E$12)</f>
        <v>#NAME?</v>
      </c>
      <c r="L1480" s="44" t="s">
        <v>974</v>
      </c>
      <c r="M1480" s="44" t="s">
        <v>258</v>
      </c>
      <c r="N1480" s="44" t="s">
        <v>259</v>
      </c>
      <c r="O1480" s="44" t="s">
        <v>696</v>
      </c>
      <c r="P1480" s="1" t="str">
        <f aca="false">_xlfn.CONCAT(B1480,C1480,D1480,E1480,F1480)</f>
        <v>BC Formoso2.2Inverter(MBUS-1)46000.548611111146000.548611111146001.3715277778</v>
      </c>
      <c r="Q1480" s="1" t="str">
        <f aca="false">_xlfn.CONCAT(H1480,I1480,J1480)</f>
        <v>DAURDE</v>
      </c>
    </row>
    <row r="1481" customFormat="false" ht="15" hidden="true" customHeight="false" outlineLevel="0" collapsed="false">
      <c r="A1481" s="43"/>
      <c r="B1481" s="44" t="s">
        <v>332</v>
      </c>
      <c r="C1481" s="44" t="s">
        <v>247</v>
      </c>
      <c r="D1481" s="45" t="n">
        <v>46000.5486111111</v>
      </c>
      <c r="E1481" s="45" t="n">
        <v>46000.5486111111</v>
      </c>
      <c r="F1481" s="45" t="n">
        <v>46001.3715277778</v>
      </c>
      <c r="G1481" s="46" t="n">
        <v>0.822916666666667</v>
      </c>
      <c r="H1481" s="44" t="s">
        <v>248</v>
      </c>
      <c r="I1481" s="44"/>
      <c r="J1481" s="44" t="s">
        <v>256</v>
      </c>
      <c r="K1481" s="1" t="e">
        <f aca="false">_xlfn.xlookup(J1481,REF!$D$2:$D$12,REF!$E$2:$E$12)</f>
        <v>#NAME?</v>
      </c>
      <c r="L1481" s="44" t="s">
        <v>974</v>
      </c>
      <c r="M1481" s="44" t="s">
        <v>258</v>
      </c>
      <c r="N1481" s="44" t="s">
        <v>259</v>
      </c>
      <c r="O1481" s="44" t="s">
        <v>696</v>
      </c>
      <c r="P1481" s="1" t="str">
        <f aca="false">_xlfn.CONCAT(B1481,C1481,D1481,E1481,F1481)</f>
        <v>BC Formoso2.3Inverter(MBUS-13)46000.548611111146000.548611111146001.3715277778</v>
      </c>
      <c r="Q1481" s="1" t="str">
        <f aca="false">_xlfn.CONCAT(H1481,I1481,J1481)</f>
        <v>DAURDE</v>
      </c>
    </row>
    <row r="1482" customFormat="false" ht="15" hidden="true" customHeight="false" outlineLevel="0" collapsed="false">
      <c r="A1482" s="43"/>
      <c r="B1482" s="44" t="s">
        <v>332</v>
      </c>
      <c r="C1482" s="44" t="s">
        <v>277</v>
      </c>
      <c r="D1482" s="45" t="n">
        <v>46000.5486111111</v>
      </c>
      <c r="E1482" s="45" t="n">
        <v>46000.5486111111</v>
      </c>
      <c r="F1482" s="45" t="n">
        <v>46001.3715277778</v>
      </c>
      <c r="G1482" s="46" t="n">
        <v>0.822916666666667</v>
      </c>
      <c r="H1482" s="44" t="s">
        <v>248</v>
      </c>
      <c r="I1482" s="44"/>
      <c r="J1482" s="44" t="s">
        <v>256</v>
      </c>
      <c r="K1482" s="1" t="e">
        <f aca="false">_xlfn.xlookup(J1482,REF!$D$2:$D$12,REF!$E$2:$E$12)</f>
        <v>#NAME?</v>
      </c>
      <c r="L1482" s="44" t="s">
        <v>974</v>
      </c>
      <c r="M1482" s="44" t="s">
        <v>258</v>
      </c>
      <c r="N1482" s="44" t="s">
        <v>259</v>
      </c>
      <c r="O1482" s="44" t="s">
        <v>696</v>
      </c>
      <c r="P1482" s="1" t="str">
        <f aca="false">_xlfn.CONCAT(B1482,C1482,D1482,E1482,F1482)</f>
        <v>BC Formoso2.3Inverter(MBUS-12)46000.548611111146000.548611111146001.3715277778</v>
      </c>
      <c r="Q1482" s="1" t="str">
        <f aca="false">_xlfn.CONCAT(H1482,I1482,J1482)</f>
        <v>DAURDE</v>
      </c>
    </row>
    <row r="1483" customFormat="false" ht="15" hidden="true" customHeight="false" outlineLevel="0" collapsed="false">
      <c r="A1483" s="43"/>
      <c r="B1483" s="44" t="s">
        <v>330</v>
      </c>
      <c r="C1483" s="44" t="s">
        <v>277</v>
      </c>
      <c r="D1483" s="45" t="n">
        <v>46008.5875</v>
      </c>
      <c r="E1483" s="45" t="n">
        <v>46008.5875</v>
      </c>
      <c r="F1483" s="45" t="n">
        <v>46008.6666666667</v>
      </c>
      <c r="G1483" s="46" t="n">
        <v>0.0791666666666667</v>
      </c>
      <c r="H1483" s="44" t="s">
        <v>313</v>
      </c>
      <c r="I1483" s="44"/>
      <c r="J1483" s="44" t="s">
        <v>230</v>
      </c>
      <c r="K1483" s="1" t="e">
        <f aca="false">_xlfn.xlookup(J1483,REF!$D$2:$D$12,REF!$E$2:$E$12)</f>
        <v>#NAME?</v>
      </c>
      <c r="L1483" s="44" t="s">
        <v>975</v>
      </c>
      <c r="M1483" s="44" t="s">
        <v>288</v>
      </c>
      <c r="N1483" s="44" t="s">
        <v>289</v>
      </c>
      <c r="O1483" s="44" t="s">
        <v>976</v>
      </c>
      <c r="P1483" s="1" t="str">
        <f aca="false">_xlfn.CONCAT(B1483,C1483,D1483,E1483,F1483)</f>
        <v>BC Formoso2.1Inverter(MBUS-12)46008.587546008.587546008.6666666667</v>
      </c>
      <c r="Q1483" s="1" t="str">
        <f aca="false">_xlfn.CONCAT(H1483,I1483,J1483)</f>
        <v>DPRUFV</v>
      </c>
    </row>
    <row r="1484" customFormat="false" ht="15" hidden="true" customHeight="false" outlineLevel="0" collapsed="false">
      <c r="A1484" s="43"/>
      <c r="B1484" s="44" t="s">
        <v>330</v>
      </c>
      <c r="C1484" s="44" t="s">
        <v>280</v>
      </c>
      <c r="D1484" s="45" t="n">
        <v>46008.5875</v>
      </c>
      <c r="E1484" s="45" t="n">
        <v>46008.5875</v>
      </c>
      <c r="F1484" s="45" t="n">
        <v>46008.6666666667</v>
      </c>
      <c r="G1484" s="46" t="n">
        <v>0.0791666666666667</v>
      </c>
      <c r="H1484" s="44" t="s">
        <v>313</v>
      </c>
      <c r="I1484" s="44"/>
      <c r="J1484" s="44" t="s">
        <v>230</v>
      </c>
      <c r="K1484" s="1" t="e">
        <f aca="false">_xlfn.xlookup(J1484,REF!$D$2:$D$12,REF!$E$2:$E$12)</f>
        <v>#NAME?</v>
      </c>
      <c r="L1484" s="44" t="s">
        <v>975</v>
      </c>
      <c r="M1484" s="44" t="s">
        <v>288</v>
      </c>
      <c r="N1484" s="44" t="s">
        <v>289</v>
      </c>
      <c r="O1484" s="44" t="s">
        <v>976</v>
      </c>
      <c r="P1484" s="1" t="str">
        <f aca="false">_xlfn.CONCAT(B1484,C1484,D1484,E1484,F1484)</f>
        <v>BC Formoso2.1Inverter(MBUS-14)46008.587546008.587546008.6666666667</v>
      </c>
      <c r="Q1484" s="1" t="str">
        <f aca="false">_xlfn.CONCAT(H1484,I1484,J1484)</f>
        <v>DPRUFV</v>
      </c>
    </row>
    <row r="1485" customFormat="false" ht="15" hidden="true" customHeight="false" outlineLevel="0" collapsed="false">
      <c r="A1485" s="43"/>
      <c r="B1485" s="44" t="s">
        <v>330</v>
      </c>
      <c r="C1485" s="44" t="s">
        <v>247</v>
      </c>
      <c r="D1485" s="45" t="n">
        <v>46008.5875</v>
      </c>
      <c r="E1485" s="45" t="n">
        <v>46008.5875</v>
      </c>
      <c r="F1485" s="45" t="n">
        <v>46008.6666666667</v>
      </c>
      <c r="G1485" s="46" t="n">
        <v>0.0791666666666667</v>
      </c>
      <c r="H1485" s="44" t="s">
        <v>313</v>
      </c>
      <c r="I1485" s="44"/>
      <c r="J1485" s="44" t="s">
        <v>230</v>
      </c>
      <c r="K1485" s="1" t="e">
        <f aca="false">_xlfn.xlookup(J1485,REF!$D$2:$D$12,REF!$E$2:$E$12)</f>
        <v>#NAME?</v>
      </c>
      <c r="L1485" s="44" t="s">
        <v>975</v>
      </c>
      <c r="M1485" s="44" t="s">
        <v>288</v>
      </c>
      <c r="N1485" s="44" t="s">
        <v>289</v>
      </c>
      <c r="O1485" s="44" t="s">
        <v>976</v>
      </c>
      <c r="P1485" s="1" t="str">
        <f aca="false">_xlfn.CONCAT(B1485,C1485,D1485,E1485,F1485)</f>
        <v>BC Formoso2.1Inverter(MBUS-13)46008.587546008.587546008.6666666667</v>
      </c>
      <c r="Q1485" s="1" t="str">
        <f aca="false">_xlfn.CONCAT(H1485,I1485,J1485)</f>
        <v>DPRUFV</v>
      </c>
    </row>
    <row r="1486" customFormat="false" ht="15" hidden="true" customHeight="false" outlineLevel="0" collapsed="false">
      <c r="A1486" s="43"/>
      <c r="B1486" s="44" t="s">
        <v>330</v>
      </c>
      <c r="C1486" s="44" t="s">
        <v>255</v>
      </c>
      <c r="D1486" s="45" t="n">
        <v>46008.5875</v>
      </c>
      <c r="E1486" s="45" t="n">
        <v>46008.5875</v>
      </c>
      <c r="F1486" s="45" t="n">
        <v>46008.6666666667</v>
      </c>
      <c r="G1486" s="46" t="n">
        <v>0.0791666666666667</v>
      </c>
      <c r="H1486" s="44" t="s">
        <v>313</v>
      </c>
      <c r="I1486" s="44"/>
      <c r="J1486" s="44" t="s">
        <v>230</v>
      </c>
      <c r="K1486" s="1" t="e">
        <f aca="false">_xlfn.xlookup(J1486,REF!$D$2:$D$12,REF!$E$2:$E$12)</f>
        <v>#NAME?</v>
      </c>
      <c r="L1486" s="44" t="s">
        <v>975</v>
      </c>
      <c r="M1486" s="44" t="s">
        <v>288</v>
      </c>
      <c r="N1486" s="44" t="s">
        <v>289</v>
      </c>
      <c r="O1486" s="44" t="s">
        <v>976</v>
      </c>
      <c r="P1486" s="1" t="str">
        <f aca="false">_xlfn.CONCAT(B1486,C1486,D1486,E1486,F1486)</f>
        <v>BC Formoso2.1Inverter(MBUS-1)46008.587546008.587546008.6666666667</v>
      </c>
      <c r="Q1486" s="1" t="str">
        <f aca="false">_xlfn.CONCAT(H1486,I1486,J1486)</f>
        <v>DPRUFV</v>
      </c>
    </row>
    <row r="1487" customFormat="false" ht="15" hidden="true" customHeight="false" outlineLevel="0" collapsed="false">
      <c r="B1487" s="1" t="s">
        <v>382</v>
      </c>
      <c r="C1487" s="1" t="s">
        <v>383</v>
      </c>
      <c r="D1487" s="14" t="n">
        <v>46010.5875</v>
      </c>
      <c r="E1487" s="14" t="n">
        <v>46010.4652777778</v>
      </c>
      <c r="F1487" s="14" t="n">
        <v>46010.4756944444</v>
      </c>
      <c r="G1487" s="15" t="n">
        <f aca="false">F1487-E1487</f>
        <v>0.0104166666666667</v>
      </c>
      <c r="H1487" s="1" t="s">
        <v>248</v>
      </c>
      <c r="J1487" s="1" t="s">
        <v>230</v>
      </c>
      <c r="K1487" s="1" t="e">
        <f aca="false">_xlfn.xlookup(J1487,REF!$D$2:$D$12,REF!$E$2:$E$12)</f>
        <v>#NAME?</v>
      </c>
      <c r="L1487" s="30" t="s">
        <v>410</v>
      </c>
      <c r="M1487" s="1" t="s">
        <v>783</v>
      </c>
      <c r="N1487" s="1" t="s">
        <v>252</v>
      </c>
      <c r="O1487" s="1" t="s">
        <v>914</v>
      </c>
      <c r="P1487" s="1" t="str">
        <f aca="false">_xlfn.CONCAT(B1487,C1487,D1487,E1487,F1487)</f>
        <v>ARAGUATINS 1.3Inverter(MBUS-20)46010.587546010.465277777846010.4756944444</v>
      </c>
      <c r="Q1487" s="1" t="str">
        <f aca="false">_xlfn.CONCAT(H1487,I1487,J1487)</f>
        <v>DAUUFV</v>
      </c>
    </row>
    <row r="1488" customFormat="false" ht="15" hidden="true" customHeight="false" outlineLevel="0" collapsed="false">
      <c r="B1488" s="1" t="s">
        <v>382</v>
      </c>
      <c r="C1488" s="1" t="s">
        <v>255</v>
      </c>
      <c r="D1488" s="14" t="n">
        <v>46010.5875</v>
      </c>
      <c r="E1488" s="14" t="n">
        <v>46010.4652777778</v>
      </c>
      <c r="F1488" s="14" t="n">
        <v>46010.4756944444</v>
      </c>
      <c r="G1488" s="15" t="n">
        <f aca="false">F1488-E1488</f>
        <v>0.0104166666666667</v>
      </c>
      <c r="H1488" s="1" t="s">
        <v>248</v>
      </c>
      <c r="J1488" s="1" t="s">
        <v>230</v>
      </c>
      <c r="K1488" s="1" t="e">
        <f aca="false">_xlfn.xlookup(J1488,REF!$D$2:$D$12,REF!$E$2:$E$12)</f>
        <v>#NAME?</v>
      </c>
      <c r="L1488" s="30" t="s">
        <v>410</v>
      </c>
      <c r="M1488" s="1" t="s">
        <v>783</v>
      </c>
      <c r="N1488" s="1" t="s">
        <v>252</v>
      </c>
      <c r="O1488" s="1" t="s">
        <v>914</v>
      </c>
      <c r="P1488" s="1" t="str">
        <f aca="false">_xlfn.CONCAT(B1488,C1488,D1488,E1488,F1488)</f>
        <v>ARAGUATINS 1.3Inverter(MBUS-1)46010.587546010.465277777846010.4756944444</v>
      </c>
      <c r="Q1488" s="1" t="str">
        <f aca="false">_xlfn.CONCAT(H1488,I1488,J1488)</f>
        <v>DAUUFV</v>
      </c>
    </row>
    <row r="1489" s="50" customFormat="true" ht="15" hidden="true" customHeight="false" outlineLevel="0" collapsed="false">
      <c r="A1489" s="43"/>
      <c r="B1489" s="44" t="s">
        <v>672</v>
      </c>
      <c r="C1489" s="44" t="s">
        <v>291</v>
      </c>
      <c r="D1489" s="45" t="n">
        <v>45998.625</v>
      </c>
      <c r="E1489" s="45" t="n">
        <v>45998.625</v>
      </c>
      <c r="F1489" s="45" t="n">
        <v>45999.4861111111</v>
      </c>
      <c r="G1489" s="46" t="n">
        <f aca="false">F1489-E1489</f>
        <v>0.861111111111111</v>
      </c>
      <c r="H1489" s="44" t="s">
        <v>248</v>
      </c>
      <c r="I1489" s="44"/>
      <c r="J1489" s="44" t="s">
        <v>256</v>
      </c>
      <c r="K1489" s="1" t="e">
        <f aca="false">_xlfn.xlookup(J1489,REF!$D$2:$D$12,REF!$E$2:$E$12)</f>
        <v>#NAME?</v>
      </c>
      <c r="L1489" s="44" t="s">
        <v>977</v>
      </c>
      <c r="M1489" s="44" t="s">
        <v>258</v>
      </c>
      <c r="N1489" s="44" t="s">
        <v>259</v>
      </c>
      <c r="O1489" s="44" t="s">
        <v>978</v>
      </c>
      <c r="P1489" s="1" t="str">
        <f aca="false">_xlfn.CONCAT(B1489,C1489,D1489,E1489,F1489)</f>
        <v>BC BomSucessoSG60KTL45998.62545998.62545999.4861111111</v>
      </c>
      <c r="Q1489" s="1" t="str">
        <f aca="false">_xlfn.CONCAT(H1489,I1489,J1489)</f>
        <v>DAURDE</v>
      </c>
    </row>
    <row r="1490" s="50" customFormat="true" ht="15" hidden="true" customHeight="false" outlineLevel="0" collapsed="false">
      <c r="A1490" s="43"/>
      <c r="B1490" s="44" t="s">
        <v>672</v>
      </c>
      <c r="C1490" s="44" t="s">
        <v>674</v>
      </c>
      <c r="D1490" s="45" t="n">
        <v>45998.625</v>
      </c>
      <c r="E1490" s="45" t="n">
        <v>45998.625</v>
      </c>
      <c r="F1490" s="45" t="n">
        <v>45999.4861111111</v>
      </c>
      <c r="G1490" s="46" t="n">
        <f aca="false">F1490-E1490</f>
        <v>0.861111111111111</v>
      </c>
      <c r="H1490" s="44" t="s">
        <v>248</v>
      </c>
      <c r="I1490" s="44"/>
      <c r="J1490" s="44" t="s">
        <v>256</v>
      </c>
      <c r="K1490" s="1" t="e">
        <f aca="false">_xlfn.xlookup(J1490,REF!$D$2:$D$12,REF!$E$2:$E$12)</f>
        <v>#NAME?</v>
      </c>
      <c r="L1490" s="44" t="s">
        <v>977</v>
      </c>
      <c r="M1490" s="44" t="s">
        <v>258</v>
      </c>
      <c r="N1490" s="44" t="s">
        <v>259</v>
      </c>
      <c r="O1490" s="44" t="s">
        <v>978</v>
      </c>
      <c r="P1490" s="1" t="str">
        <f aca="false">_xlfn.CONCAT(B1490,C1490,D1490,E1490,F1490)</f>
        <v>BC BomSucessoABB_0145998.62545998.62545999.4861111111</v>
      </c>
      <c r="Q1490" s="1" t="str">
        <f aca="false">_xlfn.CONCAT(H1490,I1490,J1490)</f>
        <v>DAURDE</v>
      </c>
    </row>
    <row r="1491" s="50" customFormat="true" ht="15" hidden="true" customHeight="false" outlineLevel="0" collapsed="false">
      <c r="A1491" s="43"/>
      <c r="B1491" s="44" t="s">
        <v>672</v>
      </c>
      <c r="C1491" s="44" t="s">
        <v>675</v>
      </c>
      <c r="D1491" s="45" t="n">
        <v>45998.625</v>
      </c>
      <c r="E1491" s="45" t="n">
        <v>45998.625</v>
      </c>
      <c r="F1491" s="45" t="n">
        <v>45999.4861111111</v>
      </c>
      <c r="G1491" s="46" t="n">
        <f aca="false">F1491-E1491</f>
        <v>0.861111111111111</v>
      </c>
      <c r="H1491" s="44" t="s">
        <v>248</v>
      </c>
      <c r="I1491" s="44"/>
      <c r="J1491" s="44" t="s">
        <v>256</v>
      </c>
      <c r="K1491" s="1" t="e">
        <f aca="false">_xlfn.xlookup(J1491,REF!$D$2:$D$12,REF!$E$2:$E$12)</f>
        <v>#NAME?</v>
      </c>
      <c r="L1491" s="44" t="s">
        <v>977</v>
      </c>
      <c r="M1491" s="44" t="s">
        <v>258</v>
      </c>
      <c r="N1491" s="44" t="s">
        <v>259</v>
      </c>
      <c r="O1491" s="44" t="s">
        <v>978</v>
      </c>
      <c r="P1491" s="1" t="str">
        <f aca="false">_xlfn.CONCAT(B1491,C1491,D1491,E1491,F1491)</f>
        <v>BC BomSucessoABB_0245998.62545998.62545999.4861111111</v>
      </c>
      <c r="Q1491" s="1" t="str">
        <f aca="false">_xlfn.CONCAT(H1491,I1491,J1491)</f>
        <v>DAURDE</v>
      </c>
    </row>
    <row r="1492" s="50" customFormat="true" ht="15" hidden="true" customHeight="false" outlineLevel="0" collapsed="false">
      <c r="A1492" s="43"/>
      <c r="B1492" s="44" t="s">
        <v>672</v>
      </c>
      <c r="C1492" s="44" t="s">
        <v>676</v>
      </c>
      <c r="D1492" s="45" t="n">
        <v>45998.625</v>
      </c>
      <c r="E1492" s="45" t="n">
        <v>45998.625</v>
      </c>
      <c r="F1492" s="45" t="n">
        <v>45999.4861111111</v>
      </c>
      <c r="G1492" s="46" t="n">
        <f aca="false">F1492-E1492</f>
        <v>0.861111111111111</v>
      </c>
      <c r="H1492" s="44" t="s">
        <v>248</v>
      </c>
      <c r="I1492" s="44"/>
      <c r="J1492" s="44" t="s">
        <v>256</v>
      </c>
      <c r="K1492" s="1" t="e">
        <f aca="false">_xlfn.xlookup(J1492,REF!$D$2:$D$12,REF!$E$2:$E$12)</f>
        <v>#NAME?</v>
      </c>
      <c r="L1492" s="44" t="s">
        <v>977</v>
      </c>
      <c r="M1492" s="44" t="s">
        <v>258</v>
      </c>
      <c r="N1492" s="44" t="s">
        <v>259</v>
      </c>
      <c r="O1492" s="44" t="s">
        <v>978</v>
      </c>
      <c r="P1492" s="1" t="str">
        <f aca="false">_xlfn.CONCAT(B1492,C1492,D1492,E1492,F1492)</f>
        <v>BC BomSucessoABB_0345998.62545998.62545999.4861111111</v>
      </c>
      <c r="Q1492" s="1" t="str">
        <f aca="false">_xlfn.CONCAT(H1492,I1492,J1492)</f>
        <v>DAURDE</v>
      </c>
    </row>
    <row r="1493" s="50" customFormat="true" ht="15" hidden="true" customHeight="false" outlineLevel="0" collapsed="false">
      <c r="A1493" s="43"/>
      <c r="B1493" s="44" t="s">
        <v>672</v>
      </c>
      <c r="C1493" s="44" t="s">
        <v>677</v>
      </c>
      <c r="D1493" s="45" t="n">
        <v>45998.625</v>
      </c>
      <c r="E1493" s="45" t="n">
        <v>45998.625</v>
      </c>
      <c r="F1493" s="45" t="n">
        <v>45999.4861111111</v>
      </c>
      <c r="G1493" s="46" t="n">
        <f aca="false">F1493-E1493</f>
        <v>0.861111111111111</v>
      </c>
      <c r="H1493" s="44" t="s">
        <v>248</v>
      </c>
      <c r="I1493" s="44"/>
      <c r="J1493" s="44" t="s">
        <v>256</v>
      </c>
      <c r="K1493" s="1" t="e">
        <f aca="false">_xlfn.xlookup(J1493,REF!$D$2:$D$12,REF!$E$2:$E$12)</f>
        <v>#NAME?</v>
      </c>
      <c r="L1493" s="44" t="s">
        <v>977</v>
      </c>
      <c r="M1493" s="44" t="s">
        <v>258</v>
      </c>
      <c r="N1493" s="44" t="s">
        <v>259</v>
      </c>
      <c r="O1493" s="44" t="s">
        <v>978</v>
      </c>
      <c r="P1493" s="1" t="str">
        <f aca="false">_xlfn.CONCAT(B1493,C1493,D1493,E1493,F1493)</f>
        <v>BC BomSucessoABB_0445998.62545998.62545999.4861111111</v>
      </c>
      <c r="Q1493" s="1" t="str">
        <f aca="false">_xlfn.CONCAT(H1493,I1493,J1493)</f>
        <v>DAURDE</v>
      </c>
    </row>
    <row r="1494" s="50" customFormat="true" ht="15" hidden="true" customHeight="false" outlineLevel="0" collapsed="false">
      <c r="A1494" s="43"/>
      <c r="B1494" s="44" t="s">
        <v>672</v>
      </c>
      <c r="C1494" s="44" t="s">
        <v>678</v>
      </c>
      <c r="D1494" s="45" t="n">
        <v>45998.625</v>
      </c>
      <c r="E1494" s="45" t="n">
        <v>45998.625</v>
      </c>
      <c r="F1494" s="45" t="n">
        <v>45999.4861111111</v>
      </c>
      <c r="G1494" s="46" t="n">
        <f aca="false">F1494-E1494</f>
        <v>0.861111111111111</v>
      </c>
      <c r="H1494" s="44" t="s">
        <v>248</v>
      </c>
      <c r="I1494" s="44"/>
      <c r="J1494" s="44" t="s">
        <v>256</v>
      </c>
      <c r="K1494" s="1" t="e">
        <f aca="false">_xlfn.xlookup(J1494,REF!$D$2:$D$12,REF!$E$2:$E$12)</f>
        <v>#NAME?</v>
      </c>
      <c r="L1494" s="44" t="s">
        <v>977</v>
      </c>
      <c r="M1494" s="44" t="s">
        <v>258</v>
      </c>
      <c r="N1494" s="44" t="s">
        <v>259</v>
      </c>
      <c r="O1494" s="44" t="s">
        <v>978</v>
      </c>
      <c r="P1494" s="1" t="str">
        <f aca="false">_xlfn.CONCAT(B1494,C1494,D1494,E1494,F1494)</f>
        <v>BC BomSucessoABB_0545998.62545998.62545999.4861111111</v>
      </c>
      <c r="Q1494" s="1" t="str">
        <f aca="false">_xlfn.CONCAT(H1494,I1494,J1494)</f>
        <v>DAURDE</v>
      </c>
    </row>
    <row r="1495" s="50" customFormat="true" ht="15" hidden="true" customHeight="false" outlineLevel="0" collapsed="false">
      <c r="A1495" s="43"/>
      <c r="B1495" s="44" t="s">
        <v>672</v>
      </c>
      <c r="C1495" s="44" t="s">
        <v>679</v>
      </c>
      <c r="D1495" s="45" t="n">
        <v>45998.625</v>
      </c>
      <c r="E1495" s="45" t="n">
        <v>45998.625</v>
      </c>
      <c r="F1495" s="45" t="n">
        <v>45999.4861111111</v>
      </c>
      <c r="G1495" s="46" t="n">
        <f aca="false">F1495-E1495</f>
        <v>0.861111111111111</v>
      </c>
      <c r="H1495" s="44" t="s">
        <v>248</v>
      </c>
      <c r="I1495" s="44"/>
      <c r="J1495" s="44" t="s">
        <v>256</v>
      </c>
      <c r="K1495" s="1" t="e">
        <f aca="false">_xlfn.xlookup(J1495,REF!$D$2:$D$12,REF!$E$2:$E$12)</f>
        <v>#NAME?</v>
      </c>
      <c r="L1495" s="44" t="s">
        <v>977</v>
      </c>
      <c r="M1495" s="44" t="s">
        <v>258</v>
      </c>
      <c r="N1495" s="44" t="s">
        <v>259</v>
      </c>
      <c r="O1495" s="44" t="s">
        <v>978</v>
      </c>
      <c r="P1495" s="1" t="str">
        <f aca="false">_xlfn.CONCAT(B1495,C1495,D1495,E1495,F1495)</f>
        <v>BC BomSucessoABB_0645998.62545998.62545999.4861111111</v>
      </c>
      <c r="Q1495" s="1" t="str">
        <f aca="false">_xlfn.CONCAT(H1495,I1495,J1495)</f>
        <v>DAURDE</v>
      </c>
    </row>
    <row r="1496" s="50" customFormat="true" ht="15" hidden="true" customHeight="false" outlineLevel="0" collapsed="false">
      <c r="A1496" s="43"/>
      <c r="B1496" s="44" t="s">
        <v>672</v>
      </c>
      <c r="C1496" s="44" t="s">
        <v>680</v>
      </c>
      <c r="D1496" s="45" t="n">
        <v>45998.625</v>
      </c>
      <c r="E1496" s="45" t="n">
        <v>45998.625</v>
      </c>
      <c r="F1496" s="45" t="n">
        <v>45999.4861111111</v>
      </c>
      <c r="G1496" s="46" t="n">
        <f aca="false">F1496-E1496</f>
        <v>0.861111111111111</v>
      </c>
      <c r="H1496" s="44" t="s">
        <v>248</v>
      </c>
      <c r="I1496" s="44"/>
      <c r="J1496" s="44" t="s">
        <v>256</v>
      </c>
      <c r="K1496" s="1" t="e">
        <f aca="false">_xlfn.xlookup(J1496,REF!$D$2:$D$12,REF!$E$2:$E$12)</f>
        <v>#NAME?</v>
      </c>
      <c r="L1496" s="44" t="s">
        <v>977</v>
      </c>
      <c r="M1496" s="44" t="s">
        <v>258</v>
      </c>
      <c r="N1496" s="44" t="s">
        <v>259</v>
      </c>
      <c r="O1496" s="44" t="s">
        <v>978</v>
      </c>
      <c r="P1496" s="1" t="str">
        <f aca="false">_xlfn.CONCAT(B1496,C1496,D1496,E1496,F1496)</f>
        <v>BC BomSucessoABB_0745998.62545998.62545999.4861111111</v>
      </c>
      <c r="Q1496" s="1" t="str">
        <f aca="false">_xlfn.CONCAT(H1496,I1496,J1496)</f>
        <v>DAURDE</v>
      </c>
    </row>
    <row r="1497" s="50" customFormat="true" ht="15" hidden="true" customHeight="false" outlineLevel="0" collapsed="false">
      <c r="A1497" s="43"/>
      <c r="B1497" s="44" t="s">
        <v>672</v>
      </c>
      <c r="C1497" s="44" t="s">
        <v>681</v>
      </c>
      <c r="D1497" s="45" t="n">
        <v>45998.625</v>
      </c>
      <c r="E1497" s="45" t="n">
        <v>45998.625</v>
      </c>
      <c r="F1497" s="45" t="n">
        <v>45999.4861111111</v>
      </c>
      <c r="G1497" s="46" t="n">
        <f aca="false">F1497-E1497</f>
        <v>0.861111111111111</v>
      </c>
      <c r="H1497" s="44" t="s">
        <v>248</v>
      </c>
      <c r="I1497" s="44"/>
      <c r="J1497" s="44" t="s">
        <v>256</v>
      </c>
      <c r="K1497" s="1" t="e">
        <f aca="false">_xlfn.xlookup(J1497,REF!$D$2:$D$12,REF!$E$2:$E$12)</f>
        <v>#NAME?</v>
      </c>
      <c r="L1497" s="44" t="s">
        <v>977</v>
      </c>
      <c r="M1497" s="44" t="s">
        <v>258</v>
      </c>
      <c r="N1497" s="44" t="s">
        <v>259</v>
      </c>
      <c r="O1497" s="44" t="s">
        <v>978</v>
      </c>
      <c r="P1497" s="1" t="str">
        <f aca="false">_xlfn.CONCAT(B1497,C1497,D1497,E1497,F1497)</f>
        <v>BC BomSucessoABB_0845998.62545998.62545999.4861111111</v>
      </c>
      <c r="Q1497" s="1" t="str">
        <f aca="false">_xlfn.CONCAT(H1497,I1497,J1497)</f>
        <v>DAURDE</v>
      </c>
    </row>
    <row r="1498" s="50" customFormat="true" ht="15" hidden="true" customHeight="false" outlineLevel="0" collapsed="false">
      <c r="A1498" s="43"/>
      <c r="B1498" s="44" t="s">
        <v>672</v>
      </c>
      <c r="C1498" s="44" t="s">
        <v>682</v>
      </c>
      <c r="D1498" s="45" t="n">
        <v>45998.625</v>
      </c>
      <c r="E1498" s="45" t="n">
        <v>45998.625</v>
      </c>
      <c r="F1498" s="45" t="n">
        <v>45999.4861111111</v>
      </c>
      <c r="G1498" s="46" t="n">
        <f aca="false">F1498-E1498</f>
        <v>0.861111111111111</v>
      </c>
      <c r="H1498" s="44" t="s">
        <v>248</v>
      </c>
      <c r="I1498" s="44"/>
      <c r="J1498" s="44" t="s">
        <v>256</v>
      </c>
      <c r="K1498" s="1" t="e">
        <f aca="false">_xlfn.xlookup(J1498,REF!$D$2:$D$12,REF!$E$2:$E$12)</f>
        <v>#NAME?</v>
      </c>
      <c r="L1498" s="44" t="s">
        <v>977</v>
      </c>
      <c r="M1498" s="44" t="s">
        <v>258</v>
      </c>
      <c r="N1498" s="44" t="s">
        <v>259</v>
      </c>
      <c r="O1498" s="44" t="s">
        <v>978</v>
      </c>
      <c r="P1498" s="1" t="str">
        <f aca="false">_xlfn.CONCAT(B1498,C1498,D1498,E1498,F1498)</f>
        <v>BC BomSucessoABB_0945998.62545998.62545999.4861111111</v>
      </c>
      <c r="Q1498" s="1" t="str">
        <f aca="false">_xlfn.CONCAT(H1498,I1498,J1498)</f>
        <v>DAURDE</v>
      </c>
    </row>
    <row r="1499" s="50" customFormat="true" ht="15" hidden="true" customHeight="false" outlineLevel="0" collapsed="false">
      <c r="A1499" s="43"/>
      <c r="B1499" s="44" t="s">
        <v>672</v>
      </c>
      <c r="C1499" s="44" t="s">
        <v>683</v>
      </c>
      <c r="D1499" s="45" t="n">
        <v>45998.625</v>
      </c>
      <c r="E1499" s="45" t="n">
        <v>45998.625</v>
      </c>
      <c r="F1499" s="45" t="n">
        <v>45999.4861111111</v>
      </c>
      <c r="G1499" s="46" t="n">
        <f aca="false">F1499-E1499</f>
        <v>0.861111111111111</v>
      </c>
      <c r="H1499" s="44" t="s">
        <v>248</v>
      </c>
      <c r="I1499" s="44"/>
      <c r="J1499" s="44" t="s">
        <v>256</v>
      </c>
      <c r="K1499" s="1" t="e">
        <f aca="false">_xlfn.xlookup(J1499,REF!$D$2:$D$12,REF!$E$2:$E$12)</f>
        <v>#NAME?</v>
      </c>
      <c r="L1499" s="44" t="s">
        <v>977</v>
      </c>
      <c r="M1499" s="44" t="s">
        <v>258</v>
      </c>
      <c r="N1499" s="44" t="s">
        <v>259</v>
      </c>
      <c r="O1499" s="44" t="s">
        <v>978</v>
      </c>
      <c r="P1499" s="1" t="str">
        <f aca="false">_xlfn.CONCAT(B1499,C1499,D1499,E1499,F1499)</f>
        <v>BC BomSucessoABB_1045998.62545998.62545999.4861111111</v>
      </c>
      <c r="Q1499" s="1" t="str">
        <f aca="false">_xlfn.CONCAT(H1499,I1499,J1499)</f>
        <v>DAURDE</v>
      </c>
    </row>
    <row r="1500" s="50" customFormat="true" ht="15" hidden="true" customHeight="false" outlineLevel="0" collapsed="false">
      <c r="A1500" s="43"/>
      <c r="B1500" s="44" t="s">
        <v>672</v>
      </c>
      <c r="C1500" s="44" t="s">
        <v>684</v>
      </c>
      <c r="D1500" s="45" t="n">
        <v>45998.625</v>
      </c>
      <c r="E1500" s="45" t="n">
        <v>45998.625</v>
      </c>
      <c r="F1500" s="45" t="n">
        <v>45999.4861111111</v>
      </c>
      <c r="G1500" s="46" t="n">
        <f aca="false">F1500-E1500</f>
        <v>0.861111111111111</v>
      </c>
      <c r="H1500" s="44" t="s">
        <v>248</v>
      </c>
      <c r="I1500" s="44"/>
      <c r="J1500" s="44" t="s">
        <v>256</v>
      </c>
      <c r="K1500" s="1" t="e">
        <f aca="false">_xlfn.xlookup(J1500,REF!$D$2:$D$12,REF!$E$2:$E$12)</f>
        <v>#NAME?</v>
      </c>
      <c r="L1500" s="44" t="s">
        <v>977</v>
      </c>
      <c r="M1500" s="44" t="s">
        <v>258</v>
      </c>
      <c r="N1500" s="44" t="s">
        <v>259</v>
      </c>
      <c r="O1500" s="44" t="s">
        <v>978</v>
      </c>
      <c r="P1500" s="1" t="str">
        <f aca="false">_xlfn.CONCAT(B1500,C1500,D1500,E1500,F1500)</f>
        <v>BC BomSucessoABB_1145998.62545998.62545999.4861111111</v>
      </c>
      <c r="Q1500" s="1" t="str">
        <f aca="false">_xlfn.CONCAT(H1500,I1500,J1500)</f>
        <v>DAURDE</v>
      </c>
    </row>
    <row r="1501" customFormat="false" ht="15" hidden="true" customHeight="false" outlineLevel="0" collapsed="false">
      <c r="B1501" s="1" t="s">
        <v>897</v>
      </c>
      <c r="C1501" s="1" t="s">
        <v>898</v>
      </c>
      <c r="D1501" s="14" t="n">
        <v>46000.4375</v>
      </c>
      <c r="E1501" s="14" t="n">
        <v>46000.4375</v>
      </c>
      <c r="F1501" s="14" t="n">
        <v>46000.4444444444</v>
      </c>
      <c r="G1501" s="15" t="n">
        <f aca="false">F1501-E1501</f>
        <v>0.00694444444444444</v>
      </c>
      <c r="H1501" s="20" t="s">
        <v>445</v>
      </c>
      <c r="I1501" s="1" t="s">
        <v>263</v>
      </c>
      <c r="J1501" s="20" t="s">
        <v>417</v>
      </c>
      <c r="K1501" s="1" t="e">
        <f aca="false">_xlfn.xlookup(J1501,REF!$D$2:$D$12,REF!$E$2:$E$12)</f>
        <v>#NAME?</v>
      </c>
      <c r="L1501" s="1" t="s">
        <v>979</v>
      </c>
      <c r="M1501" s="20" t="s">
        <v>418</v>
      </c>
      <c r="N1501" s="20" t="s">
        <v>450</v>
      </c>
      <c r="O1501" s="1" t="s">
        <v>980</v>
      </c>
      <c r="P1501" s="1" t="str">
        <f aca="false">_xlfn.CONCAT(B1501,C1501,D1501,E1501,F1501)</f>
        <v>Barra do Garças IInverter__546000.437546000.437546000.4444444444</v>
      </c>
      <c r="Q1501" s="1" t="str">
        <f aca="false">_xlfn.CONCAT(H1501,I1501,J1501)</f>
        <v>LIGRFOINT</v>
      </c>
    </row>
    <row r="1502" customFormat="false" ht="15" hidden="true" customHeight="false" outlineLevel="0" collapsed="false">
      <c r="B1502" s="1" t="s">
        <v>897</v>
      </c>
      <c r="C1502" s="1" t="s">
        <v>899</v>
      </c>
      <c r="D1502" s="14" t="n">
        <v>46000.4375</v>
      </c>
      <c r="E1502" s="14" t="n">
        <v>46000.4375</v>
      </c>
      <c r="F1502" s="14" t="n">
        <v>46000.4444444444</v>
      </c>
      <c r="G1502" s="15" t="n">
        <f aca="false">F1502-E1502</f>
        <v>0.00694444444444444</v>
      </c>
      <c r="H1502" s="20" t="s">
        <v>445</v>
      </c>
      <c r="I1502" s="1" t="s">
        <v>263</v>
      </c>
      <c r="J1502" s="20" t="s">
        <v>417</v>
      </c>
      <c r="K1502" s="1" t="e">
        <f aca="false">_xlfn.xlookup(J1502,REF!$D$2:$D$12,REF!$E$2:$E$12)</f>
        <v>#NAME?</v>
      </c>
      <c r="L1502" s="1" t="s">
        <v>979</v>
      </c>
      <c r="M1502" s="20" t="s">
        <v>418</v>
      </c>
      <c r="N1502" s="20" t="s">
        <v>450</v>
      </c>
      <c r="O1502" s="1" t="s">
        <v>980</v>
      </c>
      <c r="P1502" s="1" t="str">
        <f aca="false">_xlfn.CONCAT(B1502,C1502,D1502,E1502,F1502)</f>
        <v>Barra do Garças IInverter__146000.437546000.437546000.4444444444</v>
      </c>
      <c r="Q1502" s="1" t="str">
        <f aca="false">_xlfn.CONCAT(H1502,I1502,J1502)</f>
        <v>LIGRFOINT</v>
      </c>
    </row>
    <row r="1503" customFormat="false" ht="15" hidden="true" customHeight="false" outlineLevel="0" collapsed="false">
      <c r="B1503" s="1" t="s">
        <v>900</v>
      </c>
      <c r="C1503" s="1" t="s">
        <v>901</v>
      </c>
      <c r="D1503" s="14" t="n">
        <v>46000.4375</v>
      </c>
      <c r="E1503" s="14" t="n">
        <v>46000.4375</v>
      </c>
      <c r="F1503" s="14" t="n">
        <v>46000.4444444444</v>
      </c>
      <c r="G1503" s="15" t="n">
        <f aca="false">F1503-E1503</f>
        <v>0.00694444444444444</v>
      </c>
      <c r="H1503" s="20" t="s">
        <v>445</v>
      </c>
      <c r="I1503" s="1" t="s">
        <v>263</v>
      </c>
      <c r="J1503" s="20" t="s">
        <v>417</v>
      </c>
      <c r="K1503" s="1" t="e">
        <f aca="false">_xlfn.xlookup(J1503,REF!$D$2:$D$12,REF!$E$2:$E$12)</f>
        <v>#NAME?</v>
      </c>
      <c r="L1503" s="1" t="s">
        <v>979</v>
      </c>
      <c r="M1503" s="20" t="s">
        <v>418</v>
      </c>
      <c r="N1503" s="20" t="s">
        <v>450</v>
      </c>
      <c r="O1503" s="1" t="s">
        <v>980</v>
      </c>
      <c r="P1503" s="1" t="str">
        <f aca="false">_xlfn.CONCAT(B1503,C1503,D1503,E1503,F1503)</f>
        <v>Barra do Garças IIInverter__446000.437546000.437546000.4444444444</v>
      </c>
      <c r="Q1503" s="1" t="str">
        <f aca="false">_xlfn.CONCAT(H1503,I1503,J1503)</f>
        <v>LIGRFOINT</v>
      </c>
    </row>
    <row r="1504" customFormat="false" ht="15" hidden="true" customHeight="false" outlineLevel="0" collapsed="false">
      <c r="B1504" s="1" t="s">
        <v>900</v>
      </c>
      <c r="C1504" s="1" t="s">
        <v>902</v>
      </c>
      <c r="D1504" s="14" t="n">
        <v>46000.4375</v>
      </c>
      <c r="E1504" s="14" t="n">
        <v>46000.4375</v>
      </c>
      <c r="F1504" s="14" t="n">
        <v>46000.4444444444</v>
      </c>
      <c r="G1504" s="15" t="n">
        <f aca="false">F1504-E1504</f>
        <v>0.00694444444444444</v>
      </c>
      <c r="H1504" s="20" t="s">
        <v>445</v>
      </c>
      <c r="I1504" s="1" t="s">
        <v>263</v>
      </c>
      <c r="J1504" s="20" t="s">
        <v>417</v>
      </c>
      <c r="K1504" s="1" t="e">
        <f aca="false">_xlfn.xlookup(J1504,REF!$D$2:$D$12,REF!$E$2:$E$12)</f>
        <v>#NAME?</v>
      </c>
      <c r="L1504" s="1" t="s">
        <v>979</v>
      </c>
      <c r="M1504" s="20" t="s">
        <v>418</v>
      </c>
      <c r="N1504" s="20" t="s">
        <v>450</v>
      </c>
      <c r="O1504" s="1" t="s">
        <v>980</v>
      </c>
      <c r="P1504" s="1" t="str">
        <f aca="false">_xlfn.CONCAT(B1504,C1504,D1504,E1504,F1504)</f>
        <v>Barra do Garças IIInverter__346000.437546000.437546000.4444444444</v>
      </c>
      <c r="Q1504" s="1" t="str">
        <f aca="false">_xlfn.CONCAT(H1504,I1504,J1504)</f>
        <v>LIGRFOINT</v>
      </c>
    </row>
    <row r="1505" customFormat="false" ht="15" hidden="true" customHeight="false" outlineLevel="0" collapsed="false">
      <c r="B1505" s="1" t="s">
        <v>900</v>
      </c>
      <c r="C1505" s="1" t="s">
        <v>903</v>
      </c>
      <c r="D1505" s="14" t="n">
        <v>46000.4375</v>
      </c>
      <c r="E1505" s="14" t="n">
        <v>46000.4375</v>
      </c>
      <c r="F1505" s="14" t="n">
        <v>46000.4444444444</v>
      </c>
      <c r="G1505" s="15" t="n">
        <f aca="false">F1505-E1505</f>
        <v>0.00694444444444444</v>
      </c>
      <c r="H1505" s="20" t="s">
        <v>445</v>
      </c>
      <c r="I1505" s="1" t="s">
        <v>263</v>
      </c>
      <c r="J1505" s="20" t="s">
        <v>417</v>
      </c>
      <c r="K1505" s="1" t="e">
        <f aca="false">_xlfn.xlookup(J1505,REF!$D$2:$D$12,REF!$E$2:$E$12)</f>
        <v>#NAME?</v>
      </c>
      <c r="L1505" s="1" t="s">
        <v>979</v>
      </c>
      <c r="M1505" s="20" t="s">
        <v>418</v>
      </c>
      <c r="N1505" s="20" t="s">
        <v>450</v>
      </c>
      <c r="O1505" s="1" t="s">
        <v>980</v>
      </c>
      <c r="P1505" s="1" t="str">
        <f aca="false">_xlfn.CONCAT(B1505,C1505,D1505,E1505,F1505)</f>
        <v>Barra do Garças IIInverter__246000.437546000.437546000.4444444444</v>
      </c>
      <c r="Q1505" s="1" t="str">
        <f aca="false">_xlfn.CONCAT(H1505,I1505,J1505)</f>
        <v>LIGRFOINT</v>
      </c>
    </row>
    <row r="1506" customFormat="false" ht="15" hidden="true" customHeight="false" outlineLevel="0" collapsed="false">
      <c r="B1506" s="1" t="s">
        <v>900</v>
      </c>
      <c r="C1506" s="1" t="s">
        <v>904</v>
      </c>
      <c r="D1506" s="14" t="n">
        <v>46000.4375</v>
      </c>
      <c r="E1506" s="14" t="n">
        <v>46000.4375</v>
      </c>
      <c r="F1506" s="14" t="n">
        <v>46000.4444444444</v>
      </c>
      <c r="G1506" s="15" t="n">
        <f aca="false">F1506-E1506</f>
        <v>0.00694444444444444</v>
      </c>
      <c r="H1506" s="20" t="s">
        <v>445</v>
      </c>
      <c r="I1506" s="1" t="s">
        <v>263</v>
      </c>
      <c r="J1506" s="20" t="s">
        <v>417</v>
      </c>
      <c r="K1506" s="1" t="e">
        <f aca="false">_xlfn.xlookup(J1506,REF!$D$2:$D$12,REF!$E$2:$E$12)</f>
        <v>#NAME?</v>
      </c>
      <c r="L1506" s="1" t="s">
        <v>979</v>
      </c>
      <c r="M1506" s="20" t="s">
        <v>418</v>
      </c>
      <c r="N1506" s="20" t="s">
        <v>450</v>
      </c>
      <c r="O1506" s="1" t="s">
        <v>980</v>
      </c>
      <c r="P1506" s="1" t="str">
        <f aca="false">_xlfn.CONCAT(B1506,C1506,D1506,E1506,F1506)</f>
        <v>Barra do Garças IIInverter__746000.437546000.437546000.4444444444</v>
      </c>
      <c r="Q1506" s="1" t="str">
        <f aca="false">_xlfn.CONCAT(H1506,I1506,J1506)</f>
        <v>LIGRFOINT</v>
      </c>
    </row>
    <row r="1507" customFormat="false" ht="15" hidden="true" customHeight="false" outlineLevel="0" collapsed="false">
      <c r="B1507" s="1" t="s">
        <v>905</v>
      </c>
      <c r="C1507" s="1" t="s">
        <v>906</v>
      </c>
      <c r="D1507" s="14" t="n">
        <v>46000.4375</v>
      </c>
      <c r="E1507" s="14" t="n">
        <v>46000.4375</v>
      </c>
      <c r="F1507" s="14" t="n">
        <v>46000.4444444444</v>
      </c>
      <c r="G1507" s="15" t="n">
        <f aca="false">F1507-E1507</f>
        <v>0.00694444444444444</v>
      </c>
      <c r="H1507" s="20" t="s">
        <v>445</v>
      </c>
      <c r="I1507" s="1" t="s">
        <v>263</v>
      </c>
      <c r="J1507" s="20" t="s">
        <v>417</v>
      </c>
      <c r="K1507" s="1" t="e">
        <f aca="false">_xlfn.xlookup(J1507,REF!$D$2:$D$12,REF!$E$2:$E$12)</f>
        <v>#NAME?</v>
      </c>
      <c r="L1507" s="1" t="s">
        <v>979</v>
      </c>
      <c r="M1507" s="20" t="s">
        <v>418</v>
      </c>
      <c r="N1507" s="20" t="s">
        <v>450</v>
      </c>
      <c r="O1507" s="1" t="s">
        <v>980</v>
      </c>
      <c r="P1507" s="1" t="str">
        <f aca="false">_xlfn.CONCAT(B1507,C1507,D1507,E1507,F1507)</f>
        <v>Barra do Garças IIIInverter__946000.437546000.437546000.4444444444</v>
      </c>
      <c r="Q1507" s="1" t="str">
        <f aca="false">_xlfn.CONCAT(H1507,I1507,J1507)</f>
        <v>LIGRFOINT</v>
      </c>
    </row>
    <row r="1508" customFormat="false" ht="15" hidden="true" customHeight="false" outlineLevel="0" collapsed="false">
      <c r="B1508" s="1" t="s">
        <v>905</v>
      </c>
      <c r="C1508" s="1" t="s">
        <v>907</v>
      </c>
      <c r="D1508" s="14" t="n">
        <v>46000.4375</v>
      </c>
      <c r="E1508" s="14" t="n">
        <v>46000.4375</v>
      </c>
      <c r="F1508" s="14" t="n">
        <v>46000.4444444444</v>
      </c>
      <c r="G1508" s="15" t="n">
        <f aca="false">F1508-E1508</f>
        <v>0.00694444444444444</v>
      </c>
      <c r="H1508" s="20" t="s">
        <v>445</v>
      </c>
      <c r="I1508" s="1" t="s">
        <v>263</v>
      </c>
      <c r="J1508" s="20" t="s">
        <v>417</v>
      </c>
      <c r="K1508" s="1" t="e">
        <f aca="false">_xlfn.xlookup(J1508,REF!$D$2:$D$12,REF!$E$2:$E$12)</f>
        <v>#NAME?</v>
      </c>
      <c r="L1508" s="1" t="s">
        <v>979</v>
      </c>
      <c r="M1508" s="20" t="s">
        <v>418</v>
      </c>
      <c r="N1508" s="20" t="s">
        <v>450</v>
      </c>
      <c r="O1508" s="1" t="s">
        <v>980</v>
      </c>
      <c r="P1508" s="1" t="str">
        <f aca="false">_xlfn.CONCAT(B1508,C1508,D1508,E1508,F1508)</f>
        <v>Barra do Garças IIIInverter__846000.437546000.437546000.4444444444</v>
      </c>
      <c r="Q1508" s="1" t="str">
        <f aca="false">_xlfn.CONCAT(H1508,I1508,J1508)</f>
        <v>LIGRFOINT</v>
      </c>
    </row>
    <row r="1509" customFormat="false" ht="15" hidden="true" customHeight="false" outlineLevel="0" collapsed="false">
      <c r="B1509" s="1" t="s">
        <v>905</v>
      </c>
      <c r="C1509" s="1" t="s">
        <v>908</v>
      </c>
      <c r="D1509" s="14" t="n">
        <v>46000.4375</v>
      </c>
      <c r="E1509" s="14" t="n">
        <v>46000.4375</v>
      </c>
      <c r="F1509" s="14" t="n">
        <v>46000.4444444444</v>
      </c>
      <c r="G1509" s="15" t="n">
        <f aca="false">F1509-E1509</f>
        <v>0.00694444444444444</v>
      </c>
      <c r="H1509" s="20" t="s">
        <v>445</v>
      </c>
      <c r="I1509" s="1" t="s">
        <v>263</v>
      </c>
      <c r="J1509" s="20" t="s">
        <v>417</v>
      </c>
      <c r="K1509" s="1" t="e">
        <f aca="false">_xlfn.xlookup(J1509,REF!$D$2:$D$12,REF!$E$2:$E$12)</f>
        <v>#NAME?</v>
      </c>
      <c r="L1509" s="1" t="s">
        <v>979</v>
      </c>
      <c r="M1509" s="20" t="s">
        <v>418</v>
      </c>
      <c r="N1509" s="20" t="s">
        <v>450</v>
      </c>
      <c r="O1509" s="1" t="s">
        <v>980</v>
      </c>
      <c r="P1509" s="1" t="str">
        <f aca="false">_xlfn.CONCAT(B1509,C1509,D1509,E1509,F1509)</f>
        <v>Barra do Garças IIIInverter__1046000.437546000.437546000.4444444444</v>
      </c>
      <c r="Q1509" s="1" t="str">
        <f aca="false">_xlfn.CONCAT(H1509,I1509,J1509)</f>
        <v>LIGRFOINT</v>
      </c>
    </row>
    <row r="1510" customFormat="false" ht="15" hidden="true" customHeight="false" outlineLevel="0" collapsed="false">
      <c r="B1510" s="1" t="s">
        <v>905</v>
      </c>
      <c r="C1510" s="1" t="s">
        <v>909</v>
      </c>
      <c r="D1510" s="14" t="n">
        <v>46000.4375</v>
      </c>
      <c r="E1510" s="14" t="n">
        <v>46000.4375</v>
      </c>
      <c r="F1510" s="14" t="n">
        <v>46000.4444444444</v>
      </c>
      <c r="G1510" s="15" t="n">
        <f aca="false">F1510-E1510</f>
        <v>0.00694444444444444</v>
      </c>
      <c r="H1510" s="20" t="s">
        <v>445</v>
      </c>
      <c r="I1510" s="1" t="s">
        <v>263</v>
      </c>
      <c r="J1510" s="20" t="s">
        <v>417</v>
      </c>
      <c r="K1510" s="1" t="e">
        <f aca="false">_xlfn.xlookup(J1510,REF!$D$2:$D$12,REF!$E$2:$E$12)</f>
        <v>#NAME?</v>
      </c>
      <c r="L1510" s="1" t="s">
        <v>979</v>
      </c>
      <c r="M1510" s="20" t="s">
        <v>418</v>
      </c>
      <c r="N1510" s="20" t="s">
        <v>450</v>
      </c>
      <c r="O1510" s="1" t="s">
        <v>980</v>
      </c>
      <c r="P1510" s="1" t="str">
        <f aca="false">_xlfn.CONCAT(B1510,C1510,D1510,E1510,F1510)</f>
        <v>Barra do Garças IIIInverter__646000.437546000.437546000.4444444444</v>
      </c>
      <c r="Q1510" s="1" t="str">
        <f aca="false">_xlfn.CONCAT(H1510,I1510,J1510)</f>
        <v>LIGRFOINT</v>
      </c>
    </row>
    <row r="1511" customFormat="false" ht="15" hidden="true" customHeight="false" outlineLevel="0" collapsed="false">
      <c r="B1511" s="24" t="s">
        <v>869</v>
      </c>
      <c r="C1511" s="1" t="s">
        <v>247</v>
      </c>
      <c r="D1511" s="14" t="n">
        <v>46001.5833333333</v>
      </c>
      <c r="E1511" s="14" t="n">
        <v>46001.5833333333</v>
      </c>
      <c r="F1511" s="14" t="n">
        <v>46001.75</v>
      </c>
      <c r="G1511" s="15" t="n">
        <f aca="false">F1511-E1511</f>
        <v>0.166666666666667</v>
      </c>
      <c r="H1511" s="20" t="s">
        <v>445</v>
      </c>
      <c r="I1511" s="1" t="s">
        <v>263</v>
      </c>
      <c r="J1511" s="20" t="s">
        <v>230</v>
      </c>
      <c r="K1511" s="1" t="e">
        <f aca="false">_xlfn.xlookup(J1511,REF!$D$2:$D$12,REF!$E$2:$E$12)</f>
        <v>#NAME?</v>
      </c>
      <c r="L1511" s="1" t="s">
        <v>981</v>
      </c>
      <c r="M1511" s="20" t="s">
        <v>783</v>
      </c>
      <c r="N1511" s="20" t="s">
        <v>267</v>
      </c>
      <c r="O1511" s="1" t="s">
        <v>982</v>
      </c>
      <c r="P1511" s="1" t="str">
        <f aca="false">_xlfn.CONCAT(B1511,C1511,D1511,E1511,F1511)</f>
        <v>UFV LENÇOIS PAULISTAInverter(MBUS-13)46001.583333333346001.583333333346001.75</v>
      </c>
      <c r="Q1511" s="1" t="str">
        <f aca="false">_xlfn.CONCAT(H1511,I1511,J1511)</f>
        <v>LIGRFOUFV</v>
      </c>
    </row>
    <row r="1512" customFormat="false" ht="15" hidden="true" customHeight="false" outlineLevel="0" collapsed="false">
      <c r="B1512" s="24" t="s">
        <v>869</v>
      </c>
      <c r="C1512" s="1" t="s">
        <v>280</v>
      </c>
      <c r="D1512" s="14" t="n">
        <v>46001.5833333333</v>
      </c>
      <c r="E1512" s="14" t="n">
        <v>46001.5833333333</v>
      </c>
      <c r="F1512" s="14" t="n">
        <v>46001.75</v>
      </c>
      <c r="G1512" s="15" t="n">
        <f aca="false">F1512-E1512</f>
        <v>0.166666666666667</v>
      </c>
      <c r="H1512" s="20" t="s">
        <v>445</v>
      </c>
      <c r="I1512" s="1" t="s">
        <v>263</v>
      </c>
      <c r="J1512" s="20" t="s">
        <v>230</v>
      </c>
      <c r="K1512" s="1" t="e">
        <f aca="false">_xlfn.xlookup(J1512,REF!$D$2:$D$12,REF!$E$2:$E$12)</f>
        <v>#NAME?</v>
      </c>
      <c r="L1512" s="1" t="s">
        <v>981</v>
      </c>
      <c r="M1512" s="20" t="s">
        <v>783</v>
      </c>
      <c r="N1512" s="20" t="s">
        <v>267</v>
      </c>
      <c r="O1512" s="1" t="s">
        <v>982</v>
      </c>
      <c r="P1512" s="1" t="str">
        <f aca="false">_xlfn.CONCAT(B1512,C1512,D1512,E1512,F1512)</f>
        <v>UFV LENÇOIS PAULISTAInverter(MBUS-14)46001.583333333346001.583333333346001.75</v>
      </c>
      <c r="Q1512" s="1" t="str">
        <f aca="false">_xlfn.CONCAT(H1512,I1512,J1512)</f>
        <v>LIGRFOUFV</v>
      </c>
    </row>
    <row r="1513" customFormat="false" ht="15" hidden="true" customHeight="false" outlineLevel="0" collapsed="false">
      <c r="B1513" s="24" t="s">
        <v>869</v>
      </c>
      <c r="C1513" s="1" t="s">
        <v>277</v>
      </c>
      <c r="D1513" s="14" t="n">
        <v>46001.5833333333</v>
      </c>
      <c r="E1513" s="14" t="n">
        <v>46001.5833333333</v>
      </c>
      <c r="F1513" s="14" t="n">
        <v>46001.75</v>
      </c>
      <c r="G1513" s="15" t="n">
        <f aca="false">F1513-E1513</f>
        <v>0.166666666666667</v>
      </c>
      <c r="H1513" s="20" t="s">
        <v>445</v>
      </c>
      <c r="I1513" s="1" t="s">
        <v>263</v>
      </c>
      <c r="J1513" s="20" t="s">
        <v>230</v>
      </c>
      <c r="K1513" s="1" t="e">
        <f aca="false">_xlfn.xlookup(J1513,REF!$D$2:$D$12,REF!$E$2:$E$12)</f>
        <v>#NAME?</v>
      </c>
      <c r="L1513" s="1" t="s">
        <v>981</v>
      </c>
      <c r="M1513" s="20" t="s">
        <v>783</v>
      </c>
      <c r="N1513" s="20" t="s">
        <v>267</v>
      </c>
      <c r="O1513" s="1" t="s">
        <v>982</v>
      </c>
      <c r="P1513" s="1" t="str">
        <f aca="false">_xlfn.CONCAT(B1513,C1513,D1513,E1513,F1513)</f>
        <v>UFV LENÇOIS PAULISTAInverter(MBUS-12)46001.583333333346001.583333333346001.75</v>
      </c>
      <c r="Q1513" s="1" t="str">
        <f aca="false">_xlfn.CONCAT(H1513,I1513,J1513)</f>
        <v>LIGRFOUFV</v>
      </c>
    </row>
    <row r="1514" customFormat="false" ht="15" hidden="true" customHeight="false" outlineLevel="0" collapsed="false">
      <c r="B1514" s="24" t="s">
        <v>869</v>
      </c>
      <c r="C1514" s="1" t="s">
        <v>279</v>
      </c>
      <c r="D1514" s="14" t="n">
        <v>46001.5833333333</v>
      </c>
      <c r="E1514" s="14" t="n">
        <v>46001.5833333333</v>
      </c>
      <c r="F1514" s="14" t="n">
        <v>46001.75</v>
      </c>
      <c r="G1514" s="15" t="n">
        <f aca="false">F1514-E1514</f>
        <v>0.166666666666667</v>
      </c>
      <c r="H1514" s="20" t="s">
        <v>445</v>
      </c>
      <c r="I1514" s="1" t="s">
        <v>263</v>
      </c>
      <c r="J1514" s="20" t="s">
        <v>230</v>
      </c>
      <c r="K1514" s="1" t="e">
        <f aca="false">_xlfn.xlookup(J1514,REF!$D$2:$D$12,REF!$E$2:$E$12)</f>
        <v>#NAME?</v>
      </c>
      <c r="L1514" s="1" t="s">
        <v>981</v>
      </c>
      <c r="M1514" s="20" t="s">
        <v>783</v>
      </c>
      <c r="N1514" s="20" t="s">
        <v>267</v>
      </c>
      <c r="O1514" s="1" t="s">
        <v>982</v>
      </c>
      <c r="P1514" s="1" t="str">
        <f aca="false">_xlfn.CONCAT(B1514,C1514,D1514,E1514,F1514)</f>
        <v>UFV LENÇOIS PAULISTAInverter(MBUS-15)46001.583333333346001.583333333346001.75</v>
      </c>
      <c r="Q1514" s="1" t="str">
        <f aca="false">_xlfn.CONCAT(H1514,I1514,J1514)</f>
        <v>LIGRFOUFV</v>
      </c>
    </row>
    <row r="1515" s="50" customFormat="true" ht="15" hidden="true" customHeight="false" outlineLevel="0" collapsed="false">
      <c r="A1515" s="51"/>
      <c r="B1515" s="37" t="s">
        <v>805</v>
      </c>
      <c r="C1515" s="37" t="s">
        <v>806</v>
      </c>
      <c r="D1515" s="34" t="n">
        <v>46001.5069444444</v>
      </c>
      <c r="E1515" s="34" t="n">
        <v>46001.5069444444</v>
      </c>
      <c r="F1515" s="34" t="n">
        <v>46001.7326388889</v>
      </c>
      <c r="G1515" s="35" t="n">
        <f aca="false">F1515-E1515</f>
        <v>0.225694444444444</v>
      </c>
      <c r="H1515" s="52" t="s">
        <v>248</v>
      </c>
      <c r="I1515" s="37"/>
      <c r="J1515" s="37" t="s">
        <v>256</v>
      </c>
      <c r="K1515" s="37" t="e">
        <f aca="false">_xlfn.xlookup(J1515,REF!$D$2:$D$12,REF!$E$2:$E$12)</f>
        <v>#NAME?</v>
      </c>
      <c r="L1515" s="37" t="s">
        <v>983</v>
      </c>
      <c r="M1515" s="52" t="s">
        <v>258</v>
      </c>
      <c r="N1515" s="52" t="s">
        <v>259</v>
      </c>
      <c r="O1515" s="37" t="s">
        <v>984</v>
      </c>
      <c r="P1515" s="37" t="str">
        <f aca="false">_xlfn.CONCAT(B1515,C1515,D1515,E1515,F1515)</f>
        <v>Rio Monte ISG75CX(COM2-001)_001_01846001.506944444446001.506944444446001.7326388889</v>
      </c>
      <c r="Q1515" s="37" t="str">
        <f aca="false">_xlfn.CONCAT(H1515,I1515,J1515)</f>
        <v>DAURDE</v>
      </c>
    </row>
    <row r="1516" s="50" customFormat="true" ht="15" hidden="true" customHeight="false" outlineLevel="0" collapsed="false">
      <c r="A1516" s="51"/>
      <c r="B1516" s="37" t="s">
        <v>807</v>
      </c>
      <c r="C1516" s="37" t="s">
        <v>808</v>
      </c>
      <c r="D1516" s="34" t="n">
        <v>46001.5069444444</v>
      </c>
      <c r="E1516" s="34" t="n">
        <v>46001.5069444444</v>
      </c>
      <c r="F1516" s="34" t="n">
        <v>46001.7326388889</v>
      </c>
      <c r="G1516" s="35" t="n">
        <f aca="false">F1516-E1516</f>
        <v>0.225694444444444</v>
      </c>
      <c r="H1516" s="52" t="s">
        <v>248</v>
      </c>
      <c r="I1516" s="37"/>
      <c r="J1516" s="37" t="s">
        <v>256</v>
      </c>
      <c r="K1516" s="37" t="e">
        <f aca="false">_xlfn.xlookup(J1516,REF!$D$2:$D$12,REF!$E$2:$E$12)</f>
        <v>#NAME?</v>
      </c>
      <c r="L1516" s="37" t="s">
        <v>983</v>
      </c>
      <c r="M1516" s="52" t="s">
        <v>258</v>
      </c>
      <c r="N1516" s="52" t="s">
        <v>259</v>
      </c>
      <c r="O1516" s="37" t="s">
        <v>984</v>
      </c>
      <c r="P1516" s="37" t="str">
        <f aca="false">_xlfn.CONCAT(B1516,C1516,D1516,E1516,F1516)</f>
        <v>Rio Monte IISG40CX(COM2-007)_001_01746001.506944444446001.506944444446001.7326388889</v>
      </c>
      <c r="Q1516" s="37" t="str">
        <f aca="false">_xlfn.CONCAT(H1516,I1516,J1516)</f>
        <v>DAURDE</v>
      </c>
    </row>
    <row r="1517" s="50" customFormat="true" ht="15" hidden="true" customHeight="false" outlineLevel="0" collapsed="false">
      <c r="A1517" s="51"/>
      <c r="B1517" s="37" t="s">
        <v>807</v>
      </c>
      <c r="C1517" s="37" t="s">
        <v>809</v>
      </c>
      <c r="D1517" s="34" t="n">
        <v>46001.5069444444</v>
      </c>
      <c r="E1517" s="34" t="n">
        <v>46001.5069444444</v>
      </c>
      <c r="F1517" s="34" t="n">
        <v>46001.7326388889</v>
      </c>
      <c r="G1517" s="35" t="n">
        <f aca="false">F1517-E1517</f>
        <v>0.225694444444444</v>
      </c>
      <c r="H1517" s="52" t="s">
        <v>248</v>
      </c>
      <c r="I1517" s="37"/>
      <c r="J1517" s="37" t="s">
        <v>256</v>
      </c>
      <c r="K1517" s="37" t="e">
        <f aca="false">_xlfn.xlookup(J1517,REF!$D$2:$D$12,REF!$E$2:$E$12)</f>
        <v>#NAME?</v>
      </c>
      <c r="L1517" s="37" t="s">
        <v>983</v>
      </c>
      <c r="M1517" s="52" t="s">
        <v>258</v>
      </c>
      <c r="N1517" s="52" t="s">
        <v>259</v>
      </c>
      <c r="O1517" s="37" t="s">
        <v>984</v>
      </c>
      <c r="P1517" s="37" t="str">
        <f aca="false">_xlfn.CONCAT(B1517,C1517,D1517,E1517,F1517)</f>
        <v>Rio Monte IISG60KTL(COM1-002)_001_00546001.506944444446001.506944444446001.7326388889</v>
      </c>
      <c r="Q1517" s="37" t="str">
        <f aca="false">_xlfn.CONCAT(H1517,I1517,J1517)</f>
        <v>DAURDE</v>
      </c>
    </row>
    <row r="1518" s="50" customFormat="true" ht="15" hidden="true" customHeight="false" outlineLevel="0" collapsed="false">
      <c r="A1518" s="51"/>
      <c r="B1518" s="37" t="s">
        <v>807</v>
      </c>
      <c r="C1518" s="37" t="s">
        <v>810</v>
      </c>
      <c r="D1518" s="34" t="n">
        <v>46001.5069444444</v>
      </c>
      <c r="E1518" s="34" t="n">
        <v>46001.5069444444</v>
      </c>
      <c r="F1518" s="34" t="n">
        <v>46001.7326388889</v>
      </c>
      <c r="G1518" s="35" t="n">
        <f aca="false">F1518-E1518</f>
        <v>0.225694444444444</v>
      </c>
      <c r="H1518" s="52" t="s">
        <v>248</v>
      </c>
      <c r="I1518" s="37"/>
      <c r="J1518" s="37" t="s">
        <v>256</v>
      </c>
      <c r="K1518" s="37" t="e">
        <f aca="false">_xlfn.xlookup(J1518,REF!$D$2:$D$12,REF!$E$2:$E$12)</f>
        <v>#NAME?</v>
      </c>
      <c r="L1518" s="37" t="s">
        <v>983</v>
      </c>
      <c r="M1518" s="52" t="s">
        <v>258</v>
      </c>
      <c r="N1518" s="52" t="s">
        <v>259</v>
      </c>
      <c r="O1518" s="37" t="s">
        <v>984</v>
      </c>
      <c r="P1518" s="37" t="str">
        <f aca="false">_xlfn.CONCAT(B1518,C1518,D1518,E1518,F1518)</f>
        <v>Rio Monte IISG60KTL(COM1-003)_001__01146001.506944444446001.506944444446001.7326388889</v>
      </c>
      <c r="Q1518" s="37" t="str">
        <f aca="false">_xlfn.CONCAT(H1518,I1518,J1518)</f>
        <v>DAURDE</v>
      </c>
    </row>
    <row r="1519" s="50" customFormat="true" ht="15" hidden="true" customHeight="false" outlineLevel="0" collapsed="false">
      <c r="A1519" s="51"/>
      <c r="B1519" s="37" t="s">
        <v>807</v>
      </c>
      <c r="C1519" s="37" t="s">
        <v>811</v>
      </c>
      <c r="D1519" s="34" t="n">
        <v>46001.5069444444</v>
      </c>
      <c r="E1519" s="34" t="n">
        <v>46001.5069444444</v>
      </c>
      <c r="F1519" s="34" t="n">
        <v>46001.7326388889</v>
      </c>
      <c r="G1519" s="35" t="n">
        <f aca="false">F1519-E1519</f>
        <v>0.225694444444444</v>
      </c>
      <c r="H1519" s="52" t="s">
        <v>248</v>
      </c>
      <c r="I1519" s="37"/>
      <c r="J1519" s="37" t="s">
        <v>256</v>
      </c>
      <c r="K1519" s="37" t="e">
        <f aca="false">_xlfn.xlookup(J1519,REF!$D$2:$D$12,REF!$E$2:$E$12)</f>
        <v>#NAME?</v>
      </c>
      <c r="L1519" s="37" t="s">
        <v>983</v>
      </c>
      <c r="M1519" s="52" t="s">
        <v>258</v>
      </c>
      <c r="N1519" s="52" t="s">
        <v>259</v>
      </c>
      <c r="O1519" s="37" t="s">
        <v>984</v>
      </c>
      <c r="P1519" s="37" t="str">
        <f aca="false">_xlfn.CONCAT(B1519,C1519,D1519,E1519,F1519)</f>
        <v>Rio Monte IISG60KTL(COM1-004)_001_00746001.506944444446001.506944444446001.7326388889</v>
      </c>
      <c r="Q1519" s="37" t="str">
        <f aca="false">_xlfn.CONCAT(H1519,I1519,J1519)</f>
        <v>DAURDE</v>
      </c>
    </row>
    <row r="1520" s="50" customFormat="true" ht="15" hidden="true" customHeight="false" outlineLevel="0" collapsed="false">
      <c r="A1520" s="51"/>
      <c r="B1520" s="37" t="s">
        <v>807</v>
      </c>
      <c r="C1520" s="37" t="s">
        <v>812</v>
      </c>
      <c r="D1520" s="34" t="n">
        <v>46001.5069444444</v>
      </c>
      <c r="E1520" s="34" t="n">
        <v>46001.5069444444</v>
      </c>
      <c r="F1520" s="34" t="n">
        <v>46001.7326388889</v>
      </c>
      <c r="G1520" s="35" t="n">
        <f aca="false">F1520-E1520</f>
        <v>0.225694444444444</v>
      </c>
      <c r="H1520" s="52" t="s">
        <v>248</v>
      </c>
      <c r="I1520" s="37"/>
      <c r="J1520" s="37" t="s">
        <v>256</v>
      </c>
      <c r="K1520" s="37" t="e">
        <f aca="false">_xlfn.xlookup(J1520,REF!$D$2:$D$12,REF!$E$2:$E$12)</f>
        <v>#NAME?</v>
      </c>
      <c r="L1520" s="37" t="s">
        <v>983</v>
      </c>
      <c r="M1520" s="52" t="s">
        <v>258</v>
      </c>
      <c r="N1520" s="52" t="s">
        <v>259</v>
      </c>
      <c r="O1520" s="37" t="s">
        <v>984</v>
      </c>
      <c r="P1520" s="37" t="str">
        <f aca="false">_xlfn.CONCAT(B1520,C1520,D1520,E1520,F1520)</f>
        <v>Rio Monte IISG60KTL(COM1-005)_001_00946001.506944444446001.506944444446001.7326388889</v>
      </c>
      <c r="Q1520" s="37" t="str">
        <f aca="false">_xlfn.CONCAT(H1520,I1520,J1520)</f>
        <v>DAURDE</v>
      </c>
    </row>
    <row r="1521" s="50" customFormat="true" ht="15" hidden="true" customHeight="false" outlineLevel="0" collapsed="false">
      <c r="A1521" s="51"/>
      <c r="B1521" s="37" t="s">
        <v>807</v>
      </c>
      <c r="C1521" s="37" t="s">
        <v>813</v>
      </c>
      <c r="D1521" s="34" t="n">
        <v>46001.5069444444</v>
      </c>
      <c r="E1521" s="34" t="n">
        <v>46001.5069444444</v>
      </c>
      <c r="F1521" s="34" t="n">
        <v>46001.7326388889</v>
      </c>
      <c r="G1521" s="35" t="n">
        <f aca="false">F1521-E1521</f>
        <v>0.225694444444444</v>
      </c>
      <c r="H1521" s="52" t="s">
        <v>248</v>
      </c>
      <c r="I1521" s="37"/>
      <c r="J1521" s="37" t="s">
        <v>256</v>
      </c>
      <c r="K1521" s="37" t="e">
        <f aca="false">_xlfn.xlookup(J1521,REF!$D$2:$D$12,REF!$E$2:$E$12)</f>
        <v>#NAME?</v>
      </c>
      <c r="L1521" s="37" t="s">
        <v>983</v>
      </c>
      <c r="M1521" s="52" t="s">
        <v>258</v>
      </c>
      <c r="N1521" s="52" t="s">
        <v>259</v>
      </c>
      <c r="O1521" s="37" t="s">
        <v>984</v>
      </c>
      <c r="P1521" s="37" t="str">
        <f aca="false">_xlfn.CONCAT(B1521,C1521,D1521,E1521,F1521)</f>
        <v>Rio Monte IISG60KTL(COM1-006)_001_00646001.506944444446001.506944444446001.7326388889</v>
      </c>
      <c r="Q1521" s="37" t="str">
        <f aca="false">_xlfn.CONCAT(H1521,I1521,J1521)</f>
        <v>DAURDE</v>
      </c>
    </row>
    <row r="1522" s="50" customFormat="true" ht="15" hidden="true" customHeight="false" outlineLevel="0" collapsed="false">
      <c r="A1522" s="51"/>
      <c r="B1522" s="37" t="s">
        <v>816</v>
      </c>
      <c r="C1522" s="37" t="s">
        <v>817</v>
      </c>
      <c r="D1522" s="34" t="n">
        <v>46001.5069444444</v>
      </c>
      <c r="E1522" s="34" t="n">
        <v>46001.5069444444</v>
      </c>
      <c r="F1522" s="34" t="n">
        <v>46001.5972222222</v>
      </c>
      <c r="G1522" s="35" t="n">
        <f aca="false">F1522-E1522</f>
        <v>0.0902777777777778</v>
      </c>
      <c r="H1522" s="52" t="s">
        <v>248</v>
      </c>
      <c r="I1522" s="37"/>
      <c r="J1522" s="37" t="s">
        <v>256</v>
      </c>
      <c r="K1522" s="37" t="e">
        <f aca="false">_xlfn.xlookup(J1522,REF!$D$2:$D$12,REF!$E$2:$E$12)</f>
        <v>#NAME?</v>
      </c>
      <c r="L1522" s="37" t="s">
        <v>983</v>
      </c>
      <c r="M1522" s="52" t="s">
        <v>258</v>
      </c>
      <c r="N1522" s="52" t="s">
        <v>259</v>
      </c>
      <c r="O1522" s="37" t="s">
        <v>984</v>
      </c>
      <c r="P1522" s="37" t="str">
        <f aca="false">_xlfn.CONCAT(B1522,C1522,D1522,E1522,F1522)</f>
        <v>Rio Monte IIISG60KTL(COM1-008)_001_01646001.506944444446001.506944444446001.5972222222</v>
      </c>
      <c r="Q1522" s="37" t="str">
        <f aca="false">_xlfn.CONCAT(H1522,I1522,J1522)</f>
        <v>DAURDE</v>
      </c>
    </row>
    <row r="1523" s="50" customFormat="true" ht="15" hidden="true" customHeight="false" outlineLevel="0" collapsed="false">
      <c r="A1523" s="51"/>
      <c r="B1523" s="37" t="s">
        <v>816</v>
      </c>
      <c r="C1523" s="37" t="s">
        <v>818</v>
      </c>
      <c r="D1523" s="34" t="n">
        <v>46001.5069444444</v>
      </c>
      <c r="E1523" s="34" t="n">
        <v>46001.5069444444</v>
      </c>
      <c r="F1523" s="34" t="n">
        <v>46001.5972222222</v>
      </c>
      <c r="G1523" s="35" t="n">
        <f aca="false">F1523-E1523</f>
        <v>0.0902777777777778</v>
      </c>
      <c r="H1523" s="52" t="s">
        <v>248</v>
      </c>
      <c r="I1523" s="37"/>
      <c r="J1523" s="37" t="s">
        <v>256</v>
      </c>
      <c r="K1523" s="37" t="e">
        <f aca="false">_xlfn.xlookup(J1523,REF!$D$2:$D$12,REF!$E$2:$E$12)</f>
        <v>#NAME?</v>
      </c>
      <c r="L1523" s="37" t="s">
        <v>983</v>
      </c>
      <c r="M1523" s="52" t="s">
        <v>258</v>
      </c>
      <c r="N1523" s="52" t="s">
        <v>259</v>
      </c>
      <c r="O1523" s="37" t="s">
        <v>984</v>
      </c>
      <c r="P1523" s="37" t="str">
        <f aca="false">_xlfn.CONCAT(B1523,C1523,D1523,E1523,F1523)</f>
        <v>Rio Monte IIISG60KTL(COM1-009)_001_01046001.506944444446001.506944444446001.5972222222</v>
      </c>
      <c r="Q1523" s="37" t="str">
        <f aca="false">_xlfn.CONCAT(H1523,I1523,J1523)</f>
        <v>DAURDE</v>
      </c>
    </row>
    <row r="1524" s="50" customFormat="true" ht="15" hidden="true" customHeight="false" outlineLevel="0" collapsed="false">
      <c r="A1524" s="51"/>
      <c r="B1524" s="37" t="s">
        <v>816</v>
      </c>
      <c r="C1524" s="37" t="s">
        <v>819</v>
      </c>
      <c r="D1524" s="34" t="n">
        <v>46001.5069444444</v>
      </c>
      <c r="E1524" s="34" t="n">
        <v>46001.5069444444</v>
      </c>
      <c r="F1524" s="34" t="n">
        <v>46001.5972222222</v>
      </c>
      <c r="G1524" s="35" t="n">
        <f aca="false">F1524-E1524</f>
        <v>0.0902777777777778</v>
      </c>
      <c r="H1524" s="52" t="s">
        <v>248</v>
      </c>
      <c r="I1524" s="37"/>
      <c r="J1524" s="37" t="s">
        <v>256</v>
      </c>
      <c r="K1524" s="37" t="e">
        <f aca="false">_xlfn.xlookup(J1524,REF!$D$2:$D$12,REF!$E$2:$E$12)</f>
        <v>#NAME?</v>
      </c>
      <c r="L1524" s="37" t="s">
        <v>983</v>
      </c>
      <c r="M1524" s="52" t="s">
        <v>258</v>
      </c>
      <c r="N1524" s="52" t="s">
        <v>259</v>
      </c>
      <c r="O1524" s="37" t="s">
        <v>984</v>
      </c>
      <c r="P1524" s="37" t="str">
        <f aca="false">_xlfn.CONCAT(B1524,C1524,D1524,E1524,F1524)</f>
        <v>Rio Monte IIISG60KTL(COM1-010)_001_01246001.506944444446001.506944444446001.5972222222</v>
      </c>
      <c r="Q1524" s="37" t="str">
        <f aca="false">_xlfn.CONCAT(H1524,I1524,J1524)</f>
        <v>DAURDE</v>
      </c>
    </row>
    <row r="1525" s="50" customFormat="true" ht="15" hidden="true" customHeight="false" outlineLevel="0" collapsed="false">
      <c r="A1525" s="51"/>
      <c r="B1525" s="37" t="s">
        <v>816</v>
      </c>
      <c r="C1525" s="37" t="s">
        <v>820</v>
      </c>
      <c r="D1525" s="34" t="n">
        <v>46001.5069444444</v>
      </c>
      <c r="E1525" s="34" t="n">
        <v>46001.5069444444</v>
      </c>
      <c r="F1525" s="34" t="n">
        <v>46001.5972222222</v>
      </c>
      <c r="G1525" s="35" t="n">
        <f aca="false">F1525-E1525</f>
        <v>0.0902777777777778</v>
      </c>
      <c r="H1525" s="52" t="s">
        <v>248</v>
      </c>
      <c r="I1525" s="37"/>
      <c r="J1525" s="37" t="s">
        <v>256</v>
      </c>
      <c r="K1525" s="37" t="e">
        <f aca="false">_xlfn.xlookup(J1525,REF!$D$2:$D$12,REF!$E$2:$E$12)</f>
        <v>#NAME?</v>
      </c>
      <c r="L1525" s="37" t="s">
        <v>983</v>
      </c>
      <c r="M1525" s="52" t="s">
        <v>258</v>
      </c>
      <c r="N1525" s="52" t="s">
        <v>259</v>
      </c>
      <c r="O1525" s="37" t="s">
        <v>984</v>
      </c>
      <c r="P1525" s="37" t="str">
        <f aca="false">_xlfn.CONCAT(B1525,C1525,D1525,E1525,F1525)</f>
        <v>Rio Monte IIISG60KTL(COM1-011)_001_00246001.506944444446001.506944444446001.5972222222</v>
      </c>
      <c r="Q1525" s="37" t="str">
        <f aca="false">_xlfn.CONCAT(H1525,I1525,J1525)</f>
        <v>DAURDE</v>
      </c>
    </row>
    <row r="1526" s="50" customFormat="true" ht="15" hidden="true" customHeight="false" outlineLevel="0" collapsed="false">
      <c r="A1526" s="51"/>
      <c r="B1526" s="37" t="s">
        <v>816</v>
      </c>
      <c r="C1526" s="37" t="s">
        <v>821</v>
      </c>
      <c r="D1526" s="34" t="n">
        <v>46001.5069444444</v>
      </c>
      <c r="E1526" s="34" t="n">
        <v>46001.5069444444</v>
      </c>
      <c r="F1526" s="34" t="n">
        <v>46001.5972222222</v>
      </c>
      <c r="G1526" s="35" t="n">
        <f aca="false">F1526-E1526</f>
        <v>0.0902777777777778</v>
      </c>
      <c r="H1526" s="52" t="s">
        <v>248</v>
      </c>
      <c r="I1526" s="37"/>
      <c r="J1526" s="37" t="s">
        <v>256</v>
      </c>
      <c r="K1526" s="37" t="e">
        <f aca="false">_xlfn.xlookup(J1526,REF!$D$2:$D$12,REF!$E$2:$E$12)</f>
        <v>#NAME?</v>
      </c>
      <c r="L1526" s="37" t="s">
        <v>983</v>
      </c>
      <c r="M1526" s="52" t="s">
        <v>258</v>
      </c>
      <c r="N1526" s="52" t="s">
        <v>259</v>
      </c>
      <c r="O1526" s="37" t="s">
        <v>984</v>
      </c>
      <c r="P1526" s="37" t="str">
        <f aca="false">_xlfn.CONCAT(B1526,C1526,D1526,E1526,F1526)</f>
        <v>Rio Monte IIISG60KTL(COM1-012)_001_01546001.506944444446001.506944444446001.5972222222</v>
      </c>
      <c r="Q1526" s="37" t="str">
        <f aca="false">_xlfn.CONCAT(H1526,I1526,J1526)</f>
        <v>DAURDE</v>
      </c>
    </row>
    <row r="1527" s="50" customFormat="true" ht="15" hidden="true" customHeight="false" outlineLevel="0" collapsed="false">
      <c r="A1527" s="51"/>
      <c r="B1527" s="37" t="s">
        <v>816</v>
      </c>
      <c r="C1527" s="37" t="s">
        <v>822</v>
      </c>
      <c r="D1527" s="34" t="n">
        <v>46001.5069444444</v>
      </c>
      <c r="E1527" s="34" t="n">
        <v>46001.5069444444</v>
      </c>
      <c r="F1527" s="34" t="n">
        <v>46001.5972222222</v>
      </c>
      <c r="G1527" s="35" t="n">
        <f aca="false">F1527-E1527</f>
        <v>0.0902777777777778</v>
      </c>
      <c r="H1527" s="52" t="s">
        <v>248</v>
      </c>
      <c r="I1527" s="37"/>
      <c r="J1527" s="37" t="s">
        <v>256</v>
      </c>
      <c r="K1527" s="37" t="e">
        <f aca="false">_xlfn.xlookup(J1527,REF!$D$2:$D$12,REF!$E$2:$E$12)</f>
        <v>#NAME?</v>
      </c>
      <c r="L1527" s="37" t="s">
        <v>983</v>
      </c>
      <c r="M1527" s="52" t="s">
        <v>258</v>
      </c>
      <c r="N1527" s="52" t="s">
        <v>259</v>
      </c>
      <c r="O1527" s="37" t="s">
        <v>984</v>
      </c>
      <c r="P1527" s="37" t="str">
        <f aca="false">_xlfn.CONCAT(B1527,C1527,D1527,E1527,F1527)</f>
        <v>Rio Monte IIISG60KTL(COM1-013)_001_00346001.506944444446001.506944444446001.5972222222</v>
      </c>
      <c r="Q1527" s="37" t="str">
        <f aca="false">_xlfn.CONCAT(H1527,I1527,J1527)</f>
        <v>DAURDE</v>
      </c>
    </row>
    <row r="1528" s="50" customFormat="true" ht="15" hidden="true" customHeight="false" outlineLevel="0" collapsed="false">
      <c r="A1528" s="51"/>
      <c r="B1528" s="37" t="s">
        <v>816</v>
      </c>
      <c r="C1528" s="37" t="s">
        <v>823</v>
      </c>
      <c r="D1528" s="34" t="n">
        <v>46001.5069444444</v>
      </c>
      <c r="E1528" s="34" t="n">
        <v>46001.5069444444</v>
      </c>
      <c r="F1528" s="34" t="n">
        <v>46001.5972222222</v>
      </c>
      <c r="G1528" s="35" t="n">
        <f aca="false">F1528-E1528</f>
        <v>0.0902777777777778</v>
      </c>
      <c r="H1528" s="52" t="s">
        <v>248</v>
      </c>
      <c r="I1528" s="37"/>
      <c r="J1528" s="37" t="s">
        <v>256</v>
      </c>
      <c r="K1528" s="37" t="e">
        <f aca="false">_xlfn.xlookup(J1528,REF!$D$2:$D$12,REF!$E$2:$E$12)</f>
        <v>#NAME?</v>
      </c>
      <c r="L1528" s="37" t="s">
        <v>983</v>
      </c>
      <c r="M1528" s="52" t="s">
        <v>258</v>
      </c>
      <c r="N1528" s="52" t="s">
        <v>259</v>
      </c>
      <c r="O1528" s="37" t="s">
        <v>984</v>
      </c>
      <c r="P1528" s="37" t="str">
        <f aca="false">_xlfn.CONCAT(B1528,C1528,D1528,E1528,F1528)</f>
        <v>Rio Monte IIISG60KTL(COM1-014)_001_00446001.506944444446001.506944444446001.5972222222</v>
      </c>
      <c r="Q1528" s="37" t="str">
        <f aca="false">_xlfn.CONCAT(H1528,I1528,J1528)</f>
        <v>DAURDE</v>
      </c>
    </row>
    <row r="1529" s="50" customFormat="true" ht="15" hidden="true" customHeight="false" outlineLevel="0" collapsed="false">
      <c r="A1529" s="51"/>
      <c r="B1529" s="37" t="s">
        <v>816</v>
      </c>
      <c r="C1529" s="37" t="s">
        <v>824</v>
      </c>
      <c r="D1529" s="34" t="n">
        <v>46001.5069444444</v>
      </c>
      <c r="E1529" s="34" t="n">
        <v>46001.5069444444</v>
      </c>
      <c r="F1529" s="34" t="n">
        <v>46001.5972222222</v>
      </c>
      <c r="G1529" s="35" t="n">
        <f aca="false">F1529-E1529</f>
        <v>0.0902777777777778</v>
      </c>
      <c r="H1529" s="52" t="s">
        <v>248</v>
      </c>
      <c r="I1529" s="37"/>
      <c r="J1529" s="37" t="s">
        <v>256</v>
      </c>
      <c r="K1529" s="37" t="e">
        <f aca="false">_xlfn.xlookup(J1529,REF!$D$2:$D$12,REF!$E$2:$E$12)</f>
        <v>#NAME?</v>
      </c>
      <c r="L1529" s="37" t="s">
        <v>983</v>
      </c>
      <c r="M1529" s="52" t="s">
        <v>258</v>
      </c>
      <c r="N1529" s="52" t="s">
        <v>259</v>
      </c>
      <c r="O1529" s="37" t="s">
        <v>984</v>
      </c>
      <c r="P1529" s="37" t="str">
        <f aca="false">_xlfn.CONCAT(B1529,C1529,D1529,E1529,F1529)</f>
        <v>Rio Monte IIISG60KTL(COM1-015)_001_01346001.506944444446001.506944444446001.5972222222</v>
      </c>
      <c r="Q1529" s="37" t="str">
        <f aca="false">_xlfn.CONCAT(H1529,I1529,J1529)</f>
        <v>DAURDE</v>
      </c>
    </row>
    <row r="1530" s="50" customFormat="true" ht="15" hidden="true" customHeight="false" outlineLevel="0" collapsed="false">
      <c r="A1530" s="51"/>
      <c r="B1530" s="37" t="s">
        <v>816</v>
      </c>
      <c r="C1530" s="37" t="s">
        <v>825</v>
      </c>
      <c r="D1530" s="34" t="n">
        <v>46001.5069444444</v>
      </c>
      <c r="E1530" s="34" t="n">
        <v>46001.5069444444</v>
      </c>
      <c r="F1530" s="34" t="n">
        <v>46001.5972222222</v>
      </c>
      <c r="G1530" s="35" t="n">
        <f aca="false">F1530-E1530</f>
        <v>0.0902777777777778</v>
      </c>
      <c r="H1530" s="52" t="s">
        <v>248</v>
      </c>
      <c r="I1530" s="37"/>
      <c r="J1530" s="37" t="s">
        <v>256</v>
      </c>
      <c r="K1530" s="37" t="e">
        <f aca="false">_xlfn.xlookup(J1530,REF!$D$2:$D$12,REF!$E$2:$E$12)</f>
        <v>#NAME?</v>
      </c>
      <c r="L1530" s="37" t="s">
        <v>983</v>
      </c>
      <c r="M1530" s="52" t="s">
        <v>258</v>
      </c>
      <c r="N1530" s="52" t="s">
        <v>259</v>
      </c>
      <c r="O1530" s="37" t="s">
        <v>984</v>
      </c>
      <c r="P1530" s="37" t="str">
        <f aca="false">_xlfn.CONCAT(B1530,C1530,D1530,E1530,F1530)</f>
        <v>Rio Monte IIISG60KTL(COM1-016)_001_01446001.506944444446001.506944444446001.5972222222</v>
      </c>
      <c r="Q1530" s="37" t="str">
        <f aca="false">_xlfn.CONCAT(H1530,I1530,J1530)</f>
        <v>DAURDE</v>
      </c>
    </row>
    <row r="1531" s="50" customFormat="true" ht="15" hidden="true" customHeight="false" outlineLevel="0" collapsed="false">
      <c r="A1531" s="51"/>
      <c r="B1531" s="37" t="s">
        <v>816</v>
      </c>
      <c r="C1531" s="37" t="s">
        <v>826</v>
      </c>
      <c r="D1531" s="34" t="n">
        <v>46001.5069444444</v>
      </c>
      <c r="E1531" s="34" t="n">
        <v>46001.5069444444</v>
      </c>
      <c r="F1531" s="34" t="n">
        <v>46001.5972222222</v>
      </c>
      <c r="G1531" s="35" t="n">
        <f aca="false">F1531-E1531</f>
        <v>0.0902777777777778</v>
      </c>
      <c r="H1531" s="52" t="s">
        <v>248</v>
      </c>
      <c r="I1531" s="37"/>
      <c r="J1531" s="37" t="s">
        <v>256</v>
      </c>
      <c r="K1531" s="37" t="e">
        <f aca="false">_xlfn.xlookup(J1531,REF!$D$2:$D$12,REF!$E$2:$E$12)</f>
        <v>#NAME?</v>
      </c>
      <c r="L1531" s="37" t="s">
        <v>983</v>
      </c>
      <c r="M1531" s="52" t="s">
        <v>258</v>
      </c>
      <c r="N1531" s="52" t="s">
        <v>259</v>
      </c>
      <c r="O1531" s="37" t="s">
        <v>984</v>
      </c>
      <c r="P1531" s="37" t="str">
        <f aca="false">_xlfn.CONCAT(B1531,C1531,D1531,E1531,F1531)</f>
        <v>Rio Monte IIISG60KTL(COM1-017)_001_00846001.506944444446001.506944444446001.5972222222</v>
      </c>
      <c r="Q1531" s="37" t="str">
        <f aca="false">_xlfn.CONCAT(H1531,I1531,J1531)</f>
        <v>DAURDE</v>
      </c>
    </row>
    <row r="1532" s="50" customFormat="true" ht="15" hidden="true" customHeight="false" outlineLevel="0" collapsed="false">
      <c r="A1532" s="51"/>
      <c r="B1532" s="37" t="s">
        <v>276</v>
      </c>
      <c r="C1532" s="37" t="s">
        <v>279</v>
      </c>
      <c r="D1532" s="34" t="n">
        <v>46012.2847222222</v>
      </c>
      <c r="E1532" s="34" t="n">
        <v>46012.2847222222</v>
      </c>
      <c r="F1532" s="34" t="n">
        <v>46022.9999884259</v>
      </c>
      <c r="G1532" s="35" t="n">
        <f aca="false">F1532-E1532</f>
        <v>10.7152662037037</v>
      </c>
      <c r="H1532" s="52" t="s">
        <v>248</v>
      </c>
      <c r="I1532" s="37"/>
      <c r="J1532" s="52" t="s">
        <v>249</v>
      </c>
      <c r="K1532" s="37" t="e">
        <f aca="false">_xlfn.xlookup(J1532,REF!$D$2:$D$12,REF!$E$2:$E$12)</f>
        <v>#NAME?</v>
      </c>
      <c r="L1532" s="37" t="s">
        <v>985</v>
      </c>
      <c r="M1532" s="52" t="s">
        <v>251</v>
      </c>
      <c r="N1532" s="52" t="s">
        <v>284</v>
      </c>
      <c r="O1532" s="37" t="s">
        <v>986</v>
      </c>
      <c r="P1532" s="37" t="str">
        <f aca="false">_xlfn.CONCAT(B1532,C1532,D1532,E1532,F1532)</f>
        <v>ARAGUATINS 2.1Inverter(MBUS-15)46012.284722222246012.284722222246022.9999884259</v>
      </c>
      <c r="Q1532" s="37" t="str">
        <f aca="false">_xlfn.CONCAT(H1532,I1532,J1532)</f>
        <v>DAUINV</v>
      </c>
    </row>
    <row r="1533" s="58" customFormat="true" ht="15" hidden="true" customHeight="false" outlineLevel="0" collapsed="false">
      <c r="A1533" s="53"/>
      <c r="B1533" s="54" t="s">
        <v>276</v>
      </c>
      <c r="C1533" s="54" t="s">
        <v>279</v>
      </c>
      <c r="D1533" s="55" t="n">
        <v>46012.2847222222</v>
      </c>
      <c r="E1533" s="55" t="n">
        <v>46023</v>
      </c>
      <c r="F1533" s="55"/>
      <c r="G1533" s="56" t="n">
        <f aca="false">F1533-E1533</f>
        <v>-46023</v>
      </c>
      <c r="H1533" s="54" t="s">
        <v>248</v>
      </c>
      <c r="I1533" s="54"/>
      <c r="J1533" s="54" t="s">
        <v>249</v>
      </c>
      <c r="K1533" s="54" t="e">
        <f aca="false">_xlfn.xlookup(J1533,REF!$D$2:$D$12,REF!$E$2:$E$12)</f>
        <v>#NAME?</v>
      </c>
      <c r="L1533" s="54" t="s">
        <v>985</v>
      </c>
      <c r="M1533" s="54" t="s">
        <v>251</v>
      </c>
      <c r="N1533" s="54" t="s">
        <v>284</v>
      </c>
      <c r="O1533" s="54" t="s">
        <v>986</v>
      </c>
      <c r="P1533" s="57" t="str">
        <f aca="false">_xlfn.CONCAT(B1533,C1533,D1533,E1533,F1533)</f>
        <v>ARAGUATINS 2.1Inverter(MBUS-15)46012.284722222246023</v>
      </c>
      <c r="Q1533" s="54" t="str">
        <f aca="false">_xlfn.CONCAT(H1533,I1533,J1533)</f>
        <v>DAUINV</v>
      </c>
    </row>
    <row r="1534" customFormat="false" ht="82.05" hidden="true" customHeight="false" outlineLevel="0" collapsed="false">
      <c r="B1534" s="26" t="s">
        <v>333</v>
      </c>
      <c r="C1534" s="26" t="s">
        <v>349</v>
      </c>
      <c r="D1534" s="59" t="n">
        <v>45992</v>
      </c>
      <c r="E1534" s="59" t="n">
        <v>45992</v>
      </c>
      <c r="F1534" s="59" t="n">
        <v>46012.5</v>
      </c>
      <c r="G1534" s="35" t="n">
        <f aca="false">F1534-E1534</f>
        <v>20.5</v>
      </c>
      <c r="H1534" s="26" t="s">
        <v>286</v>
      </c>
      <c r="I1534" s="26"/>
      <c r="J1534" s="26" t="s">
        <v>230</v>
      </c>
      <c r="K1534" s="26" t="s">
        <v>230</v>
      </c>
      <c r="L1534" s="26" t="s">
        <v>987</v>
      </c>
      <c r="M1534" s="26" t="s">
        <v>288</v>
      </c>
      <c r="N1534" s="26" t="s">
        <v>289</v>
      </c>
      <c r="O1534" s="60" t="s">
        <v>988</v>
      </c>
      <c r="P1534" s="37" t="str">
        <f aca="false">_xlfn.CONCAT(B1534,C1534,D1534,E1534,F1534)</f>
        <v>BC ParanoaSG60KTL(COM1-019)_002_007459924599246012.5</v>
      </c>
      <c r="Q1534" s="37" t="str">
        <f aca="false">_xlfn.CONCAT(H1534,I1534,J1534)</f>
        <v>DEMUFV</v>
      </c>
    </row>
    <row r="1535" customFormat="false" ht="82.05" hidden="true" customHeight="false" outlineLevel="0" collapsed="false">
      <c r="B1535" s="26" t="s">
        <v>333</v>
      </c>
      <c r="C1535" s="26" t="s">
        <v>350</v>
      </c>
      <c r="D1535" s="59" t="n">
        <v>45992</v>
      </c>
      <c r="E1535" s="59" t="n">
        <v>45992</v>
      </c>
      <c r="F1535" s="59" t="n">
        <v>46012.5</v>
      </c>
      <c r="G1535" s="35" t="n">
        <f aca="false">F1535-E1535</f>
        <v>20.5</v>
      </c>
      <c r="H1535" s="26" t="s">
        <v>286</v>
      </c>
      <c r="I1535" s="26"/>
      <c r="J1535" s="26" t="s">
        <v>230</v>
      </c>
      <c r="K1535" s="26" t="s">
        <v>230</v>
      </c>
      <c r="L1535" s="26" t="s">
        <v>987</v>
      </c>
      <c r="M1535" s="26" t="s">
        <v>288</v>
      </c>
      <c r="N1535" s="26" t="s">
        <v>289</v>
      </c>
      <c r="O1535" s="60" t="s">
        <v>988</v>
      </c>
      <c r="P1535" s="37" t="str">
        <f aca="false">_xlfn.CONCAT(B1535,C1535,D1535,E1535,F1535)</f>
        <v>BC ParanoaSG60KTL(COM1-020)_002_011459924599246012.5</v>
      </c>
      <c r="Q1535" s="37" t="str">
        <f aca="false">_xlfn.CONCAT(H1535,I1535,J1535)</f>
        <v>DEMUFV</v>
      </c>
    </row>
    <row r="1536" customFormat="false" ht="41.75" hidden="true" customHeight="false" outlineLevel="0" collapsed="false">
      <c r="B1536" s="26" t="s">
        <v>333</v>
      </c>
      <c r="C1536" s="26" t="s">
        <v>351</v>
      </c>
      <c r="D1536" s="59" t="n">
        <v>45992</v>
      </c>
      <c r="E1536" s="59" t="n">
        <v>45992</v>
      </c>
      <c r="F1536" s="59" t="n">
        <v>46012.5</v>
      </c>
      <c r="G1536" s="35" t="n">
        <f aca="false">F1536-E1536</f>
        <v>20.5</v>
      </c>
      <c r="H1536" s="26" t="s">
        <v>286</v>
      </c>
      <c r="I1536" s="26"/>
      <c r="J1536" s="26" t="s">
        <v>230</v>
      </c>
      <c r="K1536" s="26" t="s">
        <v>230</v>
      </c>
      <c r="L1536" s="26" t="s">
        <v>987</v>
      </c>
      <c r="M1536" s="26" t="s">
        <v>288</v>
      </c>
      <c r="N1536" s="26" t="s">
        <v>289</v>
      </c>
      <c r="O1536" s="60" t="s">
        <v>988</v>
      </c>
      <c r="P1536" s="37" t="str">
        <f aca="false">_xlfn.CONCAT(B1536,C1536,D1536,E1536,F1536)</f>
        <v>BC ParanoaSG60KTL(COM1-021)_002_017459924599246012.5</v>
      </c>
      <c r="Q1536" s="37" t="str">
        <f aca="false">_xlfn.CONCAT(H1536,I1536,J1536)</f>
        <v>DEMUFV</v>
      </c>
    </row>
    <row r="1537" customFormat="false" ht="82.05" hidden="true" customHeight="false" outlineLevel="0" collapsed="false">
      <c r="B1537" s="26" t="s">
        <v>333</v>
      </c>
      <c r="C1537" s="26" t="s">
        <v>352</v>
      </c>
      <c r="D1537" s="59" t="n">
        <v>45992</v>
      </c>
      <c r="E1537" s="59" t="n">
        <v>45992</v>
      </c>
      <c r="F1537" s="59" t="n">
        <v>46008.5</v>
      </c>
      <c r="G1537" s="35" t="n">
        <f aca="false">F1537-E1537</f>
        <v>16.5</v>
      </c>
      <c r="H1537" s="26" t="s">
        <v>286</v>
      </c>
      <c r="I1537" s="26"/>
      <c r="J1537" s="26" t="s">
        <v>230</v>
      </c>
      <c r="K1537" s="26" t="s">
        <v>230</v>
      </c>
      <c r="L1537" s="26" t="s">
        <v>987</v>
      </c>
      <c r="M1537" s="26" t="s">
        <v>288</v>
      </c>
      <c r="N1537" s="26" t="s">
        <v>289</v>
      </c>
      <c r="O1537" s="60" t="s">
        <v>988</v>
      </c>
      <c r="P1537" s="37" t="str">
        <f aca="false">_xlfn.CONCAT(B1537,C1537,D1537,E1537,F1537)</f>
        <v>BC ParanoaSG60KTL(COM1-022)_002_020459924599246008.5</v>
      </c>
      <c r="Q1537" s="37" t="str">
        <f aca="false">_xlfn.CONCAT(H1537,I1537,J1537)</f>
        <v>DEMUFV</v>
      </c>
    </row>
    <row r="1538" customFormat="false" ht="82.05" hidden="true" customHeight="false" outlineLevel="0" collapsed="false">
      <c r="B1538" s="26" t="s">
        <v>333</v>
      </c>
      <c r="C1538" s="26" t="s">
        <v>353</v>
      </c>
      <c r="D1538" s="59" t="n">
        <v>45992</v>
      </c>
      <c r="E1538" s="59" t="n">
        <v>45992</v>
      </c>
      <c r="F1538" s="59" t="n">
        <v>46008.5</v>
      </c>
      <c r="G1538" s="35" t="n">
        <f aca="false">F1538-E1538</f>
        <v>16.5</v>
      </c>
      <c r="H1538" s="26" t="s">
        <v>286</v>
      </c>
      <c r="I1538" s="26"/>
      <c r="J1538" s="26" t="s">
        <v>230</v>
      </c>
      <c r="K1538" s="26" t="s">
        <v>230</v>
      </c>
      <c r="L1538" s="26" t="s">
        <v>987</v>
      </c>
      <c r="M1538" s="26" t="s">
        <v>288</v>
      </c>
      <c r="N1538" s="26" t="s">
        <v>289</v>
      </c>
      <c r="O1538" s="60" t="s">
        <v>988</v>
      </c>
      <c r="P1538" s="37" t="str">
        <f aca="false">_xlfn.CONCAT(B1538,C1538,D1538,E1538,F1538)</f>
        <v>BC ParanoaSG40CX(COM2-023)_002_024459924599246008.5</v>
      </c>
      <c r="Q1538" s="37" t="str">
        <f aca="false">_xlfn.CONCAT(H1538,I1538,J1538)</f>
        <v>DEMUFV</v>
      </c>
    </row>
    <row r="1539" customFormat="false" ht="82.05" hidden="true" customHeight="false" outlineLevel="0" collapsed="false">
      <c r="B1539" s="26" t="s">
        <v>333</v>
      </c>
      <c r="C1539" s="26" t="s">
        <v>354</v>
      </c>
      <c r="D1539" s="59" t="n">
        <v>45970.9826388889</v>
      </c>
      <c r="E1539" s="59" t="n">
        <v>45970.9826388889</v>
      </c>
      <c r="F1539" s="59" t="n">
        <v>46008.5</v>
      </c>
      <c r="G1539" s="35" t="n">
        <f aca="false">F1539-E1539</f>
        <v>37.5173611111111</v>
      </c>
      <c r="H1539" s="26" t="s">
        <v>286</v>
      </c>
      <c r="I1539" s="26"/>
      <c r="J1539" s="26" t="s">
        <v>230</v>
      </c>
      <c r="K1539" s="26" t="s">
        <v>230</v>
      </c>
      <c r="L1539" s="26" t="s">
        <v>987</v>
      </c>
      <c r="M1539" s="26" t="s">
        <v>288</v>
      </c>
      <c r="N1539" s="26" t="s">
        <v>289</v>
      </c>
      <c r="O1539" s="60" t="s">
        <v>988</v>
      </c>
      <c r="P1539" s="37" t="str">
        <f aca="false">_xlfn.CONCAT(B1539,C1539,D1539,E1539,F1539)</f>
        <v>BC ParanoaSG40CX(COM2-024)_002_02245970.982638888945970.982638888946008.5</v>
      </c>
      <c r="Q1539" s="37" t="str">
        <f aca="false">_xlfn.CONCAT(H1539,I1539,J1539)</f>
        <v>DEMUFV</v>
      </c>
    </row>
    <row r="1540" customFormat="false" ht="82.05" hidden="true" customHeight="false" outlineLevel="0" collapsed="false">
      <c r="B1540" s="26" t="s">
        <v>333</v>
      </c>
      <c r="C1540" s="26" t="s">
        <v>367</v>
      </c>
      <c r="D1540" s="59" t="n">
        <v>45970.9826388889</v>
      </c>
      <c r="E1540" s="59" t="n">
        <v>45970.9826388889</v>
      </c>
      <c r="F1540" s="59" t="n">
        <v>46008.5</v>
      </c>
      <c r="G1540" s="35" t="n">
        <f aca="false">F1540-E1540</f>
        <v>37.5173611111111</v>
      </c>
      <c r="H1540" s="26" t="s">
        <v>286</v>
      </c>
      <c r="I1540" s="26"/>
      <c r="J1540" s="26" t="s">
        <v>230</v>
      </c>
      <c r="K1540" s="26" t="s">
        <v>230</v>
      </c>
      <c r="L1540" s="26" t="s">
        <v>987</v>
      </c>
      <c r="M1540" s="26" t="s">
        <v>288</v>
      </c>
      <c r="N1540" s="26" t="s">
        <v>289</v>
      </c>
      <c r="O1540" s="60" t="s">
        <v>988</v>
      </c>
      <c r="P1540" s="37" t="str">
        <f aca="false">_xlfn.CONCAT(B1540,C1540,D1540,E1540,F1540)</f>
        <v>BC ParanoaSG60KTL(COM1-013)_002_00445970.982638888945970.982638888946008.5</v>
      </c>
      <c r="Q1540" s="37" t="str">
        <f aca="false">_xlfn.CONCAT(H1540,I1540,J1540)</f>
        <v>DEMUFV</v>
      </c>
    </row>
    <row r="1541" customFormat="false" ht="82.05" hidden="true" customHeight="false" outlineLevel="0" collapsed="false">
      <c r="B1541" s="26" t="s">
        <v>333</v>
      </c>
      <c r="C1541" s="26" t="s">
        <v>368</v>
      </c>
      <c r="D1541" s="59" t="n">
        <v>45970.9826388889</v>
      </c>
      <c r="E1541" s="59" t="n">
        <v>45970.9826388889</v>
      </c>
      <c r="F1541" s="59" t="n">
        <v>45991.9999884259</v>
      </c>
      <c r="G1541" s="35" t="n">
        <f aca="false">F1541-E1541</f>
        <v>21.017349537037</v>
      </c>
      <c r="H1541" s="26" t="s">
        <v>286</v>
      </c>
      <c r="I1541" s="26"/>
      <c r="J1541" s="26" t="s">
        <v>230</v>
      </c>
      <c r="K1541" s="26" t="s">
        <v>230</v>
      </c>
      <c r="L1541" s="26" t="s">
        <v>987</v>
      </c>
      <c r="M1541" s="26" t="s">
        <v>288</v>
      </c>
      <c r="N1541" s="26" t="s">
        <v>289</v>
      </c>
      <c r="O1541" s="60" t="s">
        <v>988</v>
      </c>
      <c r="P1541" s="37" t="str">
        <f aca="false">_xlfn.CONCAT(B1541,C1541,D1541,E1541,F1541)</f>
        <v>BC ParanoaSG60KTL(COM1-014)_002_01945970.982638888945970.982638888945991.9999884259</v>
      </c>
      <c r="Q1541" s="37" t="str">
        <f aca="false">_xlfn.CONCAT(H1541,I1541,J1541)</f>
        <v>DEMUFV</v>
      </c>
    </row>
    <row r="1542" customFormat="false" ht="82.05" hidden="true" customHeight="false" outlineLevel="0" collapsed="false">
      <c r="B1542" s="26" t="s">
        <v>333</v>
      </c>
      <c r="C1542" s="26" t="s">
        <v>369</v>
      </c>
      <c r="D1542" s="59" t="n">
        <v>45970.9826388889</v>
      </c>
      <c r="E1542" s="59" t="n">
        <v>45970.9826388889</v>
      </c>
      <c r="F1542" s="59" t="n">
        <v>45991.9999884259</v>
      </c>
      <c r="G1542" s="35" t="n">
        <f aca="false">F1542-E1542</f>
        <v>21.017349537037</v>
      </c>
      <c r="H1542" s="26" t="s">
        <v>286</v>
      </c>
      <c r="I1542" s="26"/>
      <c r="J1542" s="26" t="s">
        <v>230</v>
      </c>
      <c r="K1542" s="26" t="s">
        <v>230</v>
      </c>
      <c r="L1542" s="26" t="s">
        <v>987</v>
      </c>
      <c r="M1542" s="26" t="s">
        <v>288</v>
      </c>
      <c r="N1542" s="26" t="s">
        <v>289</v>
      </c>
      <c r="O1542" s="60" t="s">
        <v>988</v>
      </c>
      <c r="P1542" s="37" t="str">
        <f aca="false">_xlfn.CONCAT(B1542,C1542,D1542,E1542,F1542)</f>
        <v>BC ParanoaSG60KTL(COM1-015)_002_01845970.982638888945970.982638888945991.9999884259</v>
      </c>
      <c r="Q1542" s="37" t="str">
        <f aca="false">_xlfn.CONCAT(H1542,I1542,J1542)</f>
        <v>DEMUFV</v>
      </c>
    </row>
    <row r="1543" customFormat="false" ht="82.05" hidden="true" customHeight="false" outlineLevel="0" collapsed="false">
      <c r="B1543" s="26" t="s">
        <v>333</v>
      </c>
      <c r="C1543" s="26" t="s">
        <v>370</v>
      </c>
      <c r="D1543" s="59" t="n">
        <v>45970.9826388889</v>
      </c>
      <c r="E1543" s="59" t="n">
        <v>45970.9826388889</v>
      </c>
      <c r="F1543" s="59" t="n">
        <v>45991.9999884259</v>
      </c>
      <c r="G1543" s="35" t="n">
        <f aca="false">F1543-E1543</f>
        <v>21.017349537037</v>
      </c>
      <c r="H1543" s="26" t="s">
        <v>286</v>
      </c>
      <c r="I1543" s="26"/>
      <c r="J1543" s="26" t="s">
        <v>230</v>
      </c>
      <c r="K1543" s="26" t="s">
        <v>230</v>
      </c>
      <c r="L1543" s="26" t="s">
        <v>987</v>
      </c>
      <c r="M1543" s="26" t="s">
        <v>288</v>
      </c>
      <c r="N1543" s="26" t="s">
        <v>289</v>
      </c>
      <c r="O1543" s="60" t="s">
        <v>988</v>
      </c>
      <c r="P1543" s="37" t="str">
        <f aca="false">_xlfn.CONCAT(B1543,C1543,D1543,E1543,F1543)</f>
        <v>BC ParanoaSG60KTL(COM1-016)_002_01445970.982638888945970.982638888945991.9999884259</v>
      </c>
      <c r="Q1543" s="37" t="str">
        <f aca="false">_xlfn.CONCAT(H1543,I1543,J1543)</f>
        <v>DEMUFV</v>
      </c>
    </row>
    <row r="1544" customFormat="false" ht="82.05" hidden="true" customHeight="false" outlineLevel="0" collapsed="false">
      <c r="B1544" s="26" t="s">
        <v>333</v>
      </c>
      <c r="C1544" s="26" t="s">
        <v>371</v>
      </c>
      <c r="D1544" s="59" t="n">
        <v>45970.9826388889</v>
      </c>
      <c r="E1544" s="59" t="n">
        <v>45970.9826388889</v>
      </c>
      <c r="F1544" s="59" t="n">
        <v>45991.9999884259</v>
      </c>
      <c r="G1544" s="35" t="n">
        <f aca="false">F1544-E1544</f>
        <v>21.017349537037</v>
      </c>
      <c r="H1544" s="26" t="s">
        <v>286</v>
      </c>
      <c r="I1544" s="26"/>
      <c r="J1544" s="26" t="s">
        <v>230</v>
      </c>
      <c r="K1544" s="26" t="s">
        <v>230</v>
      </c>
      <c r="L1544" s="26" t="s">
        <v>987</v>
      </c>
      <c r="M1544" s="26" t="s">
        <v>288</v>
      </c>
      <c r="N1544" s="26" t="s">
        <v>289</v>
      </c>
      <c r="O1544" s="60" t="s">
        <v>988</v>
      </c>
      <c r="P1544" s="37" t="str">
        <f aca="false">_xlfn.CONCAT(B1544,C1544,D1544,E1544,F1544)</f>
        <v>BC ParanoaSG60KTL(COM1-017)_002_01545970.982638888945970.982638888945991.9999884259</v>
      </c>
      <c r="Q1544" s="37" t="str">
        <f aca="false">_xlfn.CONCAT(H1544,I1544,J1544)</f>
        <v>DEMUFV</v>
      </c>
    </row>
    <row r="1545" customFormat="false" ht="82.05" hidden="true" customHeight="false" outlineLevel="0" collapsed="false">
      <c r="B1545" s="26" t="s">
        <v>333</v>
      </c>
      <c r="C1545" s="26" t="s">
        <v>372</v>
      </c>
      <c r="D1545" s="59" t="n">
        <v>45970.9826388889</v>
      </c>
      <c r="E1545" s="59" t="n">
        <v>45970.9826388889</v>
      </c>
      <c r="F1545" s="59" t="n">
        <v>45991.9999884259</v>
      </c>
      <c r="G1545" s="35" t="n">
        <f aca="false">F1545-E1545</f>
        <v>21.017349537037</v>
      </c>
      <c r="H1545" s="26" t="s">
        <v>286</v>
      </c>
      <c r="I1545" s="26"/>
      <c r="J1545" s="26" t="s">
        <v>230</v>
      </c>
      <c r="K1545" s="26" t="s">
        <v>230</v>
      </c>
      <c r="L1545" s="26" t="s">
        <v>987</v>
      </c>
      <c r="M1545" s="26" t="s">
        <v>288</v>
      </c>
      <c r="N1545" s="26" t="s">
        <v>289</v>
      </c>
      <c r="O1545" s="60" t="s">
        <v>988</v>
      </c>
      <c r="P1545" s="37" t="str">
        <f aca="false">_xlfn.CONCAT(B1545,C1545,D1545,E1545,F1545)</f>
        <v>BC ParanoaSG60KTL(COM1-018)_002_01245970.982638888945970.982638888945991.9999884259</v>
      </c>
      <c r="Q1545" s="37" t="str">
        <f aca="false">_xlfn.CONCAT(H1545,I1545,J1545)</f>
        <v>DEMUFV</v>
      </c>
    </row>
    <row r="1546" customFormat="false" ht="15" hidden="true" customHeight="false" outlineLevel="0" collapsed="false">
      <c r="G1546" s="35" t="n">
        <f aca="false">F1546-E1546</f>
        <v>0</v>
      </c>
      <c r="H1546" s="20"/>
      <c r="J1546" s="20"/>
      <c r="K1546" s="1" t="e">
        <f aca="false">_xlfn.xlookup(J1546,REF!$D$2:$D$12,REF!$E$2:$E$12)</f>
        <v>#NAME?</v>
      </c>
      <c r="N1546" s="20"/>
      <c r="P1546" s="37" t="str">
        <f aca="false">_xlfn.CONCAT(B1546,C1546,D1546,E1546,F1546)</f>
        <v/>
      </c>
      <c r="Q1546" s="37" t="str">
        <f aca="false">_xlfn.CONCAT(H1546,I1546,J1546)</f>
        <v/>
      </c>
    </row>
    <row r="1547" customFormat="false" ht="15" hidden="true" customHeight="false" outlineLevel="0" collapsed="false">
      <c r="G1547" s="15" t="n">
        <f aca="false">+F1547-E1547</f>
        <v>0</v>
      </c>
      <c r="H1547" s="20"/>
      <c r="J1547" s="20"/>
      <c r="K1547" s="1" t="e">
        <f aca="false">_xlfn.xlookup(J1547,REF!$D$2:$D$12,REF!$E$2:$E$12)</f>
        <v>#NAME?</v>
      </c>
      <c r="N1547" s="20"/>
      <c r="P1547" s="37" t="str">
        <f aca="false">_xlfn.CONCAT(B1547,C1547,D1547,E1547,F1547)</f>
        <v/>
      </c>
      <c r="Q1547" s="37" t="str">
        <f aca="false">_xlfn.CONCAT(H1547,I1547,J1547)</f>
        <v/>
      </c>
    </row>
    <row r="1548" customFormat="false" ht="15" hidden="true" customHeight="false" outlineLevel="0" collapsed="false">
      <c r="G1548" s="15" t="n">
        <f aca="false">+F1548-E1548</f>
        <v>0</v>
      </c>
      <c r="H1548" s="20"/>
      <c r="J1548" s="20"/>
      <c r="K1548" s="1" t="e">
        <f aca="false">_xlfn.xlookup(J1548,REF!$D$2:$D$12,REF!$E$2:$E$12)</f>
        <v>#NAME?</v>
      </c>
      <c r="N1548" s="20"/>
      <c r="P1548" s="37" t="str">
        <f aca="false">_xlfn.CONCAT(B1548,C1548,D1548,E1548,F1548)</f>
        <v/>
      </c>
      <c r="Q1548" s="37" t="str">
        <f aca="false">_xlfn.CONCAT(H1548,I1548,J1548)</f>
        <v/>
      </c>
    </row>
    <row r="1549" customFormat="false" ht="15" hidden="true" customHeight="false" outlineLevel="0" collapsed="false">
      <c r="G1549" s="15" t="n">
        <f aca="false">+F1549-E1549</f>
        <v>0</v>
      </c>
      <c r="H1549" s="20"/>
      <c r="J1549" s="20"/>
      <c r="K1549" s="1" t="e">
        <f aca="false">_xlfn.xlookup(J1549,REF!$D$2:$D$12,REF!$E$2:$E$12)</f>
        <v>#NAME?</v>
      </c>
      <c r="N1549" s="20"/>
      <c r="P1549" s="37" t="str">
        <f aca="false">_xlfn.CONCAT(B1549,C1549,D1549,E1549,F1549)</f>
        <v/>
      </c>
      <c r="Q1549" s="37" t="str">
        <f aca="false">_xlfn.CONCAT(H1549,I1549,J1549)</f>
        <v/>
      </c>
    </row>
    <row r="1550" customFormat="false" ht="15" hidden="true" customHeight="false" outlineLevel="0" collapsed="false">
      <c r="G1550" s="15" t="n">
        <f aca="false">+F1550-E1550</f>
        <v>0</v>
      </c>
      <c r="H1550" s="20"/>
      <c r="J1550" s="20"/>
      <c r="K1550" s="1" t="e">
        <f aca="false">_xlfn.xlookup(J1550,REF!$D$2:$D$12,REF!$E$2:$E$12)</f>
        <v>#NAME?</v>
      </c>
      <c r="N1550" s="20"/>
      <c r="P1550" s="37" t="str">
        <f aca="false">_xlfn.CONCAT(B1550,C1550,D1550,E1550,F1550)</f>
        <v/>
      </c>
      <c r="Q1550" s="37" t="str">
        <f aca="false">_xlfn.CONCAT(H1550,I1550,J1550)</f>
        <v/>
      </c>
    </row>
    <row r="1551" customFormat="false" ht="15" hidden="true" customHeight="false" outlineLevel="0" collapsed="false">
      <c r="G1551" s="15" t="n">
        <f aca="false">+F1551-E1551</f>
        <v>0</v>
      </c>
      <c r="H1551" s="20"/>
      <c r="J1551" s="20"/>
      <c r="K1551" s="1" t="e">
        <f aca="false">_xlfn.xlookup(J1551,REF!$D$2:$D$12,REF!$E$2:$E$12)</f>
        <v>#NAME?</v>
      </c>
      <c r="N1551" s="20"/>
      <c r="P1551" s="37" t="str">
        <f aca="false">_xlfn.CONCAT(B1551,C1551,D1551,E1551,F1551)</f>
        <v/>
      </c>
      <c r="Q1551" s="37" t="str">
        <f aca="false">_xlfn.CONCAT(H1551,I1551,J1551)</f>
        <v/>
      </c>
    </row>
    <row r="1552" customFormat="false" ht="15" hidden="true" customHeight="false" outlineLevel="0" collapsed="false">
      <c r="G1552" s="15" t="n">
        <f aca="false">+F1552-E1552</f>
        <v>0</v>
      </c>
      <c r="H1552" s="20"/>
      <c r="J1552" s="20"/>
      <c r="K1552" s="1" t="e">
        <f aca="false">_xlfn.xlookup(J1552,REF!$D$2:$D$12,REF!$E$2:$E$12)</f>
        <v>#NAME?</v>
      </c>
      <c r="N1552" s="20"/>
      <c r="P1552" s="37" t="str">
        <f aca="false">_xlfn.CONCAT(B1552,C1552,D1552,E1552,F1552)</f>
        <v/>
      </c>
      <c r="Q1552" s="37" t="str">
        <f aca="false">_xlfn.CONCAT(H1552,I1552,J1552)</f>
        <v/>
      </c>
    </row>
    <row r="1553" customFormat="false" ht="15" hidden="true" customHeight="false" outlineLevel="0" collapsed="false">
      <c r="G1553" s="15" t="n">
        <f aca="false">+F1553-E1553</f>
        <v>0</v>
      </c>
      <c r="H1553" s="20"/>
      <c r="J1553" s="20"/>
      <c r="K1553" s="1" t="e">
        <f aca="false">_xlfn.xlookup(J1553,REF!$D$2:$D$12,REF!$E$2:$E$12)</f>
        <v>#NAME?</v>
      </c>
      <c r="N1553" s="20"/>
      <c r="P1553" s="37" t="str">
        <f aca="false">_xlfn.CONCAT(B1553,C1553,D1553,E1553,F1553)</f>
        <v/>
      </c>
      <c r="Q1553" s="37" t="str">
        <f aca="false">_xlfn.CONCAT(H1553,I1553,J1553)</f>
        <v/>
      </c>
    </row>
    <row r="1554" customFormat="false" ht="15" hidden="true" customHeight="false" outlineLevel="0" collapsed="false">
      <c r="G1554" s="15" t="n">
        <f aca="false">+F1554-E1554</f>
        <v>0</v>
      </c>
      <c r="H1554" s="20"/>
      <c r="J1554" s="20"/>
      <c r="K1554" s="1" t="e">
        <f aca="false">_xlfn.xlookup(J1554,REF!$D$2:$D$12,REF!$E$2:$E$12)</f>
        <v>#NAME?</v>
      </c>
      <c r="N1554" s="20"/>
      <c r="P1554" s="37" t="str">
        <f aca="false">_xlfn.CONCAT(B1554,C1554,D1554,E1554,F1554)</f>
        <v/>
      </c>
      <c r="Q1554" s="37" t="str">
        <f aca="false">_xlfn.CONCAT(H1554,I1554,J1554)</f>
        <v/>
      </c>
    </row>
    <row r="1555" customFormat="false" ht="15" hidden="true" customHeight="false" outlineLevel="0" collapsed="false">
      <c r="G1555" s="15" t="n">
        <f aca="false">+F1555-E1555</f>
        <v>0</v>
      </c>
      <c r="H1555" s="20"/>
      <c r="J1555" s="20"/>
      <c r="K1555" s="1" t="e">
        <f aca="false">_xlfn.xlookup(J1555,REF!$D$2:$D$12,REF!$E$2:$E$12)</f>
        <v>#NAME?</v>
      </c>
      <c r="N1555" s="20"/>
      <c r="P1555" s="37" t="str">
        <f aca="false">_xlfn.CONCAT(B1555,C1555,D1555,E1555,F1555)</f>
        <v/>
      </c>
      <c r="Q1555" s="37" t="str">
        <f aca="false">_xlfn.CONCAT(H1555,I1555,J1555)</f>
        <v/>
      </c>
    </row>
    <row r="1556" customFormat="false" ht="15" hidden="true" customHeight="false" outlineLevel="0" collapsed="false">
      <c r="G1556" s="15" t="n">
        <f aca="false">+F1556-E1556</f>
        <v>0</v>
      </c>
      <c r="H1556" s="20"/>
      <c r="J1556" s="20"/>
      <c r="K1556" s="1" t="e">
        <f aca="false">_xlfn.xlookup(J1556,REF!$D$2:$D$12,REF!$E$2:$E$12)</f>
        <v>#NAME?</v>
      </c>
      <c r="N1556" s="20"/>
      <c r="P1556" s="37" t="str">
        <f aca="false">_xlfn.CONCAT(B1556,C1556,D1556,E1556,F1556)</f>
        <v/>
      </c>
      <c r="Q1556" s="37" t="str">
        <f aca="false">_xlfn.CONCAT(H1556,I1556,J1556)</f>
        <v/>
      </c>
    </row>
    <row r="1557" customFormat="false" ht="15" hidden="true" customHeight="false" outlineLevel="0" collapsed="false">
      <c r="G1557" s="15" t="n">
        <f aca="false">+F1557-E1557</f>
        <v>0</v>
      </c>
      <c r="H1557" s="20"/>
      <c r="J1557" s="20"/>
      <c r="K1557" s="1" t="e">
        <f aca="false">_xlfn.xlookup(J1557,REF!$D$2:$D$12,REF!$E$2:$E$12)</f>
        <v>#NAME?</v>
      </c>
      <c r="N1557" s="20"/>
      <c r="P1557" s="37" t="str">
        <f aca="false">_xlfn.CONCAT(B1557,C1557,D1557,E1557,F1557)</f>
        <v/>
      </c>
      <c r="Q1557" s="37" t="str">
        <f aca="false">_xlfn.CONCAT(H1557,I1557,J1557)</f>
        <v/>
      </c>
    </row>
    <row r="1558" customFormat="false" ht="15" hidden="true" customHeight="false" outlineLevel="0" collapsed="false">
      <c r="G1558" s="15" t="n">
        <f aca="false">+F1558-E1558</f>
        <v>0</v>
      </c>
      <c r="H1558" s="20"/>
      <c r="J1558" s="20"/>
      <c r="K1558" s="1" t="e">
        <f aca="false">_xlfn.xlookup(J1558,REF!$D$2:$D$12,REF!$E$2:$E$12)</f>
        <v>#NAME?</v>
      </c>
      <c r="N1558" s="20"/>
      <c r="P1558" s="37" t="str">
        <f aca="false">_xlfn.CONCAT(B1558,C1558,D1558,E1558,F1558)</f>
        <v/>
      </c>
      <c r="Q1558" s="37" t="str">
        <f aca="false">_xlfn.CONCAT(H1558,I1558,J1558)</f>
        <v/>
      </c>
    </row>
    <row r="1559" customFormat="false" ht="15" hidden="true" customHeight="false" outlineLevel="0" collapsed="false">
      <c r="G1559" s="15" t="n">
        <f aca="false">+F1559-E1559</f>
        <v>0</v>
      </c>
      <c r="H1559" s="20"/>
      <c r="J1559" s="20"/>
      <c r="K1559" s="1" t="e">
        <f aca="false">_xlfn.xlookup(J1559,REF!$D$2:$D$12,REF!$E$2:$E$12)</f>
        <v>#NAME?</v>
      </c>
      <c r="N1559" s="20"/>
      <c r="P1559" s="37" t="str">
        <f aca="false">_xlfn.CONCAT(B1559,C1559,D1559,E1559,F1559)</f>
        <v/>
      </c>
      <c r="Q1559" s="37" t="str">
        <f aca="false">_xlfn.CONCAT(H1559,I1559,J1559)</f>
        <v/>
      </c>
    </row>
    <row r="1560" customFormat="false" ht="15" hidden="true" customHeight="false" outlineLevel="0" collapsed="false">
      <c r="G1560" s="15" t="n">
        <f aca="false">+F1560-E1560</f>
        <v>0</v>
      </c>
      <c r="H1560" s="20"/>
      <c r="J1560" s="20"/>
      <c r="K1560" s="1" t="e">
        <f aca="false">_xlfn.xlookup(J1560,REF!$D$2:$D$12,REF!$E$2:$E$12)</f>
        <v>#NAME?</v>
      </c>
      <c r="N1560" s="20"/>
      <c r="P1560" s="37" t="str">
        <f aca="false">_xlfn.CONCAT(B1560,C1560,D1560,E1560,F1560)</f>
        <v/>
      </c>
      <c r="Q1560" s="37" t="str">
        <f aca="false">_xlfn.CONCAT(H1560,I1560,J1560)</f>
        <v/>
      </c>
    </row>
    <row r="1561" customFormat="false" ht="15" hidden="true" customHeight="false" outlineLevel="0" collapsed="false">
      <c r="G1561" s="15" t="n">
        <f aca="false">+F1561-E1561</f>
        <v>0</v>
      </c>
      <c r="H1561" s="20"/>
      <c r="J1561" s="20"/>
      <c r="K1561" s="1" t="e">
        <f aca="false">_xlfn.xlookup(J1561,REF!$D$2:$D$12,REF!$E$2:$E$12)</f>
        <v>#NAME?</v>
      </c>
      <c r="N1561" s="20"/>
      <c r="P1561" s="37" t="str">
        <f aca="false">_xlfn.CONCAT(B1561,C1561,D1561,E1561,F1561)</f>
        <v/>
      </c>
      <c r="Q1561" s="37" t="str">
        <f aca="false">_xlfn.CONCAT(H1561,I1561,J1561)</f>
        <v/>
      </c>
    </row>
    <row r="1562" customFormat="false" ht="15" hidden="true" customHeight="false" outlineLevel="0" collapsed="false">
      <c r="G1562" s="15" t="n">
        <f aca="false">+F1562-E1562</f>
        <v>0</v>
      </c>
      <c r="H1562" s="20"/>
      <c r="J1562" s="20"/>
      <c r="K1562" s="1" t="e">
        <f aca="false">_xlfn.xlookup(J1562,REF!$D$2:$D$12,REF!$E$2:$E$12)</f>
        <v>#NAME?</v>
      </c>
      <c r="N1562" s="20"/>
      <c r="P1562" s="37" t="str">
        <f aca="false">_xlfn.CONCAT(B1562,C1562,D1562,E1562,F1562)</f>
        <v/>
      </c>
      <c r="Q1562" s="37" t="str">
        <f aca="false">_xlfn.CONCAT(H1562,I1562,J1562)</f>
        <v/>
      </c>
    </row>
    <row r="1563" customFormat="false" ht="15" hidden="true" customHeight="false" outlineLevel="0" collapsed="false">
      <c r="G1563" s="15" t="n">
        <f aca="false">+F1563-E1563</f>
        <v>0</v>
      </c>
      <c r="H1563" s="20"/>
      <c r="J1563" s="20"/>
      <c r="K1563" s="1" t="e">
        <f aca="false">_xlfn.xlookup(J1563,REF!$D$2:$D$12,REF!$E$2:$E$12)</f>
        <v>#NAME?</v>
      </c>
      <c r="N1563" s="20"/>
      <c r="P1563" s="37" t="str">
        <f aca="false">_xlfn.CONCAT(B1563,C1563,D1563,E1563,F1563)</f>
        <v/>
      </c>
      <c r="Q1563" s="37" t="str">
        <f aca="false">_xlfn.CONCAT(H1563,I1563,J1563)</f>
        <v/>
      </c>
    </row>
    <row r="1564" customFormat="false" ht="15" hidden="true" customHeight="false" outlineLevel="0" collapsed="false">
      <c r="G1564" s="15" t="n">
        <f aca="false">+F1564-E1564</f>
        <v>0</v>
      </c>
      <c r="H1564" s="20"/>
      <c r="J1564" s="20"/>
      <c r="K1564" s="1" t="e">
        <f aca="false">_xlfn.xlookup(J1564,REF!$D$2:$D$12,REF!$E$2:$E$12)</f>
        <v>#NAME?</v>
      </c>
      <c r="N1564" s="20"/>
      <c r="P1564" s="37" t="str">
        <f aca="false">_xlfn.CONCAT(B1564,C1564,D1564,E1564,F1564)</f>
        <v/>
      </c>
      <c r="Q1564" s="37" t="str">
        <f aca="false">_xlfn.CONCAT(H1564,I1564,J1564)</f>
        <v/>
      </c>
    </row>
    <row r="1565" customFormat="false" ht="15" hidden="true" customHeight="false" outlineLevel="0" collapsed="false">
      <c r="G1565" s="15" t="n">
        <f aca="false">+F1565-E1565</f>
        <v>0</v>
      </c>
      <c r="H1565" s="20"/>
      <c r="J1565" s="20"/>
      <c r="K1565" s="1" t="e">
        <f aca="false">_xlfn.xlookup(J1565,REF!$D$2:$D$12,REF!$E$2:$E$12)</f>
        <v>#NAME?</v>
      </c>
      <c r="N1565" s="20"/>
      <c r="P1565" s="37" t="str">
        <f aca="false">_xlfn.CONCAT(B1565,C1565,D1565,E1565,F1565)</f>
        <v/>
      </c>
      <c r="Q1565" s="37" t="str">
        <f aca="false">_xlfn.CONCAT(H1565,I1565,J1565)</f>
        <v/>
      </c>
    </row>
    <row r="1566" customFormat="false" ht="15" hidden="true" customHeight="false" outlineLevel="0" collapsed="false">
      <c r="G1566" s="15" t="n">
        <f aca="false">+F1566-E1566</f>
        <v>0</v>
      </c>
      <c r="H1566" s="20"/>
      <c r="J1566" s="20"/>
      <c r="K1566" s="1" t="e">
        <f aca="false">_xlfn.xlookup(J1566,REF!$D$2:$D$12,REF!$E$2:$E$12)</f>
        <v>#NAME?</v>
      </c>
      <c r="N1566" s="20"/>
      <c r="P1566" s="37" t="str">
        <f aca="false">_xlfn.CONCAT(B1566,C1566,D1566,E1566,F1566)</f>
        <v/>
      </c>
      <c r="Q1566" s="37" t="str">
        <f aca="false">_xlfn.CONCAT(H1566,I1566,J1566)</f>
        <v/>
      </c>
    </row>
    <row r="1567" customFormat="false" ht="15" hidden="true" customHeight="false" outlineLevel="0" collapsed="false">
      <c r="G1567" s="15" t="n">
        <f aca="false">+F1567-E1567</f>
        <v>0</v>
      </c>
      <c r="H1567" s="20"/>
      <c r="J1567" s="20"/>
      <c r="K1567" s="1" t="e">
        <f aca="false">_xlfn.xlookup(J1567,REF!$D$2:$D$12,REF!$E$2:$E$12)</f>
        <v>#NAME?</v>
      </c>
      <c r="N1567" s="20"/>
      <c r="P1567" s="37" t="str">
        <f aca="false">_xlfn.CONCAT(B1567,C1567,D1567,E1567,F1567)</f>
        <v/>
      </c>
      <c r="Q1567" s="37" t="str">
        <f aca="false">_xlfn.CONCAT(H1567,I1567,J1567)</f>
        <v/>
      </c>
    </row>
    <row r="1568" customFormat="false" ht="15" hidden="true" customHeight="false" outlineLevel="0" collapsed="false">
      <c r="G1568" s="15" t="n">
        <f aca="false">+F1568-E1568</f>
        <v>0</v>
      </c>
      <c r="H1568" s="20"/>
      <c r="J1568" s="20"/>
      <c r="K1568" s="1" t="e">
        <f aca="false">_xlfn.xlookup(J1568,REF!$D$2:$D$12,REF!$E$2:$E$12)</f>
        <v>#NAME?</v>
      </c>
      <c r="N1568" s="20"/>
      <c r="P1568" s="37" t="str">
        <f aca="false">_xlfn.CONCAT(B1568,C1568,D1568,E1568,F1568)</f>
        <v/>
      </c>
      <c r="Q1568" s="37" t="str">
        <f aca="false">_xlfn.CONCAT(H1568,I1568,J1568)</f>
        <v/>
      </c>
    </row>
    <row r="1569" customFormat="false" ht="15" hidden="true" customHeight="false" outlineLevel="0" collapsed="false">
      <c r="G1569" s="15" t="n">
        <f aca="false">+F1569-E1569</f>
        <v>0</v>
      </c>
      <c r="H1569" s="20"/>
      <c r="J1569" s="20"/>
      <c r="K1569" s="1" t="e">
        <f aca="false">_xlfn.xlookup(J1569,REF!$D$2:$D$12,REF!$E$2:$E$12)</f>
        <v>#NAME?</v>
      </c>
      <c r="N1569" s="20"/>
      <c r="P1569" s="37" t="str">
        <f aca="false">_xlfn.CONCAT(B1569,C1569,D1569,E1569,F1569)</f>
        <v/>
      </c>
      <c r="Q1569" s="37" t="str">
        <f aca="false">_xlfn.CONCAT(H1569,I1569,J1569)</f>
        <v/>
      </c>
    </row>
    <row r="1570" customFormat="false" ht="15" hidden="true" customHeight="false" outlineLevel="0" collapsed="false">
      <c r="G1570" s="15" t="n">
        <f aca="false">+F1570-E1570</f>
        <v>0</v>
      </c>
      <c r="H1570" s="20"/>
      <c r="J1570" s="20"/>
      <c r="K1570" s="1" t="e">
        <f aca="false">_xlfn.xlookup(J1570,REF!$D$2:$D$12,REF!$E$2:$E$12)</f>
        <v>#NAME?</v>
      </c>
      <c r="N1570" s="20"/>
      <c r="P1570" s="37" t="str">
        <f aca="false">_xlfn.CONCAT(B1570,C1570,D1570,E1570,F1570)</f>
        <v/>
      </c>
      <c r="Q1570" s="37" t="str">
        <f aca="false">_xlfn.CONCAT(H1570,I1570,J1570)</f>
        <v/>
      </c>
    </row>
    <row r="1571" customFormat="false" ht="15" hidden="true" customHeight="false" outlineLevel="0" collapsed="false">
      <c r="G1571" s="15" t="n">
        <f aca="false">+F1571-E1571</f>
        <v>0</v>
      </c>
      <c r="H1571" s="20"/>
      <c r="J1571" s="20"/>
      <c r="K1571" s="1" t="e">
        <f aca="false">_xlfn.xlookup(J1571,REF!$D$2:$D$12,REF!$E$2:$E$12)</f>
        <v>#NAME?</v>
      </c>
      <c r="N1571" s="20"/>
      <c r="P1571" s="37" t="str">
        <f aca="false">_xlfn.CONCAT(B1571,C1571,D1571,E1571,F1571)</f>
        <v/>
      </c>
      <c r="Q1571" s="37" t="str">
        <f aca="false">_xlfn.CONCAT(H1571,I1571,J1571)</f>
        <v/>
      </c>
    </row>
    <row r="1572" customFormat="false" ht="15" hidden="true" customHeight="false" outlineLevel="0" collapsed="false">
      <c r="G1572" s="15" t="n">
        <f aca="false">+F1572-E1572</f>
        <v>0</v>
      </c>
      <c r="H1572" s="20"/>
      <c r="J1572" s="20"/>
      <c r="K1572" s="1" t="e">
        <f aca="false">_xlfn.xlookup(J1572,REF!$D$2:$D$12,REF!$E$2:$E$12)</f>
        <v>#NAME?</v>
      </c>
      <c r="N1572" s="20"/>
      <c r="P1572" s="37" t="str">
        <f aca="false">_xlfn.CONCAT(B1572,C1572,D1572,E1572,F1572)</f>
        <v/>
      </c>
      <c r="Q1572" s="37" t="str">
        <f aca="false">_xlfn.CONCAT(H1572,I1572,J1572)</f>
        <v/>
      </c>
    </row>
    <row r="1573" customFormat="false" ht="15" hidden="true" customHeight="false" outlineLevel="0" collapsed="false">
      <c r="G1573" s="15" t="n">
        <f aca="false">+F1573-E1573</f>
        <v>0</v>
      </c>
      <c r="H1573" s="20"/>
      <c r="J1573" s="20"/>
      <c r="K1573" s="1" t="e">
        <f aca="false">_xlfn.xlookup(J1573,REF!$D$2:$D$12,REF!$E$2:$E$12)</f>
        <v>#NAME?</v>
      </c>
      <c r="N1573" s="20"/>
      <c r="P1573" s="37" t="str">
        <f aca="false">_xlfn.CONCAT(B1573,C1573,D1573,E1573,F1573)</f>
        <v/>
      </c>
      <c r="Q1573" s="37" t="str">
        <f aca="false">_xlfn.CONCAT(H1573,I1573,J1573)</f>
        <v/>
      </c>
    </row>
    <row r="1574" customFormat="false" ht="15" hidden="true" customHeight="false" outlineLevel="0" collapsed="false">
      <c r="G1574" s="15" t="n">
        <f aca="false">+F1574-E1574</f>
        <v>0</v>
      </c>
      <c r="H1574" s="20"/>
      <c r="J1574" s="20"/>
      <c r="K1574" s="1" t="e">
        <f aca="false">_xlfn.xlookup(J1574,REF!$D$2:$D$12,REF!$E$2:$E$12)</f>
        <v>#NAME?</v>
      </c>
      <c r="N1574" s="20"/>
      <c r="P1574" s="37" t="str">
        <f aca="false">_xlfn.CONCAT(B1574,C1574,D1574,E1574,F1574)</f>
        <v/>
      </c>
      <c r="Q1574" s="37" t="str">
        <f aca="false">_xlfn.CONCAT(H1574,I1574,J1574)</f>
        <v/>
      </c>
    </row>
    <row r="1575" customFormat="false" ht="15" hidden="true" customHeight="false" outlineLevel="0" collapsed="false">
      <c r="G1575" s="15" t="n">
        <f aca="false">+F1575-E1575</f>
        <v>0</v>
      </c>
      <c r="H1575" s="20"/>
      <c r="J1575" s="20"/>
      <c r="K1575" s="1" t="e">
        <f aca="false">_xlfn.xlookup(J1575,REF!$D$2:$D$12,REF!$E$2:$E$12)</f>
        <v>#NAME?</v>
      </c>
      <c r="N1575" s="20"/>
      <c r="P1575" s="37" t="str">
        <f aca="false">_xlfn.CONCAT(B1575,C1575,D1575,E1575,F1575)</f>
        <v/>
      </c>
      <c r="Q1575" s="37" t="str">
        <f aca="false">_xlfn.CONCAT(H1575,I1575,J1575)</f>
        <v/>
      </c>
    </row>
    <row r="1576" customFormat="false" ht="15" hidden="true" customHeight="false" outlineLevel="0" collapsed="false">
      <c r="G1576" s="15" t="n">
        <f aca="false">+F1576-E1576</f>
        <v>0</v>
      </c>
      <c r="H1576" s="20"/>
      <c r="J1576" s="20"/>
      <c r="K1576" s="1" t="e">
        <f aca="false">_xlfn.xlookup(J1576,REF!$D$2:$D$12,REF!$E$2:$E$12)</f>
        <v>#NAME?</v>
      </c>
      <c r="N1576" s="20"/>
      <c r="P1576" s="37" t="str">
        <f aca="false">_xlfn.CONCAT(B1576,C1576,D1576,E1576,F1576)</f>
        <v/>
      </c>
      <c r="Q1576" s="37" t="str">
        <f aca="false">_xlfn.CONCAT(H1576,I1576,J1576)</f>
        <v/>
      </c>
    </row>
    <row r="1577" customFormat="false" ht="15" hidden="true" customHeight="false" outlineLevel="0" collapsed="false">
      <c r="G1577" s="15" t="n">
        <f aca="false">+F1577-E1577</f>
        <v>0</v>
      </c>
      <c r="H1577" s="20"/>
      <c r="J1577" s="20"/>
      <c r="K1577" s="1" t="e">
        <f aca="false">_xlfn.xlookup(J1577,REF!$D$2:$D$12,REF!$E$2:$E$12)</f>
        <v>#NAME?</v>
      </c>
      <c r="N1577" s="20"/>
      <c r="P1577" s="37" t="str">
        <f aca="false">_xlfn.CONCAT(B1577,C1577,D1577,E1577,F1577)</f>
        <v/>
      </c>
      <c r="Q1577" s="37" t="str">
        <f aca="false">_xlfn.CONCAT(H1577,I1577,J1577)</f>
        <v/>
      </c>
    </row>
    <row r="1578" customFormat="false" ht="15" hidden="true" customHeight="false" outlineLevel="0" collapsed="false">
      <c r="G1578" s="15" t="n">
        <f aca="false">+F1578-E1578</f>
        <v>0</v>
      </c>
      <c r="H1578" s="20"/>
      <c r="J1578" s="20"/>
      <c r="K1578" s="1" t="e">
        <f aca="false">_xlfn.xlookup(J1578,REF!$D$2:$D$12,REF!$E$2:$E$12)</f>
        <v>#NAME?</v>
      </c>
      <c r="N1578" s="20"/>
      <c r="P1578" s="37" t="str">
        <f aca="false">_xlfn.CONCAT(B1578,C1578,D1578,E1578,F1578)</f>
        <v/>
      </c>
      <c r="Q1578" s="37" t="str">
        <f aca="false">_xlfn.CONCAT(H1578,I1578,J1578)</f>
        <v/>
      </c>
    </row>
    <row r="1579" customFormat="false" ht="15" hidden="true" customHeight="false" outlineLevel="0" collapsed="false">
      <c r="G1579" s="15" t="n">
        <f aca="false">+F1579-E1579</f>
        <v>0</v>
      </c>
      <c r="H1579" s="20"/>
      <c r="J1579" s="20"/>
      <c r="K1579" s="1" t="e">
        <f aca="false">_xlfn.xlookup(J1579,REF!$D$2:$D$12,REF!$E$2:$E$12)</f>
        <v>#NAME?</v>
      </c>
      <c r="N1579" s="20"/>
      <c r="P1579" s="37" t="str">
        <f aca="false">_xlfn.CONCAT(B1579,C1579,D1579,E1579,F1579)</f>
        <v/>
      </c>
      <c r="Q1579" s="37" t="str">
        <f aca="false">_xlfn.CONCAT(H1579,I1579,J1579)</f>
        <v/>
      </c>
    </row>
    <row r="1580" customFormat="false" ht="15" hidden="true" customHeight="false" outlineLevel="0" collapsed="false">
      <c r="G1580" s="15" t="n">
        <f aca="false">+F1580-E1580</f>
        <v>0</v>
      </c>
      <c r="H1580" s="20"/>
      <c r="J1580" s="20"/>
      <c r="K1580" s="1" t="e">
        <f aca="false">_xlfn.xlookup(J1580,REF!$D$2:$D$12,REF!$E$2:$E$12)</f>
        <v>#NAME?</v>
      </c>
      <c r="N1580" s="20"/>
      <c r="P1580" s="37" t="str">
        <f aca="false">_xlfn.CONCAT(B1580,C1580,D1580,E1580,F1580)</f>
        <v/>
      </c>
      <c r="Q1580" s="37" t="str">
        <f aca="false">_xlfn.CONCAT(H1580,I1580,J1580)</f>
        <v/>
      </c>
    </row>
    <row r="1581" customFormat="false" ht="15" hidden="true" customHeight="false" outlineLevel="0" collapsed="false">
      <c r="G1581" s="15" t="n">
        <f aca="false">+F1581-E1581</f>
        <v>0</v>
      </c>
      <c r="H1581" s="20"/>
      <c r="J1581" s="20"/>
      <c r="K1581" s="1" t="e">
        <f aca="false">_xlfn.xlookup(J1581,REF!$D$2:$D$12,REF!$E$2:$E$12)</f>
        <v>#NAME?</v>
      </c>
      <c r="N1581" s="20"/>
      <c r="P1581" s="37" t="str">
        <f aca="false">_xlfn.CONCAT(B1581,C1581,D1581,E1581,F1581)</f>
        <v/>
      </c>
      <c r="Q1581" s="37" t="str">
        <f aca="false">_xlfn.CONCAT(H1581,I1581,J1581)</f>
        <v/>
      </c>
    </row>
    <row r="1582" customFormat="false" ht="15" hidden="true" customHeight="false" outlineLevel="0" collapsed="false">
      <c r="G1582" s="15" t="n">
        <f aca="false">+F1582-E1582</f>
        <v>0</v>
      </c>
      <c r="H1582" s="20"/>
      <c r="J1582" s="20"/>
      <c r="K1582" s="1" t="e">
        <f aca="false">_xlfn.xlookup(J1582,REF!$D$2:$D$12,REF!$E$2:$E$12)</f>
        <v>#NAME?</v>
      </c>
      <c r="N1582" s="20"/>
      <c r="P1582" s="37" t="str">
        <f aca="false">_xlfn.CONCAT(B1582,C1582,D1582,E1582,F1582)</f>
        <v/>
      </c>
      <c r="Q1582" s="37" t="str">
        <f aca="false">_xlfn.CONCAT(H1582,I1582,J1582)</f>
        <v/>
      </c>
    </row>
    <row r="1583" customFormat="false" ht="15" hidden="true" customHeight="false" outlineLevel="0" collapsed="false">
      <c r="G1583" s="15" t="n">
        <f aca="false">+F1583-E1583</f>
        <v>0</v>
      </c>
      <c r="H1583" s="20"/>
      <c r="J1583" s="20"/>
      <c r="K1583" s="1" t="e">
        <f aca="false">_xlfn.xlookup(J1583,REF!$D$2:$D$12,REF!$E$2:$E$12)</f>
        <v>#NAME?</v>
      </c>
      <c r="N1583" s="20"/>
      <c r="P1583" s="37" t="str">
        <f aca="false">_xlfn.CONCAT(B1583,C1583,D1583,E1583,F1583)</f>
        <v/>
      </c>
      <c r="Q1583" s="37" t="str">
        <f aca="false">_xlfn.CONCAT(H1583,I1583,J1583)</f>
        <v/>
      </c>
    </row>
    <row r="1584" customFormat="false" ht="15" hidden="true" customHeight="false" outlineLevel="0" collapsed="false">
      <c r="G1584" s="15" t="n">
        <f aca="false">+F1584-E1584</f>
        <v>0</v>
      </c>
      <c r="H1584" s="20"/>
      <c r="J1584" s="20"/>
      <c r="K1584" s="1" t="e">
        <f aca="false">_xlfn.xlookup(J1584,REF!$D$2:$D$12,REF!$E$2:$E$12)</f>
        <v>#NAME?</v>
      </c>
      <c r="N1584" s="20"/>
      <c r="P1584" s="37" t="str">
        <f aca="false">_xlfn.CONCAT(B1584,C1584,D1584,E1584,F1584)</f>
        <v/>
      </c>
      <c r="Q1584" s="37" t="str">
        <f aca="false">_xlfn.CONCAT(H1584,I1584,J1584)</f>
        <v/>
      </c>
    </row>
    <row r="1585" customFormat="false" ht="15" hidden="true" customHeight="false" outlineLevel="0" collapsed="false">
      <c r="G1585" s="15" t="n">
        <f aca="false">+F1585-E1585</f>
        <v>0</v>
      </c>
      <c r="H1585" s="20"/>
      <c r="J1585" s="20"/>
      <c r="K1585" s="1" t="e">
        <f aca="false">_xlfn.xlookup(J1585,REF!$D$2:$D$12,REF!$E$2:$E$12)</f>
        <v>#NAME?</v>
      </c>
      <c r="N1585" s="20"/>
      <c r="P1585" s="37" t="str">
        <f aca="false">_xlfn.CONCAT(B1585,C1585,D1585,E1585,F1585)</f>
        <v/>
      </c>
      <c r="Q1585" s="37" t="str">
        <f aca="false">_xlfn.CONCAT(H1585,I1585,J1585)</f>
        <v/>
      </c>
    </row>
    <row r="1586" customFormat="false" ht="15" hidden="true" customHeight="false" outlineLevel="0" collapsed="false">
      <c r="G1586" s="15" t="n">
        <f aca="false">+F1586-E1586</f>
        <v>0</v>
      </c>
      <c r="H1586" s="20"/>
      <c r="J1586" s="20"/>
      <c r="K1586" s="1" t="e">
        <f aca="false">_xlfn.xlookup(J1586,REF!$D$2:$D$12,REF!$E$2:$E$12)</f>
        <v>#NAME?</v>
      </c>
      <c r="N1586" s="20"/>
      <c r="P1586" s="37" t="str">
        <f aca="false">_xlfn.CONCAT(B1586,C1586,D1586,E1586,F1586)</f>
        <v/>
      </c>
      <c r="Q1586" s="37" t="str">
        <f aca="false">_xlfn.CONCAT(H1586,I1586,J1586)</f>
        <v/>
      </c>
    </row>
    <row r="1587" customFormat="false" ht="15" hidden="true" customHeight="false" outlineLevel="0" collapsed="false">
      <c r="G1587" s="15" t="n">
        <f aca="false">+F1587-E1587</f>
        <v>0</v>
      </c>
      <c r="H1587" s="20"/>
      <c r="J1587" s="20"/>
      <c r="K1587" s="1" t="e">
        <f aca="false">_xlfn.xlookup(J1587,REF!$D$2:$D$12,REF!$E$2:$E$12)</f>
        <v>#NAME?</v>
      </c>
      <c r="N1587" s="20"/>
      <c r="P1587" s="37" t="str">
        <f aca="false">_xlfn.CONCAT(B1587,C1587,D1587,E1587,F1587)</f>
        <v/>
      </c>
      <c r="Q1587" s="37" t="str">
        <f aca="false">_xlfn.CONCAT(H1587,I1587,J1587)</f>
        <v/>
      </c>
    </row>
    <row r="1588" customFormat="false" ht="15" hidden="true" customHeight="false" outlineLevel="0" collapsed="false">
      <c r="G1588" s="15" t="n">
        <f aca="false">+F1588-E1588</f>
        <v>0</v>
      </c>
      <c r="H1588" s="20"/>
      <c r="J1588" s="20"/>
      <c r="K1588" s="1" t="e">
        <f aca="false">_xlfn.xlookup(J1588,REF!$D$2:$D$12,REF!$E$2:$E$12)</f>
        <v>#NAME?</v>
      </c>
      <c r="N1588" s="20"/>
      <c r="P1588" s="37" t="str">
        <f aca="false">_xlfn.CONCAT(B1588,C1588,D1588,E1588,F1588)</f>
        <v/>
      </c>
      <c r="Q1588" s="37" t="str">
        <f aca="false">_xlfn.CONCAT(H1588,I1588,J1588)</f>
        <v/>
      </c>
    </row>
    <row r="1589" customFormat="false" ht="15" hidden="true" customHeight="false" outlineLevel="0" collapsed="false">
      <c r="G1589" s="15" t="n">
        <f aca="false">+F1589-E1589</f>
        <v>0</v>
      </c>
      <c r="H1589" s="20"/>
      <c r="J1589" s="20"/>
      <c r="K1589" s="1" t="e">
        <f aca="false">_xlfn.xlookup(J1589,REF!$D$2:$D$12,REF!$E$2:$E$12)</f>
        <v>#NAME?</v>
      </c>
      <c r="N1589" s="20"/>
      <c r="P1589" s="37" t="str">
        <f aca="false">_xlfn.CONCAT(B1589,C1589,D1589,E1589,F1589)</f>
        <v/>
      </c>
      <c r="Q1589" s="37" t="str">
        <f aca="false">_xlfn.CONCAT(H1589,I1589,J1589)</f>
        <v/>
      </c>
    </row>
    <row r="1590" customFormat="false" ht="15" hidden="true" customHeight="false" outlineLevel="0" collapsed="false">
      <c r="G1590" s="15" t="n">
        <f aca="false">+F1590-E1590</f>
        <v>0</v>
      </c>
      <c r="H1590" s="20"/>
      <c r="J1590" s="20"/>
      <c r="K1590" s="1" t="e">
        <f aca="false">_xlfn.xlookup(J1590,REF!$D$2:$D$12,REF!$E$2:$E$12)</f>
        <v>#NAME?</v>
      </c>
      <c r="N1590" s="20"/>
      <c r="P1590" s="37" t="str">
        <f aca="false">_xlfn.CONCAT(B1590,C1590,D1590,E1590,F1590)</f>
        <v/>
      </c>
      <c r="Q1590" s="37" t="str">
        <f aca="false">_xlfn.CONCAT(H1590,I1590,J1590)</f>
        <v/>
      </c>
    </row>
    <row r="1591" customFormat="false" ht="15" hidden="true" customHeight="false" outlineLevel="0" collapsed="false">
      <c r="G1591" s="15" t="n">
        <f aca="false">+F1591-E1591</f>
        <v>0</v>
      </c>
      <c r="H1591" s="20"/>
      <c r="J1591" s="20"/>
      <c r="K1591" s="1" t="e">
        <f aca="false">_xlfn.xlookup(J1591,REF!$D$2:$D$12,REF!$E$2:$E$12)</f>
        <v>#NAME?</v>
      </c>
      <c r="N1591" s="20"/>
      <c r="P1591" s="37" t="str">
        <f aca="false">_xlfn.CONCAT(B1591,C1591,D1591,E1591,F1591)</f>
        <v/>
      </c>
      <c r="Q1591" s="37" t="str">
        <f aca="false">_xlfn.CONCAT(H1591,I1591,J1591)</f>
        <v/>
      </c>
    </row>
    <row r="1592" customFormat="false" ht="15" hidden="true" customHeight="false" outlineLevel="0" collapsed="false">
      <c r="G1592" s="15" t="n">
        <f aca="false">+F1592-E1592</f>
        <v>0</v>
      </c>
      <c r="H1592" s="20"/>
      <c r="J1592" s="20"/>
      <c r="K1592" s="1" t="e">
        <f aca="false">_xlfn.xlookup(J1592,REF!$D$2:$D$12,REF!$E$2:$E$12)</f>
        <v>#NAME?</v>
      </c>
      <c r="N1592" s="20"/>
      <c r="P1592" s="37" t="str">
        <f aca="false">_xlfn.CONCAT(B1592,C1592,D1592,E1592,F1592)</f>
        <v/>
      </c>
      <c r="Q1592" s="37" t="str">
        <f aca="false">_xlfn.CONCAT(H1592,I1592,J1592)</f>
        <v/>
      </c>
    </row>
    <row r="1593" customFormat="false" ht="15" hidden="true" customHeight="false" outlineLevel="0" collapsed="false">
      <c r="G1593" s="15" t="n">
        <f aca="false">+F1593-E1593</f>
        <v>0</v>
      </c>
      <c r="H1593" s="20"/>
      <c r="J1593" s="20"/>
      <c r="K1593" s="1" t="e">
        <f aca="false">_xlfn.xlookup(J1593,REF!$D$2:$D$12,REF!$E$2:$E$12)</f>
        <v>#NAME?</v>
      </c>
      <c r="N1593" s="20"/>
      <c r="P1593" s="37" t="str">
        <f aca="false">_xlfn.CONCAT(B1593,C1593,D1593,E1593,F1593)</f>
        <v/>
      </c>
      <c r="Q1593" s="37" t="str">
        <f aca="false">_xlfn.CONCAT(H1593,I1593,J1593)</f>
        <v/>
      </c>
    </row>
    <row r="1594" customFormat="false" ht="15" hidden="true" customHeight="false" outlineLevel="0" collapsed="false">
      <c r="G1594" s="15" t="n">
        <f aca="false">+F1594-E1594</f>
        <v>0</v>
      </c>
      <c r="H1594" s="20"/>
      <c r="J1594" s="20"/>
      <c r="K1594" s="1" t="e">
        <f aca="false">_xlfn.xlookup(J1594,REF!$D$2:$D$12,REF!$E$2:$E$12)</f>
        <v>#NAME?</v>
      </c>
      <c r="N1594" s="20"/>
      <c r="P1594" s="37" t="str">
        <f aca="false">_xlfn.CONCAT(B1594,C1594,D1594,E1594,F1594)</f>
        <v/>
      </c>
      <c r="Q1594" s="37" t="str">
        <f aca="false">_xlfn.CONCAT(H1594,I1594,J1594)</f>
        <v/>
      </c>
    </row>
    <row r="1595" customFormat="false" ht="15" hidden="true" customHeight="false" outlineLevel="0" collapsed="false">
      <c r="G1595" s="15" t="n">
        <f aca="false">+F1595-E1595</f>
        <v>0</v>
      </c>
      <c r="H1595" s="20"/>
      <c r="J1595" s="20"/>
      <c r="K1595" s="1" t="e">
        <f aca="false">_xlfn.xlookup(J1595,REF!$D$2:$D$12,REF!$E$2:$E$12)</f>
        <v>#NAME?</v>
      </c>
      <c r="N1595" s="20"/>
      <c r="P1595" s="37" t="str">
        <f aca="false">_xlfn.CONCAT(B1595,C1595,D1595,E1595,F1595)</f>
        <v/>
      </c>
      <c r="Q1595" s="37" t="str">
        <f aca="false">_xlfn.CONCAT(H1595,I1595,J1595)</f>
        <v/>
      </c>
    </row>
    <row r="1596" customFormat="false" ht="15" hidden="true" customHeight="false" outlineLevel="0" collapsed="false">
      <c r="G1596" s="15" t="n">
        <f aca="false">+F1596-E1596</f>
        <v>0</v>
      </c>
      <c r="H1596" s="20"/>
      <c r="J1596" s="20"/>
      <c r="K1596" s="1" t="e">
        <f aca="false">_xlfn.xlookup(J1596,REF!$D$2:$D$12,REF!$E$2:$E$12)</f>
        <v>#NAME?</v>
      </c>
      <c r="N1596" s="20"/>
      <c r="P1596" s="37" t="str">
        <f aca="false">_xlfn.CONCAT(B1596,C1596,D1596,E1596,F1596)</f>
        <v/>
      </c>
      <c r="Q1596" s="37" t="str">
        <f aca="false">_xlfn.CONCAT(H1596,I1596,J1596)</f>
        <v/>
      </c>
    </row>
    <row r="1597" customFormat="false" ht="15" hidden="true" customHeight="false" outlineLevel="0" collapsed="false">
      <c r="G1597" s="15" t="n">
        <f aca="false">+F1597-E1597</f>
        <v>0</v>
      </c>
      <c r="H1597" s="20"/>
      <c r="J1597" s="20"/>
      <c r="K1597" s="1" t="e">
        <f aca="false">_xlfn.xlookup(J1597,REF!$D$2:$D$12,REF!$E$2:$E$12)</f>
        <v>#NAME?</v>
      </c>
      <c r="N1597" s="20"/>
      <c r="P1597" s="37" t="str">
        <f aca="false">_xlfn.CONCAT(B1597,C1597,D1597,E1597,F1597)</f>
        <v/>
      </c>
      <c r="Q1597" s="37" t="str">
        <f aca="false">_xlfn.CONCAT(H1597,I1597,J1597)</f>
        <v/>
      </c>
    </row>
    <row r="1598" customFormat="false" ht="15" hidden="true" customHeight="false" outlineLevel="0" collapsed="false">
      <c r="G1598" s="15" t="n">
        <f aca="false">+F1598-E1598</f>
        <v>0</v>
      </c>
      <c r="H1598" s="20"/>
      <c r="J1598" s="20"/>
      <c r="K1598" s="1" t="e">
        <f aca="false">_xlfn.xlookup(J1598,REF!$D$2:$D$12,REF!$E$2:$E$12)</f>
        <v>#NAME?</v>
      </c>
      <c r="N1598" s="20"/>
      <c r="P1598" s="37" t="str">
        <f aca="false">_xlfn.CONCAT(B1598,C1598,D1598,E1598,F1598)</f>
        <v/>
      </c>
      <c r="Q1598" s="37" t="str">
        <f aca="false">_xlfn.CONCAT(H1598,I1598,J1598)</f>
        <v/>
      </c>
    </row>
    <row r="1599" customFormat="false" ht="15" hidden="true" customHeight="false" outlineLevel="0" collapsed="false">
      <c r="G1599" s="15" t="n">
        <f aca="false">+F1599-E1599</f>
        <v>0</v>
      </c>
      <c r="H1599" s="20"/>
      <c r="J1599" s="20"/>
      <c r="K1599" s="1" t="e">
        <f aca="false">_xlfn.xlookup(J1599,REF!$D$2:$D$12,REF!$E$2:$E$12)</f>
        <v>#NAME?</v>
      </c>
      <c r="N1599" s="20"/>
      <c r="P1599" s="37" t="str">
        <f aca="false">_xlfn.CONCAT(B1599,C1599,D1599,E1599,F1599)</f>
        <v/>
      </c>
      <c r="Q1599" s="37" t="str">
        <f aca="false">_xlfn.CONCAT(H1599,I1599,J1599)</f>
        <v/>
      </c>
    </row>
    <row r="1600" customFormat="false" ht="15" hidden="true" customHeight="false" outlineLevel="0" collapsed="false">
      <c r="G1600" s="15" t="n">
        <f aca="false">+F1600-E1600</f>
        <v>0</v>
      </c>
      <c r="H1600" s="20"/>
      <c r="J1600" s="20"/>
      <c r="K1600" s="1" t="e">
        <f aca="false">_xlfn.xlookup(J1600,REF!$D$2:$D$12,REF!$E$2:$E$12)</f>
        <v>#NAME?</v>
      </c>
      <c r="N1600" s="20"/>
      <c r="P1600" s="37" t="str">
        <f aca="false">_xlfn.CONCAT(B1600,C1600,D1600,E1600,F1600)</f>
        <v/>
      </c>
      <c r="Q1600" s="37" t="str">
        <f aca="false">_xlfn.CONCAT(H1600,I1600,J1600)</f>
        <v/>
      </c>
    </row>
    <row r="1601" customFormat="false" ht="15" hidden="false" customHeight="false" outlineLevel="0" collapsed="false">
      <c r="B1601" s="1" t="s">
        <v>878</v>
      </c>
      <c r="C1601" s="1" t="s">
        <v>505</v>
      </c>
      <c r="D1601" s="14" t="n">
        <v>46373.7638888889</v>
      </c>
      <c r="E1601" s="14" t="n">
        <v>46373.7638888889</v>
      </c>
      <c r="F1601" s="14" t="n">
        <v>46387.9999884259</v>
      </c>
      <c r="G1601" s="15" t="n">
        <f aca="false">F1601-E1601</f>
        <v>14.236099537037</v>
      </c>
      <c r="H1601" s="20" t="s">
        <v>445</v>
      </c>
      <c r="I1601" s="1" t="s">
        <v>263</v>
      </c>
      <c r="J1601" s="20" t="s">
        <v>264</v>
      </c>
      <c r="K1601" s="1" t="e">
        <f aca="false">_xlfn.xlookup(J1601,REF!$D$2:$D$12,REF!$E$2:$E$12)</f>
        <v>#NAME?</v>
      </c>
      <c r="L1601" s="1" t="s">
        <v>989</v>
      </c>
      <c r="M1601" s="20" t="s">
        <v>266</v>
      </c>
      <c r="N1601" s="20" t="s">
        <v>252</v>
      </c>
      <c r="O1601" s="1" t="s">
        <v>990</v>
      </c>
      <c r="P1601" s="37" t="str">
        <f aca="false">_xlfn.CONCAT(B1601,C1601,D1601,E1601,F1601)</f>
        <v>Araçu IInverter7146373.763888888946373.763888888946387.9999884259</v>
      </c>
      <c r="Q1601" s="37" t="str">
        <f aca="false">_xlfn.CONCAT(H1601,I1601,J1601)</f>
        <v>LIGRFOCOM</v>
      </c>
    </row>
    <row r="1602" customFormat="false" ht="15" hidden="false" customHeight="false" outlineLevel="0" collapsed="false">
      <c r="B1602" s="1" t="s">
        <v>878</v>
      </c>
      <c r="C1602" s="1" t="s">
        <v>506</v>
      </c>
      <c r="D1602" s="14" t="n">
        <v>46373.7638888889</v>
      </c>
      <c r="E1602" s="14" t="n">
        <v>46373.7638888889</v>
      </c>
      <c r="F1602" s="14" t="n">
        <v>46387.9999884259</v>
      </c>
      <c r="G1602" s="15" t="n">
        <f aca="false">F1602-E1602</f>
        <v>14.236099537037</v>
      </c>
      <c r="H1602" s="20" t="s">
        <v>445</v>
      </c>
      <c r="I1602" s="1" t="s">
        <v>263</v>
      </c>
      <c r="J1602" s="20" t="s">
        <v>264</v>
      </c>
      <c r="K1602" s="1" t="e">
        <f aca="false">_xlfn.xlookup(J1602,REF!$D$2:$D$12,REF!$E$2:$E$12)</f>
        <v>#NAME?</v>
      </c>
      <c r="L1602" s="1" t="s">
        <v>989</v>
      </c>
      <c r="M1602" s="20" t="s">
        <v>266</v>
      </c>
      <c r="N1602" s="20" t="s">
        <v>252</v>
      </c>
      <c r="O1602" s="1" t="s">
        <v>990</v>
      </c>
      <c r="P1602" s="37" t="str">
        <f aca="false">_xlfn.CONCAT(B1602,C1602,D1602,E1602,F1602)</f>
        <v>Araçu IInverter7246373.763888888946373.763888888946387.9999884259</v>
      </c>
      <c r="Q1602" s="37" t="str">
        <f aca="false">_xlfn.CONCAT(H1602,I1602,J1602)</f>
        <v>LIGRFOCOM</v>
      </c>
    </row>
    <row r="1603" customFormat="false" ht="15" hidden="false" customHeight="false" outlineLevel="0" collapsed="false">
      <c r="B1603" s="1" t="s">
        <v>878</v>
      </c>
      <c r="C1603" s="1" t="s">
        <v>507</v>
      </c>
      <c r="D1603" s="14" t="n">
        <v>46373.7638888889</v>
      </c>
      <c r="E1603" s="14" t="n">
        <v>46373.7638888889</v>
      </c>
      <c r="F1603" s="14" t="n">
        <v>46387.9999884259</v>
      </c>
      <c r="G1603" s="15" t="n">
        <f aca="false">F1603-E1603</f>
        <v>14.236099537037</v>
      </c>
      <c r="H1603" s="20" t="s">
        <v>445</v>
      </c>
      <c r="I1603" s="1" t="s">
        <v>263</v>
      </c>
      <c r="J1603" s="20" t="s">
        <v>264</v>
      </c>
      <c r="K1603" s="1" t="e">
        <f aca="false">_xlfn.xlookup(J1603,REF!$D$2:$D$12,REF!$E$2:$E$12)</f>
        <v>#NAME?</v>
      </c>
      <c r="L1603" s="1" t="s">
        <v>989</v>
      </c>
      <c r="M1603" s="20" t="s">
        <v>266</v>
      </c>
      <c r="N1603" s="20" t="s">
        <v>252</v>
      </c>
      <c r="O1603" s="1" t="s">
        <v>990</v>
      </c>
      <c r="P1603" s="37" t="str">
        <f aca="false">_xlfn.CONCAT(B1603,C1603,D1603,E1603,F1603)</f>
        <v>Araçu IInverter7346373.763888888946373.763888888946387.9999884259</v>
      </c>
      <c r="Q1603" s="37" t="str">
        <f aca="false">_xlfn.CONCAT(H1603,I1603,J1603)</f>
        <v>LIGRFOCOM</v>
      </c>
    </row>
    <row r="1604" customFormat="false" ht="15" hidden="false" customHeight="false" outlineLevel="0" collapsed="false">
      <c r="B1604" s="1" t="s">
        <v>878</v>
      </c>
      <c r="C1604" s="1" t="s">
        <v>508</v>
      </c>
      <c r="D1604" s="14" t="n">
        <v>46373.7638888889</v>
      </c>
      <c r="E1604" s="14" t="n">
        <v>46373.7638888889</v>
      </c>
      <c r="F1604" s="14" t="n">
        <v>46387.9999884259</v>
      </c>
      <c r="G1604" s="15" t="n">
        <f aca="false">F1604-E1604</f>
        <v>14.236099537037</v>
      </c>
      <c r="H1604" s="20" t="s">
        <v>445</v>
      </c>
      <c r="I1604" s="1" t="s">
        <v>263</v>
      </c>
      <c r="J1604" s="20" t="s">
        <v>264</v>
      </c>
      <c r="K1604" s="1" t="e">
        <f aca="false">_xlfn.xlookup(J1604,REF!$D$2:$D$12,REF!$E$2:$E$12)</f>
        <v>#NAME?</v>
      </c>
      <c r="L1604" s="1" t="s">
        <v>989</v>
      </c>
      <c r="M1604" s="20" t="s">
        <v>266</v>
      </c>
      <c r="N1604" s="20" t="s">
        <v>252</v>
      </c>
      <c r="O1604" s="1" t="s">
        <v>990</v>
      </c>
      <c r="P1604" s="37" t="str">
        <f aca="false">_xlfn.CONCAT(B1604,C1604,D1604,E1604,F1604)</f>
        <v>Araçu IInverter7446373.763888888946373.763888888946387.9999884259</v>
      </c>
      <c r="Q1604" s="37" t="str">
        <f aca="false">_xlfn.CONCAT(H1604,I1604,J1604)</f>
        <v>LIGRFOCOM</v>
      </c>
    </row>
    <row r="1605" customFormat="false" ht="15" hidden="false" customHeight="false" outlineLevel="0" collapsed="false">
      <c r="B1605" s="1" t="s">
        <v>878</v>
      </c>
      <c r="C1605" s="1" t="s">
        <v>509</v>
      </c>
      <c r="D1605" s="14" t="n">
        <v>46373.7638888889</v>
      </c>
      <c r="E1605" s="14" t="n">
        <v>46373.7638888889</v>
      </c>
      <c r="F1605" s="14" t="n">
        <v>46387.9999884259</v>
      </c>
      <c r="G1605" s="15" t="n">
        <f aca="false">F1605-E1605</f>
        <v>14.236099537037</v>
      </c>
      <c r="H1605" s="20" t="s">
        <v>445</v>
      </c>
      <c r="I1605" s="1" t="s">
        <v>263</v>
      </c>
      <c r="J1605" s="20" t="s">
        <v>264</v>
      </c>
      <c r="K1605" s="1" t="e">
        <f aca="false">_xlfn.xlookup(J1605,REF!$D$2:$D$12,REF!$E$2:$E$12)</f>
        <v>#NAME?</v>
      </c>
      <c r="L1605" s="1" t="s">
        <v>989</v>
      </c>
      <c r="M1605" s="20" t="s">
        <v>266</v>
      </c>
      <c r="N1605" s="20" t="s">
        <v>252</v>
      </c>
      <c r="O1605" s="1" t="s">
        <v>990</v>
      </c>
      <c r="P1605" s="37" t="str">
        <f aca="false">_xlfn.CONCAT(B1605,C1605,D1605,E1605,F1605)</f>
        <v>Araçu IInverter7546373.763888888946373.763888888946387.9999884259</v>
      </c>
      <c r="Q1605" s="37" t="str">
        <f aca="false">_xlfn.CONCAT(H1605,I1605,J1605)</f>
        <v>LIGRFOCOM</v>
      </c>
    </row>
    <row r="1606" customFormat="false" ht="15" hidden="false" customHeight="false" outlineLevel="0" collapsed="false">
      <c r="B1606" s="1" t="s">
        <v>878</v>
      </c>
      <c r="C1606" s="1" t="s">
        <v>510</v>
      </c>
      <c r="D1606" s="14" t="n">
        <v>46373.7638888889</v>
      </c>
      <c r="E1606" s="14" t="n">
        <v>46373.7638888889</v>
      </c>
      <c r="F1606" s="14" t="n">
        <v>46387.9999884259</v>
      </c>
      <c r="G1606" s="15" t="n">
        <f aca="false">F1606-E1606</f>
        <v>14.236099537037</v>
      </c>
      <c r="H1606" s="20" t="s">
        <v>445</v>
      </c>
      <c r="I1606" s="1" t="s">
        <v>263</v>
      </c>
      <c r="J1606" s="20" t="s">
        <v>264</v>
      </c>
      <c r="K1606" s="1" t="e">
        <f aca="false">_xlfn.xlookup(J1606,REF!$D$2:$D$12,REF!$E$2:$E$12)</f>
        <v>#NAME?</v>
      </c>
      <c r="L1606" s="1" t="s">
        <v>989</v>
      </c>
      <c r="M1606" s="20" t="s">
        <v>266</v>
      </c>
      <c r="N1606" s="20" t="s">
        <v>252</v>
      </c>
      <c r="O1606" s="1" t="s">
        <v>990</v>
      </c>
      <c r="P1606" s="37" t="str">
        <f aca="false">_xlfn.CONCAT(B1606,C1606,D1606,E1606,F1606)</f>
        <v>Araçu IInverter7646373.763888888946373.763888888946387.9999884259</v>
      </c>
      <c r="Q1606" s="37" t="str">
        <f aca="false">_xlfn.CONCAT(H1606,I1606,J1606)</f>
        <v>LIGRFOCOM</v>
      </c>
    </row>
    <row r="1607" customFormat="false" ht="15" hidden="false" customHeight="false" outlineLevel="0" collapsed="false">
      <c r="B1607" s="1" t="s">
        <v>878</v>
      </c>
      <c r="C1607" s="1" t="s">
        <v>511</v>
      </c>
      <c r="D1607" s="14" t="n">
        <v>46373.7638888889</v>
      </c>
      <c r="E1607" s="14" t="n">
        <v>46373.7638888889</v>
      </c>
      <c r="F1607" s="14" t="n">
        <v>46387.9999884259</v>
      </c>
      <c r="G1607" s="15" t="n">
        <f aca="false">F1607-E1607</f>
        <v>14.236099537037</v>
      </c>
      <c r="H1607" s="20" t="s">
        <v>445</v>
      </c>
      <c r="I1607" s="1" t="s">
        <v>263</v>
      </c>
      <c r="J1607" s="20" t="s">
        <v>264</v>
      </c>
      <c r="K1607" s="1" t="e">
        <f aca="false">_xlfn.xlookup(J1607,REF!$D$2:$D$12,REF!$E$2:$E$12)</f>
        <v>#NAME?</v>
      </c>
      <c r="L1607" s="1" t="s">
        <v>989</v>
      </c>
      <c r="M1607" s="20" t="s">
        <v>266</v>
      </c>
      <c r="N1607" s="20" t="s">
        <v>252</v>
      </c>
      <c r="O1607" s="1" t="s">
        <v>990</v>
      </c>
      <c r="P1607" s="37" t="str">
        <f aca="false">_xlfn.CONCAT(B1607,C1607,D1607,E1607,F1607)</f>
        <v>Araçu IInverter7746373.763888888946373.763888888946387.9999884259</v>
      </c>
      <c r="Q1607" s="37" t="str">
        <f aca="false">_xlfn.CONCAT(H1607,I1607,J1607)</f>
        <v>LIGRFOCOM</v>
      </c>
    </row>
    <row r="1608" customFormat="false" ht="15" hidden="true" customHeight="false" outlineLevel="0" collapsed="false">
      <c r="K1608" s="1" t="e">
        <f aca="false">_xlfn.xlookup(J1608,REF!$D$2:$D$12,REF!$E$2:$E$12)</f>
        <v>#NAME?</v>
      </c>
    </row>
    <row r="1609" customFormat="false" ht="15" hidden="true" customHeight="false" outlineLevel="0" collapsed="false">
      <c r="K1609" s="1" t="e">
        <f aca="false">_xlfn.xlookup(J1609,REF!$D$2:$D$12,REF!$E$2:$E$12)</f>
        <v>#NAME?</v>
      </c>
    </row>
    <row r="1610" customFormat="false" ht="15" hidden="true" customHeight="false" outlineLevel="0" collapsed="false">
      <c r="K1610" s="1" t="e">
        <f aca="false">_xlfn.xlookup(J1610,REF!$D$2:$D$12,REF!$E$2:$E$12)</f>
        <v>#NAME?</v>
      </c>
    </row>
    <row r="1611" customFormat="false" ht="15" hidden="true" customHeight="false" outlineLevel="0" collapsed="false">
      <c r="K1611" s="1" t="e">
        <f aca="false">_xlfn.xlookup(J1611,REF!$D$2:$D$12,REF!$E$2:$E$12)</f>
        <v>#NAME?</v>
      </c>
    </row>
    <row r="1612" customFormat="false" ht="15" hidden="true" customHeight="false" outlineLevel="0" collapsed="false">
      <c r="K1612" s="1" t="e">
        <f aca="false">_xlfn.xlookup(J1612,REF!$D$2:$D$12,REF!$E$2:$E$12)</f>
        <v>#NAME?</v>
      </c>
    </row>
    <row r="1613" customFormat="false" ht="15" hidden="true" customHeight="false" outlineLevel="0" collapsed="false">
      <c r="K1613" s="1" t="e">
        <f aca="false">_xlfn.xlookup(J1613,REF!$D$2:$D$12,REF!$E$2:$E$12)</f>
        <v>#NAME?</v>
      </c>
    </row>
    <row r="1614" customFormat="false" ht="15" hidden="true" customHeight="false" outlineLevel="0" collapsed="false">
      <c r="K1614" s="1" t="e">
        <f aca="false">_xlfn.xlookup(J1614,REF!$D$2:$D$12,REF!$E$2:$E$12)</f>
        <v>#NAME?</v>
      </c>
    </row>
    <row r="1615" customFormat="false" ht="15" hidden="true" customHeight="false" outlineLevel="0" collapsed="false">
      <c r="K1615" s="1" t="e">
        <f aca="false">_xlfn.xlookup(J1615,REF!$D$2:$D$12,REF!$E$2:$E$12)</f>
        <v>#NAME?</v>
      </c>
    </row>
    <row r="1616" customFormat="false" ht="15" hidden="true" customHeight="false" outlineLevel="0" collapsed="false">
      <c r="B1616" s="44" t="s">
        <v>575</v>
      </c>
      <c r="C1616" s="44" t="s">
        <v>277</v>
      </c>
      <c r="D1616" s="45" t="n">
        <v>46011.4506944444</v>
      </c>
      <c r="E1616" s="45" t="n">
        <v>46011.4506944444</v>
      </c>
      <c r="F1616" s="45" t="n">
        <v>46014.8611111111</v>
      </c>
      <c r="G1616" s="46" t="n">
        <f aca="false">F1616-E1616</f>
        <v>3.41041666666667</v>
      </c>
      <c r="H1616" s="44" t="s">
        <v>248</v>
      </c>
      <c r="I1616" s="44"/>
      <c r="J1616" s="44" t="s">
        <v>256</v>
      </c>
      <c r="K1616" s="44" t="s">
        <v>430</v>
      </c>
      <c r="L1616" s="44" t="s">
        <v>991</v>
      </c>
      <c r="M1616" s="44" t="s">
        <v>258</v>
      </c>
      <c r="N1616" s="44" t="s">
        <v>379</v>
      </c>
      <c r="O1616" s="44" t="s">
        <v>891</v>
      </c>
      <c r="P1616" s="47" t="str">
        <f aca="false">_xlfn.CONCAT(B1616,C1616,D1616,E1616,F1616)</f>
        <v>BC Ibiuna 1.1Inverter(MBUS-12)46011.450694444446011.450694444446014.8611111111</v>
      </c>
      <c r="Q1616" s="44" t="str">
        <f aca="false">_xlfn.CONCAT(H1616,I1616,J1616)</f>
        <v>DAURDE</v>
      </c>
    </row>
    <row r="1617" customFormat="false" ht="15" hidden="true" customHeight="false" outlineLevel="0" collapsed="false">
      <c r="B1617" s="44" t="s">
        <v>575</v>
      </c>
      <c r="C1617" s="44" t="s">
        <v>247</v>
      </c>
      <c r="D1617" s="45" t="n">
        <v>46011.4506944444</v>
      </c>
      <c r="E1617" s="45" t="n">
        <v>46011.4506944444</v>
      </c>
      <c r="F1617" s="45" t="n">
        <v>46014.8611111111</v>
      </c>
      <c r="G1617" s="46" t="n">
        <f aca="false">F1617-E1617</f>
        <v>3.41041666666667</v>
      </c>
      <c r="H1617" s="44" t="s">
        <v>248</v>
      </c>
      <c r="I1617" s="44"/>
      <c r="J1617" s="44" t="s">
        <v>256</v>
      </c>
      <c r="K1617" s="44" t="s">
        <v>430</v>
      </c>
      <c r="L1617" s="44" t="s">
        <v>991</v>
      </c>
      <c r="M1617" s="44" t="s">
        <v>258</v>
      </c>
      <c r="N1617" s="44" t="s">
        <v>379</v>
      </c>
      <c r="O1617" s="44" t="s">
        <v>891</v>
      </c>
      <c r="P1617" s="47" t="str">
        <f aca="false">_xlfn.CONCAT(B1617,C1617,D1617,E1617,F1617)</f>
        <v>BC Ibiuna 1.1Inverter(MBUS-13)46011.450694444446011.450694444446014.8611111111</v>
      </c>
      <c r="Q1617" s="44" t="str">
        <f aca="false">_xlfn.CONCAT(H1617,I1617,J1617)</f>
        <v>DAURDE</v>
      </c>
    </row>
    <row r="1618" customFormat="false" ht="15" hidden="true" customHeight="false" outlineLevel="0" collapsed="false">
      <c r="B1618" s="44" t="s">
        <v>575</v>
      </c>
      <c r="C1618" s="44" t="s">
        <v>280</v>
      </c>
      <c r="D1618" s="45" t="n">
        <v>46011.4506944444</v>
      </c>
      <c r="E1618" s="45" t="n">
        <v>46011.4506944444</v>
      </c>
      <c r="F1618" s="45" t="n">
        <v>46014.8611111111</v>
      </c>
      <c r="G1618" s="46" t="n">
        <f aca="false">F1618-E1618</f>
        <v>3.41041666666667</v>
      </c>
      <c r="H1618" s="44" t="s">
        <v>248</v>
      </c>
      <c r="I1618" s="44"/>
      <c r="J1618" s="44" t="s">
        <v>256</v>
      </c>
      <c r="K1618" s="44" t="s">
        <v>430</v>
      </c>
      <c r="L1618" s="44" t="s">
        <v>991</v>
      </c>
      <c r="M1618" s="44" t="s">
        <v>258</v>
      </c>
      <c r="N1618" s="44" t="s">
        <v>379</v>
      </c>
      <c r="O1618" s="44" t="s">
        <v>891</v>
      </c>
      <c r="P1618" s="47" t="str">
        <f aca="false">_xlfn.CONCAT(B1618,C1618,D1618,E1618,F1618)</f>
        <v>BC Ibiuna 1.1Inverter(MBUS-14)46011.450694444446011.450694444446014.8611111111</v>
      </c>
      <c r="Q1618" s="44" t="str">
        <f aca="false">_xlfn.CONCAT(H1618,I1618,J1618)</f>
        <v>DAURDE</v>
      </c>
    </row>
    <row r="1619" customFormat="false" ht="15" hidden="true" customHeight="false" outlineLevel="0" collapsed="false">
      <c r="B1619" s="44" t="s">
        <v>575</v>
      </c>
      <c r="C1619" s="44" t="s">
        <v>279</v>
      </c>
      <c r="D1619" s="45" t="n">
        <v>46011.4506944444</v>
      </c>
      <c r="E1619" s="45" t="n">
        <v>46011.4506944444</v>
      </c>
      <c r="F1619" s="45" t="n">
        <v>46014.8611111111</v>
      </c>
      <c r="G1619" s="46" t="n">
        <f aca="false">F1619-E1619</f>
        <v>3.41041666666667</v>
      </c>
      <c r="H1619" s="44" t="s">
        <v>248</v>
      </c>
      <c r="I1619" s="44"/>
      <c r="J1619" s="44" t="s">
        <v>256</v>
      </c>
      <c r="K1619" s="44" t="s">
        <v>430</v>
      </c>
      <c r="L1619" s="44" t="s">
        <v>991</v>
      </c>
      <c r="M1619" s="44" t="s">
        <v>258</v>
      </c>
      <c r="N1619" s="44" t="s">
        <v>379</v>
      </c>
      <c r="O1619" s="44" t="s">
        <v>891</v>
      </c>
      <c r="P1619" s="47" t="str">
        <f aca="false">_xlfn.CONCAT(B1619,C1619,D1619,E1619,F1619)</f>
        <v>BC Ibiuna 1.1Inverter(MBUS-15)46011.450694444446011.450694444446014.8611111111</v>
      </c>
      <c r="Q1619" s="44" t="str">
        <f aca="false">_xlfn.CONCAT(H1619,I1619,J1619)</f>
        <v>DAURDE</v>
      </c>
    </row>
    <row r="1620" customFormat="false" ht="15" hidden="true" customHeight="false" outlineLevel="0" collapsed="false">
      <c r="B1620" s="44" t="s">
        <v>577</v>
      </c>
      <c r="C1620" s="44" t="s">
        <v>277</v>
      </c>
      <c r="D1620" s="45" t="n">
        <v>46011.4506944444</v>
      </c>
      <c r="E1620" s="45" t="n">
        <v>46011.4506944444</v>
      </c>
      <c r="F1620" s="45" t="n">
        <v>46014.8611111111</v>
      </c>
      <c r="G1620" s="46" t="n">
        <f aca="false">F1620-E1620</f>
        <v>3.41041666666667</v>
      </c>
      <c r="H1620" s="44" t="s">
        <v>248</v>
      </c>
      <c r="I1620" s="44"/>
      <c r="J1620" s="44" t="s">
        <v>256</v>
      </c>
      <c r="K1620" s="44" t="s">
        <v>430</v>
      </c>
      <c r="L1620" s="44" t="s">
        <v>991</v>
      </c>
      <c r="M1620" s="44" t="s">
        <v>258</v>
      </c>
      <c r="N1620" s="44" t="s">
        <v>379</v>
      </c>
      <c r="O1620" s="44" t="s">
        <v>891</v>
      </c>
      <c r="P1620" s="47" t="str">
        <f aca="false">_xlfn.CONCAT(B1620,C1620,D1620,E1620,F1620)</f>
        <v>BC Ibiuna 1.2Inverter(MBUS-12)46011.450694444446011.450694444446014.8611111111</v>
      </c>
      <c r="Q1620" s="44" t="str">
        <f aca="false">_xlfn.CONCAT(H1620,I1620,J1620)</f>
        <v>DAURDE</v>
      </c>
    </row>
    <row r="1621" customFormat="false" ht="15" hidden="true" customHeight="false" outlineLevel="0" collapsed="false">
      <c r="B1621" s="44" t="s">
        <v>577</v>
      </c>
      <c r="C1621" s="44" t="s">
        <v>247</v>
      </c>
      <c r="D1621" s="45" t="n">
        <v>46011.4506944444</v>
      </c>
      <c r="E1621" s="45" t="n">
        <v>46011.4506944444</v>
      </c>
      <c r="F1621" s="45" t="n">
        <v>46014.8611111111</v>
      </c>
      <c r="G1621" s="46" t="n">
        <f aca="false">F1621-E1621</f>
        <v>3.41041666666667</v>
      </c>
      <c r="H1621" s="44" t="s">
        <v>248</v>
      </c>
      <c r="I1621" s="44"/>
      <c r="J1621" s="44" t="s">
        <v>256</v>
      </c>
      <c r="K1621" s="44" t="s">
        <v>430</v>
      </c>
      <c r="L1621" s="44" t="s">
        <v>991</v>
      </c>
      <c r="M1621" s="44" t="s">
        <v>258</v>
      </c>
      <c r="N1621" s="44" t="s">
        <v>379</v>
      </c>
      <c r="O1621" s="44" t="s">
        <v>891</v>
      </c>
      <c r="P1621" s="47" t="str">
        <f aca="false">_xlfn.CONCAT(B1621,C1621,D1621,E1621,F1621)</f>
        <v>BC Ibiuna 1.2Inverter(MBUS-13)46011.450694444446011.450694444446014.8611111111</v>
      </c>
      <c r="Q1621" s="44" t="str">
        <f aca="false">_xlfn.CONCAT(H1621,I1621,J1621)</f>
        <v>DAURDE</v>
      </c>
    </row>
    <row r="1622" customFormat="false" ht="15" hidden="true" customHeight="false" outlineLevel="0" collapsed="false">
      <c r="B1622" s="44" t="s">
        <v>577</v>
      </c>
      <c r="C1622" s="44" t="s">
        <v>280</v>
      </c>
      <c r="D1622" s="45" t="n">
        <v>46011.4506944444</v>
      </c>
      <c r="E1622" s="45" t="n">
        <v>46011.4506944444</v>
      </c>
      <c r="F1622" s="45" t="n">
        <v>46014.8611111111</v>
      </c>
      <c r="G1622" s="46" t="n">
        <f aca="false">F1622-E1622</f>
        <v>3.41041666666667</v>
      </c>
      <c r="H1622" s="44" t="s">
        <v>248</v>
      </c>
      <c r="I1622" s="44"/>
      <c r="J1622" s="44" t="s">
        <v>256</v>
      </c>
      <c r="K1622" s="44" t="s">
        <v>430</v>
      </c>
      <c r="L1622" s="44" t="s">
        <v>991</v>
      </c>
      <c r="M1622" s="44" t="s">
        <v>258</v>
      </c>
      <c r="N1622" s="44" t="s">
        <v>379</v>
      </c>
      <c r="O1622" s="44" t="s">
        <v>891</v>
      </c>
      <c r="P1622" s="47" t="str">
        <f aca="false">_xlfn.CONCAT(B1622,C1622,D1622,E1622,F1622)</f>
        <v>BC Ibiuna 1.2Inverter(MBUS-14)46011.450694444446011.450694444446014.8611111111</v>
      </c>
      <c r="Q1622" s="44" t="str">
        <f aca="false">_xlfn.CONCAT(H1622,I1622,J1622)</f>
        <v>DAURDE</v>
      </c>
    </row>
    <row r="1623" customFormat="false" ht="15" hidden="true" customHeight="false" outlineLevel="0" collapsed="false">
      <c r="B1623" s="44" t="s">
        <v>577</v>
      </c>
      <c r="C1623" s="44" t="s">
        <v>279</v>
      </c>
      <c r="D1623" s="45" t="n">
        <v>46011.4506944444</v>
      </c>
      <c r="E1623" s="45" t="n">
        <v>46011.4506944444</v>
      </c>
      <c r="F1623" s="45" t="n">
        <v>46014.8611111111</v>
      </c>
      <c r="G1623" s="46" t="n">
        <f aca="false">F1623-E1623</f>
        <v>3.41041666666667</v>
      </c>
      <c r="H1623" s="44" t="s">
        <v>248</v>
      </c>
      <c r="I1623" s="44"/>
      <c r="J1623" s="44" t="s">
        <v>256</v>
      </c>
      <c r="K1623" s="44" t="s">
        <v>430</v>
      </c>
      <c r="L1623" s="44" t="s">
        <v>991</v>
      </c>
      <c r="M1623" s="44" t="s">
        <v>258</v>
      </c>
      <c r="N1623" s="44" t="s">
        <v>379</v>
      </c>
      <c r="O1623" s="44" t="s">
        <v>891</v>
      </c>
      <c r="P1623" s="47" t="str">
        <f aca="false">_xlfn.CONCAT(B1623,C1623,D1623,E1623,F1623)</f>
        <v>BC Ibiuna 1.2Inverter(MBUS-15)46011.450694444446011.450694444446014.8611111111</v>
      </c>
      <c r="Q1623" s="44" t="str">
        <f aca="false">_xlfn.CONCAT(H1623,I1623,J1623)</f>
        <v>DAURDE</v>
      </c>
    </row>
  </sheetData>
  <autoFilter ref="A1:Q439">
    <filterColumn colId="10">
      <filters>
        <filter val="Comunicação"/>
      </filters>
    </filterColumn>
  </autoFilter>
  <conditionalFormatting sqref="P1:P1048576">
    <cfRule type="duplicateValues" priority="2" aboveAverage="0" equalAverage="0" bottom="0" percent="0" rank="0" text="" dxfId="11"/>
  </conditionalFormatting>
  <conditionalFormatting sqref="P1">
    <cfRule type="duplicateValues" priority="3" aboveAverage="0" equalAverage="0" bottom="0" percent="0" rank="0" text="" dxfId="12"/>
    <cfRule type="duplicateValues" priority="4" aboveAverage="0" equalAverage="0" bottom="0" percent="0" rank="0" text="" dxfId="13"/>
  </conditionalFormatting>
  <dataValidations count="5">
    <dataValidation allowBlank="true" errorStyle="stop" operator="between" showDropDown="false" showErrorMessage="true" showInputMessage="true" sqref="H59:H126 H165:H462 H488:H509 H514:H928 H946:H975 H998:H1020 H1072:H1121 H1194:H1198 H1270:H1278 H1299:H1306 H1309:H1345 H1369:H1373 H1376:H1456 H1501:H1533 H1546:H1607" type="list">
      <formula1>REF!$B$2:$B$7</formula1>
      <formula2>0</formula2>
    </dataValidation>
    <dataValidation allowBlank="true" errorStyle="stop" operator="between" showDropDown="false" showErrorMessage="true" showInputMessage="true" sqref="I59:I126 I165:I462 I488:I509 I514:I858 I863:I875 I888:I928 I946:I975 I998:I1020 I1072:I1121 I1194:I1198 I1270:I1278 I1299:I1306 I1309:I1345 I1501:I1514 I1601:I1607" type="list">
      <formula1>REF!$C$2:$C$6</formula1>
      <formula2>0</formula2>
    </dataValidation>
    <dataValidation allowBlank="true" errorStyle="stop" operator="between" showDropDown="false" showErrorMessage="true" showInputMessage="true" sqref="J59:J126 J165:J462 J488:J509 J514:J928 J946:J975 J998:J1020 J1072:J1121 J1194:J1198 J1270:J1278 J1299:J1306 J1309:J1345 J1501:J1514 J1532:J1533 J1546:J1607" type="list">
      <formula1>REF!$D$2:$D$13</formula1>
      <formula2>0</formula2>
    </dataValidation>
    <dataValidation allowBlank="true" errorStyle="stop" operator="between" showDropDown="false" showErrorMessage="true" showInputMessage="true" sqref="M59:M126 M165:M462 M488:M509 M514:M928 M946:M975 M998:M1020 M1072:M1121 M1194:M1198 M1270:M1278 M1299:M1306 M1309:M1345 M1501:M1533 M1601:M1607" type="list">
      <formula1>REF!$F$2:$F$16</formula1>
      <formula2>0</formula2>
    </dataValidation>
    <dataValidation allowBlank="true" errorStyle="stop" operator="between" showDropDown="false" showErrorMessage="true" showInputMessage="true" sqref="N59:N126 N165:N462 N488:N509 N514:N928 N946:N975 N998:N1020 N1072:N1121 N1194:N1198 N1270:N1278 N1299:N1306 N1309:N1345 N1501:N1533 N1546:N1607" type="list">
      <formula1>REF!$A$2:$A$13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85"/>
  <sheetViews>
    <sheetView showFormulas="false" showGridLines="true" showRowColHeaders="true" showZeros="true" rightToLeft="false" tabSelected="false" showOutlineSymbols="true" defaultGridColor="true" view="normal" topLeftCell="L951" colorId="64" zoomScale="100" zoomScaleNormal="100" zoomScalePageLayoutView="100" workbookViewId="0">
      <selection pane="topLeft" activeCell="L1535" activeCellId="0" sqref="L1535"/>
    </sheetView>
  </sheetViews>
  <sheetFormatPr defaultColWidth="8.6796875" defaultRowHeight="14.25" zeroHeight="false" outlineLevelRow="0" outlineLevelCol="0"/>
  <cols>
    <col collapsed="false" customWidth="true" hidden="false" outlineLevel="0" max="2" min="1" style="13" width="17.42"/>
    <col collapsed="false" customWidth="true" hidden="false" outlineLevel="0" max="3" min="3" style="13" width="31.29"/>
    <col collapsed="false" customWidth="true" hidden="true" outlineLevel="0" max="4" min="4" style="61" width="19.14"/>
    <col collapsed="false" customWidth="true" hidden="true" outlineLevel="0" max="6" min="5" style="61" width="18.14"/>
    <col collapsed="false" customWidth="true" hidden="true" outlineLevel="0" max="7" min="7" style="62" width="12.42"/>
    <col collapsed="false" customWidth="true" hidden="false" outlineLevel="0" max="8" min="8" style="13" width="15.29"/>
    <col collapsed="false" customWidth="true" hidden="false" outlineLevel="0" max="9" min="9" style="13" width="12.42"/>
    <col collapsed="false" customWidth="true" hidden="false" outlineLevel="0" max="10" min="10" style="13" width="11.71"/>
    <col collapsed="false" customWidth="true" hidden="false" outlineLevel="0" max="11" min="11" style="13" width="15.71"/>
    <col collapsed="false" customWidth="true" hidden="false" outlineLevel="0" max="12" min="12" style="13" width="188.71"/>
    <col collapsed="false" customWidth="true" hidden="false" outlineLevel="0" max="13" min="13" style="0" width="18.29"/>
    <col collapsed="false" customWidth="true" hidden="false" outlineLevel="0" max="14" min="14" style="0" width="23.86"/>
    <col collapsed="false" customWidth="true" hidden="false" outlineLevel="0" max="15" min="15" style="0" width="255.71"/>
    <col collapsed="false" customWidth="true" hidden="false" outlineLevel="0" max="16" min="16" style="0" width="90.71"/>
    <col collapsed="false" customWidth="true" hidden="false" outlineLevel="0" max="17" min="17" style="0" width="16"/>
  </cols>
  <sheetData>
    <row r="1" customFormat="false" ht="14.25" hidden="false" customHeight="false" outlineLevel="0" collapsed="false">
      <c r="A1" s="16" t="s">
        <v>1</v>
      </c>
      <c r="B1" s="16" t="s">
        <v>230</v>
      </c>
      <c r="C1" s="16" t="s">
        <v>231</v>
      </c>
      <c r="D1" s="18" t="s">
        <v>232</v>
      </c>
      <c r="E1" s="63" t="s">
        <v>233</v>
      </c>
      <c r="F1" s="63" t="s">
        <v>234</v>
      </c>
      <c r="G1" s="64" t="s">
        <v>235</v>
      </c>
      <c r="H1" s="16" t="s">
        <v>236</v>
      </c>
      <c r="I1" s="16" t="s">
        <v>237</v>
      </c>
      <c r="J1" s="16" t="s">
        <v>238</v>
      </c>
      <c r="K1" s="16" t="s">
        <v>239</v>
      </c>
      <c r="L1" s="16" t="s">
        <v>240</v>
      </c>
      <c r="M1" s="16" t="s">
        <v>241</v>
      </c>
      <c r="N1" s="65" t="s">
        <v>242</v>
      </c>
      <c r="O1" s="16" t="s">
        <v>243</v>
      </c>
      <c r="P1" s="16" t="s">
        <v>244</v>
      </c>
      <c r="Q1" s="16" t="s">
        <v>245</v>
      </c>
    </row>
    <row r="2" customFormat="false" ht="68.65" hidden="false" customHeight="false" outlineLevel="0" collapsed="false">
      <c r="A2" s="13" t="s">
        <v>688</v>
      </c>
      <c r="B2" s="13" t="s">
        <v>688</v>
      </c>
      <c r="C2" s="13" t="s">
        <v>689</v>
      </c>
      <c r="D2" s="61" t="n">
        <v>45961.7256944444</v>
      </c>
      <c r="E2" s="61" t="n">
        <v>45962</v>
      </c>
      <c r="F2" s="61" t="n">
        <v>45962.2902777778</v>
      </c>
      <c r="G2" s="62" t="n">
        <v>0.290277777778101</v>
      </c>
      <c r="H2" s="13" t="s">
        <v>248</v>
      </c>
      <c r="J2" s="13" t="s">
        <v>256</v>
      </c>
      <c r="K2" s="13" t="s">
        <v>430</v>
      </c>
      <c r="L2" s="13" t="s">
        <v>992</v>
      </c>
      <c r="M2" s="66" t="s">
        <v>258</v>
      </c>
      <c r="N2" s="66" t="s">
        <v>379</v>
      </c>
      <c r="O2" s="67" t="s">
        <v>993</v>
      </c>
      <c r="P2" s="0" t="s">
        <v>994</v>
      </c>
      <c r="Q2" s="66" t="s">
        <v>995</v>
      </c>
    </row>
    <row r="3" customFormat="false" ht="68.65" hidden="false" customHeight="false" outlineLevel="0" collapsed="false">
      <c r="A3" s="13" t="s">
        <v>688</v>
      </c>
      <c r="B3" s="13" t="s">
        <v>688</v>
      </c>
      <c r="C3" s="13" t="s">
        <v>690</v>
      </c>
      <c r="D3" s="61" t="n">
        <v>45961.7256944444</v>
      </c>
      <c r="E3" s="61" t="n">
        <v>45962</v>
      </c>
      <c r="F3" s="61" t="n">
        <v>45962.2902777778</v>
      </c>
      <c r="G3" s="62" t="n">
        <v>0.290277777778101</v>
      </c>
      <c r="H3" s="13" t="s">
        <v>248</v>
      </c>
      <c r="J3" s="13" t="s">
        <v>256</v>
      </c>
      <c r="K3" s="13" t="s">
        <v>430</v>
      </c>
      <c r="L3" s="13" t="s">
        <v>992</v>
      </c>
      <c r="M3" s="66" t="s">
        <v>258</v>
      </c>
      <c r="N3" s="66" t="s">
        <v>379</v>
      </c>
      <c r="O3" s="67" t="s">
        <v>993</v>
      </c>
      <c r="P3" s="0" t="s">
        <v>996</v>
      </c>
      <c r="Q3" s="66" t="s">
        <v>995</v>
      </c>
    </row>
    <row r="4" customFormat="false" ht="68.65" hidden="false" customHeight="false" outlineLevel="0" collapsed="false">
      <c r="A4" s="13" t="s">
        <v>688</v>
      </c>
      <c r="B4" s="13" t="s">
        <v>688</v>
      </c>
      <c r="C4" s="13" t="s">
        <v>277</v>
      </c>
      <c r="D4" s="61" t="n">
        <v>45961.7256944444</v>
      </c>
      <c r="E4" s="61" t="n">
        <v>45962</v>
      </c>
      <c r="F4" s="61" t="n">
        <v>45962.2902777778</v>
      </c>
      <c r="G4" s="62" t="n">
        <v>0.290277777778101</v>
      </c>
      <c r="H4" s="13" t="s">
        <v>248</v>
      </c>
      <c r="J4" s="13" t="s">
        <v>256</v>
      </c>
      <c r="K4" s="13" t="s">
        <v>430</v>
      </c>
      <c r="L4" s="13" t="s">
        <v>992</v>
      </c>
      <c r="M4" s="66" t="s">
        <v>258</v>
      </c>
      <c r="N4" s="66" t="s">
        <v>379</v>
      </c>
      <c r="O4" s="67" t="s">
        <v>993</v>
      </c>
      <c r="P4" s="0" t="s">
        <v>997</v>
      </c>
      <c r="Q4" s="66" t="s">
        <v>995</v>
      </c>
    </row>
    <row r="5" customFormat="false" ht="68.65" hidden="false" customHeight="false" outlineLevel="0" collapsed="false">
      <c r="A5" s="13" t="s">
        <v>688</v>
      </c>
      <c r="B5" s="13" t="s">
        <v>688</v>
      </c>
      <c r="C5" s="13" t="s">
        <v>691</v>
      </c>
      <c r="D5" s="61" t="n">
        <v>45961.7256944444</v>
      </c>
      <c r="E5" s="61" t="n">
        <v>45962</v>
      </c>
      <c r="F5" s="61" t="n">
        <v>45962.2902777778</v>
      </c>
      <c r="G5" s="62" t="n">
        <v>0.290277777778101</v>
      </c>
      <c r="H5" s="13" t="s">
        <v>248</v>
      </c>
      <c r="J5" s="13" t="s">
        <v>256</v>
      </c>
      <c r="K5" s="13" t="s">
        <v>430</v>
      </c>
      <c r="L5" s="13" t="s">
        <v>992</v>
      </c>
      <c r="M5" s="66" t="s">
        <v>258</v>
      </c>
      <c r="N5" s="66" t="s">
        <v>379</v>
      </c>
      <c r="O5" s="67" t="s">
        <v>993</v>
      </c>
      <c r="P5" s="0" t="s">
        <v>998</v>
      </c>
      <c r="Q5" s="66" t="s">
        <v>995</v>
      </c>
    </row>
    <row r="6" customFormat="false" ht="68.65" hidden="false" customHeight="false" outlineLevel="0" collapsed="false">
      <c r="A6" s="13" t="s">
        <v>688</v>
      </c>
      <c r="B6" s="13" t="s">
        <v>688</v>
      </c>
      <c r="C6" s="13" t="s">
        <v>255</v>
      </c>
      <c r="D6" s="61" t="n">
        <v>45961.7256944444</v>
      </c>
      <c r="E6" s="61" t="n">
        <v>45962</v>
      </c>
      <c r="F6" s="61" t="n">
        <v>45962.2902777778</v>
      </c>
      <c r="G6" s="62" t="n">
        <v>0.290277777778101</v>
      </c>
      <c r="H6" s="13" t="s">
        <v>248</v>
      </c>
      <c r="J6" s="13" t="s">
        <v>256</v>
      </c>
      <c r="K6" s="13" t="s">
        <v>430</v>
      </c>
      <c r="L6" s="13" t="s">
        <v>992</v>
      </c>
      <c r="M6" s="66" t="s">
        <v>258</v>
      </c>
      <c r="N6" s="66" t="s">
        <v>379</v>
      </c>
      <c r="O6" s="67" t="s">
        <v>993</v>
      </c>
      <c r="P6" s="0" t="s">
        <v>999</v>
      </c>
      <c r="Q6" s="66" t="s">
        <v>995</v>
      </c>
    </row>
    <row r="7" customFormat="false" ht="14.25" hidden="false" customHeight="false" outlineLevel="0" collapsed="false">
      <c r="A7" s="13" t="s">
        <v>805</v>
      </c>
      <c r="B7" s="13" t="s">
        <v>581</v>
      </c>
      <c r="C7" s="13" t="s">
        <v>598</v>
      </c>
      <c r="D7" s="61" t="n">
        <v>45962.25</v>
      </c>
      <c r="E7" s="61" t="n">
        <v>45962.25</v>
      </c>
      <c r="F7" s="61" t="n">
        <v>45962.2638888889</v>
      </c>
      <c r="G7" s="62" t="n">
        <v>0.0138888888905058</v>
      </c>
      <c r="H7" s="13" t="s">
        <v>248</v>
      </c>
      <c r="J7" s="13" t="s">
        <v>256</v>
      </c>
      <c r="K7" s="13" t="s">
        <v>430</v>
      </c>
      <c r="L7" s="13" t="s">
        <v>1000</v>
      </c>
      <c r="M7" s="66" t="s">
        <v>258</v>
      </c>
      <c r="N7" s="66" t="s">
        <v>379</v>
      </c>
      <c r="O7" s="66" t="s">
        <v>399</v>
      </c>
      <c r="P7" s="0" t="s">
        <v>1001</v>
      </c>
      <c r="Q7" s="66" t="s">
        <v>995</v>
      </c>
    </row>
    <row r="8" customFormat="false" ht="14.25" hidden="false" customHeight="false" outlineLevel="0" collapsed="false">
      <c r="A8" s="13" t="s">
        <v>807</v>
      </c>
      <c r="B8" s="13" t="s">
        <v>581</v>
      </c>
      <c r="C8" s="13" t="s">
        <v>591</v>
      </c>
      <c r="D8" s="61" t="n">
        <v>45962.25</v>
      </c>
      <c r="E8" s="61" t="n">
        <v>45962.25</v>
      </c>
      <c r="F8" s="61" t="n">
        <v>45962.2638888889</v>
      </c>
      <c r="G8" s="62" t="n">
        <v>0.0138888888905058</v>
      </c>
      <c r="H8" s="13" t="s">
        <v>248</v>
      </c>
      <c r="J8" s="13" t="s">
        <v>256</v>
      </c>
      <c r="K8" s="13" t="s">
        <v>430</v>
      </c>
      <c r="L8" s="13" t="s">
        <v>1000</v>
      </c>
      <c r="M8" s="66" t="s">
        <v>258</v>
      </c>
      <c r="N8" s="66" t="s">
        <v>379</v>
      </c>
      <c r="O8" s="66" t="s">
        <v>399</v>
      </c>
      <c r="P8" s="0" t="s">
        <v>1002</v>
      </c>
      <c r="Q8" s="66" t="s">
        <v>995</v>
      </c>
    </row>
    <row r="9" customFormat="false" ht="14.25" hidden="false" customHeight="false" outlineLevel="0" collapsed="false">
      <c r="A9" s="13" t="s">
        <v>807</v>
      </c>
      <c r="B9" s="13" t="s">
        <v>581</v>
      </c>
      <c r="C9" s="13" t="s">
        <v>588</v>
      </c>
      <c r="D9" s="61" t="n">
        <v>45962.25</v>
      </c>
      <c r="E9" s="61" t="n">
        <v>45962.25</v>
      </c>
      <c r="F9" s="61" t="n">
        <v>45962.2638888889</v>
      </c>
      <c r="G9" s="62" t="n">
        <v>0.0138888888905058</v>
      </c>
      <c r="H9" s="13" t="s">
        <v>248</v>
      </c>
      <c r="J9" s="13" t="s">
        <v>256</v>
      </c>
      <c r="K9" s="13" t="s">
        <v>430</v>
      </c>
      <c r="L9" s="13" t="s">
        <v>1000</v>
      </c>
      <c r="M9" s="66" t="s">
        <v>258</v>
      </c>
      <c r="N9" s="66" t="s">
        <v>379</v>
      </c>
      <c r="O9" s="66" t="s">
        <v>399</v>
      </c>
      <c r="P9" s="0" t="s">
        <v>1003</v>
      </c>
      <c r="Q9" s="66" t="s">
        <v>995</v>
      </c>
    </row>
    <row r="10" customFormat="false" ht="14.25" hidden="false" customHeight="false" outlineLevel="0" collapsed="false">
      <c r="A10" s="13" t="s">
        <v>807</v>
      </c>
      <c r="B10" s="13" t="s">
        <v>581</v>
      </c>
      <c r="C10" s="13" t="s">
        <v>585</v>
      </c>
      <c r="D10" s="61" t="n">
        <v>45962.25</v>
      </c>
      <c r="E10" s="61" t="n">
        <v>45962.25</v>
      </c>
      <c r="F10" s="61" t="n">
        <v>45962.2638888889</v>
      </c>
      <c r="G10" s="62" t="n">
        <v>0.0138888888905058</v>
      </c>
      <c r="H10" s="13" t="s">
        <v>248</v>
      </c>
      <c r="J10" s="13" t="s">
        <v>256</v>
      </c>
      <c r="K10" s="13" t="s">
        <v>430</v>
      </c>
      <c r="L10" s="13" t="s">
        <v>1000</v>
      </c>
      <c r="M10" s="66" t="s">
        <v>258</v>
      </c>
      <c r="N10" s="66" t="s">
        <v>379</v>
      </c>
      <c r="O10" s="66" t="s">
        <v>399</v>
      </c>
      <c r="P10" s="0" t="s">
        <v>1004</v>
      </c>
      <c r="Q10" s="66" t="s">
        <v>995</v>
      </c>
    </row>
    <row r="11" customFormat="false" ht="14.25" hidden="false" customHeight="false" outlineLevel="0" collapsed="false">
      <c r="A11" s="13" t="s">
        <v>807</v>
      </c>
      <c r="B11" s="13" t="s">
        <v>581</v>
      </c>
      <c r="C11" s="13" t="s">
        <v>589</v>
      </c>
      <c r="D11" s="61" t="n">
        <v>45962.25</v>
      </c>
      <c r="E11" s="61" t="n">
        <v>45962.25</v>
      </c>
      <c r="F11" s="61" t="n">
        <v>45962.2638888889</v>
      </c>
      <c r="G11" s="62" t="n">
        <v>0.0138888888905058</v>
      </c>
      <c r="H11" s="13" t="s">
        <v>248</v>
      </c>
      <c r="J11" s="13" t="s">
        <v>256</v>
      </c>
      <c r="K11" s="13" t="s">
        <v>430</v>
      </c>
      <c r="L11" s="13" t="s">
        <v>1000</v>
      </c>
      <c r="M11" s="66" t="s">
        <v>258</v>
      </c>
      <c r="N11" s="66" t="s">
        <v>379</v>
      </c>
      <c r="O11" s="66" t="s">
        <v>399</v>
      </c>
      <c r="P11" s="0" t="s">
        <v>1005</v>
      </c>
      <c r="Q11" s="66" t="s">
        <v>995</v>
      </c>
    </row>
    <row r="12" customFormat="false" ht="14.25" hidden="false" customHeight="false" outlineLevel="0" collapsed="false">
      <c r="A12" s="13" t="s">
        <v>807</v>
      </c>
      <c r="B12" s="13" t="s">
        <v>581</v>
      </c>
      <c r="C12" s="13" t="s">
        <v>587</v>
      </c>
      <c r="D12" s="61" t="n">
        <v>45962.25</v>
      </c>
      <c r="E12" s="61" t="n">
        <v>45962.25</v>
      </c>
      <c r="F12" s="61" t="n">
        <v>45962.2638888889</v>
      </c>
      <c r="G12" s="62" t="n">
        <v>0.0138888888905058</v>
      </c>
      <c r="H12" s="13" t="s">
        <v>248</v>
      </c>
      <c r="J12" s="13" t="s">
        <v>256</v>
      </c>
      <c r="K12" s="13" t="s">
        <v>430</v>
      </c>
      <c r="L12" s="13" t="s">
        <v>1000</v>
      </c>
      <c r="M12" s="66" t="s">
        <v>258</v>
      </c>
      <c r="N12" s="66" t="s">
        <v>379</v>
      </c>
      <c r="O12" s="66" t="s">
        <v>399</v>
      </c>
      <c r="P12" s="0" t="s">
        <v>1006</v>
      </c>
      <c r="Q12" s="66" t="s">
        <v>995</v>
      </c>
    </row>
    <row r="13" customFormat="false" ht="14.25" hidden="false" customHeight="false" outlineLevel="0" collapsed="false">
      <c r="A13" s="13" t="s">
        <v>807</v>
      </c>
      <c r="B13" s="13" t="s">
        <v>581</v>
      </c>
      <c r="C13" s="13" t="s">
        <v>1007</v>
      </c>
      <c r="D13" s="61" t="n">
        <v>45962.25</v>
      </c>
      <c r="E13" s="61" t="n">
        <v>45962.25</v>
      </c>
      <c r="F13" s="61" t="n">
        <v>45962.2638888889</v>
      </c>
      <c r="G13" s="62" t="n">
        <v>0.0138888888905058</v>
      </c>
      <c r="H13" s="13" t="s">
        <v>248</v>
      </c>
      <c r="J13" s="13" t="s">
        <v>256</v>
      </c>
      <c r="K13" s="13" t="s">
        <v>430</v>
      </c>
      <c r="L13" s="13" t="s">
        <v>1000</v>
      </c>
      <c r="M13" s="66" t="s">
        <v>258</v>
      </c>
      <c r="N13" s="66" t="s">
        <v>379</v>
      </c>
      <c r="O13" s="66" t="s">
        <v>399</v>
      </c>
      <c r="P13" s="0" t="s">
        <v>1008</v>
      </c>
      <c r="Q13" s="66" t="s">
        <v>995</v>
      </c>
    </row>
    <row r="14" customFormat="false" ht="14.25" hidden="false" customHeight="false" outlineLevel="0" collapsed="false">
      <c r="A14" s="13" t="s">
        <v>816</v>
      </c>
      <c r="B14" s="13" t="s">
        <v>581</v>
      </c>
      <c r="C14" s="13" t="s">
        <v>586</v>
      </c>
      <c r="D14" s="61" t="n">
        <v>45962.25</v>
      </c>
      <c r="E14" s="61" t="n">
        <v>45962.25</v>
      </c>
      <c r="F14" s="61" t="n">
        <v>45962.2638888889</v>
      </c>
      <c r="G14" s="62" t="n">
        <v>0.0138888888905058</v>
      </c>
      <c r="H14" s="13" t="s">
        <v>248</v>
      </c>
      <c r="J14" s="13" t="s">
        <v>256</v>
      </c>
      <c r="K14" s="13" t="s">
        <v>430</v>
      </c>
      <c r="L14" s="13" t="s">
        <v>1000</v>
      </c>
      <c r="M14" s="66" t="s">
        <v>258</v>
      </c>
      <c r="N14" s="66" t="s">
        <v>379</v>
      </c>
      <c r="O14" s="66" t="s">
        <v>399</v>
      </c>
      <c r="P14" s="0" t="s">
        <v>1009</v>
      </c>
      <c r="Q14" s="66" t="s">
        <v>995</v>
      </c>
    </row>
    <row r="15" customFormat="false" ht="14.25" hidden="false" customHeight="false" outlineLevel="0" collapsed="false">
      <c r="A15" s="13" t="s">
        <v>816</v>
      </c>
      <c r="B15" s="13" t="s">
        <v>581</v>
      </c>
      <c r="C15" s="13" t="s">
        <v>737</v>
      </c>
      <c r="D15" s="61" t="n">
        <v>45962.25</v>
      </c>
      <c r="E15" s="61" t="n">
        <v>45962.25</v>
      </c>
      <c r="F15" s="61" t="n">
        <v>45962.2638888889</v>
      </c>
      <c r="G15" s="62" t="n">
        <v>0.0138888888905058</v>
      </c>
      <c r="H15" s="13" t="s">
        <v>248</v>
      </c>
      <c r="J15" s="13" t="s">
        <v>256</v>
      </c>
      <c r="K15" s="13" t="s">
        <v>430</v>
      </c>
      <c r="L15" s="13" t="s">
        <v>1000</v>
      </c>
      <c r="M15" s="66" t="s">
        <v>258</v>
      </c>
      <c r="N15" s="66" t="s">
        <v>379</v>
      </c>
      <c r="O15" s="66" t="s">
        <v>399</v>
      </c>
      <c r="P15" s="0" t="s">
        <v>1010</v>
      </c>
      <c r="Q15" s="66" t="s">
        <v>995</v>
      </c>
    </row>
    <row r="16" customFormat="false" ht="14.25" hidden="false" customHeight="false" outlineLevel="0" collapsed="false">
      <c r="A16" s="13" t="s">
        <v>816</v>
      </c>
      <c r="B16" s="13" t="s">
        <v>581</v>
      </c>
      <c r="C16" s="13" t="s">
        <v>582</v>
      </c>
      <c r="D16" s="61" t="n">
        <v>45962.25</v>
      </c>
      <c r="E16" s="61" t="n">
        <v>45962.25</v>
      </c>
      <c r="F16" s="61" t="n">
        <v>45962.2638888889</v>
      </c>
      <c r="G16" s="62" t="n">
        <v>0.0138888888905058</v>
      </c>
      <c r="H16" s="13" t="s">
        <v>248</v>
      </c>
      <c r="J16" s="13" t="s">
        <v>256</v>
      </c>
      <c r="K16" s="13" t="s">
        <v>430</v>
      </c>
      <c r="L16" s="13" t="s">
        <v>1000</v>
      </c>
      <c r="M16" s="66" t="s">
        <v>258</v>
      </c>
      <c r="N16" s="66" t="s">
        <v>379</v>
      </c>
      <c r="O16" s="66" t="s">
        <v>399</v>
      </c>
      <c r="P16" s="0" t="s">
        <v>1011</v>
      </c>
      <c r="Q16" s="66" t="s">
        <v>995</v>
      </c>
    </row>
    <row r="17" customFormat="false" ht="14.25" hidden="false" customHeight="false" outlineLevel="0" collapsed="false">
      <c r="A17" s="13" t="s">
        <v>816</v>
      </c>
      <c r="B17" s="13" t="s">
        <v>581</v>
      </c>
      <c r="C17" s="13" t="s">
        <v>594</v>
      </c>
      <c r="D17" s="61" t="n">
        <v>45962.25</v>
      </c>
      <c r="E17" s="61" t="n">
        <v>45962.25</v>
      </c>
      <c r="F17" s="61" t="n">
        <v>45962.2638888889</v>
      </c>
      <c r="G17" s="62" t="n">
        <v>0.0138888888905058</v>
      </c>
      <c r="H17" s="13" t="s">
        <v>248</v>
      </c>
      <c r="J17" s="13" t="s">
        <v>256</v>
      </c>
      <c r="K17" s="13" t="s">
        <v>430</v>
      </c>
      <c r="L17" s="13" t="s">
        <v>1000</v>
      </c>
      <c r="M17" s="66" t="s">
        <v>258</v>
      </c>
      <c r="N17" s="66" t="s">
        <v>379</v>
      </c>
      <c r="O17" s="66" t="s">
        <v>399</v>
      </c>
      <c r="P17" s="0" t="s">
        <v>1012</v>
      </c>
      <c r="Q17" s="66" t="s">
        <v>995</v>
      </c>
    </row>
    <row r="18" customFormat="false" ht="14.25" hidden="false" customHeight="false" outlineLevel="0" collapsed="false">
      <c r="A18" s="13" t="s">
        <v>816</v>
      </c>
      <c r="B18" s="13" t="s">
        <v>581</v>
      </c>
      <c r="C18" s="13" t="s">
        <v>596</v>
      </c>
      <c r="D18" s="61" t="n">
        <v>45962.25</v>
      </c>
      <c r="E18" s="61" t="n">
        <v>45962.25</v>
      </c>
      <c r="F18" s="61" t="n">
        <v>45962.2638888889</v>
      </c>
      <c r="G18" s="62" t="n">
        <v>0.0138888888905058</v>
      </c>
      <c r="H18" s="13" t="s">
        <v>248</v>
      </c>
      <c r="J18" s="13" t="s">
        <v>256</v>
      </c>
      <c r="K18" s="13" t="s">
        <v>430</v>
      </c>
      <c r="L18" s="13" t="s">
        <v>1000</v>
      </c>
      <c r="M18" s="66" t="s">
        <v>258</v>
      </c>
      <c r="N18" s="66" t="s">
        <v>379</v>
      </c>
      <c r="O18" s="66" t="s">
        <v>399</v>
      </c>
      <c r="P18" s="0" t="s">
        <v>1013</v>
      </c>
      <c r="Q18" s="66" t="s">
        <v>995</v>
      </c>
    </row>
    <row r="19" customFormat="false" ht="14.25" hidden="false" customHeight="false" outlineLevel="0" collapsed="false">
      <c r="A19" s="13" t="s">
        <v>816</v>
      </c>
      <c r="B19" s="13" t="s">
        <v>581</v>
      </c>
      <c r="C19" s="13" t="s">
        <v>592</v>
      </c>
      <c r="D19" s="61" t="n">
        <v>45962.25</v>
      </c>
      <c r="E19" s="61" t="n">
        <v>45962.25</v>
      </c>
      <c r="F19" s="61" t="n">
        <v>45962.2638888889</v>
      </c>
      <c r="G19" s="62" t="n">
        <v>0.0138888888905058</v>
      </c>
      <c r="H19" s="13" t="s">
        <v>248</v>
      </c>
      <c r="J19" s="13" t="s">
        <v>256</v>
      </c>
      <c r="K19" s="13" t="s">
        <v>430</v>
      </c>
      <c r="L19" s="13" t="s">
        <v>1000</v>
      </c>
      <c r="M19" s="66" t="s">
        <v>258</v>
      </c>
      <c r="N19" s="66" t="s">
        <v>379</v>
      </c>
      <c r="O19" s="66" t="s">
        <v>399</v>
      </c>
      <c r="P19" s="0" t="s">
        <v>1014</v>
      </c>
      <c r="Q19" s="66" t="s">
        <v>995</v>
      </c>
    </row>
    <row r="20" customFormat="false" ht="14.25" hidden="false" customHeight="false" outlineLevel="0" collapsed="false">
      <c r="A20" s="13" t="s">
        <v>816</v>
      </c>
      <c r="B20" s="13" t="s">
        <v>581</v>
      </c>
      <c r="C20" s="13" t="s">
        <v>595</v>
      </c>
      <c r="D20" s="61" t="n">
        <v>45962.25</v>
      </c>
      <c r="E20" s="61" t="n">
        <v>45962.25</v>
      </c>
      <c r="F20" s="61" t="n">
        <v>45962.2638888889</v>
      </c>
      <c r="G20" s="62" t="n">
        <v>0.0138888888905058</v>
      </c>
      <c r="H20" s="13" t="s">
        <v>248</v>
      </c>
      <c r="J20" s="13" t="s">
        <v>256</v>
      </c>
      <c r="K20" s="13" t="s">
        <v>430</v>
      </c>
      <c r="L20" s="13" t="s">
        <v>1000</v>
      </c>
      <c r="M20" s="66" t="s">
        <v>258</v>
      </c>
      <c r="N20" s="66" t="s">
        <v>379</v>
      </c>
      <c r="O20" s="66" t="s">
        <v>399</v>
      </c>
      <c r="P20" s="0" t="s">
        <v>1015</v>
      </c>
      <c r="Q20" s="66" t="s">
        <v>995</v>
      </c>
    </row>
    <row r="21" customFormat="false" ht="14.25" hidden="false" customHeight="false" outlineLevel="0" collapsed="false">
      <c r="A21" s="13" t="s">
        <v>816</v>
      </c>
      <c r="B21" s="13" t="s">
        <v>581</v>
      </c>
      <c r="C21" s="13" t="s">
        <v>599</v>
      </c>
      <c r="D21" s="61" t="n">
        <v>45962.25</v>
      </c>
      <c r="E21" s="61" t="n">
        <v>45962.25</v>
      </c>
      <c r="F21" s="61" t="n">
        <v>45962.2638888889</v>
      </c>
      <c r="G21" s="62" t="n">
        <v>0.0138888888905058</v>
      </c>
      <c r="H21" s="13" t="s">
        <v>248</v>
      </c>
      <c r="J21" s="13" t="s">
        <v>256</v>
      </c>
      <c r="K21" s="13" t="s">
        <v>430</v>
      </c>
      <c r="L21" s="13" t="s">
        <v>1000</v>
      </c>
      <c r="M21" s="66" t="s">
        <v>258</v>
      </c>
      <c r="N21" s="66" t="s">
        <v>379</v>
      </c>
      <c r="O21" s="66" t="s">
        <v>399</v>
      </c>
      <c r="P21" s="0" t="s">
        <v>1016</v>
      </c>
      <c r="Q21" s="66" t="s">
        <v>995</v>
      </c>
    </row>
    <row r="22" customFormat="false" ht="14.25" hidden="false" customHeight="false" outlineLevel="0" collapsed="false">
      <c r="A22" s="13" t="s">
        <v>816</v>
      </c>
      <c r="B22" s="13" t="s">
        <v>581</v>
      </c>
      <c r="C22" s="13" t="s">
        <v>584</v>
      </c>
      <c r="D22" s="61" t="n">
        <v>45962.25</v>
      </c>
      <c r="E22" s="61" t="n">
        <v>45962.25</v>
      </c>
      <c r="F22" s="61" t="n">
        <v>45962.2638888889</v>
      </c>
      <c r="G22" s="62" t="n">
        <v>0.0138888888905058</v>
      </c>
      <c r="H22" s="13" t="s">
        <v>248</v>
      </c>
      <c r="J22" s="13" t="s">
        <v>256</v>
      </c>
      <c r="K22" s="13" t="s">
        <v>430</v>
      </c>
      <c r="L22" s="13" t="s">
        <v>1000</v>
      </c>
      <c r="M22" s="66" t="s">
        <v>258</v>
      </c>
      <c r="N22" s="66" t="s">
        <v>379</v>
      </c>
      <c r="O22" s="66" t="s">
        <v>399</v>
      </c>
      <c r="P22" s="0" t="s">
        <v>1017</v>
      </c>
      <c r="Q22" s="66" t="s">
        <v>995</v>
      </c>
    </row>
    <row r="23" customFormat="false" ht="14.25" hidden="false" customHeight="false" outlineLevel="0" collapsed="false">
      <c r="A23" s="13" t="s">
        <v>816</v>
      </c>
      <c r="B23" s="13" t="s">
        <v>581</v>
      </c>
      <c r="C23" s="13" t="s">
        <v>590</v>
      </c>
      <c r="D23" s="61" t="n">
        <v>45962.25</v>
      </c>
      <c r="E23" s="61" t="n">
        <v>45962.25</v>
      </c>
      <c r="F23" s="61" t="n">
        <v>45962.2638888889</v>
      </c>
      <c r="G23" s="62" t="n">
        <v>0.0138888888905058</v>
      </c>
      <c r="H23" s="13" t="s">
        <v>248</v>
      </c>
      <c r="J23" s="13" t="s">
        <v>256</v>
      </c>
      <c r="K23" s="13" t="s">
        <v>430</v>
      </c>
      <c r="L23" s="13" t="s">
        <v>1000</v>
      </c>
      <c r="M23" s="66" t="s">
        <v>258</v>
      </c>
      <c r="N23" s="66" t="s">
        <v>379</v>
      </c>
      <c r="O23" s="66" t="s">
        <v>399</v>
      </c>
      <c r="P23" s="0" t="s">
        <v>1018</v>
      </c>
      <c r="Q23" s="66" t="s">
        <v>995</v>
      </c>
    </row>
    <row r="24" customFormat="false" ht="14.25" hidden="false" customHeight="false" outlineLevel="0" collapsed="false">
      <c r="A24" s="13" t="s">
        <v>276</v>
      </c>
      <c r="B24" s="13" t="s">
        <v>276</v>
      </c>
      <c r="C24" s="13" t="s">
        <v>247</v>
      </c>
      <c r="D24" s="61" t="n">
        <v>45962.4104166667</v>
      </c>
      <c r="E24" s="61" t="n">
        <v>45962.4104166667</v>
      </c>
      <c r="F24" s="61" t="n">
        <v>45962.4618055556</v>
      </c>
      <c r="G24" s="62" t="n">
        <v>0.0513888888890506</v>
      </c>
      <c r="H24" s="13" t="s">
        <v>248</v>
      </c>
      <c r="J24" s="13" t="s">
        <v>256</v>
      </c>
      <c r="K24" s="13" t="s">
        <v>430</v>
      </c>
      <c r="L24" s="13" t="s">
        <v>1019</v>
      </c>
      <c r="M24" s="66" t="s">
        <v>258</v>
      </c>
      <c r="N24" s="66" t="s">
        <v>379</v>
      </c>
      <c r="O24" s="66" t="s">
        <v>790</v>
      </c>
      <c r="P24" s="0" t="s">
        <v>1020</v>
      </c>
      <c r="Q24" s="66" t="s">
        <v>995</v>
      </c>
    </row>
    <row r="25" customFormat="false" ht="14.25" hidden="false" customHeight="false" outlineLevel="0" collapsed="false">
      <c r="A25" s="13" t="s">
        <v>276</v>
      </c>
      <c r="B25" s="13" t="s">
        <v>276</v>
      </c>
      <c r="C25" s="13" t="s">
        <v>277</v>
      </c>
      <c r="D25" s="61" t="n">
        <v>45962.4104166667</v>
      </c>
      <c r="E25" s="61" t="n">
        <v>45962.4104166667</v>
      </c>
      <c r="F25" s="61" t="n">
        <v>45962.4618055556</v>
      </c>
      <c r="G25" s="62" t="n">
        <v>0.0513888888890506</v>
      </c>
      <c r="H25" s="13" t="s">
        <v>248</v>
      </c>
      <c r="J25" s="13" t="s">
        <v>256</v>
      </c>
      <c r="K25" s="13" t="s">
        <v>430</v>
      </c>
      <c r="L25" s="13" t="s">
        <v>1019</v>
      </c>
      <c r="M25" s="66" t="s">
        <v>258</v>
      </c>
      <c r="N25" s="66" t="s">
        <v>379</v>
      </c>
      <c r="O25" s="66" t="s">
        <v>790</v>
      </c>
      <c r="P25" s="0" t="s">
        <v>1021</v>
      </c>
      <c r="Q25" s="66" t="s">
        <v>995</v>
      </c>
    </row>
    <row r="26" customFormat="false" ht="14.25" hidden="false" customHeight="false" outlineLevel="0" collapsed="false">
      <c r="A26" s="13" t="s">
        <v>276</v>
      </c>
      <c r="B26" s="13" t="s">
        <v>276</v>
      </c>
      <c r="C26" s="13" t="s">
        <v>279</v>
      </c>
      <c r="D26" s="61" t="n">
        <v>45962.4104166667</v>
      </c>
      <c r="E26" s="61" t="n">
        <v>45962.4104166667</v>
      </c>
      <c r="F26" s="61" t="n">
        <v>45962.4618055556</v>
      </c>
      <c r="G26" s="62" t="n">
        <v>0.0513888888890506</v>
      </c>
      <c r="H26" s="13" t="s">
        <v>248</v>
      </c>
      <c r="J26" s="13" t="s">
        <v>256</v>
      </c>
      <c r="K26" s="13" t="s">
        <v>430</v>
      </c>
      <c r="L26" s="13" t="s">
        <v>1019</v>
      </c>
      <c r="M26" s="66" t="s">
        <v>258</v>
      </c>
      <c r="N26" s="66" t="s">
        <v>379</v>
      </c>
      <c r="O26" s="66" t="s">
        <v>790</v>
      </c>
      <c r="P26" s="0" t="s">
        <v>1022</v>
      </c>
      <c r="Q26" s="66" t="s">
        <v>995</v>
      </c>
    </row>
    <row r="27" customFormat="false" ht="14.25" hidden="false" customHeight="false" outlineLevel="0" collapsed="false">
      <c r="A27" s="13" t="s">
        <v>276</v>
      </c>
      <c r="B27" s="13" t="s">
        <v>276</v>
      </c>
      <c r="C27" s="13" t="s">
        <v>280</v>
      </c>
      <c r="D27" s="61" t="n">
        <v>45962.4104166667</v>
      </c>
      <c r="E27" s="61" t="n">
        <v>45962.4104166667</v>
      </c>
      <c r="F27" s="61" t="n">
        <v>45962.4618055556</v>
      </c>
      <c r="G27" s="62" t="n">
        <v>0.0513888888890506</v>
      </c>
      <c r="H27" s="13" t="s">
        <v>248</v>
      </c>
      <c r="J27" s="13" t="s">
        <v>256</v>
      </c>
      <c r="K27" s="13" t="s">
        <v>430</v>
      </c>
      <c r="L27" s="13" t="s">
        <v>1019</v>
      </c>
      <c r="M27" s="66" t="s">
        <v>258</v>
      </c>
      <c r="N27" s="66" t="s">
        <v>379</v>
      </c>
      <c r="O27" s="66" t="s">
        <v>790</v>
      </c>
      <c r="P27" s="0" t="s">
        <v>1023</v>
      </c>
      <c r="Q27" s="66" t="s">
        <v>995</v>
      </c>
    </row>
    <row r="28" customFormat="false" ht="14.25" hidden="false" customHeight="false" outlineLevel="0" collapsed="false">
      <c r="A28" s="13" t="s">
        <v>386</v>
      </c>
      <c r="B28" s="13" t="s">
        <v>386</v>
      </c>
      <c r="C28" s="13" t="s">
        <v>279</v>
      </c>
      <c r="D28" s="61" t="n">
        <v>45962.4104166667</v>
      </c>
      <c r="E28" s="61" t="n">
        <v>45962.4104166667</v>
      </c>
      <c r="F28" s="61" t="n">
        <v>45962.4618055556</v>
      </c>
      <c r="G28" s="62" t="n">
        <v>0.0513888888890506</v>
      </c>
      <c r="H28" s="13" t="s">
        <v>248</v>
      </c>
      <c r="J28" s="13" t="s">
        <v>256</v>
      </c>
      <c r="K28" s="13" t="s">
        <v>430</v>
      </c>
      <c r="L28" s="13" t="s">
        <v>1019</v>
      </c>
      <c r="M28" s="66" t="s">
        <v>258</v>
      </c>
      <c r="N28" s="66" t="s">
        <v>379</v>
      </c>
      <c r="O28" s="66" t="s">
        <v>790</v>
      </c>
      <c r="P28" s="0" t="s">
        <v>1024</v>
      </c>
      <c r="Q28" s="66" t="s">
        <v>995</v>
      </c>
    </row>
    <row r="29" customFormat="false" ht="14.25" hidden="false" customHeight="false" outlineLevel="0" collapsed="false">
      <c r="A29" s="13" t="s">
        <v>386</v>
      </c>
      <c r="B29" s="13" t="s">
        <v>386</v>
      </c>
      <c r="C29" s="13" t="s">
        <v>247</v>
      </c>
      <c r="D29" s="61" t="n">
        <v>45962.4104166667</v>
      </c>
      <c r="E29" s="61" t="n">
        <v>45962.4104166667</v>
      </c>
      <c r="F29" s="61" t="n">
        <v>45962.4618055556</v>
      </c>
      <c r="G29" s="62" t="n">
        <v>0.0513888888890506</v>
      </c>
      <c r="H29" s="13" t="s">
        <v>248</v>
      </c>
      <c r="J29" s="13" t="s">
        <v>256</v>
      </c>
      <c r="K29" s="13" t="s">
        <v>430</v>
      </c>
      <c r="L29" s="13" t="s">
        <v>1019</v>
      </c>
      <c r="M29" s="66" t="s">
        <v>258</v>
      </c>
      <c r="N29" s="66" t="s">
        <v>379</v>
      </c>
      <c r="O29" s="66" t="s">
        <v>790</v>
      </c>
      <c r="P29" s="0" t="s">
        <v>1025</v>
      </c>
      <c r="Q29" s="66" t="s">
        <v>995</v>
      </c>
    </row>
    <row r="30" customFormat="false" ht="14.25" hidden="false" customHeight="false" outlineLevel="0" collapsed="false">
      <c r="A30" s="13" t="s">
        <v>386</v>
      </c>
      <c r="B30" s="13" t="s">
        <v>386</v>
      </c>
      <c r="C30" s="13" t="s">
        <v>280</v>
      </c>
      <c r="D30" s="61" t="n">
        <v>45962.4104166667</v>
      </c>
      <c r="E30" s="61" t="n">
        <v>45962.4104166667</v>
      </c>
      <c r="F30" s="61" t="n">
        <v>45962.4618055556</v>
      </c>
      <c r="G30" s="62" t="n">
        <v>0.0513888888890506</v>
      </c>
      <c r="H30" s="13" t="s">
        <v>248</v>
      </c>
      <c r="J30" s="13" t="s">
        <v>256</v>
      </c>
      <c r="K30" s="13" t="s">
        <v>430</v>
      </c>
      <c r="L30" s="13" t="s">
        <v>1019</v>
      </c>
      <c r="M30" s="66" t="s">
        <v>258</v>
      </c>
      <c r="N30" s="66" t="s">
        <v>379</v>
      </c>
      <c r="O30" s="66" t="s">
        <v>790</v>
      </c>
      <c r="P30" s="0" t="s">
        <v>1026</v>
      </c>
      <c r="Q30" s="66" t="s">
        <v>995</v>
      </c>
    </row>
    <row r="31" customFormat="false" ht="14.25" hidden="false" customHeight="false" outlineLevel="0" collapsed="false">
      <c r="A31" s="13" t="s">
        <v>386</v>
      </c>
      <c r="B31" s="13" t="s">
        <v>386</v>
      </c>
      <c r="C31" s="13" t="s">
        <v>277</v>
      </c>
      <c r="D31" s="61" t="n">
        <v>45962.4104166667</v>
      </c>
      <c r="E31" s="61" t="n">
        <v>45962.4104166667</v>
      </c>
      <c r="F31" s="61" t="n">
        <v>45962.4618055556</v>
      </c>
      <c r="G31" s="62" t="n">
        <v>0.0513888888890506</v>
      </c>
      <c r="H31" s="13" t="s">
        <v>248</v>
      </c>
      <c r="J31" s="13" t="s">
        <v>256</v>
      </c>
      <c r="K31" s="13" t="s">
        <v>430</v>
      </c>
      <c r="L31" s="13" t="s">
        <v>1019</v>
      </c>
      <c r="M31" s="66" t="s">
        <v>258</v>
      </c>
      <c r="N31" s="66" t="s">
        <v>379</v>
      </c>
      <c r="O31" s="66" t="s">
        <v>790</v>
      </c>
      <c r="P31" s="0" t="s">
        <v>1027</v>
      </c>
      <c r="Q31" s="66" t="s">
        <v>995</v>
      </c>
    </row>
    <row r="32" customFormat="false" ht="14.25" hidden="false" customHeight="false" outlineLevel="0" collapsed="false">
      <c r="A32" s="13" t="s">
        <v>814</v>
      </c>
      <c r="B32" s="13" t="s">
        <v>542</v>
      </c>
      <c r="C32" s="13" t="s">
        <v>543</v>
      </c>
      <c r="D32" s="61" t="n">
        <v>45963.3416666667</v>
      </c>
      <c r="E32" s="61" t="n">
        <v>45963.3416666667</v>
      </c>
      <c r="F32" s="61" t="n">
        <v>45963.4201388889</v>
      </c>
      <c r="G32" s="62" t="n">
        <v>0.078472222223354</v>
      </c>
      <c r="H32" s="13" t="s">
        <v>248</v>
      </c>
      <c r="J32" s="13" t="s">
        <v>256</v>
      </c>
      <c r="K32" s="13" t="s">
        <v>430</v>
      </c>
      <c r="L32" s="13" t="s">
        <v>700</v>
      </c>
      <c r="M32" s="66" t="s">
        <v>258</v>
      </c>
      <c r="N32" s="66" t="s">
        <v>379</v>
      </c>
      <c r="O32" s="66" t="s">
        <v>399</v>
      </c>
      <c r="P32" s="0" t="s">
        <v>1028</v>
      </c>
      <c r="Q32" s="66" t="s">
        <v>995</v>
      </c>
    </row>
    <row r="33" customFormat="false" ht="14.25" hidden="false" customHeight="false" outlineLevel="0" collapsed="false">
      <c r="A33" s="13" t="s">
        <v>814</v>
      </c>
      <c r="B33" s="13" t="s">
        <v>542</v>
      </c>
      <c r="C33" s="13" t="s">
        <v>545</v>
      </c>
      <c r="D33" s="61" t="n">
        <v>45963.3416666667</v>
      </c>
      <c r="E33" s="61" t="n">
        <v>45963.3416666667</v>
      </c>
      <c r="F33" s="61" t="n">
        <v>45963.4201388889</v>
      </c>
      <c r="G33" s="62" t="n">
        <v>0.078472222223354</v>
      </c>
      <c r="H33" s="13" t="s">
        <v>248</v>
      </c>
      <c r="J33" s="13" t="s">
        <v>256</v>
      </c>
      <c r="K33" s="13" t="s">
        <v>430</v>
      </c>
      <c r="L33" s="13" t="s">
        <v>700</v>
      </c>
      <c r="M33" s="66" t="s">
        <v>258</v>
      </c>
      <c r="N33" s="66" t="s">
        <v>379</v>
      </c>
      <c r="O33" s="66" t="s">
        <v>399</v>
      </c>
      <c r="P33" s="0" t="s">
        <v>1029</v>
      </c>
      <c r="Q33" s="66" t="s">
        <v>995</v>
      </c>
    </row>
    <row r="34" customFormat="false" ht="14.25" hidden="false" customHeight="false" outlineLevel="0" collapsed="false">
      <c r="A34" s="13" t="s">
        <v>814</v>
      </c>
      <c r="B34" s="13" t="s">
        <v>542</v>
      </c>
      <c r="C34" s="13" t="s">
        <v>546</v>
      </c>
      <c r="D34" s="61" t="n">
        <v>45963.3416666667</v>
      </c>
      <c r="E34" s="61" t="n">
        <v>45963.3416666667</v>
      </c>
      <c r="F34" s="61" t="n">
        <v>45963.4201388889</v>
      </c>
      <c r="G34" s="62" t="n">
        <v>0.078472222223354</v>
      </c>
      <c r="H34" s="13" t="s">
        <v>248</v>
      </c>
      <c r="J34" s="13" t="s">
        <v>256</v>
      </c>
      <c r="K34" s="13" t="s">
        <v>430</v>
      </c>
      <c r="L34" s="13" t="s">
        <v>700</v>
      </c>
      <c r="M34" s="66" t="s">
        <v>258</v>
      </c>
      <c r="N34" s="66" t="s">
        <v>379</v>
      </c>
      <c r="O34" s="66" t="s">
        <v>399</v>
      </c>
      <c r="P34" s="0" t="s">
        <v>1030</v>
      </c>
      <c r="Q34" s="66" t="s">
        <v>995</v>
      </c>
    </row>
    <row r="35" customFormat="false" ht="14.25" hidden="false" customHeight="false" outlineLevel="0" collapsed="false">
      <c r="A35" s="13" t="s">
        <v>814</v>
      </c>
      <c r="B35" s="13" t="s">
        <v>542</v>
      </c>
      <c r="C35" s="13" t="s">
        <v>547</v>
      </c>
      <c r="D35" s="61" t="n">
        <v>45963.3416666667</v>
      </c>
      <c r="E35" s="61" t="n">
        <v>45963.3416666667</v>
      </c>
      <c r="F35" s="61" t="n">
        <v>45963.4201388889</v>
      </c>
      <c r="G35" s="62" t="n">
        <v>0.078472222223354</v>
      </c>
      <c r="H35" s="13" t="s">
        <v>248</v>
      </c>
      <c r="J35" s="13" t="s">
        <v>256</v>
      </c>
      <c r="K35" s="13" t="s">
        <v>430</v>
      </c>
      <c r="L35" s="13" t="s">
        <v>700</v>
      </c>
      <c r="M35" s="66" t="s">
        <v>258</v>
      </c>
      <c r="N35" s="66" t="s">
        <v>379</v>
      </c>
      <c r="O35" s="66" t="s">
        <v>399</v>
      </c>
      <c r="P35" s="0" t="s">
        <v>1031</v>
      </c>
      <c r="Q35" s="66" t="s">
        <v>995</v>
      </c>
    </row>
    <row r="36" customFormat="false" ht="14.25" hidden="false" customHeight="false" outlineLevel="0" collapsed="false">
      <c r="A36" s="13" t="s">
        <v>814</v>
      </c>
      <c r="B36" s="13" t="s">
        <v>542</v>
      </c>
      <c r="C36" s="13" t="s">
        <v>548</v>
      </c>
      <c r="D36" s="61" t="n">
        <v>45963.3416666667</v>
      </c>
      <c r="E36" s="61" t="n">
        <v>45963.3416666667</v>
      </c>
      <c r="F36" s="61" t="n">
        <v>45963.4201388889</v>
      </c>
      <c r="G36" s="62" t="n">
        <v>0.078472222223354</v>
      </c>
      <c r="H36" s="13" t="s">
        <v>248</v>
      </c>
      <c r="J36" s="13" t="s">
        <v>256</v>
      </c>
      <c r="K36" s="13" t="s">
        <v>430</v>
      </c>
      <c r="L36" s="13" t="s">
        <v>700</v>
      </c>
      <c r="M36" s="66" t="s">
        <v>258</v>
      </c>
      <c r="N36" s="66" t="s">
        <v>379</v>
      </c>
      <c r="O36" s="66" t="s">
        <v>399</v>
      </c>
      <c r="P36" s="0" t="s">
        <v>1032</v>
      </c>
      <c r="Q36" s="66" t="s">
        <v>995</v>
      </c>
    </row>
    <row r="37" customFormat="false" ht="14.25" hidden="false" customHeight="false" outlineLevel="0" collapsed="false">
      <c r="A37" s="13" t="s">
        <v>814</v>
      </c>
      <c r="B37" s="13" t="s">
        <v>542</v>
      </c>
      <c r="C37" s="13" t="s">
        <v>549</v>
      </c>
      <c r="D37" s="61" t="n">
        <v>45963.3416666667</v>
      </c>
      <c r="E37" s="61" t="n">
        <v>45963.3416666667</v>
      </c>
      <c r="F37" s="61" t="n">
        <v>45963.4201388889</v>
      </c>
      <c r="G37" s="62" t="n">
        <v>0.078472222223354</v>
      </c>
      <c r="H37" s="13" t="s">
        <v>248</v>
      </c>
      <c r="J37" s="13" t="s">
        <v>256</v>
      </c>
      <c r="K37" s="13" t="s">
        <v>430</v>
      </c>
      <c r="L37" s="13" t="s">
        <v>700</v>
      </c>
      <c r="M37" s="66" t="s">
        <v>258</v>
      </c>
      <c r="N37" s="66" t="s">
        <v>379</v>
      </c>
      <c r="O37" s="66" t="s">
        <v>399</v>
      </c>
      <c r="P37" s="0" t="s">
        <v>1033</v>
      </c>
      <c r="Q37" s="66" t="s">
        <v>995</v>
      </c>
    </row>
    <row r="38" customFormat="false" ht="14.25" hidden="false" customHeight="false" outlineLevel="0" collapsed="false">
      <c r="A38" s="13" t="s">
        <v>814</v>
      </c>
      <c r="B38" s="13" t="s">
        <v>542</v>
      </c>
      <c r="C38" s="13" t="s">
        <v>550</v>
      </c>
      <c r="D38" s="61" t="n">
        <v>45963.3416666667</v>
      </c>
      <c r="E38" s="61" t="n">
        <v>45963.3416666667</v>
      </c>
      <c r="F38" s="61" t="n">
        <v>45963.4201388889</v>
      </c>
      <c r="G38" s="62" t="n">
        <v>0.078472222223354</v>
      </c>
      <c r="H38" s="13" t="s">
        <v>248</v>
      </c>
      <c r="J38" s="13" t="s">
        <v>256</v>
      </c>
      <c r="K38" s="13" t="s">
        <v>430</v>
      </c>
      <c r="L38" s="13" t="s">
        <v>700</v>
      </c>
      <c r="M38" s="66" t="s">
        <v>258</v>
      </c>
      <c r="N38" s="66" t="s">
        <v>379</v>
      </c>
      <c r="O38" s="66" t="s">
        <v>399</v>
      </c>
      <c r="P38" s="0" t="s">
        <v>1034</v>
      </c>
      <c r="Q38" s="66" t="s">
        <v>995</v>
      </c>
    </row>
    <row r="39" customFormat="false" ht="14.25" hidden="false" customHeight="false" outlineLevel="0" collapsed="false">
      <c r="A39" s="13" t="s">
        <v>814</v>
      </c>
      <c r="B39" s="13" t="s">
        <v>542</v>
      </c>
      <c r="C39" s="13" t="s">
        <v>551</v>
      </c>
      <c r="D39" s="61" t="n">
        <v>45963.3416666667</v>
      </c>
      <c r="E39" s="61" t="n">
        <v>45963.3416666667</v>
      </c>
      <c r="F39" s="61" t="n">
        <v>45963.4201388889</v>
      </c>
      <c r="G39" s="62" t="n">
        <v>0.078472222223354</v>
      </c>
      <c r="H39" s="13" t="s">
        <v>248</v>
      </c>
      <c r="J39" s="13" t="s">
        <v>256</v>
      </c>
      <c r="K39" s="13" t="s">
        <v>430</v>
      </c>
      <c r="L39" s="13" t="s">
        <v>700</v>
      </c>
      <c r="M39" s="66" t="s">
        <v>258</v>
      </c>
      <c r="N39" s="66" t="s">
        <v>379</v>
      </c>
      <c r="O39" s="66" t="s">
        <v>399</v>
      </c>
      <c r="P39" s="0" t="s">
        <v>1035</v>
      </c>
      <c r="Q39" s="66" t="s">
        <v>995</v>
      </c>
    </row>
    <row r="40" customFormat="false" ht="14.25" hidden="false" customHeight="false" outlineLevel="0" collapsed="false">
      <c r="A40" s="13" t="s">
        <v>815</v>
      </c>
      <c r="B40" s="13" t="s">
        <v>542</v>
      </c>
      <c r="C40" s="13" t="s">
        <v>552</v>
      </c>
      <c r="D40" s="61" t="n">
        <v>45963.3416666667</v>
      </c>
      <c r="E40" s="61" t="n">
        <v>45963.3416666667</v>
      </c>
      <c r="F40" s="61" t="n">
        <v>45963.4201388889</v>
      </c>
      <c r="G40" s="62" t="n">
        <v>0.078472222223354</v>
      </c>
      <c r="H40" s="13" t="s">
        <v>248</v>
      </c>
      <c r="J40" s="13" t="s">
        <v>256</v>
      </c>
      <c r="K40" s="13" t="s">
        <v>430</v>
      </c>
      <c r="L40" s="13" t="s">
        <v>700</v>
      </c>
      <c r="M40" s="66" t="s">
        <v>258</v>
      </c>
      <c r="N40" s="66" t="s">
        <v>379</v>
      </c>
      <c r="O40" s="66" t="s">
        <v>399</v>
      </c>
      <c r="P40" s="0" t="s">
        <v>1036</v>
      </c>
      <c r="Q40" s="66" t="s">
        <v>995</v>
      </c>
    </row>
    <row r="41" customFormat="false" ht="14.25" hidden="false" customHeight="false" outlineLevel="0" collapsed="false">
      <c r="A41" s="13" t="s">
        <v>815</v>
      </c>
      <c r="B41" s="13" t="s">
        <v>542</v>
      </c>
      <c r="C41" s="13" t="s">
        <v>553</v>
      </c>
      <c r="D41" s="61" t="n">
        <v>45963.3416666667</v>
      </c>
      <c r="E41" s="61" t="n">
        <v>45963.3416666667</v>
      </c>
      <c r="F41" s="61" t="n">
        <v>45963.4201388889</v>
      </c>
      <c r="G41" s="62" t="n">
        <v>0.078472222223354</v>
      </c>
      <c r="H41" s="13" t="s">
        <v>248</v>
      </c>
      <c r="J41" s="13" t="s">
        <v>256</v>
      </c>
      <c r="K41" s="13" t="s">
        <v>430</v>
      </c>
      <c r="L41" s="13" t="s">
        <v>700</v>
      </c>
      <c r="M41" s="66" t="s">
        <v>258</v>
      </c>
      <c r="N41" s="66" t="s">
        <v>379</v>
      </c>
      <c r="O41" s="66" t="s">
        <v>399</v>
      </c>
      <c r="P41" s="0" t="s">
        <v>1037</v>
      </c>
      <c r="Q41" s="66" t="s">
        <v>995</v>
      </c>
    </row>
    <row r="42" customFormat="false" ht="14.25" hidden="false" customHeight="false" outlineLevel="0" collapsed="false">
      <c r="A42" s="13" t="s">
        <v>815</v>
      </c>
      <c r="B42" s="13" t="s">
        <v>542</v>
      </c>
      <c r="C42" s="13" t="s">
        <v>554</v>
      </c>
      <c r="D42" s="61" t="n">
        <v>45963.3416666667</v>
      </c>
      <c r="E42" s="61" t="n">
        <v>45963.3416666667</v>
      </c>
      <c r="F42" s="61" t="n">
        <v>45963.4201388889</v>
      </c>
      <c r="G42" s="62" t="n">
        <v>0.078472222223354</v>
      </c>
      <c r="H42" s="13" t="s">
        <v>248</v>
      </c>
      <c r="J42" s="13" t="s">
        <v>256</v>
      </c>
      <c r="K42" s="13" t="s">
        <v>430</v>
      </c>
      <c r="L42" s="13" t="s">
        <v>700</v>
      </c>
      <c r="M42" s="66" t="s">
        <v>258</v>
      </c>
      <c r="N42" s="66" t="s">
        <v>379</v>
      </c>
      <c r="O42" s="66" t="s">
        <v>399</v>
      </c>
      <c r="P42" s="0" t="s">
        <v>1038</v>
      </c>
      <c r="Q42" s="66" t="s">
        <v>995</v>
      </c>
    </row>
    <row r="43" customFormat="false" ht="14.25" hidden="false" customHeight="false" outlineLevel="0" collapsed="false">
      <c r="A43" s="13" t="s">
        <v>815</v>
      </c>
      <c r="B43" s="13" t="s">
        <v>542</v>
      </c>
      <c r="C43" s="13" t="s">
        <v>555</v>
      </c>
      <c r="D43" s="61" t="n">
        <v>45963.3416666667</v>
      </c>
      <c r="E43" s="61" t="n">
        <v>45963.3416666667</v>
      </c>
      <c r="F43" s="61" t="n">
        <v>45963.4201388889</v>
      </c>
      <c r="G43" s="62" t="n">
        <v>0.078472222223354</v>
      </c>
      <c r="H43" s="13" t="s">
        <v>248</v>
      </c>
      <c r="J43" s="13" t="s">
        <v>256</v>
      </c>
      <c r="K43" s="13" t="s">
        <v>430</v>
      </c>
      <c r="L43" s="13" t="s">
        <v>700</v>
      </c>
      <c r="M43" s="66" t="s">
        <v>258</v>
      </c>
      <c r="N43" s="66" t="s">
        <v>379</v>
      </c>
      <c r="O43" s="66" t="s">
        <v>399</v>
      </c>
      <c r="P43" s="0" t="s">
        <v>1039</v>
      </c>
      <c r="Q43" s="66" t="s">
        <v>995</v>
      </c>
    </row>
    <row r="44" customFormat="false" ht="14.25" hidden="false" customHeight="false" outlineLevel="0" collapsed="false">
      <c r="A44" s="13" t="s">
        <v>815</v>
      </c>
      <c r="B44" s="13" t="s">
        <v>542</v>
      </c>
      <c r="C44" s="13" t="s">
        <v>556</v>
      </c>
      <c r="D44" s="61" t="n">
        <v>45963.3416666667</v>
      </c>
      <c r="E44" s="61" t="n">
        <v>45963.3416666667</v>
      </c>
      <c r="F44" s="61" t="n">
        <v>45963.4201388889</v>
      </c>
      <c r="G44" s="62" t="n">
        <v>0.078472222223354</v>
      </c>
      <c r="H44" s="13" t="s">
        <v>248</v>
      </c>
      <c r="J44" s="13" t="s">
        <v>256</v>
      </c>
      <c r="K44" s="13" t="s">
        <v>430</v>
      </c>
      <c r="L44" s="13" t="s">
        <v>700</v>
      </c>
      <c r="M44" s="66" t="s">
        <v>258</v>
      </c>
      <c r="N44" s="66" t="s">
        <v>379</v>
      </c>
      <c r="O44" s="66" t="s">
        <v>399</v>
      </c>
      <c r="P44" s="0" t="s">
        <v>1040</v>
      </c>
      <c r="Q44" s="66" t="s">
        <v>995</v>
      </c>
    </row>
    <row r="45" customFormat="false" ht="14.25" hidden="false" customHeight="false" outlineLevel="0" collapsed="false">
      <c r="A45" s="13" t="s">
        <v>815</v>
      </c>
      <c r="B45" s="13" t="s">
        <v>542</v>
      </c>
      <c r="C45" s="13" t="s">
        <v>557</v>
      </c>
      <c r="D45" s="61" t="n">
        <v>45963.3416666667</v>
      </c>
      <c r="E45" s="61" t="n">
        <v>45963.3416666667</v>
      </c>
      <c r="F45" s="61" t="n">
        <v>45963.4201388889</v>
      </c>
      <c r="G45" s="62" t="n">
        <v>0.078472222223354</v>
      </c>
      <c r="H45" s="13" t="s">
        <v>248</v>
      </c>
      <c r="J45" s="13" t="s">
        <v>256</v>
      </c>
      <c r="K45" s="13" t="s">
        <v>430</v>
      </c>
      <c r="L45" s="13" t="s">
        <v>700</v>
      </c>
      <c r="M45" s="66" t="s">
        <v>258</v>
      </c>
      <c r="N45" s="66" t="s">
        <v>379</v>
      </c>
      <c r="O45" s="66" t="s">
        <v>399</v>
      </c>
      <c r="P45" s="0" t="s">
        <v>1041</v>
      </c>
      <c r="Q45" s="66" t="s">
        <v>995</v>
      </c>
    </row>
    <row r="46" customFormat="false" ht="14.25" hidden="false" customHeight="false" outlineLevel="0" collapsed="false">
      <c r="A46" s="13" t="s">
        <v>815</v>
      </c>
      <c r="B46" s="13" t="s">
        <v>542</v>
      </c>
      <c r="C46" s="13" t="s">
        <v>558</v>
      </c>
      <c r="D46" s="61" t="n">
        <v>45963.3416666667</v>
      </c>
      <c r="E46" s="61" t="n">
        <v>45963.3416666667</v>
      </c>
      <c r="F46" s="61" t="n">
        <v>45963.4201388889</v>
      </c>
      <c r="G46" s="62" t="n">
        <v>0.078472222223354</v>
      </c>
      <c r="H46" s="13" t="s">
        <v>248</v>
      </c>
      <c r="J46" s="13" t="s">
        <v>256</v>
      </c>
      <c r="K46" s="13" t="s">
        <v>430</v>
      </c>
      <c r="L46" s="13" t="s">
        <v>700</v>
      </c>
      <c r="M46" s="66" t="s">
        <v>258</v>
      </c>
      <c r="N46" s="66" t="s">
        <v>379</v>
      </c>
      <c r="O46" s="66" t="s">
        <v>399</v>
      </c>
      <c r="P46" s="0" t="s">
        <v>1042</v>
      </c>
      <c r="Q46" s="66" t="s">
        <v>995</v>
      </c>
    </row>
    <row r="47" customFormat="false" ht="14.25" hidden="false" customHeight="false" outlineLevel="0" collapsed="false">
      <c r="A47" s="13" t="s">
        <v>828</v>
      </c>
      <c r="B47" s="13" t="s">
        <v>542</v>
      </c>
      <c r="C47" s="13" t="s">
        <v>559</v>
      </c>
      <c r="D47" s="61" t="n">
        <v>45963.3416666667</v>
      </c>
      <c r="E47" s="61" t="n">
        <v>45963.3416666667</v>
      </c>
      <c r="F47" s="61" t="n">
        <v>45963.4201388889</v>
      </c>
      <c r="G47" s="62" t="n">
        <v>0.078472222223354</v>
      </c>
      <c r="H47" s="13" t="s">
        <v>248</v>
      </c>
      <c r="J47" s="13" t="s">
        <v>256</v>
      </c>
      <c r="K47" s="13" t="s">
        <v>430</v>
      </c>
      <c r="L47" s="13" t="s">
        <v>700</v>
      </c>
      <c r="M47" s="66" t="s">
        <v>258</v>
      </c>
      <c r="N47" s="66" t="s">
        <v>379</v>
      </c>
      <c r="O47" s="66" t="s">
        <v>399</v>
      </c>
      <c r="P47" s="0" t="s">
        <v>1043</v>
      </c>
      <c r="Q47" s="66" t="s">
        <v>995</v>
      </c>
    </row>
    <row r="48" customFormat="false" ht="14.25" hidden="false" customHeight="false" outlineLevel="0" collapsed="false">
      <c r="A48" s="13" t="s">
        <v>828</v>
      </c>
      <c r="B48" s="13" t="s">
        <v>542</v>
      </c>
      <c r="C48" s="13" t="s">
        <v>560</v>
      </c>
      <c r="D48" s="61" t="n">
        <v>45963.3416666667</v>
      </c>
      <c r="E48" s="61" t="n">
        <v>45963.3416666667</v>
      </c>
      <c r="F48" s="61" t="n">
        <v>45963.4201388889</v>
      </c>
      <c r="G48" s="62" t="n">
        <v>0.078472222223354</v>
      </c>
      <c r="H48" s="13" t="s">
        <v>248</v>
      </c>
      <c r="J48" s="13" t="s">
        <v>256</v>
      </c>
      <c r="K48" s="13" t="s">
        <v>430</v>
      </c>
      <c r="L48" s="13" t="s">
        <v>700</v>
      </c>
      <c r="M48" s="66" t="s">
        <v>258</v>
      </c>
      <c r="N48" s="66" t="s">
        <v>379</v>
      </c>
      <c r="O48" s="66" t="s">
        <v>399</v>
      </c>
      <c r="P48" s="0" t="s">
        <v>1044</v>
      </c>
      <c r="Q48" s="66" t="s">
        <v>995</v>
      </c>
    </row>
    <row r="49" customFormat="false" ht="14.25" hidden="false" customHeight="false" outlineLevel="0" collapsed="false">
      <c r="A49" s="13" t="s">
        <v>828</v>
      </c>
      <c r="B49" s="13" t="s">
        <v>542</v>
      </c>
      <c r="C49" s="13" t="s">
        <v>561</v>
      </c>
      <c r="D49" s="61" t="n">
        <v>45963.3416666667</v>
      </c>
      <c r="E49" s="61" t="n">
        <v>45963.3416666667</v>
      </c>
      <c r="F49" s="61" t="n">
        <v>45963.4201388889</v>
      </c>
      <c r="G49" s="62" t="n">
        <v>0.078472222223354</v>
      </c>
      <c r="H49" s="13" t="s">
        <v>248</v>
      </c>
      <c r="J49" s="13" t="s">
        <v>256</v>
      </c>
      <c r="K49" s="13" t="s">
        <v>430</v>
      </c>
      <c r="L49" s="13" t="s">
        <v>700</v>
      </c>
      <c r="M49" s="66" t="s">
        <v>258</v>
      </c>
      <c r="N49" s="66" t="s">
        <v>379</v>
      </c>
      <c r="O49" s="66" t="s">
        <v>399</v>
      </c>
      <c r="P49" s="0" t="s">
        <v>1045</v>
      </c>
      <c r="Q49" s="66" t="s">
        <v>995</v>
      </c>
    </row>
    <row r="50" customFormat="false" ht="14.25" hidden="false" customHeight="false" outlineLevel="0" collapsed="false">
      <c r="A50" s="13" t="s">
        <v>828</v>
      </c>
      <c r="B50" s="13" t="s">
        <v>542</v>
      </c>
      <c r="C50" s="13" t="s">
        <v>562</v>
      </c>
      <c r="D50" s="61" t="n">
        <v>45963.3416666667</v>
      </c>
      <c r="E50" s="61" t="n">
        <v>45963.3416666667</v>
      </c>
      <c r="F50" s="61" t="n">
        <v>45963.4201388889</v>
      </c>
      <c r="G50" s="62" t="n">
        <v>0.078472222223354</v>
      </c>
      <c r="H50" s="13" t="s">
        <v>248</v>
      </c>
      <c r="J50" s="13" t="s">
        <v>256</v>
      </c>
      <c r="K50" s="13" t="s">
        <v>430</v>
      </c>
      <c r="L50" s="13" t="s">
        <v>700</v>
      </c>
      <c r="M50" s="66" t="s">
        <v>258</v>
      </c>
      <c r="N50" s="66" t="s">
        <v>379</v>
      </c>
      <c r="O50" s="66" t="s">
        <v>399</v>
      </c>
      <c r="P50" s="0" t="s">
        <v>1046</v>
      </c>
      <c r="Q50" s="66" t="s">
        <v>995</v>
      </c>
    </row>
    <row r="51" customFormat="false" ht="14.25" hidden="false" customHeight="false" outlineLevel="0" collapsed="false">
      <c r="A51" s="13" t="s">
        <v>828</v>
      </c>
      <c r="B51" s="13" t="s">
        <v>542</v>
      </c>
      <c r="C51" s="13" t="s">
        <v>563</v>
      </c>
      <c r="D51" s="61" t="n">
        <v>45963.3416666667</v>
      </c>
      <c r="E51" s="61" t="n">
        <v>45963.3416666667</v>
      </c>
      <c r="F51" s="61" t="n">
        <v>45963.4201388889</v>
      </c>
      <c r="G51" s="62" t="n">
        <v>0.078472222223354</v>
      </c>
      <c r="H51" s="13" t="s">
        <v>248</v>
      </c>
      <c r="J51" s="13" t="s">
        <v>256</v>
      </c>
      <c r="K51" s="13" t="s">
        <v>430</v>
      </c>
      <c r="L51" s="13" t="s">
        <v>700</v>
      </c>
      <c r="M51" s="66" t="s">
        <v>258</v>
      </c>
      <c r="N51" s="66" t="s">
        <v>379</v>
      </c>
      <c r="O51" s="66" t="s">
        <v>399</v>
      </c>
      <c r="P51" s="0" t="s">
        <v>1047</v>
      </c>
      <c r="Q51" s="66" t="s">
        <v>995</v>
      </c>
    </row>
    <row r="52" customFormat="false" ht="14.25" hidden="false" customHeight="false" outlineLevel="0" collapsed="false">
      <c r="A52" s="13" t="s">
        <v>829</v>
      </c>
      <c r="B52" s="13" t="s">
        <v>542</v>
      </c>
      <c r="C52" s="13" t="s">
        <v>564</v>
      </c>
      <c r="D52" s="61" t="n">
        <v>45963.3416666667</v>
      </c>
      <c r="E52" s="61" t="n">
        <v>45963.3416666667</v>
      </c>
      <c r="F52" s="61" t="n">
        <v>45963.4201388889</v>
      </c>
      <c r="G52" s="62" t="n">
        <v>0.078472222223354</v>
      </c>
      <c r="H52" s="13" t="s">
        <v>248</v>
      </c>
      <c r="J52" s="13" t="s">
        <v>256</v>
      </c>
      <c r="K52" s="13" t="s">
        <v>430</v>
      </c>
      <c r="L52" s="13" t="s">
        <v>700</v>
      </c>
      <c r="M52" s="66" t="s">
        <v>258</v>
      </c>
      <c r="N52" s="66" t="s">
        <v>379</v>
      </c>
      <c r="O52" s="66" t="s">
        <v>399</v>
      </c>
      <c r="P52" s="0" t="s">
        <v>1048</v>
      </c>
      <c r="Q52" s="66" t="s">
        <v>995</v>
      </c>
    </row>
    <row r="53" customFormat="false" ht="14.25" hidden="false" customHeight="false" outlineLevel="0" collapsed="false">
      <c r="A53" s="13" t="s">
        <v>829</v>
      </c>
      <c r="B53" s="13" t="s">
        <v>542</v>
      </c>
      <c r="C53" s="13" t="s">
        <v>565</v>
      </c>
      <c r="D53" s="61" t="n">
        <v>45963.3416666667</v>
      </c>
      <c r="E53" s="61" t="n">
        <v>45963.3416666667</v>
      </c>
      <c r="F53" s="61" t="n">
        <v>45963.4201388889</v>
      </c>
      <c r="G53" s="62" t="n">
        <v>0.078472222223354</v>
      </c>
      <c r="H53" s="13" t="s">
        <v>248</v>
      </c>
      <c r="J53" s="13" t="s">
        <v>256</v>
      </c>
      <c r="K53" s="13" t="s">
        <v>430</v>
      </c>
      <c r="L53" s="13" t="s">
        <v>700</v>
      </c>
      <c r="M53" s="66" t="s">
        <v>258</v>
      </c>
      <c r="N53" s="66" t="s">
        <v>379</v>
      </c>
      <c r="O53" s="66" t="s">
        <v>399</v>
      </c>
      <c r="P53" s="0" t="s">
        <v>1049</v>
      </c>
      <c r="Q53" s="66" t="s">
        <v>995</v>
      </c>
    </row>
    <row r="54" customFormat="false" ht="14.25" hidden="false" customHeight="false" outlineLevel="0" collapsed="false">
      <c r="A54" s="13" t="s">
        <v>829</v>
      </c>
      <c r="B54" s="13" t="s">
        <v>542</v>
      </c>
      <c r="C54" s="13" t="s">
        <v>566</v>
      </c>
      <c r="D54" s="61" t="n">
        <v>45963.3416666667</v>
      </c>
      <c r="E54" s="61" t="n">
        <v>45963.3416666667</v>
      </c>
      <c r="F54" s="61" t="n">
        <v>45963.4201388889</v>
      </c>
      <c r="G54" s="62" t="n">
        <v>0.078472222223354</v>
      </c>
      <c r="H54" s="13" t="s">
        <v>248</v>
      </c>
      <c r="J54" s="13" t="s">
        <v>256</v>
      </c>
      <c r="K54" s="13" t="s">
        <v>430</v>
      </c>
      <c r="L54" s="13" t="s">
        <v>700</v>
      </c>
      <c r="M54" s="66" t="s">
        <v>258</v>
      </c>
      <c r="N54" s="66" t="s">
        <v>379</v>
      </c>
      <c r="O54" s="66" t="s">
        <v>399</v>
      </c>
      <c r="P54" s="0" t="s">
        <v>1050</v>
      </c>
      <c r="Q54" s="66" t="s">
        <v>995</v>
      </c>
    </row>
    <row r="55" customFormat="false" ht="14.25" hidden="false" customHeight="false" outlineLevel="0" collapsed="false">
      <c r="A55" s="13" t="s">
        <v>829</v>
      </c>
      <c r="B55" s="13" t="s">
        <v>542</v>
      </c>
      <c r="C55" s="13" t="s">
        <v>567</v>
      </c>
      <c r="D55" s="61" t="n">
        <v>45963.3416666667</v>
      </c>
      <c r="E55" s="61" t="n">
        <v>45963.3416666667</v>
      </c>
      <c r="F55" s="61" t="n">
        <v>45963.4201388889</v>
      </c>
      <c r="G55" s="62" t="n">
        <v>0.078472222223354</v>
      </c>
      <c r="H55" s="13" t="s">
        <v>248</v>
      </c>
      <c r="J55" s="13" t="s">
        <v>256</v>
      </c>
      <c r="K55" s="13" t="s">
        <v>430</v>
      </c>
      <c r="L55" s="13" t="s">
        <v>700</v>
      </c>
      <c r="M55" s="66" t="s">
        <v>258</v>
      </c>
      <c r="N55" s="66" t="s">
        <v>379</v>
      </c>
      <c r="O55" s="66" t="s">
        <v>399</v>
      </c>
      <c r="P55" s="0" t="s">
        <v>1051</v>
      </c>
      <c r="Q55" s="66" t="s">
        <v>995</v>
      </c>
    </row>
    <row r="56" customFormat="false" ht="14.25" hidden="false" customHeight="false" outlineLevel="0" collapsed="false">
      <c r="A56" s="13" t="s">
        <v>830</v>
      </c>
      <c r="B56" s="13" t="s">
        <v>542</v>
      </c>
      <c r="C56" s="13" t="s">
        <v>568</v>
      </c>
      <c r="D56" s="61" t="n">
        <v>45963.3416666667</v>
      </c>
      <c r="E56" s="61" t="n">
        <v>45963.3416666667</v>
      </c>
      <c r="F56" s="61" t="n">
        <v>45963.4201388889</v>
      </c>
      <c r="G56" s="62" t="n">
        <v>0.078472222223354</v>
      </c>
      <c r="H56" s="13" t="s">
        <v>248</v>
      </c>
      <c r="J56" s="13" t="s">
        <v>256</v>
      </c>
      <c r="K56" s="13" t="s">
        <v>430</v>
      </c>
      <c r="L56" s="13" t="s">
        <v>700</v>
      </c>
      <c r="M56" s="66" t="s">
        <v>258</v>
      </c>
      <c r="N56" s="66" t="s">
        <v>379</v>
      </c>
      <c r="O56" s="66" t="s">
        <v>399</v>
      </c>
      <c r="P56" s="0" t="s">
        <v>1052</v>
      </c>
      <c r="Q56" s="66" t="s">
        <v>995</v>
      </c>
    </row>
    <row r="57" customFormat="false" ht="14.25" hidden="false" customHeight="false" outlineLevel="0" collapsed="false">
      <c r="A57" s="13" t="s">
        <v>830</v>
      </c>
      <c r="B57" s="13" t="s">
        <v>542</v>
      </c>
      <c r="C57" s="13" t="s">
        <v>569</v>
      </c>
      <c r="D57" s="61" t="n">
        <v>45963.3416666667</v>
      </c>
      <c r="E57" s="61" t="n">
        <v>45963.3416666667</v>
      </c>
      <c r="F57" s="61" t="n">
        <v>45963.4201388889</v>
      </c>
      <c r="G57" s="62" t="n">
        <v>0.078472222223354</v>
      </c>
      <c r="H57" s="13" t="s">
        <v>248</v>
      </c>
      <c r="J57" s="13" t="s">
        <v>256</v>
      </c>
      <c r="K57" s="13" t="s">
        <v>430</v>
      </c>
      <c r="L57" s="13" t="s">
        <v>700</v>
      </c>
      <c r="M57" s="66" t="s">
        <v>258</v>
      </c>
      <c r="N57" s="66" t="s">
        <v>379</v>
      </c>
      <c r="O57" s="66" t="s">
        <v>399</v>
      </c>
      <c r="P57" s="0" t="s">
        <v>1053</v>
      </c>
      <c r="Q57" s="66" t="s">
        <v>995</v>
      </c>
    </row>
    <row r="58" customFormat="false" ht="14.25" hidden="false" customHeight="false" outlineLevel="0" collapsed="false">
      <c r="A58" s="13" t="s">
        <v>830</v>
      </c>
      <c r="B58" s="13" t="s">
        <v>542</v>
      </c>
      <c r="C58" s="13" t="s">
        <v>570</v>
      </c>
      <c r="D58" s="61" t="n">
        <v>45963.3416666667</v>
      </c>
      <c r="E58" s="61" t="n">
        <v>45963.3416666667</v>
      </c>
      <c r="F58" s="61" t="n">
        <v>45963.4201388889</v>
      </c>
      <c r="G58" s="62" t="n">
        <v>0.078472222223354</v>
      </c>
      <c r="H58" s="13" t="s">
        <v>248</v>
      </c>
      <c r="J58" s="13" t="s">
        <v>256</v>
      </c>
      <c r="K58" s="13" t="s">
        <v>430</v>
      </c>
      <c r="L58" s="13" t="s">
        <v>700</v>
      </c>
      <c r="M58" s="66" t="s">
        <v>258</v>
      </c>
      <c r="N58" s="66" t="s">
        <v>379</v>
      </c>
      <c r="O58" s="66" t="s">
        <v>399</v>
      </c>
      <c r="P58" s="0" t="s">
        <v>1054</v>
      </c>
      <c r="Q58" s="66" t="s">
        <v>995</v>
      </c>
    </row>
    <row r="59" customFormat="false" ht="14.25" hidden="false" customHeight="false" outlineLevel="0" collapsed="false">
      <c r="A59" s="13" t="s">
        <v>830</v>
      </c>
      <c r="B59" s="13" t="s">
        <v>542</v>
      </c>
      <c r="C59" s="13" t="s">
        <v>571</v>
      </c>
      <c r="D59" s="61" t="n">
        <v>45963.3416666667</v>
      </c>
      <c r="E59" s="61" t="n">
        <v>45963.3416666667</v>
      </c>
      <c r="F59" s="61" t="n">
        <v>45963.4201388889</v>
      </c>
      <c r="G59" s="62" t="n">
        <v>0.078472222223354</v>
      </c>
      <c r="H59" s="13" t="s">
        <v>248</v>
      </c>
      <c r="J59" s="13" t="s">
        <v>256</v>
      </c>
      <c r="K59" s="13" t="s">
        <v>430</v>
      </c>
      <c r="L59" s="13" t="s">
        <v>700</v>
      </c>
      <c r="M59" s="66" t="s">
        <v>258</v>
      </c>
      <c r="N59" s="66" t="s">
        <v>379</v>
      </c>
      <c r="O59" s="66" t="s">
        <v>399</v>
      </c>
      <c r="P59" s="0" t="s">
        <v>1055</v>
      </c>
      <c r="Q59" s="66" t="s">
        <v>995</v>
      </c>
    </row>
    <row r="60" customFormat="false" ht="14.25" hidden="false" customHeight="false" outlineLevel="0" collapsed="false">
      <c r="A60" s="13" t="s">
        <v>830</v>
      </c>
      <c r="B60" s="13" t="s">
        <v>542</v>
      </c>
      <c r="C60" s="13" t="s">
        <v>572</v>
      </c>
      <c r="D60" s="61" t="n">
        <v>45963.3416666667</v>
      </c>
      <c r="E60" s="61" t="n">
        <v>45963.3416666667</v>
      </c>
      <c r="F60" s="61" t="n">
        <v>45963.4201388889</v>
      </c>
      <c r="G60" s="62" t="n">
        <v>0.078472222223354</v>
      </c>
      <c r="H60" s="13" t="s">
        <v>248</v>
      </c>
      <c r="J60" s="13" t="s">
        <v>256</v>
      </c>
      <c r="K60" s="13" t="s">
        <v>430</v>
      </c>
      <c r="L60" s="13" t="s">
        <v>700</v>
      </c>
      <c r="M60" s="66" t="s">
        <v>258</v>
      </c>
      <c r="N60" s="66" t="s">
        <v>379</v>
      </c>
      <c r="O60" s="66" t="s">
        <v>399</v>
      </c>
      <c r="P60" s="0" t="s">
        <v>1056</v>
      </c>
      <c r="Q60" s="66" t="s">
        <v>995</v>
      </c>
    </row>
    <row r="61" customFormat="false" ht="14.25" hidden="false" customHeight="false" outlineLevel="0" collapsed="false">
      <c r="A61" s="13" t="s">
        <v>578</v>
      </c>
      <c r="B61" s="13" t="s">
        <v>578</v>
      </c>
      <c r="C61" s="13" t="s">
        <v>396</v>
      </c>
      <c r="D61" s="61" t="n">
        <v>45963.3416666667</v>
      </c>
      <c r="E61" s="61" t="n">
        <v>45963.3416666667</v>
      </c>
      <c r="F61" s="61" t="n">
        <v>45963.4201388889</v>
      </c>
      <c r="G61" s="62" t="n">
        <v>0.078472222223354</v>
      </c>
      <c r="H61" s="13" t="s">
        <v>248</v>
      </c>
      <c r="J61" s="13" t="s">
        <v>256</v>
      </c>
      <c r="K61" s="13" t="s">
        <v>430</v>
      </c>
      <c r="L61" s="13" t="s">
        <v>700</v>
      </c>
      <c r="M61" s="66" t="s">
        <v>258</v>
      </c>
      <c r="N61" s="66" t="s">
        <v>379</v>
      </c>
      <c r="O61" s="66" t="s">
        <v>399</v>
      </c>
      <c r="P61" s="0" t="s">
        <v>1057</v>
      </c>
      <c r="Q61" s="66" t="s">
        <v>995</v>
      </c>
    </row>
    <row r="62" customFormat="false" ht="14.25" hidden="false" customHeight="false" outlineLevel="0" collapsed="false">
      <c r="A62" s="13" t="s">
        <v>578</v>
      </c>
      <c r="B62" s="13" t="s">
        <v>578</v>
      </c>
      <c r="C62" s="13" t="s">
        <v>397</v>
      </c>
      <c r="D62" s="61" t="n">
        <v>45963.3416666667</v>
      </c>
      <c r="E62" s="61" t="n">
        <v>45963.3416666667</v>
      </c>
      <c r="F62" s="61" t="n">
        <v>45963.4201388889</v>
      </c>
      <c r="G62" s="62" t="n">
        <v>0.078472222223354</v>
      </c>
      <c r="H62" s="13" t="s">
        <v>248</v>
      </c>
      <c r="J62" s="13" t="s">
        <v>256</v>
      </c>
      <c r="K62" s="13" t="s">
        <v>430</v>
      </c>
      <c r="L62" s="13" t="s">
        <v>700</v>
      </c>
      <c r="M62" s="66" t="s">
        <v>258</v>
      </c>
      <c r="N62" s="66" t="s">
        <v>379</v>
      </c>
      <c r="O62" s="66" t="s">
        <v>399</v>
      </c>
      <c r="P62" s="0" t="s">
        <v>1058</v>
      </c>
      <c r="Q62" s="66" t="s">
        <v>995</v>
      </c>
    </row>
    <row r="63" customFormat="false" ht="14.25" hidden="false" customHeight="false" outlineLevel="0" collapsed="false">
      <c r="A63" s="13" t="s">
        <v>578</v>
      </c>
      <c r="B63" s="13" t="s">
        <v>578</v>
      </c>
      <c r="C63" s="13" t="s">
        <v>394</v>
      </c>
      <c r="D63" s="61" t="n">
        <v>45963.3416666667</v>
      </c>
      <c r="E63" s="61" t="n">
        <v>45963.3416666667</v>
      </c>
      <c r="F63" s="61" t="n">
        <v>45963.4201388889</v>
      </c>
      <c r="G63" s="62" t="n">
        <v>0.078472222223354</v>
      </c>
      <c r="H63" s="13" t="s">
        <v>248</v>
      </c>
      <c r="J63" s="13" t="s">
        <v>256</v>
      </c>
      <c r="K63" s="13" t="s">
        <v>430</v>
      </c>
      <c r="L63" s="13" t="s">
        <v>700</v>
      </c>
      <c r="M63" s="66" t="s">
        <v>258</v>
      </c>
      <c r="N63" s="66" t="s">
        <v>379</v>
      </c>
      <c r="O63" s="66" t="s">
        <v>399</v>
      </c>
      <c r="P63" s="0" t="s">
        <v>1059</v>
      </c>
      <c r="Q63" s="66" t="s">
        <v>995</v>
      </c>
    </row>
    <row r="64" customFormat="false" ht="14.25" hidden="false" customHeight="false" outlineLevel="0" collapsed="false">
      <c r="A64" s="13" t="s">
        <v>578</v>
      </c>
      <c r="B64" s="13" t="s">
        <v>578</v>
      </c>
      <c r="C64" s="13" t="s">
        <v>395</v>
      </c>
      <c r="D64" s="61" t="n">
        <v>45963.3416666667</v>
      </c>
      <c r="E64" s="61" t="n">
        <v>45963.3416666667</v>
      </c>
      <c r="F64" s="61" t="n">
        <v>45963.4201388889</v>
      </c>
      <c r="G64" s="62" t="n">
        <v>0.078472222223354</v>
      </c>
      <c r="H64" s="13" t="s">
        <v>248</v>
      </c>
      <c r="J64" s="13" t="s">
        <v>256</v>
      </c>
      <c r="K64" s="13" t="s">
        <v>430</v>
      </c>
      <c r="L64" s="13" t="s">
        <v>700</v>
      </c>
      <c r="M64" s="66" t="s">
        <v>258</v>
      </c>
      <c r="N64" s="66" t="s">
        <v>379</v>
      </c>
      <c r="O64" s="66" t="s">
        <v>399</v>
      </c>
      <c r="P64" s="0" t="s">
        <v>1060</v>
      </c>
      <c r="Q64" s="66" t="s">
        <v>995</v>
      </c>
    </row>
    <row r="65" customFormat="false" ht="14.25" hidden="false" customHeight="false" outlineLevel="0" collapsed="false">
      <c r="A65" s="13" t="s">
        <v>578</v>
      </c>
      <c r="B65" s="13" t="s">
        <v>578</v>
      </c>
      <c r="C65" s="13" t="s">
        <v>391</v>
      </c>
      <c r="D65" s="61" t="n">
        <v>45963.3416666667</v>
      </c>
      <c r="E65" s="61" t="n">
        <v>45963.3416666667</v>
      </c>
      <c r="F65" s="61" t="n">
        <v>45963.4201388889</v>
      </c>
      <c r="G65" s="62" t="n">
        <v>0.078472222223354</v>
      </c>
      <c r="H65" s="13" t="s">
        <v>248</v>
      </c>
      <c r="J65" s="13" t="s">
        <v>256</v>
      </c>
      <c r="K65" s="13" t="s">
        <v>430</v>
      </c>
      <c r="L65" s="13" t="s">
        <v>700</v>
      </c>
      <c r="M65" s="66" t="s">
        <v>258</v>
      </c>
      <c r="N65" s="66" t="s">
        <v>379</v>
      </c>
      <c r="O65" s="66" t="s">
        <v>399</v>
      </c>
      <c r="P65" s="0" t="s">
        <v>1061</v>
      </c>
      <c r="Q65" s="66" t="s">
        <v>995</v>
      </c>
    </row>
    <row r="66" customFormat="false" ht="14.25" hidden="false" customHeight="false" outlineLevel="0" collapsed="false">
      <c r="A66" s="13" t="s">
        <v>579</v>
      </c>
      <c r="B66" s="13" t="s">
        <v>579</v>
      </c>
      <c r="C66" s="13" t="s">
        <v>396</v>
      </c>
      <c r="D66" s="61" t="n">
        <v>45963.3416666667</v>
      </c>
      <c r="E66" s="61" t="n">
        <v>45963.3416666667</v>
      </c>
      <c r="F66" s="61" t="n">
        <v>45963.4201388889</v>
      </c>
      <c r="G66" s="62" t="n">
        <v>0.078472222223354</v>
      </c>
      <c r="H66" s="13" t="s">
        <v>248</v>
      </c>
      <c r="J66" s="13" t="s">
        <v>256</v>
      </c>
      <c r="K66" s="13" t="s">
        <v>430</v>
      </c>
      <c r="L66" s="13" t="s">
        <v>700</v>
      </c>
      <c r="M66" s="66" t="s">
        <v>258</v>
      </c>
      <c r="N66" s="66" t="s">
        <v>379</v>
      </c>
      <c r="O66" s="66" t="s">
        <v>399</v>
      </c>
      <c r="P66" s="0" t="s">
        <v>1062</v>
      </c>
      <c r="Q66" s="66" t="s">
        <v>995</v>
      </c>
    </row>
    <row r="67" customFormat="false" ht="14.25" hidden="false" customHeight="false" outlineLevel="0" collapsed="false">
      <c r="A67" s="13" t="s">
        <v>579</v>
      </c>
      <c r="B67" s="13" t="s">
        <v>579</v>
      </c>
      <c r="C67" s="13" t="s">
        <v>397</v>
      </c>
      <c r="D67" s="61" t="n">
        <v>45963.3416666667</v>
      </c>
      <c r="E67" s="61" t="n">
        <v>45963.3416666667</v>
      </c>
      <c r="F67" s="61" t="n">
        <v>45963.4201388889</v>
      </c>
      <c r="G67" s="62" t="n">
        <v>0.078472222223354</v>
      </c>
      <c r="H67" s="13" t="s">
        <v>248</v>
      </c>
      <c r="J67" s="13" t="s">
        <v>256</v>
      </c>
      <c r="K67" s="13" t="s">
        <v>430</v>
      </c>
      <c r="L67" s="13" t="s">
        <v>700</v>
      </c>
      <c r="M67" s="66" t="s">
        <v>258</v>
      </c>
      <c r="N67" s="66" t="s">
        <v>379</v>
      </c>
      <c r="O67" s="66" t="s">
        <v>399</v>
      </c>
      <c r="P67" s="0" t="s">
        <v>1063</v>
      </c>
      <c r="Q67" s="66" t="s">
        <v>995</v>
      </c>
    </row>
    <row r="68" customFormat="false" ht="14.25" hidden="false" customHeight="false" outlineLevel="0" collapsed="false">
      <c r="A68" s="13" t="s">
        <v>579</v>
      </c>
      <c r="B68" s="13" t="s">
        <v>579</v>
      </c>
      <c r="C68" s="13" t="s">
        <v>394</v>
      </c>
      <c r="D68" s="61" t="n">
        <v>45963.3416666667</v>
      </c>
      <c r="E68" s="61" t="n">
        <v>45963.3416666667</v>
      </c>
      <c r="F68" s="61" t="n">
        <v>45963.4201388889</v>
      </c>
      <c r="G68" s="62" t="n">
        <v>0.078472222223354</v>
      </c>
      <c r="H68" s="13" t="s">
        <v>248</v>
      </c>
      <c r="J68" s="13" t="s">
        <v>256</v>
      </c>
      <c r="K68" s="13" t="s">
        <v>430</v>
      </c>
      <c r="L68" s="13" t="s">
        <v>700</v>
      </c>
      <c r="M68" s="66" t="s">
        <v>258</v>
      </c>
      <c r="N68" s="66" t="s">
        <v>379</v>
      </c>
      <c r="O68" s="66" t="s">
        <v>399</v>
      </c>
      <c r="P68" s="0" t="s">
        <v>1064</v>
      </c>
      <c r="Q68" s="66" t="s">
        <v>995</v>
      </c>
    </row>
    <row r="69" customFormat="false" ht="14.25" hidden="false" customHeight="false" outlineLevel="0" collapsed="false">
      <c r="A69" s="13" t="s">
        <v>579</v>
      </c>
      <c r="B69" s="13" t="s">
        <v>579</v>
      </c>
      <c r="C69" s="13" t="s">
        <v>395</v>
      </c>
      <c r="D69" s="61" t="n">
        <v>45963.3416666667</v>
      </c>
      <c r="E69" s="61" t="n">
        <v>45963.3416666667</v>
      </c>
      <c r="F69" s="61" t="n">
        <v>45963.4201388889</v>
      </c>
      <c r="G69" s="62" t="n">
        <v>0.078472222223354</v>
      </c>
      <c r="H69" s="13" t="s">
        <v>248</v>
      </c>
      <c r="J69" s="13" t="s">
        <v>256</v>
      </c>
      <c r="K69" s="13" t="s">
        <v>430</v>
      </c>
      <c r="L69" s="13" t="s">
        <v>700</v>
      </c>
      <c r="M69" s="66" t="s">
        <v>258</v>
      </c>
      <c r="N69" s="66" t="s">
        <v>379</v>
      </c>
      <c r="O69" s="66" t="s">
        <v>399</v>
      </c>
      <c r="P69" s="0" t="s">
        <v>1065</v>
      </c>
      <c r="Q69" s="66" t="s">
        <v>995</v>
      </c>
    </row>
    <row r="70" customFormat="false" ht="14.25" hidden="false" customHeight="false" outlineLevel="0" collapsed="false">
      <c r="A70" s="13" t="s">
        <v>579</v>
      </c>
      <c r="B70" s="13" t="s">
        <v>579</v>
      </c>
      <c r="C70" s="13" t="s">
        <v>391</v>
      </c>
      <c r="D70" s="61" t="n">
        <v>45963.3416666667</v>
      </c>
      <c r="E70" s="61" t="n">
        <v>45963.3416666667</v>
      </c>
      <c r="F70" s="61" t="n">
        <v>45963.4201388889</v>
      </c>
      <c r="G70" s="62" t="n">
        <v>0.078472222223354</v>
      </c>
      <c r="H70" s="13" t="s">
        <v>248</v>
      </c>
      <c r="J70" s="13" t="s">
        <v>256</v>
      </c>
      <c r="K70" s="13" t="s">
        <v>430</v>
      </c>
      <c r="L70" s="13" t="s">
        <v>700</v>
      </c>
      <c r="M70" s="66" t="s">
        <v>258</v>
      </c>
      <c r="N70" s="66" t="s">
        <v>379</v>
      </c>
      <c r="O70" s="66" t="s">
        <v>399</v>
      </c>
      <c r="P70" s="0" t="s">
        <v>1066</v>
      </c>
      <c r="Q70" s="66" t="s">
        <v>995</v>
      </c>
    </row>
    <row r="71" customFormat="false" ht="14.25" hidden="false" customHeight="false" outlineLevel="0" collapsed="false">
      <c r="A71" s="13" t="s">
        <v>580</v>
      </c>
      <c r="B71" s="13" t="s">
        <v>580</v>
      </c>
      <c r="C71" s="13" t="s">
        <v>396</v>
      </c>
      <c r="D71" s="61" t="n">
        <v>45963.3416666667</v>
      </c>
      <c r="E71" s="61" t="n">
        <v>45963.3416666667</v>
      </c>
      <c r="F71" s="61" t="n">
        <v>45963.4201388889</v>
      </c>
      <c r="G71" s="62" t="n">
        <v>0.078472222223354</v>
      </c>
      <c r="H71" s="13" t="s">
        <v>248</v>
      </c>
      <c r="J71" s="13" t="s">
        <v>256</v>
      </c>
      <c r="K71" s="13" t="s">
        <v>430</v>
      </c>
      <c r="L71" s="13" t="s">
        <v>700</v>
      </c>
      <c r="M71" s="66" t="s">
        <v>258</v>
      </c>
      <c r="N71" s="66" t="s">
        <v>379</v>
      </c>
      <c r="O71" s="66" t="s">
        <v>399</v>
      </c>
      <c r="P71" s="0" t="s">
        <v>1067</v>
      </c>
      <c r="Q71" s="66" t="s">
        <v>995</v>
      </c>
    </row>
    <row r="72" customFormat="false" ht="14.25" hidden="false" customHeight="false" outlineLevel="0" collapsed="false">
      <c r="A72" s="13" t="s">
        <v>580</v>
      </c>
      <c r="B72" s="13" t="s">
        <v>580</v>
      </c>
      <c r="C72" s="13" t="s">
        <v>397</v>
      </c>
      <c r="D72" s="61" t="n">
        <v>45963.3416666667</v>
      </c>
      <c r="E72" s="61" t="n">
        <v>45963.3416666667</v>
      </c>
      <c r="F72" s="61" t="n">
        <v>45963.4201388889</v>
      </c>
      <c r="G72" s="62" t="n">
        <v>0.078472222223354</v>
      </c>
      <c r="H72" s="13" t="s">
        <v>248</v>
      </c>
      <c r="J72" s="13" t="s">
        <v>256</v>
      </c>
      <c r="K72" s="13" t="s">
        <v>430</v>
      </c>
      <c r="L72" s="13" t="s">
        <v>700</v>
      </c>
      <c r="M72" s="66" t="s">
        <v>258</v>
      </c>
      <c r="N72" s="66" t="s">
        <v>379</v>
      </c>
      <c r="O72" s="66" t="s">
        <v>399</v>
      </c>
      <c r="P72" s="0" t="s">
        <v>1068</v>
      </c>
      <c r="Q72" s="66" t="s">
        <v>995</v>
      </c>
    </row>
    <row r="73" customFormat="false" ht="14.25" hidden="false" customHeight="false" outlineLevel="0" collapsed="false">
      <c r="A73" s="13" t="s">
        <v>580</v>
      </c>
      <c r="B73" s="13" t="s">
        <v>580</v>
      </c>
      <c r="C73" s="13" t="s">
        <v>394</v>
      </c>
      <c r="D73" s="61" t="n">
        <v>45963.3416666667</v>
      </c>
      <c r="E73" s="61" t="n">
        <v>45963.3416666667</v>
      </c>
      <c r="F73" s="61" t="n">
        <v>45963.4201388889</v>
      </c>
      <c r="G73" s="62" t="n">
        <v>0.078472222223354</v>
      </c>
      <c r="H73" s="13" t="s">
        <v>248</v>
      </c>
      <c r="J73" s="13" t="s">
        <v>256</v>
      </c>
      <c r="K73" s="13" t="s">
        <v>430</v>
      </c>
      <c r="L73" s="13" t="s">
        <v>700</v>
      </c>
      <c r="M73" s="66" t="s">
        <v>258</v>
      </c>
      <c r="N73" s="66" t="s">
        <v>379</v>
      </c>
      <c r="O73" s="66" t="s">
        <v>399</v>
      </c>
      <c r="P73" s="0" t="s">
        <v>1069</v>
      </c>
      <c r="Q73" s="66" t="s">
        <v>995</v>
      </c>
    </row>
    <row r="74" customFormat="false" ht="14.25" hidden="false" customHeight="false" outlineLevel="0" collapsed="false">
      <c r="A74" s="13" t="s">
        <v>580</v>
      </c>
      <c r="B74" s="13" t="s">
        <v>580</v>
      </c>
      <c r="C74" s="13" t="s">
        <v>395</v>
      </c>
      <c r="D74" s="61" t="n">
        <v>45963.3416666667</v>
      </c>
      <c r="E74" s="61" t="n">
        <v>45963.3416666667</v>
      </c>
      <c r="F74" s="61" t="n">
        <v>45963.4201388889</v>
      </c>
      <c r="G74" s="62" t="n">
        <v>0.078472222223354</v>
      </c>
      <c r="H74" s="13" t="s">
        <v>248</v>
      </c>
      <c r="J74" s="13" t="s">
        <v>256</v>
      </c>
      <c r="K74" s="13" t="s">
        <v>430</v>
      </c>
      <c r="L74" s="13" t="s">
        <v>700</v>
      </c>
      <c r="M74" s="66" t="s">
        <v>258</v>
      </c>
      <c r="N74" s="66" t="s">
        <v>379</v>
      </c>
      <c r="O74" s="66" t="s">
        <v>399</v>
      </c>
      <c r="P74" s="0" t="s">
        <v>1070</v>
      </c>
      <c r="Q74" s="66" t="s">
        <v>995</v>
      </c>
    </row>
    <row r="75" customFormat="false" ht="14.25" hidden="false" customHeight="false" outlineLevel="0" collapsed="false">
      <c r="A75" s="13" t="s">
        <v>580</v>
      </c>
      <c r="B75" s="13" t="s">
        <v>580</v>
      </c>
      <c r="C75" s="13" t="s">
        <v>391</v>
      </c>
      <c r="D75" s="61" t="n">
        <v>45963.3416666667</v>
      </c>
      <c r="E75" s="61" t="n">
        <v>45963.3416666667</v>
      </c>
      <c r="F75" s="61" t="n">
        <v>45963.4201388889</v>
      </c>
      <c r="G75" s="62" t="n">
        <v>0.078472222223354</v>
      </c>
      <c r="H75" s="13" t="s">
        <v>248</v>
      </c>
      <c r="J75" s="13" t="s">
        <v>256</v>
      </c>
      <c r="K75" s="13" t="s">
        <v>430</v>
      </c>
      <c r="L75" s="13" t="s">
        <v>700</v>
      </c>
      <c r="M75" s="66" t="s">
        <v>258</v>
      </c>
      <c r="N75" s="66" t="s">
        <v>379</v>
      </c>
      <c r="O75" s="66" t="s">
        <v>399</v>
      </c>
      <c r="P75" s="0" t="s">
        <v>1071</v>
      </c>
      <c r="Q75" s="66" t="s">
        <v>995</v>
      </c>
    </row>
    <row r="76" customFormat="false" ht="14.25" hidden="false" customHeight="false" outlineLevel="0" collapsed="false">
      <c r="A76" s="13" t="s">
        <v>276</v>
      </c>
      <c r="B76" s="13" t="s">
        <v>276</v>
      </c>
      <c r="C76" s="13" t="s">
        <v>247</v>
      </c>
      <c r="D76" s="61" t="n">
        <v>45963.3569444444</v>
      </c>
      <c r="E76" s="61" t="n">
        <v>45963.3569444444</v>
      </c>
      <c r="F76" s="61" t="n">
        <v>45963.7361111111</v>
      </c>
      <c r="G76" s="62" t="n">
        <v>0.379166666665697</v>
      </c>
      <c r="H76" s="13" t="s">
        <v>248</v>
      </c>
      <c r="J76" s="13" t="s">
        <v>256</v>
      </c>
      <c r="K76" s="13" t="s">
        <v>430</v>
      </c>
      <c r="L76" s="13" t="s">
        <v>1072</v>
      </c>
      <c r="M76" s="66" t="s">
        <v>258</v>
      </c>
      <c r="N76" s="66" t="s">
        <v>379</v>
      </c>
      <c r="O76" s="66" t="s">
        <v>790</v>
      </c>
      <c r="P76" s="0" t="s">
        <v>1073</v>
      </c>
      <c r="Q76" s="66" t="s">
        <v>995</v>
      </c>
    </row>
    <row r="77" customFormat="false" ht="14.25" hidden="false" customHeight="false" outlineLevel="0" collapsed="false">
      <c r="A77" s="13" t="s">
        <v>276</v>
      </c>
      <c r="B77" s="13" t="s">
        <v>276</v>
      </c>
      <c r="C77" s="13" t="s">
        <v>277</v>
      </c>
      <c r="D77" s="61" t="n">
        <v>45963.3569444444</v>
      </c>
      <c r="E77" s="61" t="n">
        <v>45963.3569444444</v>
      </c>
      <c r="F77" s="61" t="n">
        <v>45963.7361111111</v>
      </c>
      <c r="G77" s="62" t="n">
        <v>0.379166666665697</v>
      </c>
      <c r="H77" s="13" t="s">
        <v>248</v>
      </c>
      <c r="J77" s="13" t="s">
        <v>256</v>
      </c>
      <c r="K77" s="13" t="s">
        <v>430</v>
      </c>
      <c r="L77" s="13" t="s">
        <v>1072</v>
      </c>
      <c r="M77" s="66" t="s">
        <v>258</v>
      </c>
      <c r="N77" s="66" t="s">
        <v>379</v>
      </c>
      <c r="O77" s="66" t="s">
        <v>790</v>
      </c>
      <c r="P77" s="0" t="s">
        <v>1074</v>
      </c>
      <c r="Q77" s="66" t="s">
        <v>995</v>
      </c>
    </row>
    <row r="78" customFormat="false" ht="14.25" hidden="false" customHeight="false" outlineLevel="0" collapsed="false">
      <c r="A78" s="13" t="s">
        <v>276</v>
      </c>
      <c r="B78" s="13" t="s">
        <v>276</v>
      </c>
      <c r="C78" s="13" t="s">
        <v>279</v>
      </c>
      <c r="D78" s="61" t="n">
        <v>45963.3569444444</v>
      </c>
      <c r="E78" s="61" t="n">
        <v>45963.3569444444</v>
      </c>
      <c r="F78" s="61" t="n">
        <v>45963.7361111111</v>
      </c>
      <c r="G78" s="62" t="n">
        <v>0.379166666665697</v>
      </c>
      <c r="H78" s="13" t="s">
        <v>248</v>
      </c>
      <c r="J78" s="13" t="s">
        <v>256</v>
      </c>
      <c r="K78" s="13" t="s">
        <v>430</v>
      </c>
      <c r="L78" s="13" t="s">
        <v>1072</v>
      </c>
      <c r="M78" s="66" t="s">
        <v>258</v>
      </c>
      <c r="N78" s="66" t="s">
        <v>379</v>
      </c>
      <c r="O78" s="66" t="s">
        <v>790</v>
      </c>
      <c r="P78" s="0" t="s">
        <v>1075</v>
      </c>
      <c r="Q78" s="66" t="s">
        <v>995</v>
      </c>
    </row>
    <row r="79" customFormat="false" ht="14.25" hidden="false" customHeight="false" outlineLevel="0" collapsed="false">
      <c r="A79" s="13" t="s">
        <v>276</v>
      </c>
      <c r="B79" s="13" t="s">
        <v>276</v>
      </c>
      <c r="C79" s="13" t="s">
        <v>280</v>
      </c>
      <c r="D79" s="61" t="n">
        <v>45963.3569444444</v>
      </c>
      <c r="E79" s="61" t="n">
        <v>45963.3569444444</v>
      </c>
      <c r="F79" s="61" t="n">
        <v>45963.7361111111</v>
      </c>
      <c r="G79" s="62" t="n">
        <v>0.379166666665697</v>
      </c>
      <c r="H79" s="13" t="s">
        <v>248</v>
      </c>
      <c r="J79" s="13" t="s">
        <v>256</v>
      </c>
      <c r="K79" s="13" t="s">
        <v>430</v>
      </c>
      <c r="L79" s="13" t="s">
        <v>1072</v>
      </c>
      <c r="M79" s="66" t="s">
        <v>258</v>
      </c>
      <c r="N79" s="66" t="s">
        <v>379</v>
      </c>
      <c r="O79" s="66" t="s">
        <v>790</v>
      </c>
      <c r="P79" s="0" t="s">
        <v>1076</v>
      </c>
      <c r="Q79" s="66" t="s">
        <v>995</v>
      </c>
    </row>
    <row r="80" customFormat="false" ht="14.25" hidden="false" customHeight="false" outlineLevel="0" collapsed="false">
      <c r="A80" s="13" t="s">
        <v>386</v>
      </c>
      <c r="B80" s="13" t="s">
        <v>386</v>
      </c>
      <c r="C80" s="13" t="s">
        <v>279</v>
      </c>
      <c r="D80" s="61" t="n">
        <v>45963.3569444444</v>
      </c>
      <c r="E80" s="61" t="n">
        <v>45963.3569444444</v>
      </c>
      <c r="F80" s="61" t="n">
        <v>45963.7361111111</v>
      </c>
      <c r="G80" s="62" t="n">
        <v>0.379166666665697</v>
      </c>
      <c r="H80" s="13" t="s">
        <v>248</v>
      </c>
      <c r="J80" s="13" t="s">
        <v>256</v>
      </c>
      <c r="K80" s="13" t="s">
        <v>430</v>
      </c>
      <c r="L80" s="13" t="s">
        <v>1072</v>
      </c>
      <c r="M80" s="66" t="s">
        <v>258</v>
      </c>
      <c r="N80" s="66" t="s">
        <v>379</v>
      </c>
      <c r="O80" s="66" t="s">
        <v>790</v>
      </c>
      <c r="P80" s="0" t="s">
        <v>1077</v>
      </c>
      <c r="Q80" s="66" t="s">
        <v>995</v>
      </c>
    </row>
    <row r="81" customFormat="false" ht="14.25" hidden="false" customHeight="false" outlineLevel="0" collapsed="false">
      <c r="A81" s="13" t="s">
        <v>386</v>
      </c>
      <c r="B81" s="13" t="s">
        <v>386</v>
      </c>
      <c r="C81" s="13" t="s">
        <v>247</v>
      </c>
      <c r="D81" s="61" t="n">
        <v>45963.3569444444</v>
      </c>
      <c r="E81" s="61" t="n">
        <v>45963.3569444444</v>
      </c>
      <c r="F81" s="61" t="n">
        <v>45963.7361111111</v>
      </c>
      <c r="G81" s="62" t="n">
        <v>0.379166666665697</v>
      </c>
      <c r="H81" s="13" t="s">
        <v>248</v>
      </c>
      <c r="J81" s="13" t="s">
        <v>256</v>
      </c>
      <c r="K81" s="13" t="s">
        <v>430</v>
      </c>
      <c r="L81" s="13" t="s">
        <v>1072</v>
      </c>
      <c r="M81" s="66" t="s">
        <v>258</v>
      </c>
      <c r="N81" s="66" t="s">
        <v>379</v>
      </c>
      <c r="O81" s="66" t="s">
        <v>790</v>
      </c>
      <c r="P81" s="0" t="s">
        <v>1078</v>
      </c>
      <c r="Q81" s="66" t="s">
        <v>995</v>
      </c>
    </row>
    <row r="82" customFormat="false" ht="14.25" hidden="false" customHeight="false" outlineLevel="0" collapsed="false">
      <c r="A82" s="13" t="s">
        <v>386</v>
      </c>
      <c r="B82" s="13" t="s">
        <v>386</v>
      </c>
      <c r="C82" s="13" t="s">
        <v>280</v>
      </c>
      <c r="D82" s="61" t="n">
        <v>45963.3569444444</v>
      </c>
      <c r="E82" s="61" t="n">
        <v>45963.3569444444</v>
      </c>
      <c r="F82" s="61" t="n">
        <v>45963.7361111111</v>
      </c>
      <c r="G82" s="62" t="n">
        <v>0.379166666665697</v>
      </c>
      <c r="H82" s="13" t="s">
        <v>248</v>
      </c>
      <c r="J82" s="13" t="s">
        <v>256</v>
      </c>
      <c r="K82" s="13" t="s">
        <v>430</v>
      </c>
      <c r="L82" s="13" t="s">
        <v>1072</v>
      </c>
      <c r="M82" s="66" t="s">
        <v>258</v>
      </c>
      <c r="N82" s="66" t="s">
        <v>379</v>
      </c>
      <c r="O82" s="66" t="s">
        <v>790</v>
      </c>
      <c r="P82" s="0" t="s">
        <v>1079</v>
      </c>
      <c r="Q82" s="66" t="s">
        <v>995</v>
      </c>
    </row>
    <row r="83" customFormat="false" ht="14.25" hidden="false" customHeight="false" outlineLevel="0" collapsed="false">
      <c r="A83" s="13" t="s">
        <v>386</v>
      </c>
      <c r="B83" s="13" t="s">
        <v>386</v>
      </c>
      <c r="C83" s="13" t="s">
        <v>277</v>
      </c>
      <c r="D83" s="61" t="n">
        <v>45963.3569444444</v>
      </c>
      <c r="E83" s="61" t="n">
        <v>45963.3569444444</v>
      </c>
      <c r="F83" s="61" t="n">
        <v>45963.7361111111</v>
      </c>
      <c r="G83" s="62" t="n">
        <v>0.379166666665697</v>
      </c>
      <c r="H83" s="13" t="s">
        <v>248</v>
      </c>
      <c r="J83" s="13" t="s">
        <v>256</v>
      </c>
      <c r="K83" s="13" t="s">
        <v>430</v>
      </c>
      <c r="L83" s="13" t="s">
        <v>1072</v>
      </c>
      <c r="M83" s="66" t="s">
        <v>258</v>
      </c>
      <c r="N83" s="66" t="s">
        <v>379</v>
      </c>
      <c r="O83" s="66" t="s">
        <v>790</v>
      </c>
      <c r="P83" s="0" t="s">
        <v>1080</v>
      </c>
      <c r="Q83" s="66" t="s">
        <v>995</v>
      </c>
    </row>
    <row r="84" customFormat="false" ht="14.25" hidden="false" customHeight="false" outlineLevel="0" collapsed="false">
      <c r="A84" s="13" t="s">
        <v>814</v>
      </c>
      <c r="B84" s="13" t="s">
        <v>542</v>
      </c>
      <c r="C84" s="13" t="s">
        <v>543</v>
      </c>
      <c r="D84" s="61" t="n">
        <v>45963.4618055556</v>
      </c>
      <c r="E84" s="61" t="n">
        <v>45963.4618055556</v>
      </c>
      <c r="F84" s="61" t="n">
        <v>45963.5416666667</v>
      </c>
      <c r="G84" s="62" t="n">
        <v>0.0798611111094942</v>
      </c>
      <c r="H84" s="13" t="s">
        <v>248</v>
      </c>
      <c r="J84" s="13" t="s">
        <v>256</v>
      </c>
      <c r="K84" s="13" t="s">
        <v>430</v>
      </c>
      <c r="L84" s="13" t="s">
        <v>700</v>
      </c>
      <c r="M84" s="66" t="s">
        <v>258</v>
      </c>
      <c r="N84" s="66" t="s">
        <v>379</v>
      </c>
      <c r="O84" s="66" t="s">
        <v>399</v>
      </c>
      <c r="P84" s="0" t="s">
        <v>1081</v>
      </c>
      <c r="Q84" s="66" t="s">
        <v>995</v>
      </c>
    </row>
    <row r="85" customFormat="false" ht="14.25" hidden="false" customHeight="false" outlineLevel="0" collapsed="false">
      <c r="A85" s="13" t="s">
        <v>814</v>
      </c>
      <c r="B85" s="13" t="s">
        <v>542</v>
      </c>
      <c r="C85" s="13" t="s">
        <v>545</v>
      </c>
      <c r="D85" s="61" t="n">
        <v>45963.4618055556</v>
      </c>
      <c r="E85" s="61" t="n">
        <v>45963.4618055556</v>
      </c>
      <c r="F85" s="61" t="n">
        <v>45963.5416666667</v>
      </c>
      <c r="G85" s="62" t="n">
        <v>0.0798611111094942</v>
      </c>
      <c r="H85" s="13" t="s">
        <v>248</v>
      </c>
      <c r="J85" s="13" t="s">
        <v>256</v>
      </c>
      <c r="K85" s="13" t="s">
        <v>430</v>
      </c>
      <c r="L85" s="13" t="s">
        <v>700</v>
      </c>
      <c r="M85" s="66" t="s">
        <v>258</v>
      </c>
      <c r="N85" s="66" t="s">
        <v>379</v>
      </c>
      <c r="O85" s="66" t="s">
        <v>399</v>
      </c>
      <c r="P85" s="0" t="s">
        <v>1082</v>
      </c>
      <c r="Q85" s="66" t="s">
        <v>995</v>
      </c>
    </row>
    <row r="86" customFormat="false" ht="14.25" hidden="false" customHeight="false" outlineLevel="0" collapsed="false">
      <c r="A86" s="13" t="s">
        <v>814</v>
      </c>
      <c r="B86" s="13" t="s">
        <v>542</v>
      </c>
      <c r="C86" s="13" t="s">
        <v>546</v>
      </c>
      <c r="D86" s="61" t="n">
        <v>45963.4618055556</v>
      </c>
      <c r="E86" s="61" t="n">
        <v>45963.4618055556</v>
      </c>
      <c r="F86" s="61" t="n">
        <v>45963.5416666667</v>
      </c>
      <c r="G86" s="62" t="n">
        <v>0.0798611111094942</v>
      </c>
      <c r="H86" s="13" t="s">
        <v>248</v>
      </c>
      <c r="J86" s="13" t="s">
        <v>256</v>
      </c>
      <c r="K86" s="13" t="s">
        <v>430</v>
      </c>
      <c r="L86" s="13" t="s">
        <v>700</v>
      </c>
      <c r="M86" s="66" t="s">
        <v>258</v>
      </c>
      <c r="N86" s="66" t="s">
        <v>379</v>
      </c>
      <c r="O86" s="66" t="s">
        <v>399</v>
      </c>
      <c r="P86" s="0" t="s">
        <v>1083</v>
      </c>
      <c r="Q86" s="66" t="s">
        <v>995</v>
      </c>
    </row>
    <row r="87" customFormat="false" ht="14.25" hidden="false" customHeight="false" outlineLevel="0" collapsed="false">
      <c r="A87" s="13" t="s">
        <v>814</v>
      </c>
      <c r="B87" s="13" t="s">
        <v>542</v>
      </c>
      <c r="C87" s="13" t="s">
        <v>547</v>
      </c>
      <c r="D87" s="61" t="n">
        <v>45963.4618055556</v>
      </c>
      <c r="E87" s="61" t="n">
        <v>45963.4618055556</v>
      </c>
      <c r="F87" s="61" t="n">
        <v>45963.5416666667</v>
      </c>
      <c r="G87" s="62" t="n">
        <v>0.0798611111094942</v>
      </c>
      <c r="H87" s="13" t="s">
        <v>248</v>
      </c>
      <c r="J87" s="13" t="s">
        <v>256</v>
      </c>
      <c r="K87" s="13" t="s">
        <v>430</v>
      </c>
      <c r="L87" s="13" t="s">
        <v>700</v>
      </c>
      <c r="M87" s="66" t="s">
        <v>258</v>
      </c>
      <c r="N87" s="66" t="s">
        <v>379</v>
      </c>
      <c r="O87" s="66" t="s">
        <v>399</v>
      </c>
      <c r="P87" s="0" t="s">
        <v>1084</v>
      </c>
      <c r="Q87" s="66" t="s">
        <v>995</v>
      </c>
    </row>
    <row r="88" customFormat="false" ht="14.25" hidden="false" customHeight="false" outlineLevel="0" collapsed="false">
      <c r="A88" s="13" t="s">
        <v>814</v>
      </c>
      <c r="B88" s="13" t="s">
        <v>542</v>
      </c>
      <c r="C88" s="13" t="s">
        <v>548</v>
      </c>
      <c r="D88" s="61" t="n">
        <v>45963.4618055556</v>
      </c>
      <c r="E88" s="61" t="n">
        <v>45963.4618055556</v>
      </c>
      <c r="F88" s="61" t="n">
        <v>45963.5416666667</v>
      </c>
      <c r="G88" s="62" t="n">
        <v>0.0798611111094942</v>
      </c>
      <c r="H88" s="13" t="s">
        <v>248</v>
      </c>
      <c r="J88" s="13" t="s">
        <v>256</v>
      </c>
      <c r="K88" s="13" t="s">
        <v>430</v>
      </c>
      <c r="L88" s="13" t="s">
        <v>700</v>
      </c>
      <c r="M88" s="66" t="s">
        <v>258</v>
      </c>
      <c r="N88" s="66" t="s">
        <v>379</v>
      </c>
      <c r="O88" s="66" t="s">
        <v>399</v>
      </c>
      <c r="P88" s="0" t="s">
        <v>1085</v>
      </c>
      <c r="Q88" s="66" t="s">
        <v>995</v>
      </c>
    </row>
    <row r="89" customFormat="false" ht="14.25" hidden="false" customHeight="false" outlineLevel="0" collapsed="false">
      <c r="A89" s="13" t="s">
        <v>814</v>
      </c>
      <c r="B89" s="13" t="s">
        <v>542</v>
      </c>
      <c r="C89" s="13" t="s">
        <v>549</v>
      </c>
      <c r="D89" s="61" t="n">
        <v>45963.4618055556</v>
      </c>
      <c r="E89" s="61" t="n">
        <v>45963.4618055556</v>
      </c>
      <c r="F89" s="61" t="n">
        <v>45963.5416666667</v>
      </c>
      <c r="G89" s="62" t="n">
        <v>0.0798611111094942</v>
      </c>
      <c r="H89" s="13" t="s">
        <v>248</v>
      </c>
      <c r="J89" s="13" t="s">
        <v>256</v>
      </c>
      <c r="K89" s="13" t="s">
        <v>430</v>
      </c>
      <c r="L89" s="13" t="s">
        <v>700</v>
      </c>
      <c r="M89" s="66" t="s">
        <v>258</v>
      </c>
      <c r="N89" s="66" t="s">
        <v>379</v>
      </c>
      <c r="O89" s="66" t="s">
        <v>399</v>
      </c>
      <c r="P89" s="0" t="s">
        <v>1086</v>
      </c>
      <c r="Q89" s="66" t="s">
        <v>995</v>
      </c>
    </row>
    <row r="90" customFormat="false" ht="14.25" hidden="false" customHeight="false" outlineLevel="0" collapsed="false">
      <c r="A90" s="13" t="s">
        <v>814</v>
      </c>
      <c r="B90" s="13" t="s">
        <v>542</v>
      </c>
      <c r="C90" s="13" t="s">
        <v>550</v>
      </c>
      <c r="D90" s="61" t="n">
        <v>45963.4618055556</v>
      </c>
      <c r="E90" s="61" t="n">
        <v>45963.4618055556</v>
      </c>
      <c r="F90" s="61" t="n">
        <v>45963.5416666667</v>
      </c>
      <c r="G90" s="62" t="n">
        <v>0.0798611111094942</v>
      </c>
      <c r="H90" s="13" t="s">
        <v>248</v>
      </c>
      <c r="J90" s="13" t="s">
        <v>256</v>
      </c>
      <c r="K90" s="13" t="s">
        <v>430</v>
      </c>
      <c r="L90" s="13" t="s">
        <v>700</v>
      </c>
      <c r="M90" s="66" t="s">
        <v>258</v>
      </c>
      <c r="N90" s="66" t="s">
        <v>379</v>
      </c>
      <c r="O90" s="66" t="s">
        <v>399</v>
      </c>
      <c r="P90" s="0" t="s">
        <v>1087</v>
      </c>
      <c r="Q90" s="66" t="s">
        <v>995</v>
      </c>
    </row>
    <row r="91" customFormat="false" ht="14.25" hidden="false" customHeight="false" outlineLevel="0" collapsed="false">
      <c r="A91" s="13" t="s">
        <v>814</v>
      </c>
      <c r="B91" s="13" t="s">
        <v>542</v>
      </c>
      <c r="C91" s="13" t="s">
        <v>551</v>
      </c>
      <c r="D91" s="61" t="n">
        <v>45963.4618055556</v>
      </c>
      <c r="E91" s="61" t="n">
        <v>45963.4618055556</v>
      </c>
      <c r="F91" s="61" t="n">
        <v>45963.5416666667</v>
      </c>
      <c r="G91" s="62" t="n">
        <v>0.0798611111094942</v>
      </c>
      <c r="H91" s="13" t="s">
        <v>248</v>
      </c>
      <c r="J91" s="13" t="s">
        <v>256</v>
      </c>
      <c r="K91" s="13" t="s">
        <v>430</v>
      </c>
      <c r="L91" s="13" t="s">
        <v>700</v>
      </c>
      <c r="M91" s="66" t="s">
        <v>258</v>
      </c>
      <c r="N91" s="66" t="s">
        <v>379</v>
      </c>
      <c r="O91" s="66" t="s">
        <v>399</v>
      </c>
      <c r="P91" s="0" t="s">
        <v>1088</v>
      </c>
      <c r="Q91" s="66" t="s">
        <v>995</v>
      </c>
    </row>
    <row r="92" customFormat="false" ht="14.25" hidden="false" customHeight="false" outlineLevel="0" collapsed="false">
      <c r="A92" s="13" t="s">
        <v>815</v>
      </c>
      <c r="B92" s="13" t="s">
        <v>542</v>
      </c>
      <c r="C92" s="13" t="s">
        <v>552</v>
      </c>
      <c r="D92" s="61" t="n">
        <v>45963.4618055556</v>
      </c>
      <c r="E92" s="61" t="n">
        <v>45963.4618055556</v>
      </c>
      <c r="F92" s="61" t="n">
        <v>45963.5416666667</v>
      </c>
      <c r="G92" s="62" t="n">
        <v>0.0798611111094942</v>
      </c>
      <c r="H92" s="13" t="s">
        <v>248</v>
      </c>
      <c r="J92" s="13" t="s">
        <v>256</v>
      </c>
      <c r="K92" s="13" t="s">
        <v>430</v>
      </c>
      <c r="L92" s="13" t="s">
        <v>700</v>
      </c>
      <c r="M92" s="66" t="s">
        <v>258</v>
      </c>
      <c r="N92" s="66" t="s">
        <v>379</v>
      </c>
      <c r="O92" s="66" t="s">
        <v>399</v>
      </c>
      <c r="P92" s="0" t="s">
        <v>1089</v>
      </c>
      <c r="Q92" s="66" t="s">
        <v>995</v>
      </c>
    </row>
    <row r="93" customFormat="false" ht="14.25" hidden="false" customHeight="false" outlineLevel="0" collapsed="false">
      <c r="A93" s="13" t="s">
        <v>815</v>
      </c>
      <c r="B93" s="13" t="s">
        <v>542</v>
      </c>
      <c r="C93" s="13" t="s">
        <v>553</v>
      </c>
      <c r="D93" s="61" t="n">
        <v>45963.4618055556</v>
      </c>
      <c r="E93" s="61" t="n">
        <v>45963.4618055556</v>
      </c>
      <c r="F93" s="61" t="n">
        <v>45963.5416666667</v>
      </c>
      <c r="G93" s="62" t="n">
        <v>0.0798611111094942</v>
      </c>
      <c r="H93" s="13" t="s">
        <v>248</v>
      </c>
      <c r="J93" s="13" t="s">
        <v>256</v>
      </c>
      <c r="K93" s="13" t="s">
        <v>430</v>
      </c>
      <c r="L93" s="13" t="s">
        <v>700</v>
      </c>
      <c r="M93" s="66" t="s">
        <v>258</v>
      </c>
      <c r="N93" s="66" t="s">
        <v>379</v>
      </c>
      <c r="O93" s="66" t="s">
        <v>399</v>
      </c>
      <c r="P93" s="0" t="s">
        <v>1090</v>
      </c>
      <c r="Q93" s="66" t="s">
        <v>995</v>
      </c>
    </row>
    <row r="94" customFormat="false" ht="14.25" hidden="false" customHeight="false" outlineLevel="0" collapsed="false">
      <c r="A94" s="13" t="s">
        <v>815</v>
      </c>
      <c r="B94" s="13" t="s">
        <v>542</v>
      </c>
      <c r="C94" s="13" t="s">
        <v>554</v>
      </c>
      <c r="D94" s="61" t="n">
        <v>45963.4618055556</v>
      </c>
      <c r="E94" s="61" t="n">
        <v>45963.4618055556</v>
      </c>
      <c r="F94" s="61" t="n">
        <v>45963.5416666667</v>
      </c>
      <c r="G94" s="62" t="n">
        <v>0.0798611111094942</v>
      </c>
      <c r="H94" s="13" t="s">
        <v>248</v>
      </c>
      <c r="J94" s="13" t="s">
        <v>256</v>
      </c>
      <c r="K94" s="13" t="s">
        <v>430</v>
      </c>
      <c r="L94" s="13" t="s">
        <v>700</v>
      </c>
      <c r="M94" s="66" t="s">
        <v>258</v>
      </c>
      <c r="N94" s="66" t="s">
        <v>379</v>
      </c>
      <c r="O94" s="66" t="s">
        <v>399</v>
      </c>
      <c r="P94" s="0" t="s">
        <v>1091</v>
      </c>
      <c r="Q94" s="66" t="s">
        <v>995</v>
      </c>
    </row>
    <row r="95" customFormat="false" ht="14.25" hidden="false" customHeight="false" outlineLevel="0" collapsed="false">
      <c r="A95" s="13" t="s">
        <v>815</v>
      </c>
      <c r="B95" s="13" t="s">
        <v>542</v>
      </c>
      <c r="C95" s="13" t="s">
        <v>555</v>
      </c>
      <c r="D95" s="61" t="n">
        <v>45963.4618055556</v>
      </c>
      <c r="E95" s="61" t="n">
        <v>45963.4618055556</v>
      </c>
      <c r="F95" s="61" t="n">
        <v>45963.5416666667</v>
      </c>
      <c r="G95" s="62" t="n">
        <v>0.0798611111094942</v>
      </c>
      <c r="H95" s="13" t="s">
        <v>248</v>
      </c>
      <c r="J95" s="13" t="s">
        <v>256</v>
      </c>
      <c r="K95" s="13" t="s">
        <v>430</v>
      </c>
      <c r="L95" s="13" t="s">
        <v>700</v>
      </c>
      <c r="M95" s="66" t="s">
        <v>258</v>
      </c>
      <c r="N95" s="66" t="s">
        <v>379</v>
      </c>
      <c r="O95" s="66" t="s">
        <v>399</v>
      </c>
      <c r="P95" s="0" t="s">
        <v>1092</v>
      </c>
      <c r="Q95" s="66" t="s">
        <v>995</v>
      </c>
    </row>
    <row r="96" customFormat="false" ht="14.25" hidden="false" customHeight="false" outlineLevel="0" collapsed="false">
      <c r="A96" s="13" t="s">
        <v>815</v>
      </c>
      <c r="B96" s="13" t="s">
        <v>542</v>
      </c>
      <c r="C96" s="13" t="s">
        <v>556</v>
      </c>
      <c r="D96" s="61" t="n">
        <v>45963.4618055556</v>
      </c>
      <c r="E96" s="61" t="n">
        <v>45963.4618055556</v>
      </c>
      <c r="F96" s="61" t="n">
        <v>45963.5416666667</v>
      </c>
      <c r="G96" s="62" t="n">
        <v>0.0798611111094942</v>
      </c>
      <c r="H96" s="13" t="s">
        <v>248</v>
      </c>
      <c r="J96" s="13" t="s">
        <v>256</v>
      </c>
      <c r="K96" s="13" t="s">
        <v>430</v>
      </c>
      <c r="L96" s="13" t="s">
        <v>700</v>
      </c>
      <c r="M96" s="66" t="s">
        <v>258</v>
      </c>
      <c r="N96" s="66" t="s">
        <v>379</v>
      </c>
      <c r="O96" s="66" t="s">
        <v>399</v>
      </c>
      <c r="P96" s="0" t="s">
        <v>1093</v>
      </c>
      <c r="Q96" s="66" t="s">
        <v>995</v>
      </c>
    </row>
    <row r="97" customFormat="false" ht="14.25" hidden="false" customHeight="false" outlineLevel="0" collapsed="false">
      <c r="A97" s="13" t="s">
        <v>815</v>
      </c>
      <c r="B97" s="13" t="s">
        <v>542</v>
      </c>
      <c r="C97" s="13" t="s">
        <v>557</v>
      </c>
      <c r="D97" s="61" t="n">
        <v>45963.4618055556</v>
      </c>
      <c r="E97" s="61" t="n">
        <v>45963.4618055556</v>
      </c>
      <c r="F97" s="61" t="n">
        <v>45963.5416666667</v>
      </c>
      <c r="G97" s="62" t="n">
        <v>0.0798611111094942</v>
      </c>
      <c r="H97" s="13" t="s">
        <v>248</v>
      </c>
      <c r="J97" s="13" t="s">
        <v>256</v>
      </c>
      <c r="K97" s="13" t="s">
        <v>430</v>
      </c>
      <c r="L97" s="13" t="s">
        <v>700</v>
      </c>
      <c r="M97" s="66" t="s">
        <v>258</v>
      </c>
      <c r="N97" s="66" t="s">
        <v>379</v>
      </c>
      <c r="O97" s="66" t="s">
        <v>399</v>
      </c>
      <c r="P97" s="0" t="s">
        <v>1094</v>
      </c>
      <c r="Q97" s="66" t="s">
        <v>995</v>
      </c>
    </row>
    <row r="98" customFormat="false" ht="14.25" hidden="false" customHeight="false" outlineLevel="0" collapsed="false">
      <c r="A98" s="13" t="s">
        <v>815</v>
      </c>
      <c r="B98" s="13" t="s">
        <v>542</v>
      </c>
      <c r="C98" s="13" t="s">
        <v>558</v>
      </c>
      <c r="D98" s="61" t="n">
        <v>45963.4618055556</v>
      </c>
      <c r="E98" s="61" t="n">
        <v>45963.4618055556</v>
      </c>
      <c r="F98" s="61" t="n">
        <v>45963.5416666667</v>
      </c>
      <c r="G98" s="62" t="n">
        <v>0.0798611111094942</v>
      </c>
      <c r="H98" s="13" t="s">
        <v>248</v>
      </c>
      <c r="J98" s="13" t="s">
        <v>256</v>
      </c>
      <c r="K98" s="13" t="s">
        <v>430</v>
      </c>
      <c r="L98" s="13" t="s">
        <v>700</v>
      </c>
      <c r="M98" s="66" t="s">
        <v>258</v>
      </c>
      <c r="N98" s="66" t="s">
        <v>379</v>
      </c>
      <c r="O98" s="66" t="s">
        <v>399</v>
      </c>
      <c r="P98" s="0" t="s">
        <v>1095</v>
      </c>
      <c r="Q98" s="66" t="s">
        <v>995</v>
      </c>
    </row>
    <row r="99" customFormat="false" ht="14.25" hidden="false" customHeight="false" outlineLevel="0" collapsed="false">
      <c r="A99" s="13" t="s">
        <v>828</v>
      </c>
      <c r="B99" s="13" t="s">
        <v>542</v>
      </c>
      <c r="C99" s="13" t="s">
        <v>559</v>
      </c>
      <c r="D99" s="61" t="n">
        <v>45963.4618055556</v>
      </c>
      <c r="E99" s="61" t="n">
        <v>45963.4618055556</v>
      </c>
      <c r="F99" s="61" t="n">
        <v>45963.5416666667</v>
      </c>
      <c r="G99" s="62" t="n">
        <v>0.0798611111094942</v>
      </c>
      <c r="H99" s="13" t="s">
        <v>248</v>
      </c>
      <c r="J99" s="13" t="s">
        <v>256</v>
      </c>
      <c r="K99" s="13" t="s">
        <v>430</v>
      </c>
      <c r="L99" s="13" t="s">
        <v>700</v>
      </c>
      <c r="M99" s="66" t="s">
        <v>258</v>
      </c>
      <c r="N99" s="66" t="s">
        <v>379</v>
      </c>
      <c r="O99" s="66" t="s">
        <v>399</v>
      </c>
      <c r="P99" s="0" t="s">
        <v>1096</v>
      </c>
      <c r="Q99" s="66" t="s">
        <v>995</v>
      </c>
    </row>
    <row r="100" customFormat="false" ht="14.25" hidden="false" customHeight="false" outlineLevel="0" collapsed="false">
      <c r="A100" s="13" t="s">
        <v>828</v>
      </c>
      <c r="B100" s="13" t="s">
        <v>542</v>
      </c>
      <c r="C100" s="13" t="s">
        <v>560</v>
      </c>
      <c r="D100" s="61" t="n">
        <v>45963.4618055556</v>
      </c>
      <c r="E100" s="61" t="n">
        <v>45963.4618055556</v>
      </c>
      <c r="F100" s="61" t="n">
        <v>45963.5416666667</v>
      </c>
      <c r="G100" s="62" t="n">
        <v>0.0798611111094942</v>
      </c>
      <c r="H100" s="13" t="s">
        <v>248</v>
      </c>
      <c r="J100" s="13" t="s">
        <v>256</v>
      </c>
      <c r="K100" s="13" t="s">
        <v>430</v>
      </c>
      <c r="L100" s="13" t="s">
        <v>700</v>
      </c>
      <c r="M100" s="66" t="s">
        <v>258</v>
      </c>
      <c r="N100" s="66" t="s">
        <v>379</v>
      </c>
      <c r="O100" s="66" t="s">
        <v>399</v>
      </c>
      <c r="P100" s="0" t="s">
        <v>1097</v>
      </c>
      <c r="Q100" s="66" t="s">
        <v>995</v>
      </c>
    </row>
    <row r="101" customFormat="false" ht="14.25" hidden="false" customHeight="false" outlineLevel="0" collapsed="false">
      <c r="A101" s="13" t="s">
        <v>828</v>
      </c>
      <c r="B101" s="13" t="s">
        <v>542</v>
      </c>
      <c r="C101" s="13" t="s">
        <v>561</v>
      </c>
      <c r="D101" s="61" t="n">
        <v>45963.4618055556</v>
      </c>
      <c r="E101" s="61" t="n">
        <v>45963.4618055556</v>
      </c>
      <c r="F101" s="61" t="n">
        <v>45963.5416666667</v>
      </c>
      <c r="G101" s="62" t="n">
        <v>0.0798611111094942</v>
      </c>
      <c r="H101" s="13" t="s">
        <v>248</v>
      </c>
      <c r="J101" s="13" t="s">
        <v>256</v>
      </c>
      <c r="K101" s="13" t="s">
        <v>430</v>
      </c>
      <c r="L101" s="13" t="s">
        <v>700</v>
      </c>
      <c r="M101" s="66" t="s">
        <v>258</v>
      </c>
      <c r="N101" s="66" t="s">
        <v>379</v>
      </c>
      <c r="O101" s="66" t="s">
        <v>399</v>
      </c>
      <c r="P101" s="0" t="s">
        <v>1098</v>
      </c>
      <c r="Q101" s="66" t="s">
        <v>995</v>
      </c>
    </row>
    <row r="102" customFormat="false" ht="14.25" hidden="false" customHeight="false" outlineLevel="0" collapsed="false">
      <c r="A102" s="13" t="s">
        <v>828</v>
      </c>
      <c r="B102" s="13" t="s">
        <v>542</v>
      </c>
      <c r="C102" s="13" t="s">
        <v>562</v>
      </c>
      <c r="D102" s="61" t="n">
        <v>45963.4618055556</v>
      </c>
      <c r="E102" s="61" t="n">
        <v>45963.4618055556</v>
      </c>
      <c r="F102" s="61" t="n">
        <v>45963.5416666667</v>
      </c>
      <c r="G102" s="62" t="n">
        <v>0.0798611111094942</v>
      </c>
      <c r="H102" s="13" t="s">
        <v>248</v>
      </c>
      <c r="J102" s="13" t="s">
        <v>256</v>
      </c>
      <c r="K102" s="13" t="s">
        <v>430</v>
      </c>
      <c r="L102" s="13" t="s">
        <v>700</v>
      </c>
      <c r="M102" s="66" t="s">
        <v>258</v>
      </c>
      <c r="N102" s="66" t="s">
        <v>379</v>
      </c>
      <c r="O102" s="66" t="s">
        <v>399</v>
      </c>
      <c r="P102" s="0" t="s">
        <v>1099</v>
      </c>
      <c r="Q102" s="66" t="s">
        <v>995</v>
      </c>
    </row>
    <row r="103" customFormat="false" ht="14.25" hidden="false" customHeight="false" outlineLevel="0" collapsed="false">
      <c r="A103" s="13" t="s">
        <v>828</v>
      </c>
      <c r="B103" s="13" t="s">
        <v>542</v>
      </c>
      <c r="C103" s="13" t="s">
        <v>563</v>
      </c>
      <c r="D103" s="61" t="n">
        <v>45963.4618055556</v>
      </c>
      <c r="E103" s="61" t="n">
        <v>45963.4618055556</v>
      </c>
      <c r="F103" s="61" t="n">
        <v>45963.5416666667</v>
      </c>
      <c r="G103" s="62" t="n">
        <v>0.0798611111094942</v>
      </c>
      <c r="H103" s="13" t="s">
        <v>248</v>
      </c>
      <c r="J103" s="13" t="s">
        <v>256</v>
      </c>
      <c r="K103" s="13" t="s">
        <v>430</v>
      </c>
      <c r="L103" s="13" t="s">
        <v>700</v>
      </c>
      <c r="M103" s="66" t="s">
        <v>258</v>
      </c>
      <c r="N103" s="66" t="s">
        <v>379</v>
      </c>
      <c r="O103" s="66" t="s">
        <v>399</v>
      </c>
      <c r="P103" s="0" t="s">
        <v>1100</v>
      </c>
      <c r="Q103" s="66" t="s">
        <v>995</v>
      </c>
    </row>
    <row r="104" customFormat="false" ht="14.25" hidden="false" customHeight="false" outlineLevel="0" collapsed="false">
      <c r="A104" s="13" t="s">
        <v>829</v>
      </c>
      <c r="B104" s="13" t="s">
        <v>542</v>
      </c>
      <c r="C104" s="13" t="s">
        <v>564</v>
      </c>
      <c r="D104" s="61" t="n">
        <v>45963.4618055556</v>
      </c>
      <c r="E104" s="61" t="n">
        <v>45963.4618055556</v>
      </c>
      <c r="F104" s="61" t="n">
        <v>45963.5416666667</v>
      </c>
      <c r="G104" s="62" t="n">
        <v>0.0798611111094942</v>
      </c>
      <c r="H104" s="13" t="s">
        <v>248</v>
      </c>
      <c r="J104" s="13" t="s">
        <v>256</v>
      </c>
      <c r="K104" s="13" t="s">
        <v>430</v>
      </c>
      <c r="L104" s="13" t="s">
        <v>700</v>
      </c>
      <c r="M104" s="66" t="s">
        <v>258</v>
      </c>
      <c r="N104" s="66" t="s">
        <v>379</v>
      </c>
      <c r="O104" s="66" t="s">
        <v>399</v>
      </c>
      <c r="P104" s="0" t="s">
        <v>1101</v>
      </c>
      <c r="Q104" s="66" t="s">
        <v>995</v>
      </c>
    </row>
    <row r="105" customFormat="false" ht="14.25" hidden="false" customHeight="false" outlineLevel="0" collapsed="false">
      <c r="A105" s="13" t="s">
        <v>829</v>
      </c>
      <c r="B105" s="13" t="s">
        <v>542</v>
      </c>
      <c r="C105" s="13" t="s">
        <v>565</v>
      </c>
      <c r="D105" s="61" t="n">
        <v>45963.4618055556</v>
      </c>
      <c r="E105" s="61" t="n">
        <v>45963.4618055556</v>
      </c>
      <c r="F105" s="61" t="n">
        <v>45963.5416666667</v>
      </c>
      <c r="G105" s="62" t="n">
        <v>0.0798611111094942</v>
      </c>
      <c r="H105" s="13" t="s">
        <v>248</v>
      </c>
      <c r="J105" s="13" t="s">
        <v>256</v>
      </c>
      <c r="K105" s="13" t="s">
        <v>430</v>
      </c>
      <c r="L105" s="13" t="s">
        <v>700</v>
      </c>
      <c r="M105" s="66" t="s">
        <v>258</v>
      </c>
      <c r="N105" s="66" t="s">
        <v>379</v>
      </c>
      <c r="O105" s="66" t="s">
        <v>399</v>
      </c>
      <c r="P105" s="0" t="s">
        <v>1102</v>
      </c>
      <c r="Q105" s="66" t="s">
        <v>995</v>
      </c>
    </row>
    <row r="106" customFormat="false" ht="14.25" hidden="false" customHeight="false" outlineLevel="0" collapsed="false">
      <c r="A106" s="13" t="s">
        <v>829</v>
      </c>
      <c r="B106" s="13" t="s">
        <v>542</v>
      </c>
      <c r="C106" s="13" t="s">
        <v>566</v>
      </c>
      <c r="D106" s="61" t="n">
        <v>45963.4618055556</v>
      </c>
      <c r="E106" s="61" t="n">
        <v>45963.4618055556</v>
      </c>
      <c r="F106" s="61" t="n">
        <v>45963.5416666667</v>
      </c>
      <c r="G106" s="62" t="n">
        <v>0.0798611111094942</v>
      </c>
      <c r="H106" s="13" t="s">
        <v>248</v>
      </c>
      <c r="J106" s="13" t="s">
        <v>256</v>
      </c>
      <c r="K106" s="13" t="s">
        <v>430</v>
      </c>
      <c r="L106" s="13" t="s">
        <v>700</v>
      </c>
      <c r="M106" s="66" t="s">
        <v>258</v>
      </c>
      <c r="N106" s="66" t="s">
        <v>379</v>
      </c>
      <c r="O106" s="66" t="s">
        <v>399</v>
      </c>
      <c r="P106" s="0" t="s">
        <v>1103</v>
      </c>
      <c r="Q106" s="66" t="s">
        <v>995</v>
      </c>
    </row>
    <row r="107" customFormat="false" ht="14.25" hidden="false" customHeight="false" outlineLevel="0" collapsed="false">
      <c r="A107" s="13" t="s">
        <v>829</v>
      </c>
      <c r="B107" s="13" t="s">
        <v>542</v>
      </c>
      <c r="C107" s="13" t="s">
        <v>567</v>
      </c>
      <c r="D107" s="61" t="n">
        <v>45963.4618055556</v>
      </c>
      <c r="E107" s="61" t="n">
        <v>45963.4618055556</v>
      </c>
      <c r="F107" s="61" t="n">
        <v>45963.5416666667</v>
      </c>
      <c r="G107" s="62" t="n">
        <v>0.0798611111094942</v>
      </c>
      <c r="H107" s="13" t="s">
        <v>248</v>
      </c>
      <c r="J107" s="13" t="s">
        <v>256</v>
      </c>
      <c r="K107" s="13" t="s">
        <v>430</v>
      </c>
      <c r="L107" s="13" t="s">
        <v>700</v>
      </c>
      <c r="M107" s="66" t="s">
        <v>258</v>
      </c>
      <c r="N107" s="66" t="s">
        <v>379</v>
      </c>
      <c r="O107" s="66" t="s">
        <v>399</v>
      </c>
      <c r="P107" s="0" t="s">
        <v>1104</v>
      </c>
      <c r="Q107" s="66" t="s">
        <v>995</v>
      </c>
    </row>
    <row r="108" customFormat="false" ht="14.25" hidden="false" customHeight="false" outlineLevel="0" collapsed="false">
      <c r="A108" s="13" t="s">
        <v>830</v>
      </c>
      <c r="B108" s="13" t="s">
        <v>542</v>
      </c>
      <c r="C108" s="13" t="s">
        <v>568</v>
      </c>
      <c r="D108" s="61" t="n">
        <v>45963.4618055556</v>
      </c>
      <c r="E108" s="61" t="n">
        <v>45963.4618055556</v>
      </c>
      <c r="F108" s="61" t="n">
        <v>45963.5416666667</v>
      </c>
      <c r="G108" s="62" t="n">
        <v>0.0798611111094942</v>
      </c>
      <c r="H108" s="13" t="s">
        <v>248</v>
      </c>
      <c r="J108" s="13" t="s">
        <v>256</v>
      </c>
      <c r="K108" s="13" t="s">
        <v>430</v>
      </c>
      <c r="L108" s="13" t="s">
        <v>700</v>
      </c>
      <c r="M108" s="66" t="s">
        <v>258</v>
      </c>
      <c r="N108" s="66" t="s">
        <v>379</v>
      </c>
      <c r="O108" s="66" t="s">
        <v>399</v>
      </c>
      <c r="P108" s="0" t="s">
        <v>1105</v>
      </c>
      <c r="Q108" s="66" t="s">
        <v>995</v>
      </c>
    </row>
    <row r="109" customFormat="false" ht="14.25" hidden="false" customHeight="false" outlineLevel="0" collapsed="false">
      <c r="A109" s="13" t="s">
        <v>830</v>
      </c>
      <c r="B109" s="13" t="s">
        <v>542</v>
      </c>
      <c r="C109" s="13" t="s">
        <v>569</v>
      </c>
      <c r="D109" s="61" t="n">
        <v>45963.4618055556</v>
      </c>
      <c r="E109" s="61" t="n">
        <v>45963.4618055556</v>
      </c>
      <c r="F109" s="61" t="n">
        <v>45963.5416666667</v>
      </c>
      <c r="G109" s="62" t="n">
        <v>0.0798611111094942</v>
      </c>
      <c r="H109" s="13" t="s">
        <v>248</v>
      </c>
      <c r="J109" s="13" t="s">
        <v>256</v>
      </c>
      <c r="K109" s="13" t="s">
        <v>430</v>
      </c>
      <c r="L109" s="13" t="s">
        <v>700</v>
      </c>
      <c r="M109" s="66" t="s">
        <v>258</v>
      </c>
      <c r="N109" s="66" t="s">
        <v>379</v>
      </c>
      <c r="O109" s="66" t="s">
        <v>399</v>
      </c>
      <c r="P109" s="0" t="s">
        <v>1106</v>
      </c>
      <c r="Q109" s="66" t="s">
        <v>995</v>
      </c>
    </row>
    <row r="110" customFormat="false" ht="14.25" hidden="false" customHeight="false" outlineLevel="0" collapsed="false">
      <c r="A110" s="13" t="s">
        <v>830</v>
      </c>
      <c r="B110" s="13" t="s">
        <v>542</v>
      </c>
      <c r="C110" s="13" t="s">
        <v>570</v>
      </c>
      <c r="D110" s="61" t="n">
        <v>45963.4618055556</v>
      </c>
      <c r="E110" s="61" t="n">
        <v>45963.4618055556</v>
      </c>
      <c r="F110" s="61" t="n">
        <v>45963.5416666667</v>
      </c>
      <c r="G110" s="62" t="n">
        <v>0.0798611111094942</v>
      </c>
      <c r="H110" s="13" t="s">
        <v>248</v>
      </c>
      <c r="J110" s="13" t="s">
        <v>256</v>
      </c>
      <c r="K110" s="13" t="s">
        <v>430</v>
      </c>
      <c r="L110" s="13" t="s">
        <v>700</v>
      </c>
      <c r="M110" s="66" t="s">
        <v>258</v>
      </c>
      <c r="N110" s="66" t="s">
        <v>379</v>
      </c>
      <c r="O110" s="66" t="s">
        <v>399</v>
      </c>
      <c r="P110" s="0" t="s">
        <v>1107</v>
      </c>
      <c r="Q110" s="66" t="s">
        <v>995</v>
      </c>
    </row>
    <row r="111" customFormat="false" ht="14.25" hidden="false" customHeight="false" outlineLevel="0" collapsed="false">
      <c r="A111" s="13" t="s">
        <v>830</v>
      </c>
      <c r="B111" s="13" t="s">
        <v>542</v>
      </c>
      <c r="C111" s="13" t="s">
        <v>571</v>
      </c>
      <c r="D111" s="61" t="n">
        <v>45963.4618055556</v>
      </c>
      <c r="E111" s="61" t="n">
        <v>45963.4618055556</v>
      </c>
      <c r="F111" s="61" t="n">
        <v>45963.5416666667</v>
      </c>
      <c r="G111" s="62" t="n">
        <v>0.0798611111094942</v>
      </c>
      <c r="H111" s="13" t="s">
        <v>248</v>
      </c>
      <c r="J111" s="13" t="s">
        <v>256</v>
      </c>
      <c r="K111" s="13" t="s">
        <v>430</v>
      </c>
      <c r="L111" s="13" t="s">
        <v>700</v>
      </c>
      <c r="M111" s="66" t="s">
        <v>258</v>
      </c>
      <c r="N111" s="66" t="s">
        <v>379</v>
      </c>
      <c r="O111" s="66" t="s">
        <v>399</v>
      </c>
      <c r="P111" s="0" t="s">
        <v>1108</v>
      </c>
      <c r="Q111" s="66" t="s">
        <v>995</v>
      </c>
    </row>
    <row r="112" customFormat="false" ht="14.25" hidden="false" customHeight="false" outlineLevel="0" collapsed="false">
      <c r="A112" s="13" t="s">
        <v>830</v>
      </c>
      <c r="B112" s="13" t="s">
        <v>542</v>
      </c>
      <c r="C112" s="13" t="s">
        <v>572</v>
      </c>
      <c r="D112" s="61" t="n">
        <v>45963.4618055556</v>
      </c>
      <c r="E112" s="61" t="n">
        <v>45963.4618055556</v>
      </c>
      <c r="F112" s="61" t="n">
        <v>45963.5416666667</v>
      </c>
      <c r="G112" s="62" t="n">
        <v>0.0798611111094942</v>
      </c>
      <c r="H112" s="13" t="s">
        <v>248</v>
      </c>
      <c r="J112" s="13" t="s">
        <v>256</v>
      </c>
      <c r="K112" s="13" t="s">
        <v>430</v>
      </c>
      <c r="L112" s="13" t="s">
        <v>700</v>
      </c>
      <c r="M112" s="66" t="s">
        <v>258</v>
      </c>
      <c r="N112" s="66" t="s">
        <v>379</v>
      </c>
      <c r="O112" s="66" t="s">
        <v>399</v>
      </c>
      <c r="P112" s="0" t="s">
        <v>1109</v>
      </c>
      <c r="Q112" s="66" t="s">
        <v>995</v>
      </c>
    </row>
    <row r="113" customFormat="false" ht="14.25" hidden="false" customHeight="false" outlineLevel="0" collapsed="false">
      <c r="A113" s="13" t="s">
        <v>578</v>
      </c>
      <c r="B113" s="13" t="s">
        <v>578</v>
      </c>
      <c r="C113" s="13" t="s">
        <v>396</v>
      </c>
      <c r="D113" s="61" t="n">
        <v>45963.4618055556</v>
      </c>
      <c r="E113" s="61" t="n">
        <v>45963.4618055556</v>
      </c>
      <c r="F113" s="61" t="n">
        <v>45963.5416666667</v>
      </c>
      <c r="G113" s="62" t="n">
        <v>0.0798611111094942</v>
      </c>
      <c r="H113" s="13" t="s">
        <v>248</v>
      </c>
      <c r="J113" s="13" t="s">
        <v>256</v>
      </c>
      <c r="K113" s="13" t="s">
        <v>430</v>
      </c>
      <c r="L113" s="13" t="s">
        <v>700</v>
      </c>
      <c r="M113" s="66" t="s">
        <v>258</v>
      </c>
      <c r="N113" s="66" t="s">
        <v>379</v>
      </c>
      <c r="O113" s="66" t="s">
        <v>399</v>
      </c>
      <c r="P113" s="0" t="s">
        <v>1110</v>
      </c>
      <c r="Q113" s="66" t="s">
        <v>995</v>
      </c>
    </row>
    <row r="114" customFormat="false" ht="14.25" hidden="false" customHeight="false" outlineLevel="0" collapsed="false">
      <c r="A114" s="13" t="s">
        <v>578</v>
      </c>
      <c r="B114" s="13" t="s">
        <v>578</v>
      </c>
      <c r="C114" s="13" t="s">
        <v>397</v>
      </c>
      <c r="D114" s="61" t="n">
        <v>45963.4618055556</v>
      </c>
      <c r="E114" s="61" t="n">
        <v>45963.4618055556</v>
      </c>
      <c r="F114" s="61" t="n">
        <v>45963.5416666667</v>
      </c>
      <c r="G114" s="62" t="n">
        <v>0.0798611111094942</v>
      </c>
      <c r="H114" s="13" t="s">
        <v>248</v>
      </c>
      <c r="J114" s="13" t="s">
        <v>256</v>
      </c>
      <c r="K114" s="13" t="s">
        <v>430</v>
      </c>
      <c r="L114" s="13" t="s">
        <v>700</v>
      </c>
      <c r="M114" s="66" t="s">
        <v>258</v>
      </c>
      <c r="N114" s="66" t="s">
        <v>379</v>
      </c>
      <c r="O114" s="66" t="s">
        <v>399</v>
      </c>
      <c r="P114" s="0" t="s">
        <v>1111</v>
      </c>
      <c r="Q114" s="66" t="s">
        <v>995</v>
      </c>
    </row>
    <row r="115" customFormat="false" ht="14.25" hidden="false" customHeight="false" outlineLevel="0" collapsed="false">
      <c r="A115" s="13" t="s">
        <v>578</v>
      </c>
      <c r="B115" s="13" t="s">
        <v>578</v>
      </c>
      <c r="C115" s="13" t="s">
        <v>394</v>
      </c>
      <c r="D115" s="61" t="n">
        <v>45963.4618055556</v>
      </c>
      <c r="E115" s="61" t="n">
        <v>45963.4618055556</v>
      </c>
      <c r="F115" s="61" t="n">
        <v>45963.5416666667</v>
      </c>
      <c r="G115" s="62" t="n">
        <v>0.0798611111094942</v>
      </c>
      <c r="H115" s="13" t="s">
        <v>248</v>
      </c>
      <c r="J115" s="13" t="s">
        <v>256</v>
      </c>
      <c r="K115" s="13" t="s">
        <v>430</v>
      </c>
      <c r="L115" s="13" t="s">
        <v>700</v>
      </c>
      <c r="M115" s="66" t="s">
        <v>258</v>
      </c>
      <c r="N115" s="66" t="s">
        <v>379</v>
      </c>
      <c r="O115" s="66" t="s">
        <v>399</v>
      </c>
      <c r="P115" s="0" t="s">
        <v>1112</v>
      </c>
      <c r="Q115" s="66" t="s">
        <v>995</v>
      </c>
    </row>
    <row r="116" customFormat="false" ht="14.25" hidden="false" customHeight="false" outlineLevel="0" collapsed="false">
      <c r="A116" s="13" t="s">
        <v>578</v>
      </c>
      <c r="B116" s="13" t="s">
        <v>578</v>
      </c>
      <c r="C116" s="13" t="s">
        <v>395</v>
      </c>
      <c r="D116" s="61" t="n">
        <v>45963.4618055556</v>
      </c>
      <c r="E116" s="61" t="n">
        <v>45963.4618055556</v>
      </c>
      <c r="F116" s="61" t="n">
        <v>45963.5416666667</v>
      </c>
      <c r="G116" s="62" t="n">
        <v>0.0798611111094942</v>
      </c>
      <c r="H116" s="13" t="s">
        <v>248</v>
      </c>
      <c r="J116" s="13" t="s">
        <v>256</v>
      </c>
      <c r="K116" s="13" t="s">
        <v>430</v>
      </c>
      <c r="L116" s="13" t="s">
        <v>700</v>
      </c>
      <c r="M116" s="66" t="s">
        <v>258</v>
      </c>
      <c r="N116" s="66" t="s">
        <v>379</v>
      </c>
      <c r="O116" s="66" t="s">
        <v>399</v>
      </c>
      <c r="P116" s="0" t="s">
        <v>1113</v>
      </c>
      <c r="Q116" s="66" t="s">
        <v>995</v>
      </c>
    </row>
    <row r="117" customFormat="false" ht="14.25" hidden="false" customHeight="false" outlineLevel="0" collapsed="false">
      <c r="A117" s="13" t="s">
        <v>578</v>
      </c>
      <c r="B117" s="13" t="s">
        <v>578</v>
      </c>
      <c r="C117" s="13" t="s">
        <v>391</v>
      </c>
      <c r="D117" s="61" t="n">
        <v>45963.4618055556</v>
      </c>
      <c r="E117" s="61" t="n">
        <v>45963.4618055556</v>
      </c>
      <c r="F117" s="61" t="n">
        <v>45963.5416666667</v>
      </c>
      <c r="G117" s="62" t="n">
        <v>0.0798611111094942</v>
      </c>
      <c r="H117" s="13" t="s">
        <v>248</v>
      </c>
      <c r="J117" s="13" t="s">
        <v>256</v>
      </c>
      <c r="K117" s="13" t="s">
        <v>430</v>
      </c>
      <c r="L117" s="13" t="s">
        <v>700</v>
      </c>
      <c r="M117" s="66" t="s">
        <v>258</v>
      </c>
      <c r="N117" s="66" t="s">
        <v>379</v>
      </c>
      <c r="O117" s="66" t="s">
        <v>399</v>
      </c>
      <c r="P117" s="0" t="s">
        <v>1114</v>
      </c>
      <c r="Q117" s="66" t="s">
        <v>995</v>
      </c>
    </row>
    <row r="118" customFormat="false" ht="14.25" hidden="false" customHeight="false" outlineLevel="0" collapsed="false">
      <c r="A118" s="13" t="s">
        <v>579</v>
      </c>
      <c r="B118" s="13" t="s">
        <v>579</v>
      </c>
      <c r="C118" s="13" t="s">
        <v>396</v>
      </c>
      <c r="D118" s="61" t="n">
        <v>45963.4618055556</v>
      </c>
      <c r="E118" s="61" t="n">
        <v>45963.4618055556</v>
      </c>
      <c r="F118" s="61" t="n">
        <v>45963.5416666667</v>
      </c>
      <c r="G118" s="62" t="n">
        <v>0.0798611111094942</v>
      </c>
      <c r="H118" s="13" t="s">
        <v>248</v>
      </c>
      <c r="J118" s="13" t="s">
        <v>256</v>
      </c>
      <c r="K118" s="13" t="s">
        <v>430</v>
      </c>
      <c r="L118" s="13" t="s">
        <v>700</v>
      </c>
      <c r="M118" s="66" t="s">
        <v>258</v>
      </c>
      <c r="N118" s="66" t="s">
        <v>379</v>
      </c>
      <c r="O118" s="66" t="s">
        <v>399</v>
      </c>
      <c r="P118" s="0" t="s">
        <v>1115</v>
      </c>
      <c r="Q118" s="66" t="s">
        <v>995</v>
      </c>
    </row>
    <row r="119" customFormat="false" ht="14.25" hidden="false" customHeight="false" outlineLevel="0" collapsed="false">
      <c r="A119" s="13" t="s">
        <v>579</v>
      </c>
      <c r="B119" s="13" t="s">
        <v>579</v>
      </c>
      <c r="C119" s="13" t="s">
        <v>397</v>
      </c>
      <c r="D119" s="61" t="n">
        <v>45963.4618055556</v>
      </c>
      <c r="E119" s="61" t="n">
        <v>45963.4618055556</v>
      </c>
      <c r="F119" s="61" t="n">
        <v>45963.5416666667</v>
      </c>
      <c r="G119" s="62" t="n">
        <v>0.0798611111094942</v>
      </c>
      <c r="H119" s="13" t="s">
        <v>248</v>
      </c>
      <c r="J119" s="13" t="s">
        <v>256</v>
      </c>
      <c r="K119" s="13" t="s">
        <v>430</v>
      </c>
      <c r="L119" s="13" t="s">
        <v>700</v>
      </c>
      <c r="M119" s="66" t="s">
        <v>258</v>
      </c>
      <c r="N119" s="66" t="s">
        <v>379</v>
      </c>
      <c r="O119" s="66" t="s">
        <v>399</v>
      </c>
      <c r="P119" s="0" t="s">
        <v>1116</v>
      </c>
      <c r="Q119" s="66" t="s">
        <v>995</v>
      </c>
    </row>
    <row r="120" customFormat="false" ht="14.25" hidden="false" customHeight="false" outlineLevel="0" collapsed="false">
      <c r="A120" s="13" t="s">
        <v>579</v>
      </c>
      <c r="B120" s="13" t="s">
        <v>579</v>
      </c>
      <c r="C120" s="13" t="s">
        <v>394</v>
      </c>
      <c r="D120" s="61" t="n">
        <v>45963.4618055556</v>
      </c>
      <c r="E120" s="61" t="n">
        <v>45963.4618055556</v>
      </c>
      <c r="F120" s="61" t="n">
        <v>45963.5416666667</v>
      </c>
      <c r="G120" s="62" t="n">
        <v>0.0798611111094942</v>
      </c>
      <c r="H120" s="13" t="s">
        <v>248</v>
      </c>
      <c r="J120" s="13" t="s">
        <v>256</v>
      </c>
      <c r="K120" s="13" t="s">
        <v>430</v>
      </c>
      <c r="L120" s="13" t="s">
        <v>700</v>
      </c>
      <c r="M120" s="66" t="s">
        <v>258</v>
      </c>
      <c r="N120" s="66" t="s">
        <v>379</v>
      </c>
      <c r="O120" s="66" t="s">
        <v>399</v>
      </c>
      <c r="P120" s="0" t="s">
        <v>1117</v>
      </c>
      <c r="Q120" s="66" t="s">
        <v>995</v>
      </c>
    </row>
    <row r="121" customFormat="false" ht="14.25" hidden="false" customHeight="false" outlineLevel="0" collapsed="false">
      <c r="A121" s="13" t="s">
        <v>579</v>
      </c>
      <c r="B121" s="13" t="s">
        <v>579</v>
      </c>
      <c r="C121" s="13" t="s">
        <v>395</v>
      </c>
      <c r="D121" s="61" t="n">
        <v>45963.4618055556</v>
      </c>
      <c r="E121" s="61" t="n">
        <v>45963.4618055556</v>
      </c>
      <c r="F121" s="61" t="n">
        <v>45963.5416666667</v>
      </c>
      <c r="G121" s="62" t="n">
        <v>0.0798611111094942</v>
      </c>
      <c r="H121" s="13" t="s">
        <v>248</v>
      </c>
      <c r="J121" s="13" t="s">
        <v>256</v>
      </c>
      <c r="K121" s="13" t="s">
        <v>430</v>
      </c>
      <c r="L121" s="13" t="s">
        <v>700</v>
      </c>
      <c r="M121" s="66" t="s">
        <v>258</v>
      </c>
      <c r="N121" s="66" t="s">
        <v>379</v>
      </c>
      <c r="O121" s="66" t="s">
        <v>399</v>
      </c>
      <c r="P121" s="0" t="s">
        <v>1118</v>
      </c>
      <c r="Q121" s="66" t="s">
        <v>995</v>
      </c>
    </row>
    <row r="122" customFormat="false" ht="14.25" hidden="false" customHeight="false" outlineLevel="0" collapsed="false">
      <c r="A122" s="13" t="s">
        <v>579</v>
      </c>
      <c r="B122" s="13" t="s">
        <v>579</v>
      </c>
      <c r="C122" s="13" t="s">
        <v>391</v>
      </c>
      <c r="D122" s="61" t="n">
        <v>45963.4618055556</v>
      </c>
      <c r="E122" s="61" t="n">
        <v>45963.4618055556</v>
      </c>
      <c r="F122" s="61" t="n">
        <v>45963.5416666667</v>
      </c>
      <c r="G122" s="62" t="n">
        <v>0.0798611111094942</v>
      </c>
      <c r="H122" s="13" t="s">
        <v>248</v>
      </c>
      <c r="J122" s="13" t="s">
        <v>256</v>
      </c>
      <c r="K122" s="13" t="s">
        <v>430</v>
      </c>
      <c r="L122" s="13" t="s">
        <v>700</v>
      </c>
      <c r="M122" s="66" t="s">
        <v>258</v>
      </c>
      <c r="N122" s="66" t="s">
        <v>379</v>
      </c>
      <c r="O122" s="66" t="s">
        <v>399</v>
      </c>
      <c r="P122" s="0" t="s">
        <v>1119</v>
      </c>
      <c r="Q122" s="66" t="s">
        <v>995</v>
      </c>
    </row>
    <row r="123" customFormat="false" ht="14.25" hidden="false" customHeight="false" outlineLevel="0" collapsed="false">
      <c r="A123" s="13" t="s">
        <v>580</v>
      </c>
      <c r="B123" s="13" t="s">
        <v>580</v>
      </c>
      <c r="C123" s="13" t="s">
        <v>396</v>
      </c>
      <c r="D123" s="61" t="n">
        <v>45963.4618055556</v>
      </c>
      <c r="E123" s="61" t="n">
        <v>45963.4618055556</v>
      </c>
      <c r="F123" s="61" t="n">
        <v>45963.5416666667</v>
      </c>
      <c r="G123" s="62" t="n">
        <v>0.0798611111094942</v>
      </c>
      <c r="H123" s="13" t="s">
        <v>248</v>
      </c>
      <c r="J123" s="13" t="s">
        <v>256</v>
      </c>
      <c r="K123" s="13" t="s">
        <v>430</v>
      </c>
      <c r="L123" s="13" t="s">
        <v>700</v>
      </c>
      <c r="M123" s="66" t="s">
        <v>258</v>
      </c>
      <c r="N123" s="66" t="s">
        <v>379</v>
      </c>
      <c r="O123" s="66" t="s">
        <v>399</v>
      </c>
      <c r="P123" s="0" t="s">
        <v>1120</v>
      </c>
      <c r="Q123" s="66" t="s">
        <v>995</v>
      </c>
    </row>
    <row r="124" customFormat="false" ht="14.25" hidden="false" customHeight="false" outlineLevel="0" collapsed="false">
      <c r="A124" s="13" t="s">
        <v>580</v>
      </c>
      <c r="B124" s="13" t="s">
        <v>580</v>
      </c>
      <c r="C124" s="13" t="s">
        <v>397</v>
      </c>
      <c r="D124" s="61" t="n">
        <v>45963.4618055556</v>
      </c>
      <c r="E124" s="61" t="n">
        <v>45963.4618055556</v>
      </c>
      <c r="F124" s="61" t="n">
        <v>45963.5416666667</v>
      </c>
      <c r="G124" s="62" t="n">
        <v>0.0798611111094942</v>
      </c>
      <c r="H124" s="13" t="s">
        <v>248</v>
      </c>
      <c r="J124" s="13" t="s">
        <v>256</v>
      </c>
      <c r="K124" s="13" t="s">
        <v>430</v>
      </c>
      <c r="L124" s="13" t="s">
        <v>700</v>
      </c>
      <c r="M124" s="66" t="s">
        <v>258</v>
      </c>
      <c r="N124" s="66" t="s">
        <v>379</v>
      </c>
      <c r="O124" s="66" t="s">
        <v>399</v>
      </c>
      <c r="P124" s="0" t="s">
        <v>1121</v>
      </c>
      <c r="Q124" s="66" t="s">
        <v>995</v>
      </c>
    </row>
    <row r="125" customFormat="false" ht="14.25" hidden="false" customHeight="false" outlineLevel="0" collapsed="false">
      <c r="A125" s="13" t="s">
        <v>580</v>
      </c>
      <c r="B125" s="13" t="s">
        <v>580</v>
      </c>
      <c r="C125" s="13" t="s">
        <v>394</v>
      </c>
      <c r="D125" s="61" t="n">
        <v>45963.4618055556</v>
      </c>
      <c r="E125" s="61" t="n">
        <v>45963.4618055556</v>
      </c>
      <c r="F125" s="61" t="n">
        <v>45963.5416666667</v>
      </c>
      <c r="G125" s="62" t="n">
        <v>0.0798611111094942</v>
      </c>
      <c r="H125" s="13" t="s">
        <v>248</v>
      </c>
      <c r="J125" s="13" t="s">
        <v>256</v>
      </c>
      <c r="K125" s="13" t="s">
        <v>430</v>
      </c>
      <c r="L125" s="13" t="s">
        <v>700</v>
      </c>
      <c r="M125" s="66" t="s">
        <v>258</v>
      </c>
      <c r="N125" s="66" t="s">
        <v>379</v>
      </c>
      <c r="O125" s="66" t="s">
        <v>399</v>
      </c>
      <c r="P125" s="0" t="s">
        <v>1122</v>
      </c>
      <c r="Q125" s="66" t="s">
        <v>995</v>
      </c>
    </row>
    <row r="126" customFormat="false" ht="14.25" hidden="false" customHeight="false" outlineLevel="0" collapsed="false">
      <c r="A126" s="13" t="s">
        <v>580</v>
      </c>
      <c r="B126" s="13" t="s">
        <v>580</v>
      </c>
      <c r="C126" s="13" t="s">
        <v>395</v>
      </c>
      <c r="D126" s="61" t="n">
        <v>45963.4618055556</v>
      </c>
      <c r="E126" s="61" t="n">
        <v>45963.4618055556</v>
      </c>
      <c r="F126" s="61" t="n">
        <v>45963.5416666667</v>
      </c>
      <c r="G126" s="62" t="n">
        <v>0.0798611111094942</v>
      </c>
      <c r="H126" s="13" t="s">
        <v>248</v>
      </c>
      <c r="J126" s="13" t="s">
        <v>256</v>
      </c>
      <c r="K126" s="13" t="s">
        <v>430</v>
      </c>
      <c r="L126" s="13" t="s">
        <v>700</v>
      </c>
      <c r="M126" s="66" t="s">
        <v>258</v>
      </c>
      <c r="N126" s="66" t="s">
        <v>379</v>
      </c>
      <c r="O126" s="66" t="s">
        <v>399</v>
      </c>
      <c r="P126" s="0" t="s">
        <v>1123</v>
      </c>
      <c r="Q126" s="66" t="s">
        <v>995</v>
      </c>
    </row>
    <row r="127" customFormat="false" ht="14.25" hidden="false" customHeight="false" outlineLevel="0" collapsed="false">
      <c r="A127" s="13" t="s">
        <v>580</v>
      </c>
      <c r="B127" s="13" t="s">
        <v>580</v>
      </c>
      <c r="C127" s="13" t="s">
        <v>391</v>
      </c>
      <c r="D127" s="61" t="n">
        <v>45963.4618055556</v>
      </c>
      <c r="E127" s="61" t="n">
        <v>45963.4618055556</v>
      </c>
      <c r="F127" s="61" t="n">
        <v>45963.5416666667</v>
      </c>
      <c r="G127" s="62" t="n">
        <v>0.0798611111094942</v>
      </c>
      <c r="H127" s="13" t="s">
        <v>248</v>
      </c>
      <c r="J127" s="13" t="s">
        <v>256</v>
      </c>
      <c r="K127" s="13" t="s">
        <v>430</v>
      </c>
      <c r="L127" s="13" t="s">
        <v>700</v>
      </c>
      <c r="M127" s="66" t="s">
        <v>258</v>
      </c>
      <c r="N127" s="66" t="s">
        <v>379</v>
      </c>
      <c r="O127" s="66" t="s">
        <v>399</v>
      </c>
      <c r="P127" s="0" t="s">
        <v>1124</v>
      </c>
      <c r="Q127" s="66" t="s">
        <v>995</v>
      </c>
    </row>
    <row r="128" customFormat="false" ht="14.25" hidden="false" customHeight="false" outlineLevel="0" collapsed="false">
      <c r="A128" s="13" t="s">
        <v>805</v>
      </c>
      <c r="B128" s="13" t="s">
        <v>581</v>
      </c>
      <c r="C128" s="13" t="s">
        <v>598</v>
      </c>
      <c r="D128" s="61" t="n">
        <v>45963.4652777778</v>
      </c>
      <c r="E128" s="61" t="n">
        <v>45963.4652777778</v>
      </c>
      <c r="F128" s="61" t="n">
        <v>45963.5034722222</v>
      </c>
      <c r="G128" s="62" t="n">
        <v>0.0381944444379769</v>
      </c>
      <c r="H128" s="13" t="s">
        <v>248</v>
      </c>
      <c r="J128" s="13" t="s">
        <v>256</v>
      </c>
      <c r="K128" s="13" t="s">
        <v>430</v>
      </c>
      <c r="L128" s="13" t="s">
        <v>1000</v>
      </c>
      <c r="M128" s="66" t="s">
        <v>258</v>
      </c>
      <c r="N128" s="66" t="s">
        <v>379</v>
      </c>
      <c r="O128" s="66" t="s">
        <v>399</v>
      </c>
      <c r="P128" s="0" t="s">
        <v>1125</v>
      </c>
      <c r="Q128" s="66" t="s">
        <v>995</v>
      </c>
    </row>
    <row r="129" customFormat="false" ht="14.25" hidden="false" customHeight="false" outlineLevel="0" collapsed="false">
      <c r="A129" s="13" t="s">
        <v>807</v>
      </c>
      <c r="B129" s="13" t="s">
        <v>581</v>
      </c>
      <c r="C129" s="13" t="s">
        <v>591</v>
      </c>
      <c r="D129" s="61" t="n">
        <v>45963.4652777778</v>
      </c>
      <c r="E129" s="61" t="n">
        <v>45963.4652777778</v>
      </c>
      <c r="F129" s="61" t="n">
        <v>45963.5034722222</v>
      </c>
      <c r="G129" s="62" t="n">
        <v>0.0381944444379769</v>
      </c>
      <c r="H129" s="13" t="s">
        <v>248</v>
      </c>
      <c r="J129" s="13" t="s">
        <v>256</v>
      </c>
      <c r="K129" s="13" t="s">
        <v>430</v>
      </c>
      <c r="L129" s="13" t="s">
        <v>1000</v>
      </c>
      <c r="M129" s="66" t="s">
        <v>258</v>
      </c>
      <c r="N129" s="66" t="s">
        <v>379</v>
      </c>
      <c r="O129" s="66" t="s">
        <v>399</v>
      </c>
      <c r="P129" s="0" t="s">
        <v>1126</v>
      </c>
      <c r="Q129" s="66" t="s">
        <v>995</v>
      </c>
    </row>
    <row r="130" customFormat="false" ht="14.25" hidden="false" customHeight="false" outlineLevel="0" collapsed="false">
      <c r="A130" s="13" t="s">
        <v>807</v>
      </c>
      <c r="B130" s="13" t="s">
        <v>581</v>
      </c>
      <c r="C130" s="13" t="s">
        <v>588</v>
      </c>
      <c r="D130" s="61" t="n">
        <v>45963.4652777778</v>
      </c>
      <c r="E130" s="61" t="n">
        <v>45963.4652777778</v>
      </c>
      <c r="F130" s="61" t="n">
        <v>45963.5034722222</v>
      </c>
      <c r="G130" s="62" t="n">
        <v>0.0381944444379769</v>
      </c>
      <c r="H130" s="13" t="s">
        <v>248</v>
      </c>
      <c r="J130" s="13" t="s">
        <v>256</v>
      </c>
      <c r="K130" s="13" t="s">
        <v>430</v>
      </c>
      <c r="L130" s="13" t="s">
        <v>1000</v>
      </c>
      <c r="M130" s="66" t="s">
        <v>258</v>
      </c>
      <c r="N130" s="66" t="s">
        <v>379</v>
      </c>
      <c r="O130" s="66" t="s">
        <v>399</v>
      </c>
      <c r="P130" s="0" t="s">
        <v>1127</v>
      </c>
      <c r="Q130" s="66" t="s">
        <v>995</v>
      </c>
    </row>
    <row r="131" customFormat="false" ht="14.25" hidden="false" customHeight="false" outlineLevel="0" collapsed="false">
      <c r="A131" s="13" t="s">
        <v>807</v>
      </c>
      <c r="B131" s="13" t="s">
        <v>581</v>
      </c>
      <c r="C131" s="13" t="s">
        <v>585</v>
      </c>
      <c r="D131" s="61" t="n">
        <v>45963.4652777778</v>
      </c>
      <c r="E131" s="61" t="n">
        <v>45963.4652777778</v>
      </c>
      <c r="F131" s="61" t="n">
        <v>45963.5034722222</v>
      </c>
      <c r="G131" s="62" t="n">
        <v>0.0381944444379769</v>
      </c>
      <c r="H131" s="13" t="s">
        <v>248</v>
      </c>
      <c r="J131" s="13" t="s">
        <v>256</v>
      </c>
      <c r="K131" s="13" t="s">
        <v>430</v>
      </c>
      <c r="L131" s="13" t="s">
        <v>1000</v>
      </c>
      <c r="M131" s="66" t="s">
        <v>258</v>
      </c>
      <c r="N131" s="66" t="s">
        <v>379</v>
      </c>
      <c r="O131" s="66" t="s">
        <v>399</v>
      </c>
      <c r="P131" s="0" t="s">
        <v>1128</v>
      </c>
      <c r="Q131" s="66" t="s">
        <v>995</v>
      </c>
    </row>
    <row r="132" customFormat="false" ht="14.25" hidden="false" customHeight="false" outlineLevel="0" collapsed="false">
      <c r="A132" s="13" t="s">
        <v>807</v>
      </c>
      <c r="B132" s="13" t="s">
        <v>581</v>
      </c>
      <c r="C132" s="13" t="s">
        <v>589</v>
      </c>
      <c r="D132" s="61" t="n">
        <v>45963.4652777778</v>
      </c>
      <c r="E132" s="61" t="n">
        <v>45963.4652777778</v>
      </c>
      <c r="F132" s="61" t="n">
        <v>45963.5034722222</v>
      </c>
      <c r="G132" s="62" t="n">
        <v>0.0381944444379769</v>
      </c>
      <c r="H132" s="13" t="s">
        <v>248</v>
      </c>
      <c r="J132" s="13" t="s">
        <v>256</v>
      </c>
      <c r="K132" s="13" t="s">
        <v>430</v>
      </c>
      <c r="L132" s="13" t="s">
        <v>1000</v>
      </c>
      <c r="M132" s="66" t="s">
        <v>258</v>
      </c>
      <c r="N132" s="66" t="s">
        <v>379</v>
      </c>
      <c r="O132" s="66" t="s">
        <v>399</v>
      </c>
      <c r="P132" s="0" t="s">
        <v>1129</v>
      </c>
      <c r="Q132" s="66" t="s">
        <v>995</v>
      </c>
    </row>
    <row r="133" customFormat="false" ht="14.25" hidden="false" customHeight="false" outlineLevel="0" collapsed="false">
      <c r="A133" s="13" t="s">
        <v>807</v>
      </c>
      <c r="B133" s="13" t="s">
        <v>581</v>
      </c>
      <c r="C133" s="13" t="s">
        <v>587</v>
      </c>
      <c r="D133" s="61" t="n">
        <v>45963.4652777778</v>
      </c>
      <c r="E133" s="61" t="n">
        <v>45963.4652777778</v>
      </c>
      <c r="F133" s="61" t="n">
        <v>45963.5034722222</v>
      </c>
      <c r="G133" s="62" t="n">
        <v>0.0381944444379769</v>
      </c>
      <c r="H133" s="13" t="s">
        <v>248</v>
      </c>
      <c r="J133" s="13" t="s">
        <v>256</v>
      </c>
      <c r="K133" s="13" t="s">
        <v>430</v>
      </c>
      <c r="L133" s="13" t="s">
        <v>1000</v>
      </c>
      <c r="M133" s="66" t="s">
        <v>258</v>
      </c>
      <c r="N133" s="66" t="s">
        <v>379</v>
      </c>
      <c r="O133" s="66" t="s">
        <v>399</v>
      </c>
      <c r="P133" s="0" t="s">
        <v>1130</v>
      </c>
      <c r="Q133" s="66" t="s">
        <v>995</v>
      </c>
    </row>
    <row r="134" customFormat="false" ht="14.25" hidden="false" customHeight="false" outlineLevel="0" collapsed="false">
      <c r="A134" s="13" t="s">
        <v>807</v>
      </c>
      <c r="B134" s="13" t="s">
        <v>581</v>
      </c>
      <c r="C134" s="13" t="s">
        <v>1007</v>
      </c>
      <c r="D134" s="61" t="n">
        <v>45963.4652777778</v>
      </c>
      <c r="E134" s="61" t="n">
        <v>45963.4652777778</v>
      </c>
      <c r="F134" s="61" t="n">
        <v>45963.5034722222</v>
      </c>
      <c r="G134" s="62" t="n">
        <v>0.0381944444379769</v>
      </c>
      <c r="H134" s="13" t="s">
        <v>248</v>
      </c>
      <c r="J134" s="13" t="s">
        <v>256</v>
      </c>
      <c r="K134" s="13" t="s">
        <v>430</v>
      </c>
      <c r="L134" s="13" t="s">
        <v>1000</v>
      </c>
      <c r="M134" s="66" t="s">
        <v>258</v>
      </c>
      <c r="N134" s="66" t="s">
        <v>379</v>
      </c>
      <c r="O134" s="66" t="s">
        <v>399</v>
      </c>
      <c r="P134" s="0" t="s">
        <v>1131</v>
      </c>
      <c r="Q134" s="66" t="s">
        <v>995</v>
      </c>
    </row>
    <row r="135" customFormat="false" ht="14.25" hidden="false" customHeight="false" outlineLevel="0" collapsed="false">
      <c r="A135" s="13" t="s">
        <v>816</v>
      </c>
      <c r="B135" s="13" t="s">
        <v>581</v>
      </c>
      <c r="C135" s="13" t="s">
        <v>586</v>
      </c>
      <c r="D135" s="61" t="n">
        <v>45963.4652777778</v>
      </c>
      <c r="E135" s="61" t="n">
        <v>45963.4652777778</v>
      </c>
      <c r="F135" s="61" t="n">
        <v>45963.5034722222</v>
      </c>
      <c r="G135" s="62" t="n">
        <v>0.0381944444379769</v>
      </c>
      <c r="H135" s="13" t="s">
        <v>248</v>
      </c>
      <c r="J135" s="13" t="s">
        <v>256</v>
      </c>
      <c r="K135" s="13" t="s">
        <v>430</v>
      </c>
      <c r="L135" s="13" t="s">
        <v>1000</v>
      </c>
      <c r="M135" s="66" t="s">
        <v>258</v>
      </c>
      <c r="N135" s="66" t="s">
        <v>379</v>
      </c>
      <c r="O135" s="66" t="s">
        <v>399</v>
      </c>
      <c r="P135" s="0" t="s">
        <v>1132</v>
      </c>
      <c r="Q135" s="66" t="s">
        <v>995</v>
      </c>
    </row>
    <row r="136" customFormat="false" ht="14.25" hidden="false" customHeight="false" outlineLevel="0" collapsed="false">
      <c r="A136" s="13" t="s">
        <v>816</v>
      </c>
      <c r="B136" s="13" t="s">
        <v>581</v>
      </c>
      <c r="C136" s="13" t="s">
        <v>737</v>
      </c>
      <c r="D136" s="61" t="n">
        <v>45963.4652777778</v>
      </c>
      <c r="E136" s="61" t="n">
        <v>45963.4652777778</v>
      </c>
      <c r="F136" s="61" t="n">
        <v>45963.5034722222</v>
      </c>
      <c r="G136" s="62" t="n">
        <v>0.0381944444379769</v>
      </c>
      <c r="H136" s="13" t="s">
        <v>248</v>
      </c>
      <c r="J136" s="13" t="s">
        <v>256</v>
      </c>
      <c r="K136" s="13" t="s">
        <v>430</v>
      </c>
      <c r="L136" s="13" t="s">
        <v>1000</v>
      </c>
      <c r="M136" s="66" t="s">
        <v>258</v>
      </c>
      <c r="N136" s="66" t="s">
        <v>379</v>
      </c>
      <c r="O136" s="66" t="s">
        <v>399</v>
      </c>
      <c r="P136" s="0" t="s">
        <v>1133</v>
      </c>
      <c r="Q136" s="66" t="s">
        <v>995</v>
      </c>
    </row>
    <row r="137" customFormat="false" ht="14.25" hidden="false" customHeight="false" outlineLevel="0" collapsed="false">
      <c r="A137" s="13" t="s">
        <v>816</v>
      </c>
      <c r="B137" s="13" t="s">
        <v>581</v>
      </c>
      <c r="C137" s="13" t="s">
        <v>582</v>
      </c>
      <c r="D137" s="61" t="n">
        <v>45963.4652777778</v>
      </c>
      <c r="E137" s="61" t="n">
        <v>45963.4652777778</v>
      </c>
      <c r="F137" s="61" t="n">
        <v>45963.5034722222</v>
      </c>
      <c r="G137" s="62" t="n">
        <v>0.0381944444379769</v>
      </c>
      <c r="H137" s="13" t="s">
        <v>248</v>
      </c>
      <c r="J137" s="13" t="s">
        <v>256</v>
      </c>
      <c r="K137" s="13" t="s">
        <v>430</v>
      </c>
      <c r="L137" s="13" t="s">
        <v>1000</v>
      </c>
      <c r="M137" s="66" t="s">
        <v>258</v>
      </c>
      <c r="N137" s="66" t="s">
        <v>379</v>
      </c>
      <c r="O137" s="66" t="s">
        <v>399</v>
      </c>
      <c r="P137" s="0" t="s">
        <v>1134</v>
      </c>
      <c r="Q137" s="66" t="s">
        <v>995</v>
      </c>
    </row>
    <row r="138" customFormat="false" ht="14.25" hidden="false" customHeight="false" outlineLevel="0" collapsed="false">
      <c r="A138" s="13" t="s">
        <v>816</v>
      </c>
      <c r="B138" s="13" t="s">
        <v>581</v>
      </c>
      <c r="C138" s="13" t="s">
        <v>594</v>
      </c>
      <c r="D138" s="61" t="n">
        <v>45963.4652777778</v>
      </c>
      <c r="E138" s="61" t="n">
        <v>45963.4652777778</v>
      </c>
      <c r="F138" s="61" t="n">
        <v>45963.5034722222</v>
      </c>
      <c r="G138" s="62" t="n">
        <v>0.0381944444379769</v>
      </c>
      <c r="H138" s="13" t="s">
        <v>248</v>
      </c>
      <c r="J138" s="13" t="s">
        <v>256</v>
      </c>
      <c r="K138" s="13" t="s">
        <v>430</v>
      </c>
      <c r="L138" s="13" t="s">
        <v>1000</v>
      </c>
      <c r="M138" s="66" t="s">
        <v>258</v>
      </c>
      <c r="N138" s="66" t="s">
        <v>379</v>
      </c>
      <c r="O138" s="66" t="s">
        <v>399</v>
      </c>
      <c r="P138" s="0" t="s">
        <v>1135</v>
      </c>
      <c r="Q138" s="66" t="s">
        <v>995</v>
      </c>
    </row>
    <row r="139" customFormat="false" ht="14.25" hidden="false" customHeight="false" outlineLevel="0" collapsed="false">
      <c r="A139" s="13" t="s">
        <v>816</v>
      </c>
      <c r="B139" s="13" t="s">
        <v>581</v>
      </c>
      <c r="C139" s="13" t="s">
        <v>596</v>
      </c>
      <c r="D139" s="61" t="n">
        <v>45963.4652777778</v>
      </c>
      <c r="E139" s="61" t="n">
        <v>45963.4652777778</v>
      </c>
      <c r="F139" s="61" t="n">
        <v>45963.5034722222</v>
      </c>
      <c r="G139" s="62" t="n">
        <v>0.0381944444379769</v>
      </c>
      <c r="H139" s="13" t="s">
        <v>248</v>
      </c>
      <c r="J139" s="13" t="s">
        <v>256</v>
      </c>
      <c r="K139" s="13" t="s">
        <v>430</v>
      </c>
      <c r="L139" s="13" t="s">
        <v>1000</v>
      </c>
      <c r="M139" s="66" t="s">
        <v>258</v>
      </c>
      <c r="N139" s="66" t="s">
        <v>379</v>
      </c>
      <c r="O139" s="66" t="s">
        <v>399</v>
      </c>
      <c r="P139" s="0" t="s">
        <v>1136</v>
      </c>
      <c r="Q139" s="66" t="s">
        <v>995</v>
      </c>
    </row>
    <row r="140" customFormat="false" ht="14.25" hidden="false" customHeight="false" outlineLevel="0" collapsed="false">
      <c r="A140" s="13" t="s">
        <v>816</v>
      </c>
      <c r="B140" s="13" t="s">
        <v>581</v>
      </c>
      <c r="C140" s="13" t="s">
        <v>592</v>
      </c>
      <c r="D140" s="61" t="n">
        <v>45963.4652777778</v>
      </c>
      <c r="E140" s="61" t="n">
        <v>45963.4652777778</v>
      </c>
      <c r="F140" s="61" t="n">
        <v>45963.5034722222</v>
      </c>
      <c r="G140" s="62" t="n">
        <v>0.0381944444379769</v>
      </c>
      <c r="H140" s="13" t="s">
        <v>248</v>
      </c>
      <c r="J140" s="13" t="s">
        <v>256</v>
      </c>
      <c r="K140" s="13" t="s">
        <v>430</v>
      </c>
      <c r="L140" s="13" t="s">
        <v>1000</v>
      </c>
      <c r="M140" s="66" t="s">
        <v>258</v>
      </c>
      <c r="N140" s="66" t="s">
        <v>379</v>
      </c>
      <c r="O140" s="66" t="s">
        <v>399</v>
      </c>
      <c r="P140" s="0" t="s">
        <v>1137</v>
      </c>
      <c r="Q140" s="66" t="s">
        <v>995</v>
      </c>
    </row>
    <row r="141" customFormat="false" ht="14.25" hidden="false" customHeight="false" outlineLevel="0" collapsed="false">
      <c r="A141" s="13" t="s">
        <v>816</v>
      </c>
      <c r="B141" s="13" t="s">
        <v>581</v>
      </c>
      <c r="C141" s="13" t="s">
        <v>595</v>
      </c>
      <c r="D141" s="61" t="n">
        <v>45963.4652777778</v>
      </c>
      <c r="E141" s="61" t="n">
        <v>45963.4652777778</v>
      </c>
      <c r="F141" s="61" t="n">
        <v>45963.5034722222</v>
      </c>
      <c r="G141" s="62" t="n">
        <v>0.0381944444379769</v>
      </c>
      <c r="H141" s="13" t="s">
        <v>248</v>
      </c>
      <c r="J141" s="13" t="s">
        <v>256</v>
      </c>
      <c r="K141" s="13" t="s">
        <v>430</v>
      </c>
      <c r="L141" s="13" t="s">
        <v>1000</v>
      </c>
      <c r="M141" s="66" t="s">
        <v>258</v>
      </c>
      <c r="N141" s="66" t="s">
        <v>379</v>
      </c>
      <c r="O141" s="66" t="s">
        <v>399</v>
      </c>
      <c r="P141" s="0" t="s">
        <v>1138</v>
      </c>
      <c r="Q141" s="66" t="s">
        <v>995</v>
      </c>
    </row>
    <row r="142" customFormat="false" ht="14.25" hidden="false" customHeight="false" outlineLevel="0" collapsed="false">
      <c r="A142" s="13" t="s">
        <v>816</v>
      </c>
      <c r="B142" s="13" t="s">
        <v>581</v>
      </c>
      <c r="C142" s="13" t="s">
        <v>599</v>
      </c>
      <c r="D142" s="61" t="n">
        <v>45963.4652777778</v>
      </c>
      <c r="E142" s="61" t="n">
        <v>45963.4652777778</v>
      </c>
      <c r="F142" s="61" t="n">
        <v>45963.5034722222</v>
      </c>
      <c r="G142" s="62" t="n">
        <v>0.0381944444379769</v>
      </c>
      <c r="H142" s="13" t="s">
        <v>248</v>
      </c>
      <c r="J142" s="13" t="s">
        <v>256</v>
      </c>
      <c r="K142" s="13" t="s">
        <v>430</v>
      </c>
      <c r="L142" s="13" t="s">
        <v>1000</v>
      </c>
      <c r="M142" s="66" t="s">
        <v>258</v>
      </c>
      <c r="N142" s="66" t="s">
        <v>379</v>
      </c>
      <c r="O142" s="66" t="s">
        <v>399</v>
      </c>
      <c r="P142" s="0" t="s">
        <v>1139</v>
      </c>
      <c r="Q142" s="66" t="s">
        <v>995</v>
      </c>
    </row>
    <row r="143" customFormat="false" ht="14.25" hidden="false" customHeight="false" outlineLevel="0" collapsed="false">
      <c r="A143" s="13" t="s">
        <v>816</v>
      </c>
      <c r="B143" s="13" t="s">
        <v>581</v>
      </c>
      <c r="C143" s="13" t="s">
        <v>584</v>
      </c>
      <c r="D143" s="61" t="n">
        <v>45963.4652777778</v>
      </c>
      <c r="E143" s="61" t="n">
        <v>45963.4652777778</v>
      </c>
      <c r="F143" s="61" t="n">
        <v>45963.5034722222</v>
      </c>
      <c r="G143" s="62" t="n">
        <v>0.0381944444379769</v>
      </c>
      <c r="H143" s="13" t="s">
        <v>248</v>
      </c>
      <c r="J143" s="13" t="s">
        <v>256</v>
      </c>
      <c r="K143" s="13" t="s">
        <v>430</v>
      </c>
      <c r="L143" s="13" t="s">
        <v>1000</v>
      </c>
      <c r="M143" s="66" t="s">
        <v>258</v>
      </c>
      <c r="N143" s="66" t="s">
        <v>379</v>
      </c>
      <c r="O143" s="66" t="s">
        <v>399</v>
      </c>
      <c r="P143" s="0" t="s">
        <v>1140</v>
      </c>
      <c r="Q143" s="66" t="s">
        <v>995</v>
      </c>
    </row>
    <row r="144" customFormat="false" ht="14.25" hidden="false" customHeight="false" outlineLevel="0" collapsed="false">
      <c r="A144" s="13" t="s">
        <v>816</v>
      </c>
      <c r="B144" s="13" t="s">
        <v>581</v>
      </c>
      <c r="C144" s="13" t="s">
        <v>590</v>
      </c>
      <c r="D144" s="61" t="n">
        <v>45963.4652777778</v>
      </c>
      <c r="E144" s="61" t="n">
        <v>45963.4652777778</v>
      </c>
      <c r="F144" s="61" t="n">
        <v>45963.5034722222</v>
      </c>
      <c r="G144" s="62" t="n">
        <v>0.0381944444379769</v>
      </c>
      <c r="H144" s="13" t="s">
        <v>248</v>
      </c>
      <c r="J144" s="13" t="s">
        <v>256</v>
      </c>
      <c r="K144" s="13" t="s">
        <v>430</v>
      </c>
      <c r="L144" s="13" t="s">
        <v>1000</v>
      </c>
      <c r="M144" s="66" t="s">
        <v>258</v>
      </c>
      <c r="N144" s="66" t="s">
        <v>379</v>
      </c>
      <c r="O144" s="66" t="s">
        <v>399</v>
      </c>
      <c r="P144" s="0" t="s">
        <v>1141</v>
      </c>
      <c r="Q144" s="66" t="s">
        <v>995</v>
      </c>
    </row>
    <row r="145" customFormat="false" ht="14.25" hidden="false" customHeight="false" outlineLevel="0" collapsed="false">
      <c r="A145" s="13" t="s">
        <v>1142</v>
      </c>
      <c r="B145" s="13" t="s">
        <v>320</v>
      </c>
      <c r="C145" s="13" t="s">
        <v>323</v>
      </c>
      <c r="D145" s="61" t="n">
        <v>45963.50625</v>
      </c>
      <c r="E145" s="61" t="n">
        <v>45963.50625</v>
      </c>
      <c r="F145" s="61" t="n">
        <v>45964.25</v>
      </c>
      <c r="G145" s="62" t="n">
        <v>0.743750000001455</v>
      </c>
      <c r="H145" s="13" t="s">
        <v>248</v>
      </c>
      <c r="J145" s="13" t="s">
        <v>256</v>
      </c>
      <c r="K145" s="13" t="s">
        <v>430</v>
      </c>
      <c r="L145" s="13" t="s">
        <v>275</v>
      </c>
      <c r="M145" s="66" t="s">
        <v>258</v>
      </c>
      <c r="N145" s="66" t="s">
        <v>379</v>
      </c>
      <c r="O145" s="66" t="s">
        <v>882</v>
      </c>
      <c r="P145" s="0" t="s">
        <v>1143</v>
      </c>
      <c r="Q145" s="66" t="s">
        <v>995</v>
      </c>
    </row>
    <row r="146" customFormat="false" ht="14.25" hidden="false" customHeight="false" outlineLevel="0" collapsed="false">
      <c r="A146" s="13" t="s">
        <v>857</v>
      </c>
      <c r="B146" s="13" t="s">
        <v>320</v>
      </c>
      <c r="C146" s="13" t="s">
        <v>321</v>
      </c>
      <c r="D146" s="61" t="n">
        <v>45963.50625</v>
      </c>
      <c r="E146" s="61" t="n">
        <v>45963.50625</v>
      </c>
      <c r="F146" s="61" t="n">
        <v>45964.25</v>
      </c>
      <c r="G146" s="62" t="n">
        <v>0.743750000001455</v>
      </c>
      <c r="H146" s="13" t="s">
        <v>248</v>
      </c>
      <c r="J146" s="13" t="s">
        <v>256</v>
      </c>
      <c r="K146" s="13" t="s">
        <v>430</v>
      </c>
      <c r="L146" s="13" t="s">
        <v>275</v>
      </c>
      <c r="M146" s="66" t="s">
        <v>258</v>
      </c>
      <c r="N146" s="66" t="s">
        <v>379</v>
      </c>
      <c r="O146" s="66" t="s">
        <v>882</v>
      </c>
      <c r="P146" s="0" t="s">
        <v>1144</v>
      </c>
      <c r="Q146" s="66" t="s">
        <v>995</v>
      </c>
    </row>
    <row r="147" customFormat="false" ht="14.25" hidden="false" customHeight="false" outlineLevel="0" collapsed="false">
      <c r="A147" s="13" t="s">
        <v>1145</v>
      </c>
      <c r="B147" s="13" t="s">
        <v>320</v>
      </c>
      <c r="C147" s="13" t="s">
        <v>324</v>
      </c>
      <c r="D147" s="61" t="n">
        <v>45963.50625</v>
      </c>
      <c r="E147" s="61" t="n">
        <v>45963.50625</v>
      </c>
      <c r="F147" s="61" t="n">
        <v>45964.25</v>
      </c>
      <c r="G147" s="62" t="n">
        <v>0.743750000001455</v>
      </c>
      <c r="H147" s="13" t="s">
        <v>248</v>
      </c>
      <c r="J147" s="13" t="s">
        <v>256</v>
      </c>
      <c r="K147" s="13" t="s">
        <v>430</v>
      </c>
      <c r="L147" s="13" t="s">
        <v>275</v>
      </c>
      <c r="M147" s="66" t="s">
        <v>258</v>
      </c>
      <c r="N147" s="66" t="s">
        <v>379</v>
      </c>
      <c r="O147" s="66" t="s">
        <v>882</v>
      </c>
      <c r="P147" s="0" t="s">
        <v>1146</v>
      </c>
      <c r="Q147" s="66" t="s">
        <v>995</v>
      </c>
    </row>
    <row r="148" customFormat="false" ht="14.25" hidden="false" customHeight="false" outlineLevel="0" collapsed="false">
      <c r="A148" s="13" t="s">
        <v>1147</v>
      </c>
      <c r="B148" s="13" t="s">
        <v>325</v>
      </c>
      <c r="C148" s="13" t="s">
        <v>327</v>
      </c>
      <c r="D148" s="61" t="n">
        <v>45963.50625</v>
      </c>
      <c r="E148" s="61" t="n">
        <v>45963.50625</v>
      </c>
      <c r="F148" s="61" t="n">
        <v>45964.25</v>
      </c>
      <c r="G148" s="62" t="n">
        <v>0.743750000001455</v>
      </c>
      <c r="H148" s="13" t="s">
        <v>248</v>
      </c>
      <c r="J148" s="13" t="s">
        <v>256</v>
      </c>
      <c r="K148" s="13" t="s">
        <v>430</v>
      </c>
      <c r="L148" s="13" t="s">
        <v>275</v>
      </c>
      <c r="M148" s="66" t="s">
        <v>258</v>
      </c>
      <c r="N148" s="66" t="s">
        <v>379</v>
      </c>
      <c r="O148" s="66" t="s">
        <v>882</v>
      </c>
      <c r="P148" s="0" t="s">
        <v>1148</v>
      </c>
      <c r="Q148" s="66" t="s">
        <v>995</v>
      </c>
    </row>
    <row r="149" customFormat="false" ht="14.25" hidden="false" customHeight="false" outlineLevel="0" collapsed="false">
      <c r="A149" s="13" t="s">
        <v>1149</v>
      </c>
      <c r="B149" s="13" t="s">
        <v>325</v>
      </c>
      <c r="C149" s="13" t="s">
        <v>328</v>
      </c>
      <c r="D149" s="61" t="n">
        <v>45963.50625</v>
      </c>
      <c r="E149" s="61" t="n">
        <v>45963.50625</v>
      </c>
      <c r="F149" s="61" t="n">
        <v>45964.25</v>
      </c>
      <c r="G149" s="62" t="n">
        <v>0.743750000001455</v>
      </c>
      <c r="H149" s="13" t="s">
        <v>248</v>
      </c>
      <c r="J149" s="13" t="s">
        <v>256</v>
      </c>
      <c r="K149" s="13" t="s">
        <v>430</v>
      </c>
      <c r="L149" s="13" t="s">
        <v>275</v>
      </c>
      <c r="M149" s="66" t="s">
        <v>258</v>
      </c>
      <c r="N149" s="66" t="s">
        <v>379</v>
      </c>
      <c r="O149" s="66" t="s">
        <v>882</v>
      </c>
      <c r="P149" s="0" t="s">
        <v>1150</v>
      </c>
      <c r="Q149" s="66" t="s">
        <v>995</v>
      </c>
    </row>
    <row r="150" customFormat="false" ht="14.25" hidden="false" customHeight="false" outlineLevel="0" collapsed="false">
      <c r="A150" s="13" t="s">
        <v>1151</v>
      </c>
      <c r="B150" s="13" t="s">
        <v>325</v>
      </c>
      <c r="C150" s="13" t="s">
        <v>326</v>
      </c>
      <c r="D150" s="61" t="n">
        <v>45963.50625</v>
      </c>
      <c r="E150" s="61" t="n">
        <v>45963.50625</v>
      </c>
      <c r="F150" s="61" t="n">
        <v>45964.25</v>
      </c>
      <c r="G150" s="62" t="n">
        <v>0.743750000001455</v>
      </c>
      <c r="H150" s="13" t="s">
        <v>248</v>
      </c>
      <c r="J150" s="13" t="s">
        <v>256</v>
      </c>
      <c r="K150" s="13" t="s">
        <v>430</v>
      </c>
      <c r="L150" s="13" t="s">
        <v>275</v>
      </c>
      <c r="M150" s="66" t="s">
        <v>258</v>
      </c>
      <c r="N150" s="66" t="s">
        <v>379</v>
      </c>
      <c r="O150" s="66" t="s">
        <v>882</v>
      </c>
      <c r="P150" s="0" t="s">
        <v>1152</v>
      </c>
      <c r="Q150" s="66" t="s">
        <v>995</v>
      </c>
    </row>
    <row r="151" customFormat="false" ht="14.25" hidden="false" customHeight="false" outlineLevel="0" collapsed="false">
      <c r="A151" s="13" t="s">
        <v>1153</v>
      </c>
      <c r="B151" s="13" t="s">
        <v>325</v>
      </c>
      <c r="C151" s="13" t="s">
        <v>329</v>
      </c>
      <c r="D151" s="61" t="n">
        <v>45963.50625</v>
      </c>
      <c r="E151" s="61" t="n">
        <v>45963.50625</v>
      </c>
      <c r="F151" s="61" t="n">
        <v>45964.25</v>
      </c>
      <c r="G151" s="62" t="n">
        <v>0.743750000001455</v>
      </c>
      <c r="H151" s="13" t="s">
        <v>248</v>
      </c>
      <c r="J151" s="13" t="s">
        <v>256</v>
      </c>
      <c r="K151" s="13" t="s">
        <v>430</v>
      </c>
      <c r="L151" s="13" t="s">
        <v>275</v>
      </c>
      <c r="M151" s="66" t="s">
        <v>258</v>
      </c>
      <c r="N151" s="66" t="s">
        <v>379</v>
      </c>
      <c r="O151" s="66" t="s">
        <v>882</v>
      </c>
      <c r="P151" s="0" t="s">
        <v>1154</v>
      </c>
      <c r="Q151" s="66" t="s">
        <v>995</v>
      </c>
    </row>
    <row r="152" customFormat="false" ht="14.25" hidden="false" customHeight="false" outlineLevel="0" collapsed="false">
      <c r="A152" s="13" t="s">
        <v>1155</v>
      </c>
      <c r="B152" s="13" t="s">
        <v>643</v>
      </c>
      <c r="C152" s="13" t="s">
        <v>644</v>
      </c>
      <c r="D152" s="61" t="n">
        <v>45963.5319444445</v>
      </c>
      <c r="E152" s="61" t="n">
        <v>45963.5319444445</v>
      </c>
      <c r="F152" s="61" t="n">
        <v>45963.6458333333</v>
      </c>
      <c r="G152" s="62" t="n">
        <v>0.113888888889051</v>
      </c>
      <c r="H152" s="13" t="s">
        <v>248</v>
      </c>
      <c r="J152" s="13" t="s">
        <v>256</v>
      </c>
      <c r="K152" s="13" t="s">
        <v>430</v>
      </c>
      <c r="L152" s="13" t="s">
        <v>1000</v>
      </c>
      <c r="M152" s="66" t="s">
        <v>258</v>
      </c>
      <c r="N152" s="66" t="s">
        <v>379</v>
      </c>
      <c r="O152" s="66" t="s">
        <v>399</v>
      </c>
      <c r="P152" s="0" t="s">
        <v>1156</v>
      </c>
      <c r="Q152" s="66" t="s">
        <v>995</v>
      </c>
    </row>
    <row r="153" customFormat="false" ht="14.25" hidden="false" customHeight="false" outlineLevel="0" collapsed="false">
      <c r="A153" s="13" t="s">
        <v>1155</v>
      </c>
      <c r="B153" s="13" t="s">
        <v>643</v>
      </c>
      <c r="C153" s="13" t="s">
        <v>647</v>
      </c>
      <c r="D153" s="61" t="n">
        <v>45963.5319444445</v>
      </c>
      <c r="E153" s="61" t="n">
        <v>45963.5319444445</v>
      </c>
      <c r="F153" s="61" t="n">
        <v>45963.6458333333</v>
      </c>
      <c r="G153" s="62" t="n">
        <v>0.113888888889051</v>
      </c>
      <c r="H153" s="13" t="s">
        <v>248</v>
      </c>
      <c r="J153" s="13" t="s">
        <v>256</v>
      </c>
      <c r="K153" s="13" t="s">
        <v>430</v>
      </c>
      <c r="L153" s="13" t="s">
        <v>1000</v>
      </c>
      <c r="M153" s="66" t="s">
        <v>258</v>
      </c>
      <c r="N153" s="66" t="s">
        <v>379</v>
      </c>
      <c r="O153" s="66" t="s">
        <v>399</v>
      </c>
      <c r="P153" s="0" t="s">
        <v>1157</v>
      </c>
      <c r="Q153" s="66" t="s">
        <v>995</v>
      </c>
    </row>
    <row r="154" customFormat="false" ht="14.25" hidden="false" customHeight="false" outlineLevel="0" collapsed="false">
      <c r="A154" s="13" t="s">
        <v>1155</v>
      </c>
      <c r="B154" s="13" t="s">
        <v>643</v>
      </c>
      <c r="C154" s="13" t="s">
        <v>648</v>
      </c>
      <c r="D154" s="61" t="n">
        <v>45963.5319444445</v>
      </c>
      <c r="E154" s="61" t="n">
        <v>45963.5319444445</v>
      </c>
      <c r="F154" s="61" t="n">
        <v>45963.6458333333</v>
      </c>
      <c r="G154" s="62" t="n">
        <v>0.113888888889051</v>
      </c>
      <c r="H154" s="13" t="s">
        <v>248</v>
      </c>
      <c r="J154" s="13" t="s">
        <v>256</v>
      </c>
      <c r="K154" s="13" t="s">
        <v>430</v>
      </c>
      <c r="L154" s="13" t="s">
        <v>1000</v>
      </c>
      <c r="M154" s="66" t="s">
        <v>258</v>
      </c>
      <c r="N154" s="66" t="s">
        <v>379</v>
      </c>
      <c r="O154" s="66" t="s">
        <v>399</v>
      </c>
      <c r="P154" s="0" t="s">
        <v>1158</v>
      </c>
      <c r="Q154" s="66" t="s">
        <v>995</v>
      </c>
    </row>
    <row r="155" customFormat="false" ht="14.25" hidden="false" customHeight="false" outlineLevel="0" collapsed="false">
      <c r="A155" s="13" t="s">
        <v>1155</v>
      </c>
      <c r="B155" s="13" t="s">
        <v>643</v>
      </c>
      <c r="C155" s="13" t="s">
        <v>649</v>
      </c>
      <c r="D155" s="61" t="n">
        <v>45963.5319444445</v>
      </c>
      <c r="E155" s="61" t="n">
        <v>45963.5319444445</v>
      </c>
      <c r="F155" s="61" t="n">
        <v>45963.6458333333</v>
      </c>
      <c r="G155" s="62" t="n">
        <v>0.113888888889051</v>
      </c>
      <c r="H155" s="13" t="s">
        <v>248</v>
      </c>
      <c r="J155" s="13" t="s">
        <v>256</v>
      </c>
      <c r="K155" s="13" t="s">
        <v>430</v>
      </c>
      <c r="L155" s="13" t="s">
        <v>1000</v>
      </c>
      <c r="M155" s="66" t="s">
        <v>258</v>
      </c>
      <c r="N155" s="66" t="s">
        <v>379</v>
      </c>
      <c r="O155" s="66" t="s">
        <v>399</v>
      </c>
      <c r="P155" s="0" t="s">
        <v>1159</v>
      </c>
      <c r="Q155" s="66" t="s">
        <v>995</v>
      </c>
    </row>
    <row r="156" customFormat="false" ht="14.25" hidden="false" customHeight="false" outlineLevel="0" collapsed="false">
      <c r="A156" s="13" t="s">
        <v>896</v>
      </c>
      <c r="B156" s="13" t="s">
        <v>650</v>
      </c>
      <c r="C156" s="13" t="s">
        <v>651</v>
      </c>
      <c r="D156" s="61" t="n">
        <v>45963.5319444445</v>
      </c>
      <c r="E156" s="61" t="n">
        <v>45963.5319444445</v>
      </c>
      <c r="F156" s="61" t="n">
        <v>45963.6458333333</v>
      </c>
      <c r="G156" s="62" t="n">
        <v>0.113888888889051</v>
      </c>
      <c r="H156" s="13" t="s">
        <v>248</v>
      </c>
      <c r="J156" s="13" t="s">
        <v>256</v>
      </c>
      <c r="K156" s="13" t="s">
        <v>430</v>
      </c>
      <c r="L156" s="13" t="s">
        <v>1000</v>
      </c>
      <c r="M156" s="66" t="s">
        <v>258</v>
      </c>
      <c r="N156" s="66" t="s">
        <v>379</v>
      </c>
      <c r="O156" s="66" t="s">
        <v>399</v>
      </c>
      <c r="P156" s="0" t="s">
        <v>1160</v>
      </c>
      <c r="Q156" s="66" t="s">
        <v>995</v>
      </c>
    </row>
    <row r="157" customFormat="false" ht="14.25" hidden="false" customHeight="false" outlineLevel="0" collapsed="false">
      <c r="A157" s="13" t="s">
        <v>896</v>
      </c>
      <c r="B157" s="13" t="s">
        <v>650</v>
      </c>
      <c r="C157" s="13" t="s">
        <v>653</v>
      </c>
      <c r="D157" s="61" t="n">
        <v>45963.5319444445</v>
      </c>
      <c r="E157" s="61" t="n">
        <v>45963.5319444445</v>
      </c>
      <c r="F157" s="61" t="n">
        <v>45963.6458333333</v>
      </c>
      <c r="G157" s="62" t="n">
        <v>0.113888888889051</v>
      </c>
      <c r="H157" s="13" t="s">
        <v>248</v>
      </c>
      <c r="J157" s="13" t="s">
        <v>256</v>
      </c>
      <c r="K157" s="13" t="s">
        <v>430</v>
      </c>
      <c r="L157" s="13" t="s">
        <v>1000</v>
      </c>
      <c r="M157" s="66" t="s">
        <v>258</v>
      </c>
      <c r="N157" s="66" t="s">
        <v>379</v>
      </c>
      <c r="O157" s="66" t="s">
        <v>399</v>
      </c>
      <c r="P157" s="0" t="s">
        <v>1161</v>
      </c>
      <c r="Q157" s="66" t="s">
        <v>995</v>
      </c>
    </row>
    <row r="158" customFormat="false" ht="14.25" hidden="false" customHeight="false" outlineLevel="0" collapsed="false">
      <c r="A158" s="13" t="s">
        <v>896</v>
      </c>
      <c r="B158" s="13" t="s">
        <v>650</v>
      </c>
      <c r="C158" s="13" t="s">
        <v>654</v>
      </c>
      <c r="D158" s="61" t="n">
        <v>45963.5319444445</v>
      </c>
      <c r="E158" s="61" t="n">
        <v>45963.5319444445</v>
      </c>
      <c r="F158" s="61" t="n">
        <v>45963.6458333333</v>
      </c>
      <c r="G158" s="62" t="n">
        <v>0.113888888889051</v>
      </c>
      <c r="H158" s="13" t="s">
        <v>248</v>
      </c>
      <c r="J158" s="13" t="s">
        <v>256</v>
      </c>
      <c r="K158" s="13" t="s">
        <v>430</v>
      </c>
      <c r="L158" s="13" t="s">
        <v>1000</v>
      </c>
      <c r="M158" s="66" t="s">
        <v>258</v>
      </c>
      <c r="N158" s="66" t="s">
        <v>379</v>
      </c>
      <c r="O158" s="66" t="s">
        <v>399</v>
      </c>
      <c r="P158" s="0" t="s">
        <v>1162</v>
      </c>
      <c r="Q158" s="66" t="s">
        <v>995</v>
      </c>
    </row>
    <row r="159" customFormat="false" ht="14.25" hidden="false" customHeight="false" outlineLevel="0" collapsed="false">
      <c r="A159" s="13" t="s">
        <v>896</v>
      </c>
      <c r="B159" s="13" t="s">
        <v>650</v>
      </c>
      <c r="C159" s="13" t="s">
        <v>655</v>
      </c>
      <c r="D159" s="61" t="n">
        <v>45963.5319444445</v>
      </c>
      <c r="E159" s="61" t="n">
        <v>45963.5319444445</v>
      </c>
      <c r="F159" s="61" t="n">
        <v>45963.6458333333</v>
      </c>
      <c r="G159" s="62" t="n">
        <v>0.113888888889051</v>
      </c>
      <c r="H159" s="13" t="s">
        <v>248</v>
      </c>
      <c r="J159" s="13" t="s">
        <v>256</v>
      </c>
      <c r="K159" s="13" t="s">
        <v>430</v>
      </c>
      <c r="L159" s="13" t="s">
        <v>1000</v>
      </c>
      <c r="M159" s="66" t="s">
        <v>258</v>
      </c>
      <c r="N159" s="66" t="s">
        <v>379</v>
      </c>
      <c r="O159" s="66" t="s">
        <v>399</v>
      </c>
      <c r="P159" s="0" t="s">
        <v>1163</v>
      </c>
      <c r="Q159" s="66" t="s">
        <v>995</v>
      </c>
    </row>
    <row r="160" customFormat="false" ht="14.25" hidden="false" customHeight="false" outlineLevel="0" collapsed="false">
      <c r="A160" s="13" t="s">
        <v>896</v>
      </c>
      <c r="B160" s="13" t="s">
        <v>650</v>
      </c>
      <c r="C160" s="13" t="s">
        <v>656</v>
      </c>
      <c r="D160" s="61" t="n">
        <v>45963.5319444445</v>
      </c>
      <c r="E160" s="61" t="n">
        <v>45963.5319444445</v>
      </c>
      <c r="F160" s="61" t="n">
        <v>45963.6458333333</v>
      </c>
      <c r="G160" s="62" t="n">
        <v>0.113888888889051</v>
      </c>
      <c r="H160" s="13" t="s">
        <v>248</v>
      </c>
      <c r="J160" s="13" t="s">
        <v>256</v>
      </c>
      <c r="K160" s="13" t="s">
        <v>430</v>
      </c>
      <c r="L160" s="13" t="s">
        <v>1000</v>
      </c>
      <c r="M160" s="66" t="s">
        <v>258</v>
      </c>
      <c r="N160" s="66" t="s">
        <v>379</v>
      </c>
      <c r="O160" s="66" t="s">
        <v>399</v>
      </c>
      <c r="P160" s="0" t="s">
        <v>1164</v>
      </c>
      <c r="Q160" s="66" t="s">
        <v>995</v>
      </c>
    </row>
    <row r="161" customFormat="false" ht="14.25" hidden="false" customHeight="false" outlineLevel="0" collapsed="false">
      <c r="A161" s="13" t="s">
        <v>896</v>
      </c>
      <c r="B161" s="13" t="s">
        <v>650</v>
      </c>
      <c r="C161" s="13" t="s">
        <v>657</v>
      </c>
      <c r="D161" s="61" t="n">
        <v>45963.5319444445</v>
      </c>
      <c r="E161" s="61" t="n">
        <v>45963.5319444445</v>
      </c>
      <c r="F161" s="61" t="n">
        <v>45963.6458333333</v>
      </c>
      <c r="G161" s="62" t="n">
        <v>0.113888888889051</v>
      </c>
      <c r="H161" s="13" t="s">
        <v>248</v>
      </c>
      <c r="J161" s="13" t="s">
        <v>256</v>
      </c>
      <c r="K161" s="13" t="s">
        <v>430</v>
      </c>
      <c r="L161" s="13" t="s">
        <v>1000</v>
      </c>
      <c r="M161" s="66" t="s">
        <v>258</v>
      </c>
      <c r="N161" s="66" t="s">
        <v>379</v>
      </c>
      <c r="O161" s="66" t="s">
        <v>399</v>
      </c>
      <c r="P161" s="0" t="s">
        <v>1165</v>
      </c>
      <c r="Q161" s="66" t="s">
        <v>995</v>
      </c>
    </row>
    <row r="162" customFormat="false" ht="14.25" hidden="false" customHeight="false" outlineLevel="0" collapsed="false">
      <c r="A162" s="13" t="s">
        <v>896</v>
      </c>
      <c r="B162" s="13" t="s">
        <v>650</v>
      </c>
      <c r="C162" s="13" t="s">
        <v>658</v>
      </c>
      <c r="D162" s="61" t="n">
        <v>45963.5319444445</v>
      </c>
      <c r="E162" s="61" t="n">
        <v>45963.5319444445</v>
      </c>
      <c r="F162" s="61" t="n">
        <v>45963.6458333333</v>
      </c>
      <c r="G162" s="62" t="n">
        <v>0.113888888889051</v>
      </c>
      <c r="H162" s="13" t="s">
        <v>248</v>
      </c>
      <c r="J162" s="13" t="s">
        <v>256</v>
      </c>
      <c r="K162" s="13" t="s">
        <v>430</v>
      </c>
      <c r="L162" s="13" t="s">
        <v>1000</v>
      </c>
      <c r="M162" s="66" t="s">
        <v>258</v>
      </c>
      <c r="N162" s="66" t="s">
        <v>379</v>
      </c>
      <c r="O162" s="66" t="s">
        <v>399</v>
      </c>
      <c r="P162" s="0" t="s">
        <v>1166</v>
      </c>
      <c r="Q162" s="66" t="s">
        <v>995</v>
      </c>
    </row>
    <row r="163" customFormat="false" ht="14.25" hidden="false" customHeight="false" outlineLevel="0" collapsed="false">
      <c r="A163" s="13" t="s">
        <v>896</v>
      </c>
      <c r="B163" s="13" t="s">
        <v>650</v>
      </c>
      <c r="C163" s="13" t="s">
        <v>659</v>
      </c>
      <c r="D163" s="61" t="n">
        <v>45963.5319444445</v>
      </c>
      <c r="E163" s="61" t="n">
        <v>45963.5319444445</v>
      </c>
      <c r="F163" s="61" t="n">
        <v>45963.6458333333</v>
      </c>
      <c r="G163" s="62" t="n">
        <v>0.113888888889051</v>
      </c>
      <c r="H163" s="13" t="s">
        <v>248</v>
      </c>
      <c r="J163" s="13" t="s">
        <v>256</v>
      </c>
      <c r="K163" s="13" t="s">
        <v>430</v>
      </c>
      <c r="L163" s="13" t="s">
        <v>1000</v>
      </c>
      <c r="M163" s="66" t="s">
        <v>258</v>
      </c>
      <c r="N163" s="66" t="s">
        <v>379</v>
      </c>
      <c r="O163" s="66" t="s">
        <v>399</v>
      </c>
      <c r="P163" s="0" t="s">
        <v>1167</v>
      </c>
      <c r="Q163" s="66" t="s">
        <v>995</v>
      </c>
    </row>
    <row r="164" customFormat="false" ht="14.25" hidden="false" customHeight="false" outlineLevel="0" collapsed="false">
      <c r="A164" s="13" t="s">
        <v>896</v>
      </c>
      <c r="B164" s="13" t="s">
        <v>650</v>
      </c>
      <c r="C164" s="13" t="s">
        <v>660</v>
      </c>
      <c r="D164" s="61" t="n">
        <v>45963.5319444445</v>
      </c>
      <c r="E164" s="61" t="n">
        <v>45963.5319444445</v>
      </c>
      <c r="F164" s="61" t="n">
        <v>45963.6458333333</v>
      </c>
      <c r="G164" s="62" t="n">
        <v>0.113888888889051</v>
      </c>
      <c r="H164" s="13" t="s">
        <v>248</v>
      </c>
      <c r="J164" s="13" t="s">
        <v>256</v>
      </c>
      <c r="K164" s="13" t="s">
        <v>430</v>
      </c>
      <c r="L164" s="13" t="s">
        <v>1000</v>
      </c>
      <c r="M164" s="66" t="s">
        <v>258</v>
      </c>
      <c r="N164" s="66" t="s">
        <v>379</v>
      </c>
      <c r="O164" s="66" t="s">
        <v>399</v>
      </c>
      <c r="P164" s="0" t="s">
        <v>1168</v>
      </c>
      <c r="Q164" s="66" t="s">
        <v>995</v>
      </c>
    </row>
    <row r="165" customFormat="false" ht="14.25" hidden="false" customHeight="false" outlineLevel="0" collapsed="false">
      <c r="A165" s="13" t="s">
        <v>896</v>
      </c>
      <c r="B165" s="13" t="s">
        <v>650</v>
      </c>
      <c r="C165" s="13" t="s">
        <v>661</v>
      </c>
      <c r="D165" s="61" t="n">
        <v>45963.5319444445</v>
      </c>
      <c r="E165" s="61" t="n">
        <v>45963.5319444445</v>
      </c>
      <c r="F165" s="61" t="n">
        <v>45963.6458333333</v>
      </c>
      <c r="G165" s="62" t="n">
        <v>0.113888888889051</v>
      </c>
      <c r="H165" s="13" t="s">
        <v>248</v>
      </c>
      <c r="J165" s="13" t="s">
        <v>256</v>
      </c>
      <c r="K165" s="13" t="s">
        <v>430</v>
      </c>
      <c r="L165" s="13" t="s">
        <v>1000</v>
      </c>
      <c r="M165" s="66" t="s">
        <v>258</v>
      </c>
      <c r="N165" s="66" t="s">
        <v>379</v>
      </c>
      <c r="O165" s="66" t="s">
        <v>399</v>
      </c>
      <c r="P165" s="0" t="s">
        <v>1169</v>
      </c>
      <c r="Q165" s="66" t="s">
        <v>995</v>
      </c>
    </row>
    <row r="166" customFormat="false" ht="14.25" hidden="false" customHeight="false" outlineLevel="0" collapsed="false">
      <c r="A166" s="13" t="s">
        <v>896</v>
      </c>
      <c r="B166" s="13" t="s">
        <v>650</v>
      </c>
      <c r="C166" s="13" t="s">
        <v>662</v>
      </c>
      <c r="D166" s="61" t="n">
        <v>45963.5319444445</v>
      </c>
      <c r="E166" s="61" t="n">
        <v>45963.5319444445</v>
      </c>
      <c r="F166" s="61" t="n">
        <v>45963.6458333333</v>
      </c>
      <c r="G166" s="62" t="n">
        <v>0.113888888889051</v>
      </c>
      <c r="H166" s="13" t="s">
        <v>248</v>
      </c>
      <c r="J166" s="13" t="s">
        <v>256</v>
      </c>
      <c r="K166" s="13" t="s">
        <v>430</v>
      </c>
      <c r="L166" s="13" t="s">
        <v>1000</v>
      </c>
      <c r="M166" s="66" t="s">
        <v>258</v>
      </c>
      <c r="N166" s="66" t="s">
        <v>379</v>
      </c>
      <c r="O166" s="66" t="s">
        <v>399</v>
      </c>
      <c r="P166" s="0" t="s">
        <v>1170</v>
      </c>
      <c r="Q166" s="66" t="s">
        <v>995</v>
      </c>
    </row>
    <row r="167" customFormat="false" ht="14.25" hidden="false" customHeight="false" outlineLevel="0" collapsed="false">
      <c r="A167" s="13" t="s">
        <v>896</v>
      </c>
      <c r="B167" s="13" t="s">
        <v>650</v>
      </c>
      <c r="C167" s="13" t="s">
        <v>663</v>
      </c>
      <c r="D167" s="61" t="n">
        <v>45963.5319444445</v>
      </c>
      <c r="E167" s="61" t="n">
        <v>45963.5319444445</v>
      </c>
      <c r="F167" s="61" t="n">
        <v>45963.6458333333</v>
      </c>
      <c r="G167" s="62" t="n">
        <v>0.113888888889051</v>
      </c>
      <c r="H167" s="13" t="s">
        <v>248</v>
      </c>
      <c r="J167" s="13" t="s">
        <v>256</v>
      </c>
      <c r="K167" s="13" t="s">
        <v>430</v>
      </c>
      <c r="L167" s="13" t="s">
        <v>1000</v>
      </c>
      <c r="M167" s="66" t="s">
        <v>258</v>
      </c>
      <c r="N167" s="66" t="s">
        <v>379</v>
      </c>
      <c r="O167" s="66" t="s">
        <v>399</v>
      </c>
      <c r="P167" s="0" t="s">
        <v>1171</v>
      </c>
      <c r="Q167" s="66" t="s">
        <v>995</v>
      </c>
    </row>
    <row r="168" customFormat="false" ht="14.25" hidden="false" customHeight="false" outlineLevel="0" collapsed="false">
      <c r="A168" s="13" t="s">
        <v>896</v>
      </c>
      <c r="B168" s="13" t="s">
        <v>650</v>
      </c>
      <c r="C168" s="13" t="s">
        <v>664</v>
      </c>
      <c r="D168" s="61" t="n">
        <v>45963.5319444445</v>
      </c>
      <c r="E168" s="61" t="n">
        <v>45963.5319444445</v>
      </c>
      <c r="F168" s="61" t="n">
        <v>45963.6458333333</v>
      </c>
      <c r="G168" s="62" t="n">
        <v>0.113888888889051</v>
      </c>
      <c r="H168" s="13" t="s">
        <v>248</v>
      </c>
      <c r="J168" s="13" t="s">
        <v>256</v>
      </c>
      <c r="K168" s="13" t="s">
        <v>430</v>
      </c>
      <c r="L168" s="13" t="s">
        <v>1000</v>
      </c>
      <c r="M168" s="66" t="s">
        <v>258</v>
      </c>
      <c r="N168" s="66" t="s">
        <v>379</v>
      </c>
      <c r="O168" s="66" t="s">
        <v>399</v>
      </c>
      <c r="P168" s="0" t="s">
        <v>1172</v>
      </c>
      <c r="Q168" s="66" t="s">
        <v>995</v>
      </c>
    </row>
    <row r="169" customFormat="false" ht="14.25" hidden="false" customHeight="false" outlineLevel="0" collapsed="false">
      <c r="A169" s="13" t="s">
        <v>896</v>
      </c>
      <c r="B169" s="13" t="s">
        <v>650</v>
      </c>
      <c r="C169" s="13" t="s">
        <v>665</v>
      </c>
      <c r="D169" s="61" t="n">
        <v>45963.5319444445</v>
      </c>
      <c r="E169" s="61" t="n">
        <v>45963.5319444445</v>
      </c>
      <c r="F169" s="61" t="n">
        <v>45963.6458333333</v>
      </c>
      <c r="G169" s="62" t="n">
        <v>0.113888888889051</v>
      </c>
      <c r="H169" s="13" t="s">
        <v>248</v>
      </c>
      <c r="J169" s="13" t="s">
        <v>256</v>
      </c>
      <c r="K169" s="13" t="s">
        <v>430</v>
      </c>
      <c r="L169" s="13" t="s">
        <v>1000</v>
      </c>
      <c r="M169" s="66" t="s">
        <v>258</v>
      </c>
      <c r="N169" s="66" t="s">
        <v>379</v>
      </c>
      <c r="O169" s="66" t="s">
        <v>399</v>
      </c>
      <c r="P169" s="0" t="s">
        <v>1173</v>
      </c>
      <c r="Q169" s="66" t="s">
        <v>995</v>
      </c>
    </row>
    <row r="170" customFormat="false" ht="14.25" hidden="false" customHeight="false" outlineLevel="0" collapsed="false">
      <c r="A170" s="13" t="s">
        <v>896</v>
      </c>
      <c r="B170" s="13" t="s">
        <v>650</v>
      </c>
      <c r="C170" s="13" t="s">
        <v>666</v>
      </c>
      <c r="D170" s="61" t="n">
        <v>45963.5319444445</v>
      </c>
      <c r="E170" s="61" t="n">
        <v>45963.5319444445</v>
      </c>
      <c r="F170" s="61" t="n">
        <v>45963.6458333333</v>
      </c>
      <c r="G170" s="62" t="n">
        <v>0.113888888889051</v>
      </c>
      <c r="H170" s="13" t="s">
        <v>248</v>
      </c>
      <c r="J170" s="13" t="s">
        <v>256</v>
      </c>
      <c r="K170" s="13" t="s">
        <v>430</v>
      </c>
      <c r="L170" s="13" t="s">
        <v>1000</v>
      </c>
      <c r="M170" s="66" t="s">
        <v>258</v>
      </c>
      <c r="N170" s="66" t="s">
        <v>379</v>
      </c>
      <c r="O170" s="66" t="s">
        <v>399</v>
      </c>
      <c r="P170" s="0" t="s">
        <v>1174</v>
      </c>
      <c r="Q170" s="66" t="s">
        <v>995</v>
      </c>
    </row>
    <row r="171" customFormat="false" ht="14.25" hidden="false" customHeight="false" outlineLevel="0" collapsed="false">
      <c r="A171" s="13" t="s">
        <v>896</v>
      </c>
      <c r="B171" s="13" t="s">
        <v>650</v>
      </c>
      <c r="C171" s="13" t="s">
        <v>667</v>
      </c>
      <c r="D171" s="61" t="n">
        <v>45963.5319444445</v>
      </c>
      <c r="E171" s="61" t="n">
        <v>45963.5319444445</v>
      </c>
      <c r="F171" s="61" t="n">
        <v>45963.6458333333</v>
      </c>
      <c r="G171" s="62" t="n">
        <v>0.113888888889051</v>
      </c>
      <c r="H171" s="13" t="s">
        <v>248</v>
      </c>
      <c r="J171" s="13" t="s">
        <v>256</v>
      </c>
      <c r="K171" s="13" t="s">
        <v>430</v>
      </c>
      <c r="L171" s="13" t="s">
        <v>1000</v>
      </c>
      <c r="M171" s="66" t="s">
        <v>258</v>
      </c>
      <c r="N171" s="66" t="s">
        <v>379</v>
      </c>
      <c r="O171" s="66" t="s">
        <v>399</v>
      </c>
      <c r="P171" s="0" t="s">
        <v>1175</v>
      </c>
      <c r="Q171" s="66" t="s">
        <v>995</v>
      </c>
    </row>
    <row r="172" customFormat="false" ht="14.25" hidden="false" customHeight="false" outlineLevel="0" collapsed="false">
      <c r="A172" s="13" t="s">
        <v>896</v>
      </c>
      <c r="B172" s="13" t="s">
        <v>650</v>
      </c>
      <c r="C172" s="13" t="s">
        <v>668</v>
      </c>
      <c r="D172" s="61" t="n">
        <v>45963.5319444445</v>
      </c>
      <c r="E172" s="61" t="n">
        <v>45963.5319444445</v>
      </c>
      <c r="F172" s="61" t="n">
        <v>45963.6458333333</v>
      </c>
      <c r="G172" s="62" t="n">
        <v>0.113888888889051</v>
      </c>
      <c r="H172" s="13" t="s">
        <v>248</v>
      </c>
      <c r="J172" s="13" t="s">
        <v>256</v>
      </c>
      <c r="K172" s="13" t="s">
        <v>430</v>
      </c>
      <c r="L172" s="13" t="s">
        <v>1000</v>
      </c>
      <c r="M172" s="66" t="s">
        <v>258</v>
      </c>
      <c r="N172" s="66" t="s">
        <v>379</v>
      </c>
      <c r="O172" s="66" t="s">
        <v>399</v>
      </c>
      <c r="P172" s="0" t="s">
        <v>1176</v>
      </c>
      <c r="Q172" s="66" t="s">
        <v>995</v>
      </c>
    </row>
    <row r="173" customFormat="false" ht="14.25" hidden="false" customHeight="false" outlineLevel="0" collapsed="false">
      <c r="A173" s="13" t="s">
        <v>938</v>
      </c>
      <c r="B173" s="13" t="s">
        <v>701</v>
      </c>
      <c r="C173" s="13" t="s">
        <v>702</v>
      </c>
      <c r="D173" s="61" t="n">
        <v>45964.2291666667</v>
      </c>
      <c r="E173" s="61" t="n">
        <v>45964.2291666667</v>
      </c>
      <c r="F173" s="61" t="n">
        <v>45965.625</v>
      </c>
      <c r="G173" s="62" t="n">
        <v>1.39583333333576</v>
      </c>
      <c r="H173" s="13" t="s">
        <v>248</v>
      </c>
      <c r="J173" s="13" t="s">
        <v>256</v>
      </c>
      <c r="K173" s="13" t="s">
        <v>430</v>
      </c>
      <c r="L173" s="13" t="s">
        <v>1177</v>
      </c>
      <c r="M173" s="66" t="s">
        <v>258</v>
      </c>
      <c r="N173" s="66" t="s">
        <v>379</v>
      </c>
      <c r="O173" s="66" t="s">
        <v>1178</v>
      </c>
      <c r="P173" s="0" t="s">
        <v>1179</v>
      </c>
      <c r="Q173" s="66" t="s">
        <v>995</v>
      </c>
    </row>
    <row r="174" customFormat="false" ht="14.25" hidden="false" customHeight="false" outlineLevel="0" collapsed="false">
      <c r="A174" s="13" t="s">
        <v>938</v>
      </c>
      <c r="B174" s="13" t="s">
        <v>701</v>
      </c>
      <c r="C174" s="13" t="s">
        <v>706</v>
      </c>
      <c r="D174" s="61" t="n">
        <v>45964.2291666667</v>
      </c>
      <c r="E174" s="61" t="n">
        <v>45964.2291666667</v>
      </c>
      <c r="F174" s="61" t="n">
        <v>45965.625</v>
      </c>
      <c r="G174" s="62" t="n">
        <v>1.39583333333576</v>
      </c>
      <c r="H174" s="13" t="s">
        <v>248</v>
      </c>
      <c r="J174" s="13" t="s">
        <v>256</v>
      </c>
      <c r="K174" s="13" t="s">
        <v>430</v>
      </c>
      <c r="L174" s="13" t="s">
        <v>1177</v>
      </c>
      <c r="M174" s="66" t="s">
        <v>258</v>
      </c>
      <c r="N174" s="66" t="s">
        <v>379</v>
      </c>
      <c r="O174" s="66" t="s">
        <v>1178</v>
      </c>
      <c r="P174" s="0" t="s">
        <v>1180</v>
      </c>
      <c r="Q174" s="66" t="s">
        <v>995</v>
      </c>
    </row>
    <row r="175" customFormat="false" ht="14.25" hidden="false" customHeight="false" outlineLevel="0" collapsed="false">
      <c r="A175" s="13" t="s">
        <v>938</v>
      </c>
      <c r="B175" s="13" t="s">
        <v>701</v>
      </c>
      <c r="C175" s="13" t="s">
        <v>707</v>
      </c>
      <c r="D175" s="61" t="n">
        <v>45964.2291666667</v>
      </c>
      <c r="E175" s="61" t="n">
        <v>45964.2291666667</v>
      </c>
      <c r="F175" s="61" t="n">
        <v>45965.625</v>
      </c>
      <c r="G175" s="62" t="n">
        <v>1.39583333333576</v>
      </c>
      <c r="H175" s="13" t="s">
        <v>248</v>
      </c>
      <c r="J175" s="13" t="s">
        <v>256</v>
      </c>
      <c r="K175" s="13" t="s">
        <v>430</v>
      </c>
      <c r="L175" s="13" t="s">
        <v>1177</v>
      </c>
      <c r="M175" s="66" t="s">
        <v>258</v>
      </c>
      <c r="N175" s="66" t="s">
        <v>379</v>
      </c>
      <c r="O175" s="66" t="s">
        <v>1178</v>
      </c>
      <c r="P175" s="0" t="s">
        <v>1181</v>
      </c>
      <c r="Q175" s="66" t="s">
        <v>995</v>
      </c>
    </row>
    <row r="176" customFormat="false" ht="14.25" hidden="false" customHeight="false" outlineLevel="0" collapsed="false">
      <c r="A176" s="13" t="s">
        <v>938</v>
      </c>
      <c r="B176" s="13" t="s">
        <v>701</v>
      </c>
      <c r="C176" s="13" t="s">
        <v>708</v>
      </c>
      <c r="D176" s="61" t="n">
        <v>45964.2291666667</v>
      </c>
      <c r="E176" s="61" t="n">
        <v>45964.2291666667</v>
      </c>
      <c r="F176" s="61" t="n">
        <v>45965.625</v>
      </c>
      <c r="G176" s="62" t="n">
        <v>1.39583333333576</v>
      </c>
      <c r="H176" s="13" t="s">
        <v>248</v>
      </c>
      <c r="J176" s="13" t="s">
        <v>256</v>
      </c>
      <c r="K176" s="13" t="s">
        <v>430</v>
      </c>
      <c r="L176" s="13" t="s">
        <v>1177</v>
      </c>
      <c r="M176" s="66" t="s">
        <v>258</v>
      </c>
      <c r="N176" s="66" t="s">
        <v>379</v>
      </c>
      <c r="O176" s="66" t="s">
        <v>1178</v>
      </c>
      <c r="P176" s="0" t="s">
        <v>1182</v>
      </c>
      <c r="Q176" s="66" t="s">
        <v>995</v>
      </c>
    </row>
    <row r="177" customFormat="false" ht="14.25" hidden="false" customHeight="false" outlineLevel="0" collapsed="false">
      <c r="A177" s="13" t="s">
        <v>938</v>
      </c>
      <c r="B177" s="13" t="s">
        <v>701</v>
      </c>
      <c r="C177" s="13" t="s">
        <v>709</v>
      </c>
      <c r="D177" s="61" t="n">
        <v>45964.2291666667</v>
      </c>
      <c r="E177" s="61" t="n">
        <v>45964.2291666667</v>
      </c>
      <c r="F177" s="61" t="n">
        <v>45965.625</v>
      </c>
      <c r="G177" s="62" t="n">
        <v>1.39583333333576</v>
      </c>
      <c r="H177" s="13" t="s">
        <v>248</v>
      </c>
      <c r="J177" s="13" t="s">
        <v>256</v>
      </c>
      <c r="K177" s="13" t="s">
        <v>430</v>
      </c>
      <c r="L177" s="13" t="s">
        <v>1177</v>
      </c>
      <c r="M177" s="66" t="s">
        <v>258</v>
      </c>
      <c r="N177" s="66" t="s">
        <v>379</v>
      </c>
      <c r="O177" s="66" t="s">
        <v>1178</v>
      </c>
      <c r="P177" s="0" t="s">
        <v>1183</v>
      </c>
      <c r="Q177" s="66" t="s">
        <v>995</v>
      </c>
    </row>
    <row r="178" customFormat="false" ht="14.25" hidden="false" customHeight="false" outlineLevel="0" collapsed="false">
      <c r="A178" s="13" t="s">
        <v>938</v>
      </c>
      <c r="B178" s="13" t="s">
        <v>701</v>
      </c>
      <c r="C178" s="13" t="s">
        <v>710</v>
      </c>
      <c r="D178" s="61" t="n">
        <v>45964.2291666667</v>
      </c>
      <c r="E178" s="61" t="n">
        <v>45964.2291666667</v>
      </c>
      <c r="F178" s="61" t="n">
        <v>45965.625</v>
      </c>
      <c r="G178" s="62" t="n">
        <v>1.39583333333576</v>
      </c>
      <c r="H178" s="13" t="s">
        <v>248</v>
      </c>
      <c r="J178" s="13" t="s">
        <v>256</v>
      </c>
      <c r="K178" s="13" t="s">
        <v>430</v>
      </c>
      <c r="L178" s="13" t="s">
        <v>1177</v>
      </c>
      <c r="M178" s="66" t="s">
        <v>258</v>
      </c>
      <c r="N178" s="66" t="s">
        <v>379</v>
      </c>
      <c r="O178" s="66" t="s">
        <v>1178</v>
      </c>
      <c r="P178" s="0" t="s">
        <v>1184</v>
      </c>
      <c r="Q178" s="66" t="s">
        <v>995</v>
      </c>
    </row>
    <row r="179" customFormat="false" ht="14.25" hidden="false" customHeight="false" outlineLevel="0" collapsed="false">
      <c r="A179" s="13" t="s">
        <v>938</v>
      </c>
      <c r="B179" s="13" t="s">
        <v>701</v>
      </c>
      <c r="C179" s="13" t="s">
        <v>711</v>
      </c>
      <c r="D179" s="61" t="n">
        <v>45964.2291666667</v>
      </c>
      <c r="E179" s="61" t="n">
        <v>45964.2291666667</v>
      </c>
      <c r="F179" s="61" t="n">
        <v>45965.625</v>
      </c>
      <c r="G179" s="62" t="n">
        <v>1.39583333333576</v>
      </c>
      <c r="H179" s="13" t="s">
        <v>248</v>
      </c>
      <c r="J179" s="13" t="s">
        <v>256</v>
      </c>
      <c r="K179" s="13" t="s">
        <v>430</v>
      </c>
      <c r="L179" s="13" t="s">
        <v>1177</v>
      </c>
      <c r="M179" s="66" t="s">
        <v>258</v>
      </c>
      <c r="N179" s="66" t="s">
        <v>379</v>
      </c>
      <c r="O179" s="66" t="s">
        <v>1178</v>
      </c>
      <c r="P179" s="0" t="s">
        <v>1185</v>
      </c>
      <c r="Q179" s="66" t="s">
        <v>995</v>
      </c>
    </row>
    <row r="180" customFormat="false" ht="14.25" hidden="false" customHeight="false" outlineLevel="0" collapsed="false">
      <c r="A180" s="13" t="s">
        <v>938</v>
      </c>
      <c r="B180" s="13" t="s">
        <v>701</v>
      </c>
      <c r="C180" s="13" t="s">
        <v>712</v>
      </c>
      <c r="D180" s="61" t="n">
        <v>45964.2291666667</v>
      </c>
      <c r="E180" s="61" t="n">
        <v>45964.2291666667</v>
      </c>
      <c r="F180" s="61" t="n">
        <v>45965.625</v>
      </c>
      <c r="G180" s="62" t="n">
        <v>1.39583333333576</v>
      </c>
      <c r="H180" s="13" t="s">
        <v>248</v>
      </c>
      <c r="J180" s="13" t="s">
        <v>256</v>
      </c>
      <c r="K180" s="13" t="s">
        <v>430</v>
      </c>
      <c r="L180" s="13" t="s">
        <v>1177</v>
      </c>
      <c r="M180" s="66" t="s">
        <v>258</v>
      </c>
      <c r="N180" s="66" t="s">
        <v>379</v>
      </c>
      <c r="O180" s="66" t="s">
        <v>1178</v>
      </c>
      <c r="P180" s="0" t="s">
        <v>1186</v>
      </c>
      <c r="Q180" s="66" t="s">
        <v>995</v>
      </c>
    </row>
    <row r="181" customFormat="false" ht="14.25" hidden="false" customHeight="false" outlineLevel="0" collapsed="false">
      <c r="A181" s="13" t="s">
        <v>938</v>
      </c>
      <c r="B181" s="13" t="s">
        <v>701</v>
      </c>
      <c r="C181" s="13" t="s">
        <v>713</v>
      </c>
      <c r="D181" s="61" t="n">
        <v>45964.2291666667</v>
      </c>
      <c r="E181" s="61" t="n">
        <v>45964.2291666667</v>
      </c>
      <c r="F181" s="61" t="n">
        <v>45965.625</v>
      </c>
      <c r="G181" s="62" t="n">
        <v>1.39583333333576</v>
      </c>
      <c r="H181" s="13" t="s">
        <v>248</v>
      </c>
      <c r="J181" s="13" t="s">
        <v>256</v>
      </c>
      <c r="K181" s="13" t="s">
        <v>430</v>
      </c>
      <c r="L181" s="13" t="s">
        <v>1177</v>
      </c>
      <c r="M181" s="66" t="s">
        <v>258</v>
      </c>
      <c r="N181" s="66" t="s">
        <v>379</v>
      </c>
      <c r="O181" s="66" t="s">
        <v>1178</v>
      </c>
      <c r="P181" s="0" t="s">
        <v>1187</v>
      </c>
      <c r="Q181" s="66" t="s">
        <v>995</v>
      </c>
    </row>
    <row r="182" customFormat="false" ht="14.25" hidden="false" customHeight="false" outlineLevel="0" collapsed="false">
      <c r="A182" s="13" t="s">
        <v>938</v>
      </c>
      <c r="B182" s="13" t="s">
        <v>701</v>
      </c>
      <c r="C182" s="13" t="s">
        <v>714</v>
      </c>
      <c r="D182" s="61" t="n">
        <v>45964.2291666667</v>
      </c>
      <c r="E182" s="61" t="n">
        <v>45964.2291666667</v>
      </c>
      <c r="F182" s="61" t="n">
        <v>45965.625</v>
      </c>
      <c r="G182" s="62" t="n">
        <v>1.39583333333576</v>
      </c>
      <c r="H182" s="13" t="s">
        <v>248</v>
      </c>
      <c r="J182" s="13" t="s">
        <v>256</v>
      </c>
      <c r="K182" s="13" t="s">
        <v>430</v>
      </c>
      <c r="L182" s="13" t="s">
        <v>1177</v>
      </c>
      <c r="M182" s="66" t="s">
        <v>258</v>
      </c>
      <c r="N182" s="66" t="s">
        <v>379</v>
      </c>
      <c r="O182" s="66" t="s">
        <v>1178</v>
      </c>
      <c r="P182" s="0" t="s">
        <v>1188</v>
      </c>
      <c r="Q182" s="66" t="s">
        <v>995</v>
      </c>
    </row>
    <row r="183" customFormat="false" ht="14.25" hidden="false" customHeight="false" outlineLevel="0" collapsed="false">
      <c r="A183" s="13" t="s">
        <v>938</v>
      </c>
      <c r="B183" s="13" t="s">
        <v>701</v>
      </c>
      <c r="C183" s="13" t="s">
        <v>715</v>
      </c>
      <c r="D183" s="61" t="n">
        <v>45964.2291666667</v>
      </c>
      <c r="E183" s="61" t="n">
        <v>45964.2291666667</v>
      </c>
      <c r="F183" s="61" t="n">
        <v>45965.625</v>
      </c>
      <c r="G183" s="62" t="n">
        <v>1.39583333333576</v>
      </c>
      <c r="H183" s="13" t="s">
        <v>248</v>
      </c>
      <c r="J183" s="13" t="s">
        <v>256</v>
      </c>
      <c r="K183" s="13" t="s">
        <v>430</v>
      </c>
      <c r="L183" s="13" t="s">
        <v>1177</v>
      </c>
      <c r="M183" s="66" t="s">
        <v>258</v>
      </c>
      <c r="N183" s="66" t="s">
        <v>379</v>
      </c>
      <c r="O183" s="66" t="s">
        <v>1178</v>
      </c>
      <c r="P183" s="0" t="s">
        <v>1189</v>
      </c>
      <c r="Q183" s="66" t="s">
        <v>995</v>
      </c>
    </row>
    <row r="184" customFormat="false" ht="14.25" hidden="false" customHeight="false" outlineLevel="0" collapsed="false">
      <c r="A184" s="13" t="s">
        <v>938</v>
      </c>
      <c r="B184" s="13" t="s">
        <v>701</v>
      </c>
      <c r="C184" s="13" t="s">
        <v>274</v>
      </c>
      <c r="D184" s="61" t="n">
        <v>45964.2291666667</v>
      </c>
      <c r="E184" s="61" t="n">
        <v>45964.2291666667</v>
      </c>
      <c r="F184" s="61" t="n">
        <v>45965.625</v>
      </c>
      <c r="G184" s="62" t="n">
        <v>1.39583333333576</v>
      </c>
      <c r="H184" s="13" t="s">
        <v>248</v>
      </c>
      <c r="J184" s="13" t="s">
        <v>256</v>
      </c>
      <c r="K184" s="13" t="s">
        <v>430</v>
      </c>
      <c r="L184" s="13" t="s">
        <v>1177</v>
      </c>
      <c r="M184" s="66" t="s">
        <v>258</v>
      </c>
      <c r="N184" s="66" t="s">
        <v>379</v>
      </c>
      <c r="O184" s="66" t="s">
        <v>1178</v>
      </c>
      <c r="P184" s="0" t="s">
        <v>1190</v>
      </c>
      <c r="Q184" s="66" t="s">
        <v>995</v>
      </c>
    </row>
    <row r="185" customFormat="false" ht="14.25" hidden="false" customHeight="false" outlineLevel="0" collapsed="false">
      <c r="A185" s="13" t="s">
        <v>938</v>
      </c>
      <c r="B185" s="13" t="s">
        <v>701</v>
      </c>
      <c r="C185" s="13" t="s">
        <v>608</v>
      </c>
      <c r="D185" s="61" t="n">
        <v>45964.2291666667</v>
      </c>
      <c r="E185" s="61" t="n">
        <v>45964.2291666667</v>
      </c>
      <c r="F185" s="61" t="n">
        <v>45965.625</v>
      </c>
      <c r="G185" s="62" t="n">
        <v>1.39583333333576</v>
      </c>
      <c r="H185" s="13" t="s">
        <v>248</v>
      </c>
      <c r="J185" s="13" t="s">
        <v>256</v>
      </c>
      <c r="K185" s="13" t="s">
        <v>430</v>
      </c>
      <c r="L185" s="13" t="s">
        <v>1177</v>
      </c>
      <c r="M185" s="66" t="s">
        <v>258</v>
      </c>
      <c r="N185" s="66" t="s">
        <v>379</v>
      </c>
      <c r="O185" s="66" t="s">
        <v>1178</v>
      </c>
      <c r="P185" s="0" t="s">
        <v>1191</v>
      </c>
      <c r="Q185" s="66" t="s">
        <v>995</v>
      </c>
    </row>
    <row r="186" customFormat="false" ht="14.25" hidden="false" customHeight="false" outlineLevel="0" collapsed="false">
      <c r="A186" s="13" t="s">
        <v>938</v>
      </c>
      <c r="B186" s="13" t="s">
        <v>701</v>
      </c>
      <c r="C186" s="13" t="s">
        <v>716</v>
      </c>
      <c r="D186" s="61" t="n">
        <v>45964.2291666667</v>
      </c>
      <c r="E186" s="61" t="n">
        <v>45964.2291666667</v>
      </c>
      <c r="F186" s="61" t="n">
        <v>45965.625</v>
      </c>
      <c r="G186" s="62" t="n">
        <v>1.39583333333576</v>
      </c>
      <c r="H186" s="13" t="s">
        <v>248</v>
      </c>
      <c r="J186" s="13" t="s">
        <v>256</v>
      </c>
      <c r="K186" s="13" t="s">
        <v>430</v>
      </c>
      <c r="L186" s="13" t="s">
        <v>1177</v>
      </c>
      <c r="M186" s="66" t="s">
        <v>258</v>
      </c>
      <c r="N186" s="66" t="s">
        <v>379</v>
      </c>
      <c r="O186" s="66" t="s">
        <v>1178</v>
      </c>
      <c r="P186" s="0" t="s">
        <v>1192</v>
      </c>
      <c r="Q186" s="66" t="s">
        <v>995</v>
      </c>
    </row>
    <row r="187" customFormat="false" ht="14.25" hidden="false" customHeight="false" outlineLevel="0" collapsed="false">
      <c r="A187" s="13" t="s">
        <v>938</v>
      </c>
      <c r="B187" s="13" t="s">
        <v>701</v>
      </c>
      <c r="C187" s="13" t="s">
        <v>717</v>
      </c>
      <c r="D187" s="61" t="n">
        <v>45964.2291666667</v>
      </c>
      <c r="E187" s="61" t="n">
        <v>45964.2291666667</v>
      </c>
      <c r="F187" s="61" t="n">
        <v>45965.625</v>
      </c>
      <c r="G187" s="62" t="n">
        <v>1.39583333333576</v>
      </c>
      <c r="H187" s="13" t="s">
        <v>248</v>
      </c>
      <c r="J187" s="13" t="s">
        <v>256</v>
      </c>
      <c r="K187" s="13" t="s">
        <v>430</v>
      </c>
      <c r="L187" s="13" t="s">
        <v>1177</v>
      </c>
      <c r="M187" s="66" t="s">
        <v>258</v>
      </c>
      <c r="N187" s="66" t="s">
        <v>379</v>
      </c>
      <c r="O187" s="66" t="s">
        <v>1178</v>
      </c>
      <c r="P187" s="0" t="s">
        <v>1193</v>
      </c>
      <c r="Q187" s="66" t="s">
        <v>995</v>
      </c>
    </row>
    <row r="188" customFormat="false" ht="14.25" hidden="false" customHeight="false" outlineLevel="0" collapsed="false">
      <c r="A188" s="13" t="s">
        <v>938</v>
      </c>
      <c r="B188" s="13" t="s">
        <v>701</v>
      </c>
      <c r="C188" s="13" t="s">
        <v>718</v>
      </c>
      <c r="D188" s="61" t="n">
        <v>45964.2291666667</v>
      </c>
      <c r="E188" s="61" t="n">
        <v>45964.2291666667</v>
      </c>
      <c r="F188" s="61" t="n">
        <v>45965.625</v>
      </c>
      <c r="G188" s="62" t="n">
        <v>1.39583333333576</v>
      </c>
      <c r="H188" s="13" t="s">
        <v>248</v>
      </c>
      <c r="J188" s="13" t="s">
        <v>256</v>
      </c>
      <c r="K188" s="13" t="s">
        <v>430</v>
      </c>
      <c r="L188" s="13" t="s">
        <v>1177</v>
      </c>
      <c r="M188" s="66" t="s">
        <v>258</v>
      </c>
      <c r="N188" s="66" t="s">
        <v>379</v>
      </c>
      <c r="O188" s="66" t="s">
        <v>1178</v>
      </c>
      <c r="P188" s="0" t="s">
        <v>1194</v>
      </c>
      <c r="Q188" s="66" t="s">
        <v>995</v>
      </c>
    </row>
    <row r="189" customFormat="false" ht="14.25" hidden="false" customHeight="false" outlineLevel="0" collapsed="false">
      <c r="A189" s="13" t="s">
        <v>938</v>
      </c>
      <c r="B189" s="13" t="s">
        <v>701</v>
      </c>
      <c r="C189" s="13" t="s">
        <v>719</v>
      </c>
      <c r="D189" s="61" t="n">
        <v>45964.2291666667</v>
      </c>
      <c r="E189" s="61" t="n">
        <v>45964.2291666667</v>
      </c>
      <c r="F189" s="61" t="n">
        <v>45965.625</v>
      </c>
      <c r="G189" s="62" t="n">
        <v>1.39583333333576</v>
      </c>
      <c r="H189" s="13" t="s">
        <v>248</v>
      </c>
      <c r="J189" s="13" t="s">
        <v>256</v>
      </c>
      <c r="K189" s="13" t="s">
        <v>430</v>
      </c>
      <c r="L189" s="13" t="s">
        <v>1177</v>
      </c>
      <c r="M189" s="66" t="s">
        <v>258</v>
      </c>
      <c r="N189" s="66" t="s">
        <v>379</v>
      </c>
      <c r="O189" s="66" t="s">
        <v>1178</v>
      </c>
      <c r="P189" s="0" t="s">
        <v>1195</v>
      </c>
      <c r="Q189" s="66" t="s">
        <v>995</v>
      </c>
    </row>
    <row r="190" customFormat="false" ht="14.25" hidden="false" customHeight="false" outlineLevel="0" collapsed="false">
      <c r="A190" s="13" t="s">
        <v>941</v>
      </c>
      <c r="B190" s="13" t="s">
        <v>1196</v>
      </c>
      <c r="C190" s="13" t="s">
        <v>942</v>
      </c>
      <c r="D190" s="61" t="n">
        <v>45964.2291666667</v>
      </c>
      <c r="E190" s="61" t="n">
        <v>45964.2291666667</v>
      </c>
      <c r="F190" s="61" t="n">
        <v>45965.625</v>
      </c>
      <c r="G190" s="62" t="n">
        <v>1.39583333333576</v>
      </c>
      <c r="H190" s="13" t="s">
        <v>248</v>
      </c>
      <c r="J190" s="13" t="s">
        <v>256</v>
      </c>
      <c r="K190" s="13" t="s">
        <v>430</v>
      </c>
      <c r="L190" s="13" t="s">
        <v>1177</v>
      </c>
      <c r="M190" s="66" t="s">
        <v>258</v>
      </c>
      <c r="N190" s="66" t="s">
        <v>379</v>
      </c>
      <c r="O190" s="66" t="s">
        <v>1178</v>
      </c>
      <c r="P190" s="0" t="s">
        <v>1197</v>
      </c>
      <c r="Q190" s="66" t="s">
        <v>995</v>
      </c>
    </row>
    <row r="191" customFormat="false" ht="14.25" hidden="false" customHeight="false" outlineLevel="0" collapsed="false">
      <c r="A191" s="13" t="s">
        <v>941</v>
      </c>
      <c r="B191" s="13" t="s">
        <v>1196</v>
      </c>
      <c r="C191" s="13" t="s">
        <v>943</v>
      </c>
      <c r="D191" s="61" t="n">
        <v>45964.2291666667</v>
      </c>
      <c r="E191" s="61" t="n">
        <v>45964.2291666667</v>
      </c>
      <c r="F191" s="61" t="n">
        <v>45965.625</v>
      </c>
      <c r="G191" s="62" t="n">
        <v>1.39583333333576</v>
      </c>
      <c r="H191" s="13" t="s">
        <v>248</v>
      </c>
      <c r="J191" s="13" t="s">
        <v>256</v>
      </c>
      <c r="K191" s="13" t="s">
        <v>430</v>
      </c>
      <c r="L191" s="13" t="s">
        <v>1177</v>
      </c>
      <c r="M191" s="66" t="s">
        <v>258</v>
      </c>
      <c r="N191" s="66" t="s">
        <v>379</v>
      </c>
      <c r="O191" s="66" t="s">
        <v>1178</v>
      </c>
      <c r="P191" s="0" t="s">
        <v>1198</v>
      </c>
      <c r="Q191" s="66" t="s">
        <v>995</v>
      </c>
    </row>
    <row r="192" customFormat="false" ht="14.25" hidden="false" customHeight="false" outlineLevel="0" collapsed="false">
      <c r="A192" s="13" t="s">
        <v>941</v>
      </c>
      <c r="B192" s="13" t="s">
        <v>1196</v>
      </c>
      <c r="C192" s="13" t="s">
        <v>944</v>
      </c>
      <c r="D192" s="61" t="n">
        <v>45964.2291666667</v>
      </c>
      <c r="E192" s="61" t="n">
        <v>45964.2291666667</v>
      </c>
      <c r="F192" s="61" t="n">
        <v>45965.625</v>
      </c>
      <c r="G192" s="62" t="n">
        <v>1.39583333333576</v>
      </c>
      <c r="H192" s="13" t="s">
        <v>248</v>
      </c>
      <c r="J192" s="13" t="s">
        <v>256</v>
      </c>
      <c r="K192" s="13" t="s">
        <v>430</v>
      </c>
      <c r="L192" s="13" t="s">
        <v>1177</v>
      </c>
      <c r="M192" s="66" t="s">
        <v>258</v>
      </c>
      <c r="N192" s="66" t="s">
        <v>379</v>
      </c>
      <c r="O192" s="66" t="s">
        <v>1178</v>
      </c>
      <c r="P192" s="0" t="s">
        <v>1199</v>
      </c>
      <c r="Q192" s="66" t="s">
        <v>995</v>
      </c>
    </row>
    <row r="193" customFormat="false" ht="14.25" hidden="false" customHeight="false" outlineLevel="0" collapsed="false">
      <c r="A193" s="13" t="s">
        <v>941</v>
      </c>
      <c r="B193" s="13" t="s">
        <v>1196</v>
      </c>
      <c r="C193" s="13" t="s">
        <v>945</v>
      </c>
      <c r="D193" s="61" t="n">
        <v>45964.2291666667</v>
      </c>
      <c r="E193" s="61" t="n">
        <v>45964.2291666667</v>
      </c>
      <c r="F193" s="61" t="n">
        <v>45965.625</v>
      </c>
      <c r="G193" s="62" t="n">
        <v>1.39583333333576</v>
      </c>
      <c r="H193" s="13" t="s">
        <v>248</v>
      </c>
      <c r="J193" s="13" t="s">
        <v>256</v>
      </c>
      <c r="K193" s="13" t="s">
        <v>430</v>
      </c>
      <c r="L193" s="13" t="s">
        <v>1177</v>
      </c>
      <c r="M193" s="66" t="s">
        <v>258</v>
      </c>
      <c r="N193" s="66" t="s">
        <v>379</v>
      </c>
      <c r="O193" s="66" t="s">
        <v>1178</v>
      </c>
      <c r="P193" s="0" t="s">
        <v>1200</v>
      </c>
      <c r="Q193" s="66" t="s">
        <v>995</v>
      </c>
    </row>
    <row r="194" customFormat="false" ht="14.25" hidden="false" customHeight="false" outlineLevel="0" collapsed="false">
      <c r="A194" s="13" t="s">
        <v>941</v>
      </c>
      <c r="B194" s="13" t="s">
        <v>1196</v>
      </c>
      <c r="C194" s="13" t="s">
        <v>946</v>
      </c>
      <c r="D194" s="61" t="n">
        <v>45964.2291666667</v>
      </c>
      <c r="E194" s="61" t="n">
        <v>45964.2291666667</v>
      </c>
      <c r="F194" s="61" t="n">
        <v>45965.625</v>
      </c>
      <c r="G194" s="62" t="n">
        <v>1.39583333333576</v>
      </c>
      <c r="H194" s="13" t="s">
        <v>248</v>
      </c>
      <c r="J194" s="13" t="s">
        <v>256</v>
      </c>
      <c r="K194" s="13" t="s">
        <v>430</v>
      </c>
      <c r="L194" s="13" t="s">
        <v>1177</v>
      </c>
      <c r="M194" s="66" t="s">
        <v>258</v>
      </c>
      <c r="N194" s="66" t="s">
        <v>379</v>
      </c>
      <c r="O194" s="66" t="s">
        <v>1178</v>
      </c>
      <c r="P194" s="0" t="s">
        <v>1201</v>
      </c>
      <c r="Q194" s="66" t="s">
        <v>995</v>
      </c>
    </row>
    <row r="195" customFormat="false" ht="14.25" hidden="false" customHeight="false" outlineLevel="0" collapsed="false">
      <c r="A195" s="13" t="s">
        <v>941</v>
      </c>
      <c r="B195" s="13" t="s">
        <v>1196</v>
      </c>
      <c r="C195" s="13" t="s">
        <v>947</v>
      </c>
      <c r="D195" s="61" t="n">
        <v>45964.2291666667</v>
      </c>
      <c r="E195" s="61" t="n">
        <v>45964.2291666667</v>
      </c>
      <c r="F195" s="61" t="n">
        <v>45965.625</v>
      </c>
      <c r="G195" s="62" t="n">
        <v>1.39583333333576</v>
      </c>
      <c r="H195" s="13" t="s">
        <v>248</v>
      </c>
      <c r="J195" s="13" t="s">
        <v>256</v>
      </c>
      <c r="K195" s="13" t="s">
        <v>430</v>
      </c>
      <c r="L195" s="13" t="s">
        <v>1177</v>
      </c>
      <c r="M195" s="66" t="s">
        <v>258</v>
      </c>
      <c r="N195" s="66" t="s">
        <v>379</v>
      </c>
      <c r="O195" s="66" t="s">
        <v>1178</v>
      </c>
      <c r="P195" s="0" t="s">
        <v>1202</v>
      </c>
      <c r="Q195" s="66" t="s">
        <v>995</v>
      </c>
    </row>
    <row r="196" customFormat="false" ht="14.25" hidden="false" customHeight="false" outlineLevel="0" collapsed="false">
      <c r="A196" s="13" t="s">
        <v>941</v>
      </c>
      <c r="B196" s="13" t="s">
        <v>1196</v>
      </c>
      <c r="C196" s="13" t="s">
        <v>948</v>
      </c>
      <c r="D196" s="61" t="n">
        <v>45964.2291666667</v>
      </c>
      <c r="E196" s="61" t="n">
        <v>45964.2291666667</v>
      </c>
      <c r="F196" s="61" t="n">
        <v>45965.625</v>
      </c>
      <c r="G196" s="62" t="n">
        <v>1.39583333333576</v>
      </c>
      <c r="H196" s="13" t="s">
        <v>248</v>
      </c>
      <c r="J196" s="13" t="s">
        <v>256</v>
      </c>
      <c r="K196" s="13" t="s">
        <v>430</v>
      </c>
      <c r="L196" s="13" t="s">
        <v>1177</v>
      </c>
      <c r="M196" s="66" t="s">
        <v>258</v>
      </c>
      <c r="N196" s="66" t="s">
        <v>379</v>
      </c>
      <c r="O196" s="66" t="s">
        <v>1178</v>
      </c>
      <c r="P196" s="0" t="s">
        <v>1203</v>
      </c>
      <c r="Q196" s="66" t="s">
        <v>995</v>
      </c>
    </row>
    <row r="197" customFormat="false" ht="14.25" hidden="false" customHeight="false" outlineLevel="0" collapsed="false">
      <c r="A197" s="13" t="s">
        <v>941</v>
      </c>
      <c r="B197" s="13" t="s">
        <v>1196</v>
      </c>
      <c r="C197" s="13" t="s">
        <v>949</v>
      </c>
      <c r="D197" s="61" t="n">
        <v>45964.2291666667</v>
      </c>
      <c r="E197" s="61" t="n">
        <v>45964.2291666667</v>
      </c>
      <c r="F197" s="61" t="n">
        <v>45965.625</v>
      </c>
      <c r="G197" s="62" t="n">
        <v>1.39583333333576</v>
      </c>
      <c r="H197" s="13" t="s">
        <v>248</v>
      </c>
      <c r="J197" s="13" t="s">
        <v>256</v>
      </c>
      <c r="K197" s="13" t="s">
        <v>430</v>
      </c>
      <c r="L197" s="13" t="s">
        <v>1177</v>
      </c>
      <c r="M197" s="66" t="s">
        <v>258</v>
      </c>
      <c r="N197" s="66" t="s">
        <v>379</v>
      </c>
      <c r="O197" s="66" t="s">
        <v>1178</v>
      </c>
      <c r="P197" s="0" t="s">
        <v>1204</v>
      </c>
      <c r="Q197" s="66" t="s">
        <v>995</v>
      </c>
    </row>
    <row r="198" customFormat="false" ht="14.25" hidden="false" customHeight="false" outlineLevel="0" collapsed="false">
      <c r="A198" s="13" t="s">
        <v>941</v>
      </c>
      <c r="B198" s="13" t="s">
        <v>1196</v>
      </c>
      <c r="C198" s="13" t="s">
        <v>950</v>
      </c>
      <c r="D198" s="61" t="n">
        <v>45964.2291666667</v>
      </c>
      <c r="E198" s="61" t="n">
        <v>45964.2291666667</v>
      </c>
      <c r="F198" s="61" t="n">
        <v>45965.625</v>
      </c>
      <c r="G198" s="62" t="n">
        <v>1.39583333333576</v>
      </c>
      <c r="H198" s="13" t="s">
        <v>248</v>
      </c>
      <c r="J198" s="13" t="s">
        <v>256</v>
      </c>
      <c r="K198" s="13" t="s">
        <v>430</v>
      </c>
      <c r="L198" s="13" t="s">
        <v>1177</v>
      </c>
      <c r="M198" s="66" t="s">
        <v>258</v>
      </c>
      <c r="N198" s="66" t="s">
        <v>379</v>
      </c>
      <c r="O198" s="66" t="s">
        <v>1178</v>
      </c>
      <c r="P198" s="0" t="s">
        <v>1205</v>
      </c>
      <c r="Q198" s="66" t="s">
        <v>995</v>
      </c>
    </row>
    <row r="199" customFormat="false" ht="14.25" hidden="false" customHeight="false" outlineLevel="0" collapsed="false">
      <c r="A199" s="13" t="s">
        <v>941</v>
      </c>
      <c r="B199" s="13" t="s">
        <v>1196</v>
      </c>
      <c r="C199" s="13" t="s">
        <v>951</v>
      </c>
      <c r="D199" s="61" t="n">
        <v>45964.2291666667</v>
      </c>
      <c r="E199" s="61" t="n">
        <v>45964.2291666667</v>
      </c>
      <c r="F199" s="61" t="n">
        <v>45965.625</v>
      </c>
      <c r="G199" s="62" t="n">
        <v>1.39583333333576</v>
      </c>
      <c r="H199" s="13" t="s">
        <v>248</v>
      </c>
      <c r="J199" s="13" t="s">
        <v>256</v>
      </c>
      <c r="K199" s="13" t="s">
        <v>430</v>
      </c>
      <c r="L199" s="13" t="s">
        <v>1177</v>
      </c>
      <c r="M199" s="66" t="s">
        <v>258</v>
      </c>
      <c r="N199" s="66" t="s">
        <v>379</v>
      </c>
      <c r="O199" s="66" t="s">
        <v>1178</v>
      </c>
      <c r="P199" s="0" t="s">
        <v>1206</v>
      </c>
      <c r="Q199" s="66" t="s">
        <v>995</v>
      </c>
    </row>
    <row r="200" customFormat="false" ht="14.25" hidden="false" customHeight="false" outlineLevel="0" collapsed="false">
      <c r="A200" s="13" t="s">
        <v>941</v>
      </c>
      <c r="B200" s="13" t="s">
        <v>1196</v>
      </c>
      <c r="C200" s="13" t="s">
        <v>952</v>
      </c>
      <c r="D200" s="61" t="n">
        <v>45964.2291666667</v>
      </c>
      <c r="E200" s="61" t="n">
        <v>45964.2291666667</v>
      </c>
      <c r="F200" s="61" t="n">
        <v>45965.625</v>
      </c>
      <c r="G200" s="62" t="n">
        <v>1.39583333333576</v>
      </c>
      <c r="H200" s="13" t="s">
        <v>248</v>
      </c>
      <c r="J200" s="13" t="s">
        <v>256</v>
      </c>
      <c r="K200" s="13" t="s">
        <v>430</v>
      </c>
      <c r="L200" s="13" t="s">
        <v>1177</v>
      </c>
      <c r="M200" s="66" t="s">
        <v>258</v>
      </c>
      <c r="N200" s="66" t="s">
        <v>379</v>
      </c>
      <c r="O200" s="66" t="s">
        <v>1178</v>
      </c>
      <c r="P200" s="0" t="s">
        <v>1207</v>
      </c>
      <c r="Q200" s="66" t="s">
        <v>995</v>
      </c>
    </row>
    <row r="201" customFormat="false" ht="14.25" hidden="false" customHeight="false" outlineLevel="0" collapsed="false">
      <c r="A201" s="13" t="s">
        <v>941</v>
      </c>
      <c r="B201" s="13" t="s">
        <v>1196</v>
      </c>
      <c r="C201" s="13" t="s">
        <v>953</v>
      </c>
      <c r="D201" s="61" t="n">
        <v>45964.2291666667</v>
      </c>
      <c r="E201" s="61" t="n">
        <v>45964.2291666667</v>
      </c>
      <c r="F201" s="61" t="n">
        <v>45965.625</v>
      </c>
      <c r="G201" s="62" t="n">
        <v>1.39583333333576</v>
      </c>
      <c r="H201" s="13" t="s">
        <v>248</v>
      </c>
      <c r="J201" s="13" t="s">
        <v>256</v>
      </c>
      <c r="K201" s="13" t="s">
        <v>430</v>
      </c>
      <c r="L201" s="13" t="s">
        <v>1177</v>
      </c>
      <c r="M201" s="66" t="s">
        <v>258</v>
      </c>
      <c r="N201" s="66" t="s">
        <v>379</v>
      </c>
      <c r="O201" s="66" t="s">
        <v>1178</v>
      </c>
      <c r="P201" s="0" t="s">
        <v>1208</v>
      </c>
      <c r="Q201" s="66" t="s">
        <v>995</v>
      </c>
    </row>
    <row r="202" customFormat="false" ht="14.25" hidden="false" customHeight="false" outlineLevel="0" collapsed="false">
      <c r="A202" s="13" t="s">
        <v>941</v>
      </c>
      <c r="B202" s="13" t="s">
        <v>1196</v>
      </c>
      <c r="C202" s="13" t="s">
        <v>954</v>
      </c>
      <c r="D202" s="61" t="n">
        <v>45964.2291666667</v>
      </c>
      <c r="E202" s="61" t="n">
        <v>45964.2291666667</v>
      </c>
      <c r="F202" s="61" t="n">
        <v>45965.625</v>
      </c>
      <c r="G202" s="62" t="n">
        <v>1.39583333333576</v>
      </c>
      <c r="H202" s="13" t="s">
        <v>248</v>
      </c>
      <c r="J202" s="13" t="s">
        <v>256</v>
      </c>
      <c r="K202" s="13" t="s">
        <v>430</v>
      </c>
      <c r="L202" s="13" t="s">
        <v>1177</v>
      </c>
      <c r="M202" s="66" t="s">
        <v>258</v>
      </c>
      <c r="N202" s="66" t="s">
        <v>379</v>
      </c>
      <c r="O202" s="66" t="s">
        <v>1178</v>
      </c>
      <c r="P202" s="0" t="s">
        <v>1209</v>
      </c>
      <c r="Q202" s="66" t="s">
        <v>995</v>
      </c>
    </row>
    <row r="203" customFormat="false" ht="14.25" hidden="false" customHeight="false" outlineLevel="0" collapsed="false">
      <c r="A203" s="13" t="s">
        <v>941</v>
      </c>
      <c r="B203" s="13" t="s">
        <v>1196</v>
      </c>
      <c r="C203" s="13" t="s">
        <v>955</v>
      </c>
      <c r="D203" s="61" t="n">
        <v>45964.2291666667</v>
      </c>
      <c r="E203" s="61" t="n">
        <v>45964.2291666667</v>
      </c>
      <c r="F203" s="61" t="n">
        <v>45965.625</v>
      </c>
      <c r="G203" s="62" t="n">
        <v>1.39583333333576</v>
      </c>
      <c r="H203" s="13" t="s">
        <v>248</v>
      </c>
      <c r="J203" s="13" t="s">
        <v>256</v>
      </c>
      <c r="K203" s="13" t="s">
        <v>430</v>
      </c>
      <c r="L203" s="13" t="s">
        <v>1177</v>
      </c>
      <c r="M203" s="66" t="s">
        <v>258</v>
      </c>
      <c r="N203" s="66" t="s">
        <v>379</v>
      </c>
      <c r="O203" s="66" t="s">
        <v>1178</v>
      </c>
      <c r="P203" s="0" t="s">
        <v>1210</v>
      </c>
      <c r="Q203" s="66" t="s">
        <v>995</v>
      </c>
    </row>
    <row r="204" customFormat="false" ht="14.25" hidden="false" customHeight="false" outlineLevel="0" collapsed="false">
      <c r="A204" s="13" t="s">
        <v>941</v>
      </c>
      <c r="B204" s="13" t="s">
        <v>1196</v>
      </c>
      <c r="C204" s="13" t="s">
        <v>956</v>
      </c>
      <c r="D204" s="61" t="n">
        <v>45964.2291666667</v>
      </c>
      <c r="E204" s="61" t="n">
        <v>45964.2291666667</v>
      </c>
      <c r="F204" s="61" t="n">
        <v>45965.625</v>
      </c>
      <c r="G204" s="62" t="n">
        <v>1.39583333333576</v>
      </c>
      <c r="H204" s="13" t="s">
        <v>248</v>
      </c>
      <c r="J204" s="13" t="s">
        <v>256</v>
      </c>
      <c r="K204" s="13" t="s">
        <v>430</v>
      </c>
      <c r="L204" s="13" t="s">
        <v>1177</v>
      </c>
      <c r="M204" s="66" t="s">
        <v>258</v>
      </c>
      <c r="N204" s="66" t="s">
        <v>379</v>
      </c>
      <c r="O204" s="66" t="s">
        <v>1178</v>
      </c>
      <c r="P204" s="0" t="s">
        <v>1211</v>
      </c>
      <c r="Q204" s="66" t="s">
        <v>995</v>
      </c>
    </row>
    <row r="205" customFormat="false" ht="14.25" hidden="false" customHeight="false" outlineLevel="0" collapsed="false">
      <c r="A205" s="13" t="s">
        <v>941</v>
      </c>
      <c r="B205" s="13" t="s">
        <v>1196</v>
      </c>
      <c r="C205" s="13" t="s">
        <v>957</v>
      </c>
      <c r="D205" s="61" t="n">
        <v>45964.2291666667</v>
      </c>
      <c r="E205" s="61" t="n">
        <v>45964.2291666667</v>
      </c>
      <c r="F205" s="61" t="n">
        <v>45965.625</v>
      </c>
      <c r="G205" s="62" t="n">
        <v>1.39583333333576</v>
      </c>
      <c r="H205" s="13" t="s">
        <v>248</v>
      </c>
      <c r="J205" s="13" t="s">
        <v>256</v>
      </c>
      <c r="K205" s="13" t="s">
        <v>430</v>
      </c>
      <c r="L205" s="13" t="s">
        <v>1177</v>
      </c>
      <c r="M205" s="66" t="s">
        <v>258</v>
      </c>
      <c r="N205" s="66" t="s">
        <v>379</v>
      </c>
      <c r="O205" s="66" t="s">
        <v>1178</v>
      </c>
      <c r="P205" s="0" t="s">
        <v>1212</v>
      </c>
      <c r="Q205" s="66" t="s">
        <v>995</v>
      </c>
    </row>
    <row r="206" customFormat="false" ht="14.25" hidden="false" customHeight="false" outlineLevel="0" collapsed="false">
      <c r="A206" s="13" t="s">
        <v>941</v>
      </c>
      <c r="B206" s="13" t="s">
        <v>1196</v>
      </c>
      <c r="C206" s="13" t="s">
        <v>958</v>
      </c>
      <c r="D206" s="61" t="n">
        <v>45964.2291666667</v>
      </c>
      <c r="E206" s="61" t="n">
        <v>45964.2291666667</v>
      </c>
      <c r="F206" s="61" t="n">
        <v>45965.625</v>
      </c>
      <c r="G206" s="62" t="n">
        <v>1.39583333333576</v>
      </c>
      <c r="H206" s="13" t="s">
        <v>248</v>
      </c>
      <c r="J206" s="13" t="s">
        <v>256</v>
      </c>
      <c r="K206" s="13" t="s">
        <v>430</v>
      </c>
      <c r="L206" s="13" t="s">
        <v>1177</v>
      </c>
      <c r="M206" s="66" t="s">
        <v>258</v>
      </c>
      <c r="N206" s="66" t="s">
        <v>379</v>
      </c>
      <c r="O206" s="66" t="s">
        <v>1178</v>
      </c>
      <c r="P206" s="0" t="s">
        <v>1213</v>
      </c>
      <c r="Q206" s="66" t="s">
        <v>995</v>
      </c>
    </row>
    <row r="207" customFormat="false" ht="14.25" hidden="false" customHeight="false" outlineLevel="0" collapsed="false">
      <c r="A207" s="13" t="s">
        <v>959</v>
      </c>
      <c r="B207" s="13" t="s">
        <v>740</v>
      </c>
      <c r="C207" s="13" t="s">
        <v>741</v>
      </c>
      <c r="D207" s="61" t="n">
        <v>45964.2291666667</v>
      </c>
      <c r="E207" s="61" t="n">
        <v>45964.2291666667</v>
      </c>
      <c r="F207" s="61" t="n">
        <v>45965.625</v>
      </c>
      <c r="G207" s="62" t="n">
        <v>1.39583333333576</v>
      </c>
      <c r="H207" s="13" t="s">
        <v>248</v>
      </c>
      <c r="J207" s="13" t="s">
        <v>256</v>
      </c>
      <c r="K207" s="13" t="s">
        <v>430</v>
      </c>
      <c r="L207" s="13" t="s">
        <v>1177</v>
      </c>
      <c r="M207" s="66" t="s">
        <v>258</v>
      </c>
      <c r="N207" s="66" t="s">
        <v>379</v>
      </c>
      <c r="O207" s="66" t="s">
        <v>1178</v>
      </c>
      <c r="P207" s="0" t="s">
        <v>1214</v>
      </c>
      <c r="Q207" s="66" t="s">
        <v>995</v>
      </c>
    </row>
    <row r="208" customFormat="false" ht="14.25" hidden="false" customHeight="false" outlineLevel="0" collapsed="false">
      <c r="A208" s="13" t="s">
        <v>959</v>
      </c>
      <c r="B208" s="13" t="s">
        <v>740</v>
      </c>
      <c r="C208" s="13" t="s">
        <v>742</v>
      </c>
      <c r="D208" s="61" t="n">
        <v>45964.2291666667</v>
      </c>
      <c r="E208" s="61" t="n">
        <v>45964.2291666667</v>
      </c>
      <c r="F208" s="61" t="n">
        <v>45965.625</v>
      </c>
      <c r="G208" s="62" t="n">
        <v>1.39583333333576</v>
      </c>
      <c r="H208" s="13" t="s">
        <v>248</v>
      </c>
      <c r="J208" s="13" t="s">
        <v>256</v>
      </c>
      <c r="K208" s="13" t="s">
        <v>430</v>
      </c>
      <c r="L208" s="13" t="s">
        <v>1177</v>
      </c>
      <c r="M208" s="66" t="s">
        <v>258</v>
      </c>
      <c r="N208" s="66" t="s">
        <v>379</v>
      </c>
      <c r="O208" s="66" t="s">
        <v>1178</v>
      </c>
      <c r="P208" s="0" t="s">
        <v>1215</v>
      </c>
      <c r="Q208" s="66" t="s">
        <v>995</v>
      </c>
    </row>
    <row r="209" customFormat="false" ht="14.25" hidden="false" customHeight="false" outlineLevel="0" collapsed="false">
      <c r="A209" s="13" t="s">
        <v>959</v>
      </c>
      <c r="B209" s="13" t="s">
        <v>740</v>
      </c>
      <c r="C209" s="13" t="s">
        <v>743</v>
      </c>
      <c r="D209" s="61" t="n">
        <v>45964.2291666667</v>
      </c>
      <c r="E209" s="61" t="n">
        <v>45964.2291666667</v>
      </c>
      <c r="F209" s="61" t="n">
        <v>45965.625</v>
      </c>
      <c r="G209" s="62" t="n">
        <v>1.39583333333576</v>
      </c>
      <c r="H209" s="13" t="s">
        <v>248</v>
      </c>
      <c r="J209" s="13" t="s">
        <v>256</v>
      </c>
      <c r="K209" s="13" t="s">
        <v>430</v>
      </c>
      <c r="L209" s="13" t="s">
        <v>1177</v>
      </c>
      <c r="M209" s="66" t="s">
        <v>258</v>
      </c>
      <c r="N209" s="66" t="s">
        <v>379</v>
      </c>
      <c r="O209" s="66" t="s">
        <v>1178</v>
      </c>
      <c r="P209" s="0" t="s">
        <v>1216</v>
      </c>
      <c r="Q209" s="66" t="s">
        <v>995</v>
      </c>
    </row>
    <row r="210" customFormat="false" ht="14.25" hidden="false" customHeight="false" outlineLevel="0" collapsed="false">
      <c r="A210" s="13" t="s">
        <v>959</v>
      </c>
      <c r="B210" s="13" t="s">
        <v>740</v>
      </c>
      <c r="C210" s="13" t="s">
        <v>744</v>
      </c>
      <c r="D210" s="61" t="n">
        <v>45964.2291666667</v>
      </c>
      <c r="E210" s="61" t="n">
        <v>45964.2291666667</v>
      </c>
      <c r="F210" s="61" t="n">
        <v>45965.625</v>
      </c>
      <c r="G210" s="62" t="n">
        <v>1.39583333333576</v>
      </c>
      <c r="H210" s="13" t="s">
        <v>248</v>
      </c>
      <c r="J210" s="13" t="s">
        <v>256</v>
      </c>
      <c r="K210" s="13" t="s">
        <v>430</v>
      </c>
      <c r="L210" s="13" t="s">
        <v>1177</v>
      </c>
      <c r="M210" s="66" t="s">
        <v>258</v>
      </c>
      <c r="N210" s="66" t="s">
        <v>379</v>
      </c>
      <c r="O210" s="66" t="s">
        <v>1178</v>
      </c>
      <c r="P210" s="0" t="s">
        <v>1217</v>
      </c>
      <c r="Q210" s="66" t="s">
        <v>995</v>
      </c>
    </row>
    <row r="211" customFormat="false" ht="14.25" hidden="false" customHeight="false" outlineLevel="0" collapsed="false">
      <c r="A211" s="13" t="s">
        <v>959</v>
      </c>
      <c r="B211" s="13" t="s">
        <v>740</v>
      </c>
      <c r="C211" s="13" t="s">
        <v>745</v>
      </c>
      <c r="D211" s="61" t="n">
        <v>45964.2291666667</v>
      </c>
      <c r="E211" s="61" t="n">
        <v>45964.2291666667</v>
      </c>
      <c r="F211" s="61" t="n">
        <v>45965.625</v>
      </c>
      <c r="G211" s="62" t="n">
        <v>1.39583333333576</v>
      </c>
      <c r="H211" s="13" t="s">
        <v>248</v>
      </c>
      <c r="J211" s="13" t="s">
        <v>256</v>
      </c>
      <c r="K211" s="13" t="s">
        <v>430</v>
      </c>
      <c r="L211" s="13" t="s">
        <v>1177</v>
      </c>
      <c r="M211" s="66" t="s">
        <v>258</v>
      </c>
      <c r="N211" s="66" t="s">
        <v>379</v>
      </c>
      <c r="O211" s="66" t="s">
        <v>1178</v>
      </c>
      <c r="P211" s="0" t="s">
        <v>1218</v>
      </c>
      <c r="Q211" s="66" t="s">
        <v>995</v>
      </c>
    </row>
    <row r="212" customFormat="false" ht="14.25" hidden="false" customHeight="false" outlineLevel="0" collapsed="false">
      <c r="A212" s="13" t="s">
        <v>959</v>
      </c>
      <c r="B212" s="13" t="s">
        <v>740</v>
      </c>
      <c r="C212" s="13" t="s">
        <v>746</v>
      </c>
      <c r="D212" s="61" t="n">
        <v>45964.2291666667</v>
      </c>
      <c r="E212" s="61" t="n">
        <v>45964.2291666667</v>
      </c>
      <c r="F212" s="61" t="n">
        <v>45965.625</v>
      </c>
      <c r="G212" s="62" t="n">
        <v>1.39583333333576</v>
      </c>
      <c r="H212" s="13" t="s">
        <v>248</v>
      </c>
      <c r="J212" s="13" t="s">
        <v>256</v>
      </c>
      <c r="K212" s="13" t="s">
        <v>430</v>
      </c>
      <c r="L212" s="13" t="s">
        <v>1177</v>
      </c>
      <c r="M212" s="66" t="s">
        <v>258</v>
      </c>
      <c r="N212" s="66" t="s">
        <v>379</v>
      </c>
      <c r="O212" s="66" t="s">
        <v>1178</v>
      </c>
      <c r="P212" s="0" t="s">
        <v>1219</v>
      </c>
      <c r="Q212" s="66" t="s">
        <v>995</v>
      </c>
    </row>
    <row r="213" customFormat="false" ht="14.25" hidden="false" customHeight="false" outlineLevel="0" collapsed="false">
      <c r="A213" s="13" t="s">
        <v>959</v>
      </c>
      <c r="B213" s="13" t="s">
        <v>740</v>
      </c>
      <c r="C213" s="13" t="s">
        <v>747</v>
      </c>
      <c r="D213" s="61" t="n">
        <v>45964.2291666667</v>
      </c>
      <c r="E213" s="61" t="n">
        <v>45964.2291666667</v>
      </c>
      <c r="F213" s="61" t="n">
        <v>45965.625</v>
      </c>
      <c r="G213" s="62" t="n">
        <v>1.39583333333576</v>
      </c>
      <c r="H213" s="13" t="s">
        <v>248</v>
      </c>
      <c r="J213" s="13" t="s">
        <v>256</v>
      </c>
      <c r="K213" s="13" t="s">
        <v>430</v>
      </c>
      <c r="L213" s="13" t="s">
        <v>1177</v>
      </c>
      <c r="M213" s="66" t="s">
        <v>258</v>
      </c>
      <c r="N213" s="66" t="s">
        <v>379</v>
      </c>
      <c r="O213" s="66" t="s">
        <v>1178</v>
      </c>
      <c r="P213" s="0" t="s">
        <v>1220</v>
      </c>
      <c r="Q213" s="66" t="s">
        <v>995</v>
      </c>
    </row>
    <row r="214" customFormat="false" ht="14.25" hidden="false" customHeight="false" outlineLevel="0" collapsed="false">
      <c r="A214" s="13" t="s">
        <v>959</v>
      </c>
      <c r="B214" s="13" t="s">
        <v>740</v>
      </c>
      <c r="C214" s="13" t="s">
        <v>748</v>
      </c>
      <c r="D214" s="61" t="n">
        <v>45964.2291666667</v>
      </c>
      <c r="E214" s="61" t="n">
        <v>45964.2291666667</v>
      </c>
      <c r="F214" s="61" t="n">
        <v>45965.625</v>
      </c>
      <c r="G214" s="62" t="n">
        <v>1.39583333333576</v>
      </c>
      <c r="H214" s="13" t="s">
        <v>248</v>
      </c>
      <c r="J214" s="13" t="s">
        <v>256</v>
      </c>
      <c r="K214" s="13" t="s">
        <v>430</v>
      </c>
      <c r="L214" s="13" t="s">
        <v>1177</v>
      </c>
      <c r="M214" s="66" t="s">
        <v>258</v>
      </c>
      <c r="N214" s="66" t="s">
        <v>379</v>
      </c>
      <c r="O214" s="66" t="s">
        <v>1178</v>
      </c>
      <c r="P214" s="0" t="s">
        <v>1221</v>
      </c>
      <c r="Q214" s="66" t="s">
        <v>995</v>
      </c>
    </row>
    <row r="215" customFormat="false" ht="14.25" hidden="false" customHeight="false" outlineLevel="0" collapsed="false">
      <c r="A215" s="13" t="s">
        <v>959</v>
      </c>
      <c r="B215" s="13" t="s">
        <v>740</v>
      </c>
      <c r="C215" s="13" t="s">
        <v>749</v>
      </c>
      <c r="D215" s="61" t="n">
        <v>45964.2291666667</v>
      </c>
      <c r="E215" s="61" t="n">
        <v>45964.2291666667</v>
      </c>
      <c r="F215" s="61" t="n">
        <v>45965.625</v>
      </c>
      <c r="G215" s="62" t="n">
        <v>1.39583333333576</v>
      </c>
      <c r="H215" s="13" t="s">
        <v>248</v>
      </c>
      <c r="J215" s="13" t="s">
        <v>256</v>
      </c>
      <c r="K215" s="13" t="s">
        <v>430</v>
      </c>
      <c r="L215" s="13" t="s">
        <v>1177</v>
      </c>
      <c r="M215" s="66" t="s">
        <v>258</v>
      </c>
      <c r="N215" s="66" t="s">
        <v>379</v>
      </c>
      <c r="O215" s="66" t="s">
        <v>1178</v>
      </c>
      <c r="P215" s="0" t="s">
        <v>1222</v>
      </c>
      <c r="Q215" s="66" t="s">
        <v>995</v>
      </c>
    </row>
    <row r="216" customFormat="false" ht="14.25" hidden="false" customHeight="false" outlineLevel="0" collapsed="false">
      <c r="A216" s="13" t="s">
        <v>720</v>
      </c>
      <c r="B216" s="13" t="s">
        <v>720</v>
      </c>
      <c r="C216" s="13" t="s">
        <v>255</v>
      </c>
      <c r="D216" s="61" t="n">
        <v>45964.2291666667</v>
      </c>
      <c r="E216" s="61" t="n">
        <v>45964.2291666667</v>
      </c>
      <c r="F216" s="61" t="n">
        <v>45965.625</v>
      </c>
      <c r="G216" s="62" t="n">
        <v>1.39583333333576</v>
      </c>
      <c r="H216" s="13" t="s">
        <v>248</v>
      </c>
      <c r="J216" s="13" t="s">
        <v>256</v>
      </c>
      <c r="K216" s="13" t="s">
        <v>430</v>
      </c>
      <c r="L216" s="13" t="s">
        <v>1177</v>
      </c>
      <c r="M216" s="66" t="s">
        <v>258</v>
      </c>
      <c r="N216" s="66" t="s">
        <v>379</v>
      </c>
      <c r="O216" s="66" t="s">
        <v>1178</v>
      </c>
      <c r="P216" s="0" t="s">
        <v>1223</v>
      </c>
      <c r="Q216" s="66" t="s">
        <v>995</v>
      </c>
    </row>
    <row r="217" customFormat="false" ht="14.25" hidden="false" customHeight="false" outlineLevel="0" collapsed="false">
      <c r="A217" s="13" t="s">
        <v>720</v>
      </c>
      <c r="B217" s="13" t="s">
        <v>720</v>
      </c>
      <c r="C217" s="13" t="s">
        <v>723</v>
      </c>
      <c r="D217" s="61" t="n">
        <v>45964.2291666667</v>
      </c>
      <c r="E217" s="61" t="n">
        <v>45964.2291666667</v>
      </c>
      <c r="F217" s="61" t="n">
        <v>45965.625</v>
      </c>
      <c r="G217" s="62" t="n">
        <v>1.39583333333576</v>
      </c>
      <c r="H217" s="13" t="s">
        <v>248</v>
      </c>
      <c r="J217" s="13" t="s">
        <v>256</v>
      </c>
      <c r="K217" s="13" t="s">
        <v>430</v>
      </c>
      <c r="L217" s="13" t="s">
        <v>1177</v>
      </c>
      <c r="M217" s="66" t="s">
        <v>258</v>
      </c>
      <c r="N217" s="66" t="s">
        <v>379</v>
      </c>
      <c r="O217" s="66" t="s">
        <v>1178</v>
      </c>
      <c r="P217" s="0" t="s">
        <v>1224</v>
      </c>
      <c r="Q217" s="66" t="s">
        <v>995</v>
      </c>
    </row>
    <row r="218" customFormat="false" ht="14.25" hidden="false" customHeight="false" outlineLevel="0" collapsed="false">
      <c r="A218" s="13" t="s">
        <v>720</v>
      </c>
      <c r="B218" s="13" t="s">
        <v>720</v>
      </c>
      <c r="C218" s="13" t="s">
        <v>724</v>
      </c>
      <c r="D218" s="61" t="n">
        <v>45964.2291666667</v>
      </c>
      <c r="E218" s="61" t="n">
        <v>45964.2291666667</v>
      </c>
      <c r="F218" s="61" t="n">
        <v>45965.625</v>
      </c>
      <c r="G218" s="62" t="n">
        <v>1.39583333333576</v>
      </c>
      <c r="H218" s="13" t="s">
        <v>248</v>
      </c>
      <c r="J218" s="13" t="s">
        <v>256</v>
      </c>
      <c r="K218" s="13" t="s">
        <v>430</v>
      </c>
      <c r="L218" s="13" t="s">
        <v>1177</v>
      </c>
      <c r="M218" s="66" t="s">
        <v>258</v>
      </c>
      <c r="N218" s="66" t="s">
        <v>379</v>
      </c>
      <c r="O218" s="66" t="s">
        <v>1178</v>
      </c>
      <c r="P218" s="0" t="s">
        <v>1225</v>
      </c>
      <c r="Q218" s="66" t="s">
        <v>995</v>
      </c>
    </row>
    <row r="219" customFormat="false" ht="14.25" hidden="false" customHeight="false" outlineLevel="0" collapsed="false">
      <c r="A219" s="13" t="s">
        <v>720</v>
      </c>
      <c r="B219" s="13" t="s">
        <v>720</v>
      </c>
      <c r="C219" s="13" t="s">
        <v>725</v>
      </c>
      <c r="D219" s="61" t="n">
        <v>45964.2291666667</v>
      </c>
      <c r="E219" s="61" t="n">
        <v>45964.2291666667</v>
      </c>
      <c r="F219" s="61" t="n">
        <v>45965.625</v>
      </c>
      <c r="G219" s="62" t="n">
        <v>1.39583333333576</v>
      </c>
      <c r="H219" s="13" t="s">
        <v>248</v>
      </c>
      <c r="J219" s="13" t="s">
        <v>256</v>
      </c>
      <c r="K219" s="13" t="s">
        <v>430</v>
      </c>
      <c r="L219" s="13" t="s">
        <v>1177</v>
      </c>
      <c r="M219" s="66" t="s">
        <v>258</v>
      </c>
      <c r="N219" s="66" t="s">
        <v>379</v>
      </c>
      <c r="O219" s="66" t="s">
        <v>1178</v>
      </c>
      <c r="P219" s="0" t="s">
        <v>1226</v>
      </c>
      <c r="Q219" s="66" t="s">
        <v>995</v>
      </c>
    </row>
    <row r="220" customFormat="false" ht="14.25" hidden="false" customHeight="false" outlineLevel="0" collapsed="false">
      <c r="A220" s="13" t="s">
        <v>720</v>
      </c>
      <c r="B220" s="13" t="s">
        <v>720</v>
      </c>
      <c r="C220" s="13" t="s">
        <v>277</v>
      </c>
      <c r="D220" s="61" t="n">
        <v>45964.2291666667</v>
      </c>
      <c r="E220" s="61" t="n">
        <v>45964.2291666667</v>
      </c>
      <c r="F220" s="61" t="n">
        <v>45965.625</v>
      </c>
      <c r="G220" s="62" t="n">
        <v>1.39583333333576</v>
      </c>
      <c r="H220" s="13" t="s">
        <v>248</v>
      </c>
      <c r="J220" s="13" t="s">
        <v>256</v>
      </c>
      <c r="K220" s="13" t="s">
        <v>430</v>
      </c>
      <c r="L220" s="13" t="s">
        <v>1177</v>
      </c>
      <c r="M220" s="66" t="s">
        <v>258</v>
      </c>
      <c r="N220" s="66" t="s">
        <v>379</v>
      </c>
      <c r="O220" s="66" t="s">
        <v>1178</v>
      </c>
      <c r="P220" s="0" t="s">
        <v>1227</v>
      </c>
      <c r="Q220" s="66" t="s">
        <v>995</v>
      </c>
    </row>
    <row r="221" customFormat="false" ht="14.25" hidden="false" customHeight="false" outlineLevel="0" collapsed="false">
      <c r="A221" s="13" t="s">
        <v>614</v>
      </c>
      <c r="B221" s="13" t="s">
        <v>614</v>
      </c>
      <c r="C221" s="13" t="s">
        <v>255</v>
      </c>
      <c r="D221" s="61" t="n">
        <v>45964.2291666667</v>
      </c>
      <c r="E221" s="61" t="n">
        <v>45964.2291666667</v>
      </c>
      <c r="F221" s="61" t="n">
        <v>45965.625</v>
      </c>
      <c r="G221" s="62" t="n">
        <v>1.39583333333576</v>
      </c>
      <c r="H221" s="13" t="s">
        <v>248</v>
      </c>
      <c r="J221" s="13" t="s">
        <v>256</v>
      </c>
      <c r="K221" s="13" t="s">
        <v>430</v>
      </c>
      <c r="L221" s="13" t="s">
        <v>1177</v>
      </c>
      <c r="M221" s="66" t="s">
        <v>258</v>
      </c>
      <c r="N221" s="66" t="s">
        <v>379</v>
      </c>
      <c r="O221" s="66" t="s">
        <v>1178</v>
      </c>
      <c r="P221" s="0" t="s">
        <v>1228</v>
      </c>
      <c r="Q221" s="66" t="s">
        <v>995</v>
      </c>
    </row>
    <row r="222" customFormat="false" ht="14.25" hidden="false" customHeight="false" outlineLevel="0" collapsed="false">
      <c r="A222" s="13" t="s">
        <v>614</v>
      </c>
      <c r="B222" s="13" t="s">
        <v>614</v>
      </c>
      <c r="C222" s="13" t="s">
        <v>752</v>
      </c>
      <c r="D222" s="61" t="n">
        <v>45964.2291666667</v>
      </c>
      <c r="E222" s="61" t="n">
        <v>45964.2291666667</v>
      </c>
      <c r="F222" s="61" t="n">
        <v>45965.625</v>
      </c>
      <c r="G222" s="62" t="n">
        <v>1.39583333333576</v>
      </c>
      <c r="H222" s="13" t="s">
        <v>248</v>
      </c>
      <c r="J222" s="13" t="s">
        <v>256</v>
      </c>
      <c r="K222" s="13" t="s">
        <v>430</v>
      </c>
      <c r="L222" s="13" t="s">
        <v>1177</v>
      </c>
      <c r="M222" s="66" t="s">
        <v>258</v>
      </c>
      <c r="N222" s="66" t="s">
        <v>379</v>
      </c>
      <c r="O222" s="66" t="s">
        <v>1178</v>
      </c>
      <c r="P222" s="0" t="s">
        <v>1229</v>
      </c>
      <c r="Q222" s="66" t="s">
        <v>995</v>
      </c>
    </row>
    <row r="223" customFormat="false" ht="14.25" hidden="false" customHeight="false" outlineLevel="0" collapsed="false">
      <c r="A223" s="13" t="s">
        <v>614</v>
      </c>
      <c r="B223" s="13" t="s">
        <v>614</v>
      </c>
      <c r="C223" s="13" t="s">
        <v>753</v>
      </c>
      <c r="D223" s="61" t="n">
        <v>45964.2291666667</v>
      </c>
      <c r="E223" s="61" t="n">
        <v>45964.2291666667</v>
      </c>
      <c r="F223" s="61" t="n">
        <v>45965.625</v>
      </c>
      <c r="G223" s="62" t="n">
        <v>1.39583333333576</v>
      </c>
      <c r="H223" s="13" t="s">
        <v>248</v>
      </c>
      <c r="J223" s="13" t="s">
        <v>256</v>
      </c>
      <c r="K223" s="13" t="s">
        <v>430</v>
      </c>
      <c r="L223" s="13" t="s">
        <v>1177</v>
      </c>
      <c r="M223" s="66" t="s">
        <v>258</v>
      </c>
      <c r="N223" s="66" t="s">
        <v>379</v>
      </c>
      <c r="O223" s="66" t="s">
        <v>1178</v>
      </c>
      <c r="P223" s="0" t="s">
        <v>1230</v>
      </c>
      <c r="Q223" s="66" t="s">
        <v>995</v>
      </c>
    </row>
    <row r="224" customFormat="false" ht="14.25" hidden="false" customHeight="false" outlineLevel="0" collapsed="false">
      <c r="A224" s="13" t="s">
        <v>614</v>
      </c>
      <c r="B224" s="13" t="s">
        <v>614</v>
      </c>
      <c r="C224" s="13" t="s">
        <v>754</v>
      </c>
      <c r="D224" s="61" t="n">
        <v>45964.2291666667</v>
      </c>
      <c r="E224" s="61" t="n">
        <v>45964.2291666667</v>
      </c>
      <c r="F224" s="61" t="n">
        <v>45965.625</v>
      </c>
      <c r="G224" s="62" t="n">
        <v>1.39583333333576</v>
      </c>
      <c r="H224" s="13" t="s">
        <v>248</v>
      </c>
      <c r="J224" s="13" t="s">
        <v>256</v>
      </c>
      <c r="K224" s="13" t="s">
        <v>430</v>
      </c>
      <c r="L224" s="13" t="s">
        <v>1177</v>
      </c>
      <c r="M224" s="66" t="s">
        <v>258</v>
      </c>
      <c r="N224" s="66" t="s">
        <v>379</v>
      </c>
      <c r="O224" s="66" t="s">
        <v>1178</v>
      </c>
      <c r="P224" s="0" t="s">
        <v>1231</v>
      </c>
      <c r="Q224" s="66" t="s">
        <v>995</v>
      </c>
    </row>
    <row r="225" customFormat="false" ht="14.25" hidden="false" customHeight="false" outlineLevel="0" collapsed="false">
      <c r="A225" s="13" t="s">
        <v>614</v>
      </c>
      <c r="B225" s="13" t="s">
        <v>614</v>
      </c>
      <c r="C225" s="13" t="s">
        <v>755</v>
      </c>
      <c r="D225" s="61" t="n">
        <v>45964.2291666667</v>
      </c>
      <c r="E225" s="61" t="n">
        <v>45964.2291666667</v>
      </c>
      <c r="F225" s="61" t="n">
        <v>45965.625</v>
      </c>
      <c r="G225" s="62" t="n">
        <v>1.39583333333576</v>
      </c>
      <c r="H225" s="13" t="s">
        <v>248</v>
      </c>
      <c r="J225" s="13" t="s">
        <v>256</v>
      </c>
      <c r="K225" s="13" t="s">
        <v>430</v>
      </c>
      <c r="L225" s="13" t="s">
        <v>1177</v>
      </c>
      <c r="M225" s="66" t="s">
        <v>258</v>
      </c>
      <c r="N225" s="66" t="s">
        <v>379</v>
      </c>
      <c r="O225" s="66" t="s">
        <v>1178</v>
      </c>
      <c r="P225" s="0" t="s">
        <v>1232</v>
      </c>
      <c r="Q225" s="66" t="s">
        <v>995</v>
      </c>
    </row>
    <row r="226" customFormat="false" ht="14.25" hidden="false" customHeight="false" outlineLevel="0" collapsed="false">
      <c r="A226" s="13" t="s">
        <v>536</v>
      </c>
      <c r="B226" s="13" t="s">
        <v>536</v>
      </c>
      <c r="C226" s="13" t="s">
        <v>537</v>
      </c>
      <c r="D226" s="61" t="n">
        <v>45964.2291666667</v>
      </c>
      <c r="E226" s="61" t="n">
        <v>45964.2291666667</v>
      </c>
      <c r="F226" s="61" t="n">
        <v>45965.625</v>
      </c>
      <c r="G226" s="62" t="n">
        <v>1.39583333333576</v>
      </c>
      <c r="H226" s="13" t="s">
        <v>248</v>
      </c>
      <c r="J226" s="13" t="s">
        <v>256</v>
      </c>
      <c r="K226" s="13" t="s">
        <v>430</v>
      </c>
      <c r="L226" s="13" t="s">
        <v>1177</v>
      </c>
      <c r="M226" s="66" t="s">
        <v>258</v>
      </c>
      <c r="N226" s="66" t="s">
        <v>379</v>
      </c>
      <c r="O226" s="66" t="s">
        <v>1178</v>
      </c>
      <c r="P226" s="0" t="s">
        <v>1233</v>
      </c>
      <c r="Q226" s="66" t="s">
        <v>995</v>
      </c>
    </row>
    <row r="227" customFormat="false" ht="14.25" hidden="false" customHeight="false" outlineLevel="0" collapsed="false">
      <c r="A227" s="13" t="s">
        <v>536</v>
      </c>
      <c r="B227" s="13" t="s">
        <v>536</v>
      </c>
      <c r="C227" s="13" t="s">
        <v>277</v>
      </c>
      <c r="D227" s="61" t="n">
        <v>45964.2291666667</v>
      </c>
      <c r="E227" s="61" t="n">
        <v>45964.2291666667</v>
      </c>
      <c r="F227" s="61" t="n">
        <v>45965.625</v>
      </c>
      <c r="G227" s="62" t="n">
        <v>1.39583333333576</v>
      </c>
      <c r="H227" s="13" t="s">
        <v>248</v>
      </c>
      <c r="J227" s="13" t="s">
        <v>256</v>
      </c>
      <c r="K227" s="13" t="s">
        <v>430</v>
      </c>
      <c r="L227" s="13" t="s">
        <v>1177</v>
      </c>
      <c r="M227" s="66" t="s">
        <v>258</v>
      </c>
      <c r="N227" s="66" t="s">
        <v>379</v>
      </c>
      <c r="O227" s="66" t="s">
        <v>1178</v>
      </c>
      <c r="P227" s="0" t="s">
        <v>1234</v>
      </c>
      <c r="Q227" s="66" t="s">
        <v>995</v>
      </c>
    </row>
    <row r="228" customFormat="false" ht="14.25" hidden="false" customHeight="false" outlineLevel="0" collapsed="false">
      <c r="A228" s="13" t="s">
        <v>536</v>
      </c>
      <c r="B228" s="13" t="s">
        <v>536</v>
      </c>
      <c r="C228" s="13" t="s">
        <v>247</v>
      </c>
      <c r="D228" s="61" t="n">
        <v>45964.2291666667</v>
      </c>
      <c r="E228" s="61" t="n">
        <v>45964.2291666667</v>
      </c>
      <c r="F228" s="61" t="n">
        <v>45965.625</v>
      </c>
      <c r="G228" s="62" t="n">
        <v>1.39583333333576</v>
      </c>
      <c r="H228" s="13" t="s">
        <v>248</v>
      </c>
      <c r="J228" s="13" t="s">
        <v>256</v>
      </c>
      <c r="K228" s="13" t="s">
        <v>430</v>
      </c>
      <c r="L228" s="13" t="s">
        <v>1177</v>
      </c>
      <c r="M228" s="66" t="s">
        <v>258</v>
      </c>
      <c r="N228" s="66" t="s">
        <v>379</v>
      </c>
      <c r="O228" s="66" t="s">
        <v>1178</v>
      </c>
      <c r="P228" s="0" t="s">
        <v>1235</v>
      </c>
      <c r="Q228" s="66" t="s">
        <v>995</v>
      </c>
    </row>
    <row r="229" customFormat="false" ht="14.25" hidden="false" customHeight="false" outlineLevel="0" collapsed="false">
      <c r="A229" s="13" t="s">
        <v>254</v>
      </c>
      <c r="B229" s="13" t="s">
        <v>254</v>
      </c>
      <c r="C229" s="13" t="s">
        <v>255</v>
      </c>
      <c r="D229" s="61" t="n">
        <v>45964.25</v>
      </c>
      <c r="E229" s="61" t="n">
        <v>45964.25</v>
      </c>
      <c r="F229" s="61" t="n">
        <v>45964.3333333333</v>
      </c>
      <c r="G229" s="62" t="n">
        <v>0.0833333333357587</v>
      </c>
      <c r="H229" s="13" t="s">
        <v>248</v>
      </c>
      <c r="J229" s="13" t="s">
        <v>256</v>
      </c>
      <c r="K229" s="13" t="s">
        <v>430</v>
      </c>
      <c r="L229" s="13" t="s">
        <v>482</v>
      </c>
      <c r="M229" s="66" t="s">
        <v>787</v>
      </c>
      <c r="N229" s="66" t="s">
        <v>379</v>
      </c>
      <c r="O229" s="66" t="s">
        <v>790</v>
      </c>
      <c r="P229" s="0" t="s">
        <v>1236</v>
      </c>
      <c r="Q229" s="66" t="s">
        <v>995</v>
      </c>
    </row>
    <row r="230" customFormat="false" ht="14.25" hidden="false" customHeight="false" outlineLevel="0" collapsed="false">
      <c r="A230" s="13" t="s">
        <v>307</v>
      </c>
      <c r="B230" s="13" t="s">
        <v>307</v>
      </c>
      <c r="C230" s="13" t="s">
        <v>255</v>
      </c>
      <c r="D230" s="61" t="n">
        <v>45964.25</v>
      </c>
      <c r="E230" s="61" t="n">
        <v>45964.25</v>
      </c>
      <c r="F230" s="61" t="n">
        <v>45964.3333333333</v>
      </c>
      <c r="G230" s="62" t="n">
        <v>0.0833333333357587</v>
      </c>
      <c r="H230" s="13" t="s">
        <v>248</v>
      </c>
      <c r="J230" s="13" t="s">
        <v>256</v>
      </c>
      <c r="K230" s="13" t="s">
        <v>430</v>
      </c>
      <c r="L230" s="13" t="s">
        <v>482</v>
      </c>
      <c r="M230" s="66" t="s">
        <v>787</v>
      </c>
      <c r="N230" s="66" t="s">
        <v>379</v>
      </c>
      <c r="O230" s="66" t="s">
        <v>790</v>
      </c>
      <c r="P230" s="0" t="s">
        <v>1237</v>
      </c>
      <c r="Q230" s="66" t="s">
        <v>995</v>
      </c>
    </row>
    <row r="231" customFormat="false" ht="14.25" hidden="false" customHeight="false" outlineLevel="0" collapsed="false">
      <c r="A231" s="13" t="s">
        <v>308</v>
      </c>
      <c r="B231" s="13" t="s">
        <v>308</v>
      </c>
      <c r="C231" s="13" t="s">
        <v>255</v>
      </c>
      <c r="D231" s="61" t="n">
        <v>45964.25</v>
      </c>
      <c r="E231" s="61" t="n">
        <v>45964.25</v>
      </c>
      <c r="F231" s="61" t="n">
        <v>45964.3333333333</v>
      </c>
      <c r="G231" s="62" t="n">
        <v>0.0833333333357587</v>
      </c>
      <c r="H231" s="13" t="s">
        <v>248</v>
      </c>
      <c r="J231" s="13" t="s">
        <v>256</v>
      </c>
      <c r="K231" s="13" t="s">
        <v>430</v>
      </c>
      <c r="L231" s="13" t="s">
        <v>482</v>
      </c>
      <c r="M231" s="66" t="s">
        <v>787</v>
      </c>
      <c r="N231" s="66" t="s">
        <v>379</v>
      </c>
      <c r="O231" s="66" t="s">
        <v>790</v>
      </c>
      <c r="P231" s="0" t="s">
        <v>1238</v>
      </c>
      <c r="Q231" s="66" t="s">
        <v>995</v>
      </c>
    </row>
    <row r="232" customFormat="false" ht="14.25" hidden="false" customHeight="false" outlineLevel="0" collapsed="false">
      <c r="A232" s="13" t="s">
        <v>309</v>
      </c>
      <c r="B232" s="13" t="s">
        <v>309</v>
      </c>
      <c r="C232" s="13" t="s">
        <v>255</v>
      </c>
      <c r="D232" s="61" t="n">
        <v>45964.25</v>
      </c>
      <c r="E232" s="61" t="n">
        <v>45964.25</v>
      </c>
      <c r="F232" s="61" t="n">
        <v>45964.3333333333</v>
      </c>
      <c r="G232" s="62" t="n">
        <v>0.0833333333357587</v>
      </c>
      <c r="H232" s="13" t="s">
        <v>248</v>
      </c>
      <c r="J232" s="13" t="s">
        <v>256</v>
      </c>
      <c r="K232" s="13" t="s">
        <v>430</v>
      </c>
      <c r="L232" s="13" t="s">
        <v>482</v>
      </c>
      <c r="M232" s="66" t="s">
        <v>787</v>
      </c>
      <c r="N232" s="66" t="s">
        <v>379</v>
      </c>
      <c r="O232" s="66" t="s">
        <v>790</v>
      </c>
      <c r="P232" s="0" t="s">
        <v>1239</v>
      </c>
      <c r="Q232" s="66" t="s">
        <v>995</v>
      </c>
    </row>
    <row r="233" customFormat="false" ht="14.25" hidden="false" customHeight="false" outlineLevel="0" collapsed="false">
      <c r="A233" s="13" t="s">
        <v>310</v>
      </c>
      <c r="B233" s="13" t="s">
        <v>310</v>
      </c>
      <c r="C233" s="13" t="s">
        <v>255</v>
      </c>
      <c r="D233" s="61" t="n">
        <v>45964.25</v>
      </c>
      <c r="E233" s="61" t="n">
        <v>45964.25</v>
      </c>
      <c r="F233" s="61" t="n">
        <v>45964.3333333333</v>
      </c>
      <c r="G233" s="62" t="n">
        <v>0.0833333333357587</v>
      </c>
      <c r="H233" s="13" t="s">
        <v>248</v>
      </c>
      <c r="J233" s="13" t="s">
        <v>256</v>
      </c>
      <c r="K233" s="13" t="s">
        <v>430</v>
      </c>
      <c r="L233" s="13" t="s">
        <v>482</v>
      </c>
      <c r="M233" s="66" t="s">
        <v>787</v>
      </c>
      <c r="N233" s="66" t="s">
        <v>379</v>
      </c>
      <c r="O233" s="66" t="s">
        <v>790</v>
      </c>
      <c r="P233" s="0" t="s">
        <v>1240</v>
      </c>
      <c r="Q233" s="66" t="s">
        <v>995</v>
      </c>
    </row>
    <row r="234" customFormat="false" ht="14.25" hidden="false" customHeight="false" outlineLevel="0" collapsed="false">
      <c r="A234" s="13" t="s">
        <v>917</v>
      </c>
      <c r="B234" s="13" t="s">
        <v>311</v>
      </c>
      <c r="C234" s="13" t="s">
        <v>312</v>
      </c>
      <c r="D234" s="61" t="n">
        <v>45964.25</v>
      </c>
      <c r="E234" s="61" t="n">
        <v>45964.25</v>
      </c>
      <c r="F234" s="61" t="n">
        <v>45964.3333333333</v>
      </c>
      <c r="G234" s="62" t="n">
        <v>0.0833333333357587</v>
      </c>
      <c r="H234" s="13" t="s">
        <v>248</v>
      </c>
      <c r="J234" s="13" t="s">
        <v>256</v>
      </c>
      <c r="K234" s="13" t="s">
        <v>430</v>
      </c>
      <c r="L234" s="13" t="s">
        <v>1241</v>
      </c>
      <c r="M234" s="66" t="s">
        <v>787</v>
      </c>
      <c r="N234" s="66" t="s">
        <v>379</v>
      </c>
      <c r="O234" s="66" t="s">
        <v>1242</v>
      </c>
      <c r="P234" s="0" t="s">
        <v>1243</v>
      </c>
      <c r="Q234" s="66" t="s">
        <v>995</v>
      </c>
    </row>
    <row r="235" customFormat="false" ht="14.25" hidden="false" customHeight="false" outlineLevel="0" collapsed="false">
      <c r="A235" s="13" t="s">
        <v>917</v>
      </c>
      <c r="B235" s="13" t="s">
        <v>311</v>
      </c>
      <c r="C235" s="13" t="s">
        <v>1244</v>
      </c>
      <c r="D235" s="61" t="n">
        <v>45964.25</v>
      </c>
      <c r="E235" s="61" t="n">
        <v>45964.25</v>
      </c>
      <c r="F235" s="61" t="n">
        <v>45964.3333333333</v>
      </c>
      <c r="G235" s="62" t="n">
        <v>0.0833333333357587</v>
      </c>
      <c r="H235" s="13" t="s">
        <v>248</v>
      </c>
      <c r="J235" s="13" t="s">
        <v>256</v>
      </c>
      <c r="K235" s="13" t="s">
        <v>430</v>
      </c>
      <c r="L235" s="13" t="s">
        <v>1241</v>
      </c>
      <c r="M235" s="66" t="s">
        <v>787</v>
      </c>
      <c r="N235" s="66" t="s">
        <v>379</v>
      </c>
      <c r="O235" s="66" t="s">
        <v>1242</v>
      </c>
      <c r="P235" s="0" t="s">
        <v>1245</v>
      </c>
      <c r="Q235" s="66" t="s">
        <v>995</v>
      </c>
    </row>
    <row r="236" customFormat="false" ht="14.25" hidden="false" customHeight="false" outlineLevel="0" collapsed="false">
      <c r="A236" s="13" t="s">
        <v>917</v>
      </c>
      <c r="B236" s="13" t="s">
        <v>311</v>
      </c>
      <c r="C236" s="13" t="s">
        <v>1246</v>
      </c>
      <c r="D236" s="61" t="n">
        <v>45964.25</v>
      </c>
      <c r="E236" s="61" t="n">
        <v>45964.25</v>
      </c>
      <c r="F236" s="61" t="n">
        <v>45964.3333333333</v>
      </c>
      <c r="G236" s="62" t="n">
        <v>0.0833333333357587</v>
      </c>
      <c r="H236" s="13" t="s">
        <v>248</v>
      </c>
      <c r="J236" s="13" t="s">
        <v>256</v>
      </c>
      <c r="K236" s="13" t="s">
        <v>430</v>
      </c>
      <c r="L236" s="13" t="s">
        <v>1241</v>
      </c>
      <c r="M236" s="66" t="s">
        <v>787</v>
      </c>
      <c r="N236" s="66" t="s">
        <v>379</v>
      </c>
      <c r="O236" s="66" t="s">
        <v>1242</v>
      </c>
      <c r="P236" s="0" t="s">
        <v>1247</v>
      </c>
      <c r="Q236" s="66" t="s">
        <v>995</v>
      </c>
    </row>
    <row r="237" customFormat="false" ht="14.25" hidden="false" customHeight="false" outlineLevel="0" collapsed="false">
      <c r="A237" s="13" t="s">
        <v>917</v>
      </c>
      <c r="B237" s="13" t="s">
        <v>311</v>
      </c>
      <c r="C237" s="13" t="s">
        <v>1248</v>
      </c>
      <c r="D237" s="61" t="n">
        <v>45964.25</v>
      </c>
      <c r="E237" s="61" t="n">
        <v>45964.25</v>
      </c>
      <c r="F237" s="61" t="n">
        <v>45964.3333333333</v>
      </c>
      <c r="G237" s="62" t="n">
        <v>0.0833333333357587</v>
      </c>
      <c r="H237" s="13" t="s">
        <v>248</v>
      </c>
      <c r="J237" s="13" t="s">
        <v>256</v>
      </c>
      <c r="K237" s="13" t="s">
        <v>430</v>
      </c>
      <c r="L237" s="13" t="s">
        <v>1241</v>
      </c>
      <c r="M237" s="66" t="s">
        <v>787</v>
      </c>
      <c r="N237" s="66" t="s">
        <v>379</v>
      </c>
      <c r="O237" s="66" t="s">
        <v>1242</v>
      </c>
      <c r="P237" s="0" t="s">
        <v>1249</v>
      </c>
      <c r="Q237" s="66" t="s">
        <v>995</v>
      </c>
    </row>
    <row r="238" customFormat="false" ht="14.25" hidden="false" customHeight="false" outlineLevel="0" collapsed="false">
      <c r="A238" s="13" t="s">
        <v>878</v>
      </c>
      <c r="B238" s="13" t="s">
        <v>504</v>
      </c>
      <c r="C238" s="13" t="s">
        <v>1250</v>
      </c>
      <c r="D238" s="61" t="n">
        <v>45964.2989236111</v>
      </c>
      <c r="E238" s="61" t="n">
        <v>45964.2989236111</v>
      </c>
      <c r="F238" s="61" t="n">
        <v>45964.305162037</v>
      </c>
      <c r="G238" s="62" t="n">
        <v>0.00623842592904111</v>
      </c>
      <c r="H238" s="13" t="s">
        <v>248</v>
      </c>
      <c r="J238" s="13" t="s">
        <v>249</v>
      </c>
      <c r="K238" s="13" t="s">
        <v>439</v>
      </c>
      <c r="L238" s="13" t="s">
        <v>1251</v>
      </c>
      <c r="M238" s="66" t="s">
        <v>251</v>
      </c>
      <c r="N238" s="66" t="s">
        <v>625</v>
      </c>
      <c r="P238" s="0" t="s">
        <v>1252</v>
      </c>
      <c r="Q238" s="66" t="s">
        <v>1253</v>
      </c>
    </row>
    <row r="239" customFormat="false" ht="14.25" hidden="false" customHeight="false" outlineLevel="0" collapsed="false">
      <c r="A239" s="13" t="s">
        <v>685</v>
      </c>
      <c r="B239" s="13" t="s">
        <v>685</v>
      </c>
      <c r="C239" s="13" t="s">
        <v>255</v>
      </c>
      <c r="D239" s="61" t="n">
        <v>45964.3194444444</v>
      </c>
      <c r="E239" s="61" t="n">
        <v>45964.3194444444</v>
      </c>
      <c r="F239" s="61" t="n">
        <v>45964.625</v>
      </c>
      <c r="G239" s="62" t="n">
        <v>0.305555555554747</v>
      </c>
      <c r="H239" s="13" t="s">
        <v>248</v>
      </c>
      <c r="J239" s="13" t="s">
        <v>256</v>
      </c>
      <c r="K239" s="13" t="s">
        <v>430</v>
      </c>
      <c r="L239" s="13" t="s">
        <v>1254</v>
      </c>
      <c r="M239" s="66" t="s">
        <v>288</v>
      </c>
      <c r="N239" s="66" t="s">
        <v>289</v>
      </c>
      <c r="O239" s="66" t="s">
        <v>1255</v>
      </c>
      <c r="P239" s="0" t="s">
        <v>1256</v>
      </c>
      <c r="Q239" s="66" t="s">
        <v>995</v>
      </c>
    </row>
    <row r="240" customFormat="false" ht="14.25" hidden="false" customHeight="false" outlineLevel="0" collapsed="false">
      <c r="A240" s="13" t="s">
        <v>685</v>
      </c>
      <c r="B240" s="13" t="s">
        <v>685</v>
      </c>
      <c r="C240" s="13" t="s">
        <v>396</v>
      </c>
      <c r="D240" s="61" t="n">
        <v>45964.3194444444</v>
      </c>
      <c r="E240" s="61" t="n">
        <v>45964.3194444444</v>
      </c>
      <c r="F240" s="61" t="n">
        <v>45964.625</v>
      </c>
      <c r="G240" s="62" t="n">
        <v>0.305555555554747</v>
      </c>
      <c r="H240" s="13" t="s">
        <v>248</v>
      </c>
      <c r="J240" s="13" t="s">
        <v>256</v>
      </c>
      <c r="K240" s="13" t="s">
        <v>430</v>
      </c>
      <c r="L240" s="13" t="s">
        <v>1254</v>
      </c>
      <c r="M240" s="66" t="s">
        <v>288</v>
      </c>
      <c r="N240" s="66" t="s">
        <v>289</v>
      </c>
      <c r="O240" s="66" t="s">
        <v>1255</v>
      </c>
      <c r="P240" s="0" t="s">
        <v>1257</v>
      </c>
      <c r="Q240" s="66" t="s">
        <v>995</v>
      </c>
    </row>
    <row r="241" customFormat="false" ht="14.25" hidden="false" customHeight="false" outlineLevel="0" collapsed="false">
      <c r="A241" s="13" t="s">
        <v>685</v>
      </c>
      <c r="B241" s="13" t="s">
        <v>685</v>
      </c>
      <c r="C241" s="13" t="s">
        <v>397</v>
      </c>
      <c r="D241" s="61" t="n">
        <v>45964.3194444444</v>
      </c>
      <c r="E241" s="61" t="n">
        <v>45964.3194444444</v>
      </c>
      <c r="F241" s="61" t="n">
        <v>45964.625</v>
      </c>
      <c r="G241" s="62" t="n">
        <v>0.305555555554747</v>
      </c>
      <c r="H241" s="13" t="s">
        <v>248</v>
      </c>
      <c r="J241" s="13" t="s">
        <v>256</v>
      </c>
      <c r="K241" s="13" t="s">
        <v>430</v>
      </c>
      <c r="L241" s="13" t="s">
        <v>1254</v>
      </c>
      <c r="M241" s="66" t="s">
        <v>288</v>
      </c>
      <c r="N241" s="66" t="s">
        <v>289</v>
      </c>
      <c r="O241" s="66" t="s">
        <v>1255</v>
      </c>
      <c r="P241" s="0" t="s">
        <v>1258</v>
      </c>
      <c r="Q241" s="66" t="s">
        <v>995</v>
      </c>
    </row>
    <row r="242" customFormat="false" ht="14.25" hidden="false" customHeight="false" outlineLevel="0" collapsed="false">
      <c r="A242" s="13" t="s">
        <v>685</v>
      </c>
      <c r="B242" s="13" t="s">
        <v>685</v>
      </c>
      <c r="C242" s="13" t="s">
        <v>391</v>
      </c>
      <c r="D242" s="61" t="n">
        <v>45964.3194444444</v>
      </c>
      <c r="E242" s="61" t="n">
        <v>45964.3194444444</v>
      </c>
      <c r="F242" s="61" t="n">
        <v>45964.625</v>
      </c>
      <c r="G242" s="62" t="n">
        <v>0.305555555554747</v>
      </c>
      <c r="H242" s="13" t="s">
        <v>248</v>
      </c>
      <c r="J242" s="13" t="s">
        <v>256</v>
      </c>
      <c r="K242" s="13" t="s">
        <v>430</v>
      </c>
      <c r="L242" s="13" t="s">
        <v>1254</v>
      </c>
      <c r="M242" s="66" t="s">
        <v>288</v>
      </c>
      <c r="N242" s="66" t="s">
        <v>289</v>
      </c>
      <c r="O242" s="66" t="s">
        <v>1255</v>
      </c>
      <c r="P242" s="0" t="s">
        <v>1259</v>
      </c>
      <c r="Q242" s="66" t="s">
        <v>995</v>
      </c>
    </row>
    <row r="243" customFormat="false" ht="14.25" hidden="false" customHeight="false" outlineLevel="0" collapsed="false">
      <c r="A243" s="13" t="s">
        <v>685</v>
      </c>
      <c r="B243" s="13" t="s">
        <v>685</v>
      </c>
      <c r="C243" s="13" t="s">
        <v>395</v>
      </c>
      <c r="D243" s="61" t="n">
        <v>45964.3194444444</v>
      </c>
      <c r="E243" s="61" t="n">
        <v>45964.3194444444</v>
      </c>
      <c r="F243" s="61" t="n">
        <v>45964.625</v>
      </c>
      <c r="G243" s="62" t="n">
        <v>0.305555555554747</v>
      </c>
      <c r="H243" s="13" t="s">
        <v>248</v>
      </c>
      <c r="J243" s="13" t="s">
        <v>256</v>
      </c>
      <c r="K243" s="13" t="s">
        <v>430</v>
      </c>
      <c r="L243" s="13" t="s">
        <v>1254</v>
      </c>
      <c r="M243" s="66" t="s">
        <v>288</v>
      </c>
      <c r="N243" s="66" t="s">
        <v>289</v>
      </c>
      <c r="O243" s="66" t="s">
        <v>1255</v>
      </c>
      <c r="P243" s="0" t="s">
        <v>1260</v>
      </c>
      <c r="Q243" s="66" t="s">
        <v>995</v>
      </c>
    </row>
    <row r="244" customFormat="false" ht="14.25" hidden="false" customHeight="false" outlineLevel="0" collapsed="false">
      <c r="A244" s="13" t="s">
        <v>688</v>
      </c>
      <c r="B244" s="13" t="s">
        <v>688</v>
      </c>
      <c r="C244" s="13" t="s">
        <v>689</v>
      </c>
      <c r="D244" s="61" t="n">
        <v>45964.3194444444</v>
      </c>
      <c r="E244" s="61" t="n">
        <v>45964.3194444444</v>
      </c>
      <c r="F244" s="61" t="n">
        <v>45964.625</v>
      </c>
      <c r="G244" s="62" t="n">
        <v>0.305555555554747</v>
      </c>
      <c r="H244" s="13" t="s">
        <v>248</v>
      </c>
      <c r="J244" s="13" t="s">
        <v>256</v>
      </c>
      <c r="K244" s="13" t="s">
        <v>430</v>
      </c>
      <c r="L244" s="13" t="s">
        <v>1254</v>
      </c>
      <c r="M244" s="66" t="s">
        <v>288</v>
      </c>
      <c r="N244" s="66" t="s">
        <v>289</v>
      </c>
      <c r="O244" s="66" t="s">
        <v>1255</v>
      </c>
      <c r="P244" s="0" t="s">
        <v>1261</v>
      </c>
      <c r="Q244" s="66" t="s">
        <v>995</v>
      </c>
    </row>
    <row r="245" customFormat="false" ht="14.25" hidden="false" customHeight="false" outlineLevel="0" collapsed="false">
      <c r="A245" s="13" t="s">
        <v>688</v>
      </c>
      <c r="B245" s="13" t="s">
        <v>688</v>
      </c>
      <c r="C245" s="13" t="s">
        <v>690</v>
      </c>
      <c r="D245" s="61" t="n">
        <v>45964.3194444444</v>
      </c>
      <c r="E245" s="61" t="n">
        <v>45964.3194444444</v>
      </c>
      <c r="F245" s="61" t="n">
        <v>45964.625</v>
      </c>
      <c r="G245" s="62" t="n">
        <v>0.305555555554747</v>
      </c>
      <c r="H245" s="13" t="s">
        <v>248</v>
      </c>
      <c r="J245" s="13" t="s">
        <v>256</v>
      </c>
      <c r="K245" s="13" t="s">
        <v>430</v>
      </c>
      <c r="L245" s="13" t="s">
        <v>1254</v>
      </c>
      <c r="M245" s="66" t="s">
        <v>288</v>
      </c>
      <c r="N245" s="66" t="s">
        <v>289</v>
      </c>
      <c r="O245" s="66" t="s">
        <v>1255</v>
      </c>
      <c r="P245" s="0" t="s">
        <v>1262</v>
      </c>
      <c r="Q245" s="66" t="s">
        <v>995</v>
      </c>
    </row>
    <row r="246" customFormat="false" ht="14.25" hidden="false" customHeight="false" outlineLevel="0" collapsed="false">
      <c r="A246" s="13" t="s">
        <v>688</v>
      </c>
      <c r="B246" s="13" t="s">
        <v>688</v>
      </c>
      <c r="C246" s="13" t="s">
        <v>277</v>
      </c>
      <c r="D246" s="61" t="n">
        <v>45964.3194444444</v>
      </c>
      <c r="E246" s="61" t="n">
        <v>45964.3194444444</v>
      </c>
      <c r="F246" s="61" t="n">
        <v>45964.625</v>
      </c>
      <c r="G246" s="62" t="n">
        <v>0.305555555554747</v>
      </c>
      <c r="H246" s="13" t="s">
        <v>248</v>
      </c>
      <c r="J246" s="13" t="s">
        <v>256</v>
      </c>
      <c r="K246" s="13" t="s">
        <v>430</v>
      </c>
      <c r="L246" s="13" t="s">
        <v>1254</v>
      </c>
      <c r="M246" s="66" t="s">
        <v>288</v>
      </c>
      <c r="N246" s="66" t="s">
        <v>289</v>
      </c>
      <c r="O246" s="66" t="s">
        <v>1255</v>
      </c>
      <c r="P246" s="0" t="s">
        <v>1263</v>
      </c>
      <c r="Q246" s="66" t="s">
        <v>995</v>
      </c>
    </row>
    <row r="247" customFormat="false" ht="14.25" hidden="false" customHeight="false" outlineLevel="0" collapsed="false">
      <c r="A247" s="13" t="s">
        <v>688</v>
      </c>
      <c r="B247" s="13" t="s">
        <v>688</v>
      </c>
      <c r="C247" s="13" t="s">
        <v>691</v>
      </c>
      <c r="D247" s="61" t="n">
        <v>45964.3194444444</v>
      </c>
      <c r="E247" s="61" t="n">
        <v>45964.3194444444</v>
      </c>
      <c r="F247" s="61" t="n">
        <v>45964.625</v>
      </c>
      <c r="G247" s="62" t="n">
        <v>0.305555555554747</v>
      </c>
      <c r="H247" s="13" t="s">
        <v>248</v>
      </c>
      <c r="J247" s="13" t="s">
        <v>256</v>
      </c>
      <c r="K247" s="13" t="s">
        <v>430</v>
      </c>
      <c r="L247" s="13" t="s">
        <v>1254</v>
      </c>
      <c r="M247" s="66" t="s">
        <v>288</v>
      </c>
      <c r="N247" s="66" t="s">
        <v>289</v>
      </c>
      <c r="O247" s="66" t="s">
        <v>1255</v>
      </c>
      <c r="P247" s="0" t="s">
        <v>1264</v>
      </c>
      <c r="Q247" s="66" t="s">
        <v>995</v>
      </c>
    </row>
    <row r="248" customFormat="false" ht="14.25" hidden="false" customHeight="false" outlineLevel="0" collapsed="false">
      <c r="A248" s="13" t="s">
        <v>688</v>
      </c>
      <c r="B248" s="13" t="s">
        <v>688</v>
      </c>
      <c r="C248" s="13" t="s">
        <v>255</v>
      </c>
      <c r="D248" s="61" t="n">
        <v>45964.3194444444</v>
      </c>
      <c r="E248" s="61" t="n">
        <v>45964.3194444444</v>
      </c>
      <c r="F248" s="61" t="n">
        <v>45964.625</v>
      </c>
      <c r="G248" s="62" t="n">
        <v>0.305555555554747</v>
      </c>
      <c r="H248" s="13" t="s">
        <v>248</v>
      </c>
      <c r="J248" s="13" t="s">
        <v>256</v>
      </c>
      <c r="K248" s="13" t="s">
        <v>430</v>
      </c>
      <c r="L248" s="13" t="s">
        <v>1254</v>
      </c>
      <c r="M248" s="66" t="s">
        <v>288</v>
      </c>
      <c r="N248" s="66" t="s">
        <v>289</v>
      </c>
      <c r="O248" s="66" t="s">
        <v>1255</v>
      </c>
      <c r="P248" s="0" t="s">
        <v>1265</v>
      </c>
      <c r="Q248" s="66" t="s">
        <v>995</v>
      </c>
    </row>
    <row r="249" customFormat="false" ht="14.25" hidden="false" customHeight="false" outlineLevel="0" collapsed="false">
      <c r="A249" s="13" t="s">
        <v>390</v>
      </c>
      <c r="B249" s="13" t="s">
        <v>390</v>
      </c>
      <c r="C249" s="13" t="s">
        <v>391</v>
      </c>
      <c r="D249" s="61" t="n">
        <v>45964.3194444444</v>
      </c>
      <c r="E249" s="61" t="n">
        <v>45964.3194444444</v>
      </c>
      <c r="F249" s="61" t="n">
        <v>45964.625</v>
      </c>
      <c r="G249" s="62" t="n">
        <v>0.305555555554747</v>
      </c>
      <c r="H249" s="13" t="s">
        <v>248</v>
      </c>
      <c r="J249" s="13" t="s">
        <v>256</v>
      </c>
      <c r="K249" s="13" t="s">
        <v>430</v>
      </c>
      <c r="L249" s="13" t="s">
        <v>1254</v>
      </c>
      <c r="M249" s="66" t="s">
        <v>288</v>
      </c>
      <c r="N249" s="66" t="s">
        <v>289</v>
      </c>
      <c r="O249" s="66" t="s">
        <v>1255</v>
      </c>
      <c r="P249" s="0" t="s">
        <v>1266</v>
      </c>
      <c r="Q249" s="66" t="s">
        <v>995</v>
      </c>
    </row>
    <row r="250" customFormat="false" ht="14.25" hidden="false" customHeight="false" outlineLevel="0" collapsed="false">
      <c r="A250" s="13" t="s">
        <v>390</v>
      </c>
      <c r="B250" s="13" t="s">
        <v>390</v>
      </c>
      <c r="C250" s="13" t="s">
        <v>394</v>
      </c>
      <c r="D250" s="61" t="n">
        <v>45964.3194444444</v>
      </c>
      <c r="E250" s="61" t="n">
        <v>45964.3194444444</v>
      </c>
      <c r="F250" s="61" t="n">
        <v>45964.625</v>
      </c>
      <c r="G250" s="62" t="n">
        <v>0.305555555554747</v>
      </c>
      <c r="H250" s="13" t="s">
        <v>248</v>
      </c>
      <c r="J250" s="13" t="s">
        <v>256</v>
      </c>
      <c r="K250" s="13" t="s">
        <v>430</v>
      </c>
      <c r="L250" s="13" t="s">
        <v>1254</v>
      </c>
      <c r="M250" s="66" t="s">
        <v>288</v>
      </c>
      <c r="N250" s="66" t="s">
        <v>289</v>
      </c>
      <c r="O250" s="66" t="s">
        <v>1255</v>
      </c>
      <c r="P250" s="0" t="s">
        <v>1267</v>
      </c>
      <c r="Q250" s="66" t="s">
        <v>995</v>
      </c>
    </row>
    <row r="251" customFormat="false" ht="14.25" hidden="false" customHeight="false" outlineLevel="0" collapsed="false">
      <c r="A251" s="13" t="s">
        <v>390</v>
      </c>
      <c r="B251" s="13" t="s">
        <v>390</v>
      </c>
      <c r="C251" s="13" t="s">
        <v>395</v>
      </c>
      <c r="D251" s="61" t="n">
        <v>45964.3194444444</v>
      </c>
      <c r="E251" s="61" t="n">
        <v>45964.3194444444</v>
      </c>
      <c r="F251" s="61" t="n">
        <v>45964.625</v>
      </c>
      <c r="G251" s="62" t="n">
        <v>0.305555555554747</v>
      </c>
      <c r="H251" s="13" t="s">
        <v>248</v>
      </c>
      <c r="J251" s="13" t="s">
        <v>256</v>
      </c>
      <c r="K251" s="13" t="s">
        <v>430</v>
      </c>
      <c r="L251" s="13" t="s">
        <v>1254</v>
      </c>
      <c r="M251" s="66" t="s">
        <v>288</v>
      </c>
      <c r="N251" s="66" t="s">
        <v>289</v>
      </c>
      <c r="O251" s="66" t="s">
        <v>1255</v>
      </c>
      <c r="P251" s="0" t="s">
        <v>1268</v>
      </c>
      <c r="Q251" s="66" t="s">
        <v>995</v>
      </c>
    </row>
    <row r="252" customFormat="false" ht="14.25" hidden="false" customHeight="false" outlineLevel="0" collapsed="false">
      <c r="A252" s="13" t="s">
        <v>390</v>
      </c>
      <c r="B252" s="13" t="s">
        <v>390</v>
      </c>
      <c r="C252" s="13" t="s">
        <v>396</v>
      </c>
      <c r="D252" s="61" t="n">
        <v>45964.3194444444</v>
      </c>
      <c r="E252" s="61" t="n">
        <v>45964.3194444444</v>
      </c>
      <c r="F252" s="61" t="n">
        <v>45964.625</v>
      </c>
      <c r="G252" s="62" t="n">
        <v>0.305555555554747</v>
      </c>
      <c r="H252" s="13" t="s">
        <v>248</v>
      </c>
      <c r="J252" s="13" t="s">
        <v>256</v>
      </c>
      <c r="K252" s="13" t="s">
        <v>430</v>
      </c>
      <c r="L252" s="13" t="s">
        <v>1254</v>
      </c>
      <c r="M252" s="66" t="s">
        <v>288</v>
      </c>
      <c r="N252" s="66" t="s">
        <v>289</v>
      </c>
      <c r="O252" s="66" t="s">
        <v>1255</v>
      </c>
      <c r="P252" s="0" t="s">
        <v>1269</v>
      </c>
      <c r="Q252" s="66" t="s">
        <v>995</v>
      </c>
    </row>
    <row r="253" customFormat="false" ht="14.25" hidden="false" customHeight="false" outlineLevel="0" collapsed="false">
      <c r="A253" s="13" t="s">
        <v>390</v>
      </c>
      <c r="B253" s="13" t="s">
        <v>390</v>
      </c>
      <c r="C253" s="13" t="s">
        <v>397</v>
      </c>
      <c r="D253" s="61" t="n">
        <v>45964.3194444444</v>
      </c>
      <c r="E253" s="61" t="n">
        <v>45964.3194444444</v>
      </c>
      <c r="F253" s="61" t="n">
        <v>45964.625</v>
      </c>
      <c r="G253" s="62" t="n">
        <v>0.305555555554747</v>
      </c>
      <c r="H253" s="13" t="s">
        <v>248</v>
      </c>
      <c r="J253" s="13" t="s">
        <v>256</v>
      </c>
      <c r="K253" s="13" t="s">
        <v>430</v>
      </c>
      <c r="L253" s="13" t="s">
        <v>1254</v>
      </c>
      <c r="M253" s="66" t="s">
        <v>288</v>
      </c>
      <c r="N253" s="66" t="s">
        <v>289</v>
      </c>
      <c r="O253" s="66" t="s">
        <v>1255</v>
      </c>
      <c r="P253" s="0" t="s">
        <v>1270</v>
      </c>
      <c r="Q253" s="66" t="s">
        <v>995</v>
      </c>
    </row>
    <row r="254" customFormat="false" ht="14.25" hidden="false" customHeight="false" outlineLevel="0" collapsed="false">
      <c r="A254" s="13" t="s">
        <v>692</v>
      </c>
      <c r="B254" s="13" t="s">
        <v>692</v>
      </c>
      <c r="C254" s="13" t="s">
        <v>693</v>
      </c>
      <c r="D254" s="61" t="n">
        <v>45964.3194444444</v>
      </c>
      <c r="E254" s="61" t="n">
        <v>45964.3194444444</v>
      </c>
      <c r="F254" s="61" t="n">
        <v>45964.625</v>
      </c>
      <c r="G254" s="62" t="n">
        <v>0.305555555554747</v>
      </c>
      <c r="H254" s="13" t="s">
        <v>248</v>
      </c>
      <c r="J254" s="13" t="s">
        <v>256</v>
      </c>
      <c r="K254" s="13" t="s">
        <v>430</v>
      </c>
      <c r="L254" s="13" t="s">
        <v>1254</v>
      </c>
      <c r="M254" s="66" t="s">
        <v>288</v>
      </c>
      <c r="N254" s="66" t="s">
        <v>289</v>
      </c>
      <c r="O254" s="66" t="s">
        <v>1255</v>
      </c>
      <c r="P254" s="0" t="s">
        <v>1271</v>
      </c>
      <c r="Q254" s="66" t="s">
        <v>995</v>
      </c>
    </row>
    <row r="255" customFormat="false" ht="14.25" hidden="false" customHeight="false" outlineLevel="0" collapsed="false">
      <c r="A255" s="13" t="s">
        <v>692</v>
      </c>
      <c r="B255" s="13" t="s">
        <v>692</v>
      </c>
      <c r="C255" s="13" t="s">
        <v>394</v>
      </c>
      <c r="D255" s="61" t="n">
        <v>45964.3194444444</v>
      </c>
      <c r="E255" s="61" t="n">
        <v>45964.3194444444</v>
      </c>
      <c r="F255" s="61" t="n">
        <v>45964.625</v>
      </c>
      <c r="G255" s="62" t="n">
        <v>0.305555555554747</v>
      </c>
      <c r="H255" s="13" t="s">
        <v>248</v>
      </c>
      <c r="J255" s="13" t="s">
        <v>256</v>
      </c>
      <c r="K255" s="13" t="s">
        <v>430</v>
      </c>
      <c r="L255" s="13" t="s">
        <v>1254</v>
      </c>
      <c r="M255" s="66" t="s">
        <v>288</v>
      </c>
      <c r="N255" s="66" t="s">
        <v>289</v>
      </c>
      <c r="O255" s="66" t="s">
        <v>1255</v>
      </c>
      <c r="P255" s="0" t="s">
        <v>1272</v>
      </c>
      <c r="Q255" s="66" t="s">
        <v>995</v>
      </c>
    </row>
    <row r="256" customFormat="false" ht="14.25" hidden="false" customHeight="false" outlineLevel="0" collapsed="false">
      <c r="A256" s="13" t="s">
        <v>692</v>
      </c>
      <c r="B256" s="13" t="s">
        <v>692</v>
      </c>
      <c r="C256" s="13" t="s">
        <v>397</v>
      </c>
      <c r="D256" s="61" t="n">
        <v>45964.3194444444</v>
      </c>
      <c r="E256" s="61" t="n">
        <v>45964.3194444444</v>
      </c>
      <c r="F256" s="61" t="n">
        <v>45964.625</v>
      </c>
      <c r="G256" s="62" t="n">
        <v>0.305555555554747</v>
      </c>
      <c r="H256" s="13" t="s">
        <v>248</v>
      </c>
      <c r="J256" s="13" t="s">
        <v>256</v>
      </c>
      <c r="K256" s="13" t="s">
        <v>430</v>
      </c>
      <c r="L256" s="13" t="s">
        <v>1254</v>
      </c>
      <c r="M256" s="66" t="s">
        <v>288</v>
      </c>
      <c r="N256" s="66" t="s">
        <v>289</v>
      </c>
      <c r="O256" s="66" t="s">
        <v>1255</v>
      </c>
      <c r="P256" s="0" t="s">
        <v>1273</v>
      </c>
      <c r="Q256" s="66" t="s">
        <v>995</v>
      </c>
    </row>
    <row r="257" customFormat="false" ht="14.25" hidden="false" customHeight="false" outlineLevel="0" collapsed="false">
      <c r="A257" s="13" t="s">
        <v>692</v>
      </c>
      <c r="B257" s="13" t="s">
        <v>692</v>
      </c>
      <c r="C257" s="13" t="s">
        <v>391</v>
      </c>
      <c r="D257" s="61" t="n">
        <v>45964.3194444444</v>
      </c>
      <c r="E257" s="61" t="n">
        <v>45964.3194444444</v>
      </c>
      <c r="F257" s="61" t="n">
        <v>45964.625</v>
      </c>
      <c r="G257" s="62" t="n">
        <v>0.305555555554747</v>
      </c>
      <c r="H257" s="13" t="s">
        <v>248</v>
      </c>
      <c r="J257" s="13" t="s">
        <v>256</v>
      </c>
      <c r="K257" s="13" t="s">
        <v>430</v>
      </c>
      <c r="L257" s="13" t="s">
        <v>1254</v>
      </c>
      <c r="M257" s="66" t="s">
        <v>288</v>
      </c>
      <c r="N257" s="66" t="s">
        <v>289</v>
      </c>
      <c r="O257" s="66" t="s">
        <v>1255</v>
      </c>
      <c r="P257" s="0" t="s">
        <v>1274</v>
      </c>
      <c r="Q257" s="66" t="s">
        <v>995</v>
      </c>
    </row>
    <row r="258" customFormat="false" ht="14.25" hidden="false" customHeight="false" outlineLevel="0" collapsed="false">
      <c r="A258" s="13" t="s">
        <v>692</v>
      </c>
      <c r="B258" s="13" t="s">
        <v>692</v>
      </c>
      <c r="C258" s="13" t="s">
        <v>395</v>
      </c>
      <c r="D258" s="61" t="n">
        <v>45964.3194444444</v>
      </c>
      <c r="E258" s="61" t="n">
        <v>45964.3194444444</v>
      </c>
      <c r="F258" s="61" t="n">
        <v>45964.625</v>
      </c>
      <c r="G258" s="62" t="n">
        <v>0.305555555554747</v>
      </c>
      <c r="H258" s="13" t="s">
        <v>248</v>
      </c>
      <c r="J258" s="13" t="s">
        <v>256</v>
      </c>
      <c r="K258" s="13" t="s">
        <v>430</v>
      </c>
      <c r="L258" s="13" t="s">
        <v>1254</v>
      </c>
      <c r="M258" s="66" t="s">
        <v>288</v>
      </c>
      <c r="N258" s="66" t="s">
        <v>289</v>
      </c>
      <c r="O258" s="66" t="s">
        <v>1255</v>
      </c>
      <c r="P258" s="0" t="s">
        <v>1275</v>
      </c>
      <c r="Q258" s="66" t="s">
        <v>995</v>
      </c>
    </row>
    <row r="259" customFormat="false" ht="14.25" hidden="false" customHeight="false" outlineLevel="0" collapsed="false">
      <c r="A259" s="13" t="s">
        <v>694</v>
      </c>
      <c r="B259" s="13" t="s">
        <v>694</v>
      </c>
      <c r="C259" s="13" t="s">
        <v>395</v>
      </c>
      <c r="D259" s="61" t="n">
        <v>45964.3194444444</v>
      </c>
      <c r="E259" s="61" t="n">
        <v>45964.3194444444</v>
      </c>
      <c r="F259" s="61" t="n">
        <v>45964.625</v>
      </c>
      <c r="G259" s="62" t="n">
        <v>0.305555555554747</v>
      </c>
      <c r="H259" s="13" t="s">
        <v>248</v>
      </c>
      <c r="J259" s="13" t="s">
        <v>256</v>
      </c>
      <c r="K259" s="13" t="s">
        <v>430</v>
      </c>
      <c r="L259" s="13" t="s">
        <v>1254</v>
      </c>
      <c r="M259" s="66" t="s">
        <v>288</v>
      </c>
      <c r="N259" s="66" t="s">
        <v>289</v>
      </c>
      <c r="O259" s="66" t="s">
        <v>1255</v>
      </c>
      <c r="P259" s="0" t="s">
        <v>1276</v>
      </c>
      <c r="Q259" s="66" t="s">
        <v>995</v>
      </c>
    </row>
    <row r="260" customFormat="false" ht="14.25" hidden="false" customHeight="false" outlineLevel="0" collapsed="false">
      <c r="A260" s="13" t="s">
        <v>694</v>
      </c>
      <c r="B260" s="13" t="s">
        <v>694</v>
      </c>
      <c r="C260" s="13" t="s">
        <v>255</v>
      </c>
      <c r="D260" s="61" t="n">
        <v>45964.3194444444</v>
      </c>
      <c r="E260" s="61" t="n">
        <v>45964.3194444444</v>
      </c>
      <c r="F260" s="61" t="n">
        <v>45964.625</v>
      </c>
      <c r="G260" s="62" t="n">
        <v>0.305555555554747</v>
      </c>
      <c r="H260" s="13" t="s">
        <v>248</v>
      </c>
      <c r="J260" s="13" t="s">
        <v>256</v>
      </c>
      <c r="K260" s="13" t="s">
        <v>430</v>
      </c>
      <c r="L260" s="13" t="s">
        <v>1254</v>
      </c>
      <c r="M260" s="66" t="s">
        <v>288</v>
      </c>
      <c r="N260" s="66" t="s">
        <v>289</v>
      </c>
      <c r="O260" s="66" t="s">
        <v>1255</v>
      </c>
      <c r="P260" s="0" t="s">
        <v>1277</v>
      </c>
      <c r="Q260" s="66" t="s">
        <v>995</v>
      </c>
    </row>
    <row r="261" customFormat="false" ht="14.25" hidden="false" customHeight="false" outlineLevel="0" collapsed="false">
      <c r="A261" s="13" t="s">
        <v>694</v>
      </c>
      <c r="B261" s="13" t="s">
        <v>694</v>
      </c>
      <c r="C261" s="13" t="s">
        <v>397</v>
      </c>
      <c r="D261" s="61" t="n">
        <v>45964.3194444444</v>
      </c>
      <c r="E261" s="61" t="n">
        <v>45964.3194444444</v>
      </c>
      <c r="F261" s="61" t="n">
        <v>45964.625</v>
      </c>
      <c r="G261" s="62" t="n">
        <v>0.305555555554747</v>
      </c>
      <c r="H261" s="13" t="s">
        <v>248</v>
      </c>
      <c r="J261" s="13" t="s">
        <v>256</v>
      </c>
      <c r="K261" s="13" t="s">
        <v>430</v>
      </c>
      <c r="L261" s="13" t="s">
        <v>1254</v>
      </c>
      <c r="M261" s="66" t="s">
        <v>288</v>
      </c>
      <c r="N261" s="66" t="s">
        <v>289</v>
      </c>
      <c r="O261" s="66" t="s">
        <v>1255</v>
      </c>
      <c r="P261" s="0" t="s">
        <v>1278</v>
      </c>
      <c r="Q261" s="66" t="s">
        <v>995</v>
      </c>
    </row>
    <row r="262" customFormat="false" ht="14.25" hidden="false" customHeight="false" outlineLevel="0" collapsed="false">
      <c r="A262" s="13" t="s">
        <v>694</v>
      </c>
      <c r="B262" s="13" t="s">
        <v>694</v>
      </c>
      <c r="C262" s="13" t="s">
        <v>396</v>
      </c>
      <c r="D262" s="61" t="n">
        <v>45964.3194444444</v>
      </c>
      <c r="E262" s="61" t="n">
        <v>45964.3194444444</v>
      </c>
      <c r="F262" s="61" t="n">
        <v>45964.625</v>
      </c>
      <c r="G262" s="62" t="n">
        <v>0.305555555554747</v>
      </c>
      <c r="H262" s="13" t="s">
        <v>248</v>
      </c>
      <c r="J262" s="13" t="s">
        <v>256</v>
      </c>
      <c r="K262" s="13" t="s">
        <v>430</v>
      </c>
      <c r="L262" s="13" t="s">
        <v>1254</v>
      </c>
      <c r="M262" s="66" t="s">
        <v>288</v>
      </c>
      <c r="N262" s="66" t="s">
        <v>289</v>
      </c>
      <c r="O262" s="66" t="s">
        <v>1255</v>
      </c>
      <c r="P262" s="0" t="s">
        <v>1279</v>
      </c>
      <c r="Q262" s="66" t="s">
        <v>995</v>
      </c>
    </row>
    <row r="263" customFormat="false" ht="14.25" hidden="false" customHeight="false" outlineLevel="0" collapsed="false">
      <c r="A263" s="13" t="s">
        <v>694</v>
      </c>
      <c r="B263" s="13" t="s">
        <v>694</v>
      </c>
      <c r="C263" s="13" t="s">
        <v>280</v>
      </c>
      <c r="D263" s="61" t="n">
        <v>45964.3194444444</v>
      </c>
      <c r="E263" s="61" t="n">
        <v>45964.3194444444</v>
      </c>
      <c r="F263" s="61" t="n">
        <v>45964.625</v>
      </c>
      <c r="G263" s="62" t="n">
        <v>0.305555555554747</v>
      </c>
      <c r="H263" s="13" t="s">
        <v>248</v>
      </c>
      <c r="J263" s="13" t="s">
        <v>256</v>
      </c>
      <c r="K263" s="13" t="s">
        <v>430</v>
      </c>
      <c r="L263" s="13" t="s">
        <v>1254</v>
      </c>
      <c r="M263" s="66" t="s">
        <v>288</v>
      </c>
      <c r="N263" s="66" t="s">
        <v>289</v>
      </c>
      <c r="O263" s="66" t="s">
        <v>1255</v>
      </c>
      <c r="P263" s="0" t="s">
        <v>1280</v>
      </c>
      <c r="Q263" s="66" t="s">
        <v>995</v>
      </c>
    </row>
    <row r="264" customFormat="false" ht="14.25" hidden="false" customHeight="false" outlineLevel="0" collapsed="false">
      <c r="A264" s="13" t="s">
        <v>878</v>
      </c>
      <c r="B264" s="13" t="s">
        <v>504</v>
      </c>
      <c r="C264" s="13" t="s">
        <v>1250</v>
      </c>
      <c r="D264" s="61" t="n">
        <v>45964.3267708333</v>
      </c>
      <c r="E264" s="61" t="n">
        <v>45964.3267708333</v>
      </c>
      <c r="F264" s="61" t="n">
        <v>45964.3337152778</v>
      </c>
      <c r="G264" s="62" t="n">
        <v>0.00694444443797693</v>
      </c>
      <c r="H264" s="13" t="s">
        <v>248</v>
      </c>
      <c r="J264" s="13" t="s">
        <v>249</v>
      </c>
      <c r="K264" s="13" t="s">
        <v>439</v>
      </c>
      <c r="L264" s="13" t="s">
        <v>1251</v>
      </c>
      <c r="M264" s="66" t="s">
        <v>251</v>
      </c>
      <c r="N264" s="66" t="s">
        <v>625</v>
      </c>
      <c r="P264" s="0" t="s">
        <v>1281</v>
      </c>
      <c r="Q264" s="66" t="s">
        <v>1253</v>
      </c>
    </row>
    <row r="265" customFormat="false" ht="14.25" hidden="false" customHeight="false" outlineLevel="0" collapsed="false">
      <c r="A265" s="13" t="s">
        <v>276</v>
      </c>
      <c r="B265" s="13" t="s">
        <v>276</v>
      </c>
      <c r="C265" s="13" t="s">
        <v>247</v>
      </c>
      <c r="D265" s="61" t="n">
        <v>45964.3847222222</v>
      </c>
      <c r="E265" s="61" t="n">
        <v>45964.3847222222</v>
      </c>
      <c r="F265" s="61" t="n">
        <v>45965.2395833333</v>
      </c>
      <c r="G265" s="62" t="n">
        <v>0.854861111110949</v>
      </c>
      <c r="H265" s="13" t="s">
        <v>248</v>
      </c>
      <c r="J265" s="13" t="s">
        <v>256</v>
      </c>
      <c r="K265" s="13" t="s">
        <v>430</v>
      </c>
      <c r="L265" s="13" t="s">
        <v>1072</v>
      </c>
      <c r="M265" s="66" t="s">
        <v>258</v>
      </c>
      <c r="N265" s="66" t="s">
        <v>379</v>
      </c>
      <c r="O265" s="66" t="s">
        <v>790</v>
      </c>
      <c r="P265" s="0" t="s">
        <v>1282</v>
      </c>
      <c r="Q265" s="66" t="s">
        <v>995</v>
      </c>
    </row>
    <row r="266" customFormat="false" ht="14.25" hidden="false" customHeight="false" outlineLevel="0" collapsed="false">
      <c r="A266" s="13" t="s">
        <v>276</v>
      </c>
      <c r="B266" s="13" t="s">
        <v>276</v>
      </c>
      <c r="C266" s="13" t="s">
        <v>277</v>
      </c>
      <c r="D266" s="61" t="n">
        <v>45964.3847222222</v>
      </c>
      <c r="E266" s="61" t="n">
        <v>45964.3847222222</v>
      </c>
      <c r="F266" s="61" t="n">
        <v>45965.2395833333</v>
      </c>
      <c r="G266" s="62" t="n">
        <v>0.854861111110949</v>
      </c>
      <c r="H266" s="13" t="s">
        <v>248</v>
      </c>
      <c r="J266" s="13" t="s">
        <v>256</v>
      </c>
      <c r="K266" s="13" t="s">
        <v>430</v>
      </c>
      <c r="L266" s="13" t="s">
        <v>1072</v>
      </c>
      <c r="M266" s="66" t="s">
        <v>258</v>
      </c>
      <c r="N266" s="66" t="s">
        <v>379</v>
      </c>
      <c r="O266" s="66" t="s">
        <v>790</v>
      </c>
      <c r="P266" s="0" t="s">
        <v>1283</v>
      </c>
      <c r="Q266" s="66" t="s">
        <v>995</v>
      </c>
    </row>
    <row r="267" customFormat="false" ht="14.25" hidden="false" customHeight="false" outlineLevel="0" collapsed="false">
      <c r="A267" s="13" t="s">
        <v>276</v>
      </c>
      <c r="B267" s="13" t="s">
        <v>276</v>
      </c>
      <c r="C267" s="13" t="s">
        <v>279</v>
      </c>
      <c r="D267" s="61" t="n">
        <v>45964.3847222222</v>
      </c>
      <c r="E267" s="61" t="n">
        <v>45964.3847222222</v>
      </c>
      <c r="F267" s="61" t="n">
        <v>45965.2395833333</v>
      </c>
      <c r="G267" s="62" t="n">
        <v>0.854861111110949</v>
      </c>
      <c r="H267" s="13" t="s">
        <v>248</v>
      </c>
      <c r="J267" s="13" t="s">
        <v>256</v>
      </c>
      <c r="K267" s="13" t="s">
        <v>430</v>
      </c>
      <c r="L267" s="13" t="s">
        <v>1072</v>
      </c>
      <c r="M267" s="66" t="s">
        <v>258</v>
      </c>
      <c r="N267" s="66" t="s">
        <v>379</v>
      </c>
      <c r="O267" s="66" t="s">
        <v>790</v>
      </c>
      <c r="P267" s="0" t="s">
        <v>1284</v>
      </c>
      <c r="Q267" s="66" t="s">
        <v>995</v>
      </c>
    </row>
    <row r="268" customFormat="false" ht="14.25" hidden="false" customHeight="false" outlineLevel="0" collapsed="false">
      <c r="A268" s="13" t="s">
        <v>276</v>
      </c>
      <c r="B268" s="13" t="s">
        <v>276</v>
      </c>
      <c r="C268" s="13" t="s">
        <v>280</v>
      </c>
      <c r="D268" s="61" t="n">
        <v>45964.3847222222</v>
      </c>
      <c r="E268" s="61" t="n">
        <v>45964.3847222222</v>
      </c>
      <c r="F268" s="61" t="n">
        <v>45965.2395833333</v>
      </c>
      <c r="G268" s="62" t="n">
        <v>0.854861111110949</v>
      </c>
      <c r="H268" s="13" t="s">
        <v>248</v>
      </c>
      <c r="J268" s="13" t="s">
        <v>256</v>
      </c>
      <c r="K268" s="13" t="s">
        <v>430</v>
      </c>
      <c r="L268" s="13" t="s">
        <v>1072</v>
      </c>
      <c r="M268" s="66" t="s">
        <v>258</v>
      </c>
      <c r="N268" s="66" t="s">
        <v>379</v>
      </c>
      <c r="O268" s="66" t="s">
        <v>790</v>
      </c>
      <c r="P268" s="0" t="s">
        <v>1285</v>
      </c>
      <c r="Q268" s="66" t="s">
        <v>995</v>
      </c>
    </row>
    <row r="269" customFormat="false" ht="14.25" hidden="false" customHeight="false" outlineLevel="0" collapsed="false">
      <c r="A269" s="13" t="s">
        <v>386</v>
      </c>
      <c r="B269" s="13" t="s">
        <v>386</v>
      </c>
      <c r="C269" s="13" t="s">
        <v>279</v>
      </c>
      <c r="D269" s="61" t="n">
        <v>45964.3847222222</v>
      </c>
      <c r="E269" s="61" t="n">
        <v>45964.3847222222</v>
      </c>
      <c r="F269" s="61" t="n">
        <v>45965.2395833333</v>
      </c>
      <c r="G269" s="62" t="n">
        <v>0.854861111110949</v>
      </c>
      <c r="H269" s="13" t="s">
        <v>248</v>
      </c>
      <c r="J269" s="13" t="s">
        <v>256</v>
      </c>
      <c r="K269" s="13" t="s">
        <v>430</v>
      </c>
      <c r="L269" s="13" t="s">
        <v>1072</v>
      </c>
      <c r="M269" s="66" t="s">
        <v>258</v>
      </c>
      <c r="N269" s="66" t="s">
        <v>379</v>
      </c>
      <c r="O269" s="66" t="s">
        <v>790</v>
      </c>
      <c r="P269" s="0" t="s">
        <v>1286</v>
      </c>
      <c r="Q269" s="66" t="s">
        <v>995</v>
      </c>
    </row>
    <row r="270" customFormat="false" ht="14.25" hidden="false" customHeight="false" outlineLevel="0" collapsed="false">
      <c r="A270" s="13" t="s">
        <v>386</v>
      </c>
      <c r="B270" s="13" t="s">
        <v>386</v>
      </c>
      <c r="C270" s="13" t="s">
        <v>247</v>
      </c>
      <c r="D270" s="61" t="n">
        <v>45964.3847222222</v>
      </c>
      <c r="E270" s="61" t="n">
        <v>45964.3847222222</v>
      </c>
      <c r="F270" s="61" t="n">
        <v>45965.2395833333</v>
      </c>
      <c r="G270" s="62" t="n">
        <v>0.854861111110949</v>
      </c>
      <c r="H270" s="13" t="s">
        <v>248</v>
      </c>
      <c r="J270" s="13" t="s">
        <v>256</v>
      </c>
      <c r="K270" s="13" t="s">
        <v>430</v>
      </c>
      <c r="L270" s="13" t="s">
        <v>1072</v>
      </c>
      <c r="M270" s="66" t="s">
        <v>258</v>
      </c>
      <c r="N270" s="66" t="s">
        <v>379</v>
      </c>
      <c r="O270" s="66" t="s">
        <v>790</v>
      </c>
      <c r="P270" s="0" t="s">
        <v>1287</v>
      </c>
      <c r="Q270" s="66" t="s">
        <v>995</v>
      </c>
    </row>
    <row r="271" customFormat="false" ht="14.25" hidden="false" customHeight="false" outlineLevel="0" collapsed="false">
      <c r="A271" s="13" t="s">
        <v>386</v>
      </c>
      <c r="B271" s="13" t="s">
        <v>386</v>
      </c>
      <c r="C271" s="13" t="s">
        <v>280</v>
      </c>
      <c r="D271" s="61" t="n">
        <v>45964.3847222222</v>
      </c>
      <c r="E271" s="61" t="n">
        <v>45964.3847222222</v>
      </c>
      <c r="F271" s="61" t="n">
        <v>45965.2395833333</v>
      </c>
      <c r="G271" s="62" t="n">
        <v>0.854861111110949</v>
      </c>
      <c r="H271" s="13" t="s">
        <v>248</v>
      </c>
      <c r="J271" s="13" t="s">
        <v>256</v>
      </c>
      <c r="K271" s="13" t="s">
        <v>430</v>
      </c>
      <c r="L271" s="13" t="s">
        <v>1072</v>
      </c>
      <c r="M271" s="66" t="s">
        <v>258</v>
      </c>
      <c r="N271" s="66" t="s">
        <v>379</v>
      </c>
      <c r="O271" s="66" t="s">
        <v>790</v>
      </c>
      <c r="P271" s="0" t="s">
        <v>1288</v>
      </c>
      <c r="Q271" s="66" t="s">
        <v>995</v>
      </c>
    </row>
    <row r="272" customFormat="false" ht="14.25" hidden="false" customHeight="false" outlineLevel="0" collapsed="false">
      <c r="A272" s="13" t="s">
        <v>386</v>
      </c>
      <c r="B272" s="13" t="s">
        <v>386</v>
      </c>
      <c r="C272" s="13" t="s">
        <v>277</v>
      </c>
      <c r="D272" s="61" t="n">
        <v>45964.3847222222</v>
      </c>
      <c r="E272" s="61" t="n">
        <v>45964.3847222222</v>
      </c>
      <c r="F272" s="61" t="n">
        <v>45965.2395833333</v>
      </c>
      <c r="G272" s="62" t="n">
        <v>0.854861111110949</v>
      </c>
      <c r="H272" s="13" t="s">
        <v>248</v>
      </c>
      <c r="J272" s="13" t="s">
        <v>256</v>
      </c>
      <c r="K272" s="13" t="s">
        <v>430</v>
      </c>
      <c r="L272" s="13" t="s">
        <v>1072</v>
      </c>
      <c r="M272" s="66" t="s">
        <v>258</v>
      </c>
      <c r="N272" s="66" t="s">
        <v>379</v>
      </c>
      <c r="O272" s="66" t="s">
        <v>790</v>
      </c>
      <c r="P272" s="0" t="s">
        <v>1289</v>
      </c>
      <c r="Q272" s="66" t="s">
        <v>995</v>
      </c>
    </row>
    <row r="273" customFormat="false" ht="14.25" hidden="false" customHeight="false" outlineLevel="0" collapsed="false">
      <c r="A273" s="13" t="s">
        <v>816</v>
      </c>
      <c r="B273" s="13" t="s">
        <v>581</v>
      </c>
      <c r="C273" s="13" t="s">
        <v>586</v>
      </c>
      <c r="D273" s="61" t="n">
        <v>45964.3861111111</v>
      </c>
      <c r="E273" s="61" t="n">
        <v>45964.3861111111</v>
      </c>
      <c r="F273" s="61" t="n">
        <v>45964.4368055556</v>
      </c>
      <c r="G273" s="62" t="n">
        <v>0.0506944444423425</v>
      </c>
      <c r="H273" s="13" t="s">
        <v>248</v>
      </c>
      <c r="J273" s="13" t="s">
        <v>256</v>
      </c>
      <c r="K273" s="13" t="s">
        <v>430</v>
      </c>
      <c r="L273" s="13" t="s">
        <v>786</v>
      </c>
      <c r="M273" s="66" t="s">
        <v>787</v>
      </c>
      <c r="N273" s="66" t="s">
        <v>379</v>
      </c>
      <c r="O273" s="66" t="s">
        <v>736</v>
      </c>
      <c r="P273" s="0" t="s">
        <v>1290</v>
      </c>
      <c r="Q273" s="66" t="s">
        <v>995</v>
      </c>
    </row>
    <row r="274" customFormat="false" ht="14.25" hidden="false" customHeight="false" outlineLevel="0" collapsed="false">
      <c r="A274" s="13" t="s">
        <v>816</v>
      </c>
      <c r="B274" s="13" t="s">
        <v>581</v>
      </c>
      <c r="C274" s="13" t="s">
        <v>737</v>
      </c>
      <c r="D274" s="61" t="n">
        <v>45964.3861111111</v>
      </c>
      <c r="E274" s="61" t="n">
        <v>45964.3861111111</v>
      </c>
      <c r="F274" s="61" t="n">
        <v>45964.4368055556</v>
      </c>
      <c r="G274" s="62" t="n">
        <v>0.0506944444423425</v>
      </c>
      <c r="H274" s="13" t="s">
        <v>248</v>
      </c>
      <c r="J274" s="13" t="s">
        <v>256</v>
      </c>
      <c r="K274" s="13" t="s">
        <v>430</v>
      </c>
      <c r="L274" s="13" t="s">
        <v>786</v>
      </c>
      <c r="M274" s="66" t="s">
        <v>787</v>
      </c>
      <c r="N274" s="66" t="s">
        <v>379</v>
      </c>
      <c r="O274" s="66" t="s">
        <v>736</v>
      </c>
      <c r="P274" s="0" t="s">
        <v>1291</v>
      </c>
      <c r="Q274" s="66" t="s">
        <v>995</v>
      </c>
    </row>
    <row r="275" customFormat="false" ht="14.25" hidden="false" customHeight="false" outlineLevel="0" collapsed="false">
      <c r="A275" s="13" t="s">
        <v>816</v>
      </c>
      <c r="B275" s="13" t="s">
        <v>581</v>
      </c>
      <c r="C275" s="13" t="s">
        <v>582</v>
      </c>
      <c r="D275" s="61" t="n">
        <v>45964.3861111111</v>
      </c>
      <c r="E275" s="61" t="n">
        <v>45964.3861111111</v>
      </c>
      <c r="F275" s="61" t="n">
        <v>45964.4368055556</v>
      </c>
      <c r="G275" s="62" t="n">
        <v>0.0506944444423425</v>
      </c>
      <c r="H275" s="13" t="s">
        <v>248</v>
      </c>
      <c r="J275" s="13" t="s">
        <v>256</v>
      </c>
      <c r="K275" s="13" t="s">
        <v>430</v>
      </c>
      <c r="L275" s="13" t="s">
        <v>786</v>
      </c>
      <c r="M275" s="66" t="s">
        <v>787</v>
      </c>
      <c r="N275" s="66" t="s">
        <v>379</v>
      </c>
      <c r="O275" s="66" t="s">
        <v>736</v>
      </c>
      <c r="P275" s="0" t="s">
        <v>1292</v>
      </c>
      <c r="Q275" s="66" t="s">
        <v>995</v>
      </c>
    </row>
    <row r="276" customFormat="false" ht="14.25" hidden="false" customHeight="false" outlineLevel="0" collapsed="false">
      <c r="A276" s="13" t="s">
        <v>816</v>
      </c>
      <c r="B276" s="13" t="s">
        <v>581</v>
      </c>
      <c r="C276" s="13" t="s">
        <v>594</v>
      </c>
      <c r="D276" s="61" t="n">
        <v>45964.3861111111</v>
      </c>
      <c r="E276" s="61" t="n">
        <v>45964.3861111111</v>
      </c>
      <c r="F276" s="61" t="n">
        <v>45964.4368055556</v>
      </c>
      <c r="G276" s="62" t="n">
        <v>0.0506944444423425</v>
      </c>
      <c r="H276" s="13" t="s">
        <v>248</v>
      </c>
      <c r="J276" s="13" t="s">
        <v>256</v>
      </c>
      <c r="K276" s="13" t="s">
        <v>430</v>
      </c>
      <c r="L276" s="13" t="s">
        <v>786</v>
      </c>
      <c r="M276" s="66" t="s">
        <v>787</v>
      </c>
      <c r="N276" s="66" t="s">
        <v>379</v>
      </c>
      <c r="O276" s="66" t="s">
        <v>736</v>
      </c>
      <c r="P276" s="0" t="s">
        <v>1293</v>
      </c>
      <c r="Q276" s="66" t="s">
        <v>995</v>
      </c>
    </row>
    <row r="277" customFormat="false" ht="14.25" hidden="false" customHeight="false" outlineLevel="0" collapsed="false">
      <c r="A277" s="13" t="s">
        <v>816</v>
      </c>
      <c r="B277" s="13" t="s">
        <v>581</v>
      </c>
      <c r="C277" s="13" t="s">
        <v>596</v>
      </c>
      <c r="D277" s="61" t="n">
        <v>45964.3861111111</v>
      </c>
      <c r="E277" s="61" t="n">
        <v>45964.3861111111</v>
      </c>
      <c r="F277" s="61" t="n">
        <v>45964.4368055556</v>
      </c>
      <c r="G277" s="62" t="n">
        <v>0.0506944444423425</v>
      </c>
      <c r="H277" s="13" t="s">
        <v>248</v>
      </c>
      <c r="J277" s="13" t="s">
        <v>256</v>
      </c>
      <c r="K277" s="13" t="s">
        <v>430</v>
      </c>
      <c r="L277" s="13" t="s">
        <v>786</v>
      </c>
      <c r="M277" s="66" t="s">
        <v>787</v>
      </c>
      <c r="N277" s="66" t="s">
        <v>379</v>
      </c>
      <c r="O277" s="66" t="s">
        <v>736</v>
      </c>
      <c r="P277" s="0" t="s">
        <v>1294</v>
      </c>
      <c r="Q277" s="66" t="s">
        <v>995</v>
      </c>
    </row>
    <row r="278" customFormat="false" ht="14.25" hidden="false" customHeight="false" outlineLevel="0" collapsed="false">
      <c r="A278" s="13" t="s">
        <v>816</v>
      </c>
      <c r="B278" s="13" t="s">
        <v>581</v>
      </c>
      <c r="C278" s="13" t="s">
        <v>592</v>
      </c>
      <c r="D278" s="61" t="n">
        <v>45964.3861111111</v>
      </c>
      <c r="E278" s="61" t="n">
        <v>45964.3861111111</v>
      </c>
      <c r="F278" s="61" t="n">
        <v>45964.4368055556</v>
      </c>
      <c r="G278" s="62" t="n">
        <v>0.0506944444423425</v>
      </c>
      <c r="H278" s="13" t="s">
        <v>248</v>
      </c>
      <c r="J278" s="13" t="s">
        <v>256</v>
      </c>
      <c r="K278" s="13" t="s">
        <v>430</v>
      </c>
      <c r="L278" s="13" t="s">
        <v>786</v>
      </c>
      <c r="M278" s="66" t="s">
        <v>787</v>
      </c>
      <c r="N278" s="66" t="s">
        <v>379</v>
      </c>
      <c r="O278" s="66" t="s">
        <v>736</v>
      </c>
      <c r="P278" s="0" t="s">
        <v>1295</v>
      </c>
      <c r="Q278" s="66" t="s">
        <v>995</v>
      </c>
    </row>
    <row r="279" customFormat="false" ht="14.25" hidden="false" customHeight="false" outlineLevel="0" collapsed="false">
      <c r="A279" s="13" t="s">
        <v>816</v>
      </c>
      <c r="B279" s="13" t="s">
        <v>581</v>
      </c>
      <c r="C279" s="13" t="s">
        <v>595</v>
      </c>
      <c r="D279" s="61" t="n">
        <v>45964.3861111111</v>
      </c>
      <c r="E279" s="61" t="n">
        <v>45964.3861111111</v>
      </c>
      <c r="F279" s="61" t="n">
        <v>45964.4368055556</v>
      </c>
      <c r="G279" s="62" t="n">
        <v>0.0506944444423425</v>
      </c>
      <c r="H279" s="13" t="s">
        <v>248</v>
      </c>
      <c r="J279" s="13" t="s">
        <v>256</v>
      </c>
      <c r="K279" s="13" t="s">
        <v>430</v>
      </c>
      <c r="L279" s="13" t="s">
        <v>786</v>
      </c>
      <c r="M279" s="66" t="s">
        <v>787</v>
      </c>
      <c r="N279" s="66" t="s">
        <v>379</v>
      </c>
      <c r="O279" s="66" t="s">
        <v>736</v>
      </c>
      <c r="P279" s="0" t="s">
        <v>1296</v>
      </c>
      <c r="Q279" s="66" t="s">
        <v>995</v>
      </c>
    </row>
    <row r="280" customFormat="false" ht="14.25" hidden="false" customHeight="false" outlineLevel="0" collapsed="false">
      <c r="A280" s="13" t="s">
        <v>816</v>
      </c>
      <c r="B280" s="13" t="s">
        <v>581</v>
      </c>
      <c r="C280" s="13" t="s">
        <v>599</v>
      </c>
      <c r="D280" s="61" t="n">
        <v>45964.3861111111</v>
      </c>
      <c r="E280" s="61" t="n">
        <v>45964.3861111111</v>
      </c>
      <c r="F280" s="61" t="n">
        <v>45964.4368055556</v>
      </c>
      <c r="G280" s="62" t="n">
        <v>0.0506944444423425</v>
      </c>
      <c r="H280" s="13" t="s">
        <v>248</v>
      </c>
      <c r="J280" s="13" t="s">
        <v>256</v>
      </c>
      <c r="K280" s="13" t="s">
        <v>430</v>
      </c>
      <c r="L280" s="13" t="s">
        <v>786</v>
      </c>
      <c r="M280" s="66" t="s">
        <v>787</v>
      </c>
      <c r="N280" s="66" t="s">
        <v>379</v>
      </c>
      <c r="O280" s="66" t="s">
        <v>736</v>
      </c>
      <c r="P280" s="0" t="s">
        <v>1297</v>
      </c>
      <c r="Q280" s="66" t="s">
        <v>995</v>
      </c>
    </row>
    <row r="281" customFormat="false" ht="14.25" hidden="false" customHeight="false" outlineLevel="0" collapsed="false">
      <c r="A281" s="13" t="s">
        <v>816</v>
      </c>
      <c r="B281" s="13" t="s">
        <v>581</v>
      </c>
      <c r="C281" s="13" t="s">
        <v>584</v>
      </c>
      <c r="D281" s="61" t="n">
        <v>45964.3861111111</v>
      </c>
      <c r="E281" s="61" t="n">
        <v>45964.3861111111</v>
      </c>
      <c r="F281" s="61" t="n">
        <v>45964.4368055556</v>
      </c>
      <c r="G281" s="62" t="n">
        <v>0.0506944444423425</v>
      </c>
      <c r="H281" s="13" t="s">
        <v>248</v>
      </c>
      <c r="J281" s="13" t="s">
        <v>256</v>
      </c>
      <c r="K281" s="13" t="s">
        <v>430</v>
      </c>
      <c r="L281" s="13" t="s">
        <v>786</v>
      </c>
      <c r="M281" s="66" t="s">
        <v>787</v>
      </c>
      <c r="N281" s="66" t="s">
        <v>379</v>
      </c>
      <c r="O281" s="66" t="s">
        <v>736</v>
      </c>
      <c r="P281" s="0" t="s">
        <v>1298</v>
      </c>
      <c r="Q281" s="66" t="s">
        <v>995</v>
      </c>
    </row>
    <row r="282" customFormat="false" ht="14.25" hidden="false" customHeight="false" outlineLevel="0" collapsed="false">
      <c r="A282" s="13" t="s">
        <v>816</v>
      </c>
      <c r="B282" s="13" t="s">
        <v>581</v>
      </c>
      <c r="C282" s="13" t="s">
        <v>590</v>
      </c>
      <c r="D282" s="61" t="n">
        <v>45964.3861111111</v>
      </c>
      <c r="E282" s="61" t="n">
        <v>45964.3861111111</v>
      </c>
      <c r="F282" s="61" t="n">
        <v>45964.4368055556</v>
      </c>
      <c r="G282" s="62" t="n">
        <v>0.0506944444423425</v>
      </c>
      <c r="H282" s="13" t="s">
        <v>248</v>
      </c>
      <c r="J282" s="13" t="s">
        <v>256</v>
      </c>
      <c r="K282" s="13" t="s">
        <v>430</v>
      </c>
      <c r="L282" s="13" t="s">
        <v>786</v>
      </c>
      <c r="M282" s="66" t="s">
        <v>787</v>
      </c>
      <c r="N282" s="66" t="s">
        <v>379</v>
      </c>
      <c r="O282" s="66" t="s">
        <v>736</v>
      </c>
      <c r="P282" s="0" t="s">
        <v>1299</v>
      </c>
      <c r="Q282" s="66" t="s">
        <v>995</v>
      </c>
    </row>
    <row r="283" customFormat="false" ht="14.25" hidden="false" customHeight="false" outlineLevel="0" collapsed="false">
      <c r="A283" s="13" t="s">
        <v>816</v>
      </c>
      <c r="B283" s="13" t="s">
        <v>581</v>
      </c>
      <c r="C283" s="13" t="s">
        <v>586</v>
      </c>
      <c r="D283" s="61" t="n">
        <v>45964.5451388889</v>
      </c>
      <c r="E283" s="61" t="n">
        <v>45964.5451388889</v>
      </c>
      <c r="F283" s="61" t="n">
        <v>45964.6125</v>
      </c>
      <c r="G283" s="62" t="n">
        <v>0.0673611111124046</v>
      </c>
      <c r="H283" s="13" t="s">
        <v>248</v>
      </c>
      <c r="J283" s="13" t="s">
        <v>256</v>
      </c>
      <c r="K283" s="13" t="s">
        <v>430</v>
      </c>
      <c r="L283" s="13" t="s">
        <v>786</v>
      </c>
      <c r="M283" s="66" t="s">
        <v>787</v>
      </c>
      <c r="N283" s="66" t="s">
        <v>379</v>
      </c>
      <c r="O283" s="66" t="s">
        <v>736</v>
      </c>
      <c r="P283" s="0" t="s">
        <v>1300</v>
      </c>
      <c r="Q283" s="66" t="s">
        <v>995</v>
      </c>
    </row>
    <row r="284" customFormat="false" ht="14.25" hidden="false" customHeight="false" outlineLevel="0" collapsed="false">
      <c r="A284" s="13" t="s">
        <v>816</v>
      </c>
      <c r="B284" s="13" t="s">
        <v>581</v>
      </c>
      <c r="C284" s="13" t="s">
        <v>737</v>
      </c>
      <c r="D284" s="61" t="n">
        <v>45964.5451388889</v>
      </c>
      <c r="E284" s="61" t="n">
        <v>45964.5451388889</v>
      </c>
      <c r="F284" s="61" t="n">
        <v>45964.6125</v>
      </c>
      <c r="G284" s="62" t="n">
        <v>0.0673611111124046</v>
      </c>
      <c r="H284" s="13" t="s">
        <v>248</v>
      </c>
      <c r="J284" s="13" t="s">
        <v>256</v>
      </c>
      <c r="K284" s="13" t="s">
        <v>430</v>
      </c>
      <c r="L284" s="13" t="s">
        <v>786</v>
      </c>
      <c r="M284" s="66" t="s">
        <v>787</v>
      </c>
      <c r="N284" s="66" t="s">
        <v>379</v>
      </c>
      <c r="O284" s="66" t="s">
        <v>736</v>
      </c>
      <c r="P284" s="0" t="s">
        <v>1301</v>
      </c>
      <c r="Q284" s="66" t="s">
        <v>995</v>
      </c>
    </row>
    <row r="285" customFormat="false" ht="14.25" hidden="false" customHeight="false" outlineLevel="0" collapsed="false">
      <c r="A285" s="13" t="s">
        <v>816</v>
      </c>
      <c r="B285" s="13" t="s">
        <v>581</v>
      </c>
      <c r="C285" s="13" t="s">
        <v>582</v>
      </c>
      <c r="D285" s="61" t="n">
        <v>45964.5451388889</v>
      </c>
      <c r="E285" s="61" t="n">
        <v>45964.5451388889</v>
      </c>
      <c r="F285" s="61" t="n">
        <v>45964.6125</v>
      </c>
      <c r="G285" s="62" t="n">
        <v>0.0673611111124046</v>
      </c>
      <c r="H285" s="13" t="s">
        <v>248</v>
      </c>
      <c r="J285" s="13" t="s">
        <v>256</v>
      </c>
      <c r="K285" s="13" t="s">
        <v>430</v>
      </c>
      <c r="L285" s="13" t="s">
        <v>786</v>
      </c>
      <c r="M285" s="66" t="s">
        <v>787</v>
      </c>
      <c r="N285" s="66" t="s">
        <v>379</v>
      </c>
      <c r="O285" s="66" t="s">
        <v>736</v>
      </c>
      <c r="P285" s="0" t="s">
        <v>1302</v>
      </c>
      <c r="Q285" s="66" t="s">
        <v>995</v>
      </c>
    </row>
    <row r="286" customFormat="false" ht="14.25" hidden="false" customHeight="false" outlineLevel="0" collapsed="false">
      <c r="A286" s="13" t="s">
        <v>816</v>
      </c>
      <c r="B286" s="13" t="s">
        <v>581</v>
      </c>
      <c r="C286" s="13" t="s">
        <v>594</v>
      </c>
      <c r="D286" s="61" t="n">
        <v>45964.5451388889</v>
      </c>
      <c r="E286" s="61" t="n">
        <v>45964.5451388889</v>
      </c>
      <c r="F286" s="61" t="n">
        <v>45964.6125</v>
      </c>
      <c r="G286" s="62" t="n">
        <v>0.0673611111124046</v>
      </c>
      <c r="H286" s="13" t="s">
        <v>248</v>
      </c>
      <c r="J286" s="13" t="s">
        <v>256</v>
      </c>
      <c r="K286" s="13" t="s">
        <v>430</v>
      </c>
      <c r="L286" s="13" t="s">
        <v>786</v>
      </c>
      <c r="M286" s="66" t="s">
        <v>787</v>
      </c>
      <c r="N286" s="66" t="s">
        <v>379</v>
      </c>
      <c r="O286" s="66" t="s">
        <v>736</v>
      </c>
      <c r="P286" s="0" t="s">
        <v>1303</v>
      </c>
      <c r="Q286" s="66" t="s">
        <v>995</v>
      </c>
    </row>
    <row r="287" customFormat="false" ht="14.25" hidden="false" customHeight="false" outlineLevel="0" collapsed="false">
      <c r="A287" s="13" t="s">
        <v>816</v>
      </c>
      <c r="B287" s="13" t="s">
        <v>581</v>
      </c>
      <c r="C287" s="13" t="s">
        <v>596</v>
      </c>
      <c r="D287" s="61" t="n">
        <v>45964.5451388889</v>
      </c>
      <c r="E287" s="61" t="n">
        <v>45964.5451388889</v>
      </c>
      <c r="F287" s="61" t="n">
        <v>45964.6125</v>
      </c>
      <c r="G287" s="62" t="n">
        <v>0.0673611111124046</v>
      </c>
      <c r="H287" s="13" t="s">
        <v>248</v>
      </c>
      <c r="J287" s="13" t="s">
        <v>256</v>
      </c>
      <c r="K287" s="13" t="s">
        <v>430</v>
      </c>
      <c r="L287" s="13" t="s">
        <v>786</v>
      </c>
      <c r="M287" s="66" t="s">
        <v>787</v>
      </c>
      <c r="N287" s="66" t="s">
        <v>379</v>
      </c>
      <c r="O287" s="66" t="s">
        <v>736</v>
      </c>
      <c r="P287" s="0" t="s">
        <v>1304</v>
      </c>
      <c r="Q287" s="66" t="s">
        <v>995</v>
      </c>
    </row>
    <row r="288" customFormat="false" ht="14.25" hidden="false" customHeight="false" outlineLevel="0" collapsed="false">
      <c r="A288" s="13" t="s">
        <v>816</v>
      </c>
      <c r="B288" s="13" t="s">
        <v>581</v>
      </c>
      <c r="C288" s="13" t="s">
        <v>592</v>
      </c>
      <c r="D288" s="61" t="n">
        <v>45964.5451388889</v>
      </c>
      <c r="E288" s="61" t="n">
        <v>45964.5451388889</v>
      </c>
      <c r="F288" s="61" t="n">
        <v>45964.6125</v>
      </c>
      <c r="G288" s="62" t="n">
        <v>0.0673611111124046</v>
      </c>
      <c r="H288" s="13" t="s">
        <v>248</v>
      </c>
      <c r="J288" s="13" t="s">
        <v>256</v>
      </c>
      <c r="K288" s="13" t="s">
        <v>430</v>
      </c>
      <c r="L288" s="13" t="s">
        <v>786</v>
      </c>
      <c r="M288" s="66" t="s">
        <v>787</v>
      </c>
      <c r="N288" s="66" t="s">
        <v>379</v>
      </c>
      <c r="O288" s="66" t="s">
        <v>736</v>
      </c>
      <c r="P288" s="0" t="s">
        <v>1305</v>
      </c>
      <c r="Q288" s="66" t="s">
        <v>995</v>
      </c>
    </row>
    <row r="289" customFormat="false" ht="14.25" hidden="false" customHeight="false" outlineLevel="0" collapsed="false">
      <c r="A289" s="13" t="s">
        <v>816</v>
      </c>
      <c r="B289" s="13" t="s">
        <v>581</v>
      </c>
      <c r="C289" s="13" t="s">
        <v>595</v>
      </c>
      <c r="D289" s="61" t="n">
        <v>45964.5451388889</v>
      </c>
      <c r="E289" s="61" t="n">
        <v>45964.5451388889</v>
      </c>
      <c r="F289" s="61" t="n">
        <v>45964.6125</v>
      </c>
      <c r="G289" s="62" t="n">
        <v>0.0673611111124046</v>
      </c>
      <c r="H289" s="13" t="s">
        <v>248</v>
      </c>
      <c r="J289" s="13" t="s">
        <v>256</v>
      </c>
      <c r="K289" s="13" t="s">
        <v>430</v>
      </c>
      <c r="L289" s="13" t="s">
        <v>786</v>
      </c>
      <c r="M289" s="66" t="s">
        <v>787</v>
      </c>
      <c r="N289" s="66" t="s">
        <v>379</v>
      </c>
      <c r="O289" s="66" t="s">
        <v>736</v>
      </c>
      <c r="P289" s="0" t="s">
        <v>1306</v>
      </c>
      <c r="Q289" s="66" t="s">
        <v>995</v>
      </c>
    </row>
    <row r="290" customFormat="false" ht="14.25" hidden="false" customHeight="false" outlineLevel="0" collapsed="false">
      <c r="A290" s="13" t="s">
        <v>816</v>
      </c>
      <c r="B290" s="13" t="s">
        <v>581</v>
      </c>
      <c r="C290" s="13" t="s">
        <v>599</v>
      </c>
      <c r="D290" s="61" t="n">
        <v>45964.5451388889</v>
      </c>
      <c r="E290" s="61" t="n">
        <v>45964.5451388889</v>
      </c>
      <c r="F290" s="61" t="n">
        <v>45964.6125</v>
      </c>
      <c r="G290" s="62" t="n">
        <v>0.0673611111124046</v>
      </c>
      <c r="H290" s="13" t="s">
        <v>248</v>
      </c>
      <c r="J290" s="13" t="s">
        <v>256</v>
      </c>
      <c r="K290" s="13" t="s">
        <v>430</v>
      </c>
      <c r="L290" s="13" t="s">
        <v>786</v>
      </c>
      <c r="M290" s="66" t="s">
        <v>787</v>
      </c>
      <c r="N290" s="66" t="s">
        <v>379</v>
      </c>
      <c r="O290" s="66" t="s">
        <v>736</v>
      </c>
      <c r="P290" s="0" t="s">
        <v>1307</v>
      </c>
      <c r="Q290" s="66" t="s">
        <v>995</v>
      </c>
    </row>
    <row r="291" customFormat="false" ht="14.25" hidden="false" customHeight="false" outlineLevel="0" collapsed="false">
      <c r="A291" s="13" t="s">
        <v>816</v>
      </c>
      <c r="B291" s="13" t="s">
        <v>581</v>
      </c>
      <c r="C291" s="13" t="s">
        <v>584</v>
      </c>
      <c r="D291" s="61" t="n">
        <v>45964.5451388889</v>
      </c>
      <c r="E291" s="61" t="n">
        <v>45964.5451388889</v>
      </c>
      <c r="F291" s="61" t="n">
        <v>45964.6125</v>
      </c>
      <c r="G291" s="62" t="n">
        <v>0.0673611111124046</v>
      </c>
      <c r="H291" s="13" t="s">
        <v>248</v>
      </c>
      <c r="J291" s="13" t="s">
        <v>256</v>
      </c>
      <c r="K291" s="13" t="s">
        <v>430</v>
      </c>
      <c r="L291" s="13" t="s">
        <v>786</v>
      </c>
      <c r="M291" s="66" t="s">
        <v>787</v>
      </c>
      <c r="N291" s="66" t="s">
        <v>379</v>
      </c>
      <c r="O291" s="66" t="s">
        <v>736</v>
      </c>
      <c r="P291" s="0" t="s">
        <v>1308</v>
      </c>
      <c r="Q291" s="66" t="s">
        <v>995</v>
      </c>
    </row>
    <row r="292" customFormat="false" ht="14.25" hidden="false" customHeight="false" outlineLevel="0" collapsed="false">
      <c r="A292" s="13" t="s">
        <v>816</v>
      </c>
      <c r="B292" s="13" t="s">
        <v>581</v>
      </c>
      <c r="C292" s="13" t="s">
        <v>590</v>
      </c>
      <c r="D292" s="61" t="n">
        <v>45964.5451388889</v>
      </c>
      <c r="E292" s="61" t="n">
        <v>45964.5451388889</v>
      </c>
      <c r="F292" s="61" t="n">
        <v>45964.6125</v>
      </c>
      <c r="G292" s="62" t="n">
        <v>0.0673611111124046</v>
      </c>
      <c r="H292" s="13" t="s">
        <v>248</v>
      </c>
      <c r="J292" s="13" t="s">
        <v>256</v>
      </c>
      <c r="K292" s="13" t="s">
        <v>430</v>
      </c>
      <c r="L292" s="13" t="s">
        <v>786</v>
      </c>
      <c r="M292" s="66" t="s">
        <v>787</v>
      </c>
      <c r="N292" s="66" t="s">
        <v>379</v>
      </c>
      <c r="O292" s="66" t="s">
        <v>736</v>
      </c>
      <c r="P292" s="0" t="s">
        <v>1309</v>
      </c>
      <c r="Q292" s="66" t="s">
        <v>995</v>
      </c>
    </row>
    <row r="293" customFormat="false" ht="14.25" hidden="false" customHeight="false" outlineLevel="0" collapsed="false">
      <c r="A293" s="13" t="s">
        <v>1155</v>
      </c>
      <c r="B293" s="13" t="s">
        <v>643</v>
      </c>
      <c r="C293" s="13" t="s">
        <v>644</v>
      </c>
      <c r="D293" s="61" t="n">
        <v>45964.58125</v>
      </c>
      <c r="E293" s="61" t="n">
        <v>45964.58125</v>
      </c>
      <c r="F293" s="61" t="n">
        <v>45964.6041666667</v>
      </c>
      <c r="G293" s="62" t="n">
        <v>0.022916666661331</v>
      </c>
      <c r="H293" s="13" t="s">
        <v>248</v>
      </c>
      <c r="J293" s="13" t="s">
        <v>256</v>
      </c>
      <c r="K293" s="13" t="s">
        <v>430</v>
      </c>
      <c r="L293" s="13" t="s">
        <v>1000</v>
      </c>
      <c r="M293" s="66" t="s">
        <v>258</v>
      </c>
      <c r="N293" s="66" t="s">
        <v>379</v>
      </c>
      <c r="O293" s="66" t="s">
        <v>399</v>
      </c>
      <c r="P293" s="0" t="s">
        <v>1310</v>
      </c>
      <c r="Q293" s="66" t="s">
        <v>995</v>
      </c>
    </row>
    <row r="294" customFormat="false" ht="14.25" hidden="false" customHeight="false" outlineLevel="0" collapsed="false">
      <c r="A294" s="13" t="s">
        <v>1155</v>
      </c>
      <c r="B294" s="13" t="s">
        <v>643</v>
      </c>
      <c r="C294" s="13" t="s">
        <v>647</v>
      </c>
      <c r="D294" s="61" t="n">
        <v>45964.58125</v>
      </c>
      <c r="E294" s="61" t="n">
        <v>45964.58125</v>
      </c>
      <c r="F294" s="61" t="n">
        <v>45964.6041666667</v>
      </c>
      <c r="G294" s="62" t="n">
        <v>0.022916666661331</v>
      </c>
      <c r="H294" s="13" t="s">
        <v>248</v>
      </c>
      <c r="J294" s="13" t="s">
        <v>256</v>
      </c>
      <c r="K294" s="13" t="s">
        <v>430</v>
      </c>
      <c r="L294" s="13" t="s">
        <v>1000</v>
      </c>
      <c r="M294" s="66" t="s">
        <v>258</v>
      </c>
      <c r="N294" s="66" t="s">
        <v>379</v>
      </c>
      <c r="O294" s="66" t="s">
        <v>399</v>
      </c>
      <c r="P294" s="0" t="s">
        <v>1311</v>
      </c>
      <c r="Q294" s="66" t="s">
        <v>995</v>
      </c>
    </row>
    <row r="295" customFormat="false" ht="14.25" hidden="false" customHeight="false" outlineLevel="0" collapsed="false">
      <c r="A295" s="13" t="s">
        <v>1155</v>
      </c>
      <c r="B295" s="13" t="s">
        <v>643</v>
      </c>
      <c r="C295" s="13" t="s">
        <v>648</v>
      </c>
      <c r="D295" s="61" t="n">
        <v>45964.58125</v>
      </c>
      <c r="E295" s="61" t="n">
        <v>45964.58125</v>
      </c>
      <c r="F295" s="61" t="n">
        <v>45964.6041666667</v>
      </c>
      <c r="G295" s="62" t="n">
        <v>0.022916666661331</v>
      </c>
      <c r="H295" s="13" t="s">
        <v>248</v>
      </c>
      <c r="J295" s="13" t="s">
        <v>256</v>
      </c>
      <c r="K295" s="13" t="s">
        <v>430</v>
      </c>
      <c r="L295" s="13" t="s">
        <v>1000</v>
      </c>
      <c r="M295" s="66" t="s">
        <v>258</v>
      </c>
      <c r="N295" s="66" t="s">
        <v>379</v>
      </c>
      <c r="O295" s="66" t="s">
        <v>399</v>
      </c>
      <c r="P295" s="0" t="s">
        <v>1312</v>
      </c>
      <c r="Q295" s="66" t="s">
        <v>995</v>
      </c>
    </row>
    <row r="296" customFormat="false" ht="14.25" hidden="false" customHeight="false" outlineLevel="0" collapsed="false">
      <c r="A296" s="13" t="s">
        <v>1155</v>
      </c>
      <c r="B296" s="13" t="s">
        <v>643</v>
      </c>
      <c r="C296" s="13" t="s">
        <v>649</v>
      </c>
      <c r="D296" s="61" t="n">
        <v>45964.58125</v>
      </c>
      <c r="E296" s="61" t="n">
        <v>45964.58125</v>
      </c>
      <c r="F296" s="61" t="n">
        <v>45964.6041666667</v>
      </c>
      <c r="G296" s="62" t="n">
        <v>0.022916666661331</v>
      </c>
      <c r="H296" s="13" t="s">
        <v>248</v>
      </c>
      <c r="J296" s="13" t="s">
        <v>256</v>
      </c>
      <c r="K296" s="13" t="s">
        <v>430</v>
      </c>
      <c r="L296" s="13" t="s">
        <v>1000</v>
      </c>
      <c r="M296" s="66" t="s">
        <v>258</v>
      </c>
      <c r="N296" s="66" t="s">
        <v>379</v>
      </c>
      <c r="O296" s="66" t="s">
        <v>399</v>
      </c>
      <c r="P296" s="0" t="s">
        <v>1313</v>
      </c>
      <c r="Q296" s="66" t="s">
        <v>995</v>
      </c>
    </row>
    <row r="297" customFormat="false" ht="14.25" hidden="false" customHeight="false" outlineLevel="0" collapsed="false">
      <c r="A297" s="13" t="s">
        <v>896</v>
      </c>
      <c r="B297" s="13" t="s">
        <v>650</v>
      </c>
      <c r="C297" s="13" t="s">
        <v>651</v>
      </c>
      <c r="D297" s="61" t="n">
        <v>45964.58125</v>
      </c>
      <c r="E297" s="61" t="n">
        <v>45964.58125</v>
      </c>
      <c r="F297" s="61" t="n">
        <v>45964.6041666667</v>
      </c>
      <c r="G297" s="62" t="n">
        <v>0.022916666661331</v>
      </c>
      <c r="H297" s="13" t="s">
        <v>248</v>
      </c>
      <c r="J297" s="13" t="s">
        <v>256</v>
      </c>
      <c r="K297" s="13" t="s">
        <v>430</v>
      </c>
      <c r="L297" s="13" t="s">
        <v>1000</v>
      </c>
      <c r="M297" s="66" t="s">
        <v>258</v>
      </c>
      <c r="N297" s="66" t="s">
        <v>379</v>
      </c>
      <c r="O297" s="66" t="s">
        <v>399</v>
      </c>
      <c r="P297" s="0" t="s">
        <v>1314</v>
      </c>
      <c r="Q297" s="66" t="s">
        <v>995</v>
      </c>
    </row>
    <row r="298" customFormat="false" ht="14.25" hidden="false" customHeight="false" outlineLevel="0" collapsed="false">
      <c r="A298" s="13" t="s">
        <v>896</v>
      </c>
      <c r="B298" s="13" t="s">
        <v>650</v>
      </c>
      <c r="C298" s="13" t="s">
        <v>653</v>
      </c>
      <c r="D298" s="61" t="n">
        <v>45964.58125</v>
      </c>
      <c r="E298" s="61" t="n">
        <v>45964.58125</v>
      </c>
      <c r="F298" s="61" t="n">
        <v>45964.6041666667</v>
      </c>
      <c r="G298" s="62" t="n">
        <v>0.022916666661331</v>
      </c>
      <c r="H298" s="13" t="s">
        <v>248</v>
      </c>
      <c r="J298" s="13" t="s">
        <v>256</v>
      </c>
      <c r="K298" s="13" t="s">
        <v>430</v>
      </c>
      <c r="L298" s="13" t="s">
        <v>1000</v>
      </c>
      <c r="M298" s="66" t="s">
        <v>258</v>
      </c>
      <c r="N298" s="66" t="s">
        <v>379</v>
      </c>
      <c r="O298" s="66" t="s">
        <v>399</v>
      </c>
      <c r="P298" s="0" t="s">
        <v>1315</v>
      </c>
      <c r="Q298" s="66" t="s">
        <v>995</v>
      </c>
    </row>
    <row r="299" customFormat="false" ht="14.25" hidden="false" customHeight="false" outlineLevel="0" collapsed="false">
      <c r="A299" s="13" t="s">
        <v>896</v>
      </c>
      <c r="B299" s="13" t="s">
        <v>650</v>
      </c>
      <c r="C299" s="13" t="s">
        <v>654</v>
      </c>
      <c r="D299" s="61" t="n">
        <v>45964.58125</v>
      </c>
      <c r="E299" s="61" t="n">
        <v>45964.58125</v>
      </c>
      <c r="F299" s="61" t="n">
        <v>45964.6041666667</v>
      </c>
      <c r="G299" s="62" t="n">
        <v>0.022916666661331</v>
      </c>
      <c r="H299" s="13" t="s">
        <v>248</v>
      </c>
      <c r="J299" s="13" t="s">
        <v>256</v>
      </c>
      <c r="K299" s="13" t="s">
        <v>430</v>
      </c>
      <c r="L299" s="13" t="s">
        <v>1000</v>
      </c>
      <c r="M299" s="66" t="s">
        <v>258</v>
      </c>
      <c r="N299" s="66" t="s">
        <v>379</v>
      </c>
      <c r="O299" s="66" t="s">
        <v>399</v>
      </c>
      <c r="P299" s="0" t="s">
        <v>1316</v>
      </c>
      <c r="Q299" s="66" t="s">
        <v>995</v>
      </c>
    </row>
    <row r="300" customFormat="false" ht="14.25" hidden="false" customHeight="false" outlineLevel="0" collapsed="false">
      <c r="A300" s="13" t="s">
        <v>896</v>
      </c>
      <c r="B300" s="13" t="s">
        <v>650</v>
      </c>
      <c r="C300" s="13" t="s">
        <v>655</v>
      </c>
      <c r="D300" s="61" t="n">
        <v>45964.58125</v>
      </c>
      <c r="E300" s="61" t="n">
        <v>45964.58125</v>
      </c>
      <c r="F300" s="61" t="n">
        <v>45964.6041666667</v>
      </c>
      <c r="G300" s="62" t="n">
        <v>0.022916666661331</v>
      </c>
      <c r="H300" s="13" t="s">
        <v>248</v>
      </c>
      <c r="J300" s="13" t="s">
        <v>256</v>
      </c>
      <c r="K300" s="13" t="s">
        <v>430</v>
      </c>
      <c r="L300" s="13" t="s">
        <v>1000</v>
      </c>
      <c r="M300" s="66" t="s">
        <v>258</v>
      </c>
      <c r="N300" s="66" t="s">
        <v>379</v>
      </c>
      <c r="O300" s="66" t="s">
        <v>399</v>
      </c>
      <c r="P300" s="0" t="s">
        <v>1317</v>
      </c>
      <c r="Q300" s="66" t="s">
        <v>995</v>
      </c>
    </row>
    <row r="301" customFormat="false" ht="14.25" hidden="false" customHeight="false" outlineLevel="0" collapsed="false">
      <c r="A301" s="13" t="s">
        <v>896</v>
      </c>
      <c r="B301" s="13" t="s">
        <v>650</v>
      </c>
      <c r="C301" s="13" t="s">
        <v>656</v>
      </c>
      <c r="D301" s="61" t="n">
        <v>45964.58125</v>
      </c>
      <c r="E301" s="61" t="n">
        <v>45964.58125</v>
      </c>
      <c r="F301" s="61" t="n">
        <v>45964.6041666667</v>
      </c>
      <c r="G301" s="62" t="n">
        <v>0.022916666661331</v>
      </c>
      <c r="H301" s="13" t="s">
        <v>248</v>
      </c>
      <c r="J301" s="13" t="s">
        <v>256</v>
      </c>
      <c r="K301" s="13" t="s">
        <v>430</v>
      </c>
      <c r="L301" s="13" t="s">
        <v>1000</v>
      </c>
      <c r="M301" s="66" t="s">
        <v>258</v>
      </c>
      <c r="N301" s="66" t="s">
        <v>379</v>
      </c>
      <c r="O301" s="66" t="s">
        <v>399</v>
      </c>
      <c r="P301" s="0" t="s">
        <v>1318</v>
      </c>
      <c r="Q301" s="66" t="s">
        <v>995</v>
      </c>
    </row>
    <row r="302" customFormat="false" ht="14.25" hidden="false" customHeight="false" outlineLevel="0" collapsed="false">
      <c r="A302" s="13" t="s">
        <v>896</v>
      </c>
      <c r="B302" s="13" t="s">
        <v>650</v>
      </c>
      <c r="C302" s="13" t="s">
        <v>657</v>
      </c>
      <c r="D302" s="61" t="n">
        <v>45964.58125</v>
      </c>
      <c r="E302" s="61" t="n">
        <v>45964.58125</v>
      </c>
      <c r="F302" s="61" t="n">
        <v>45964.6041666667</v>
      </c>
      <c r="G302" s="62" t="n">
        <v>0.022916666661331</v>
      </c>
      <c r="H302" s="13" t="s">
        <v>248</v>
      </c>
      <c r="J302" s="13" t="s">
        <v>256</v>
      </c>
      <c r="K302" s="13" t="s">
        <v>430</v>
      </c>
      <c r="L302" s="13" t="s">
        <v>1000</v>
      </c>
      <c r="M302" s="66" t="s">
        <v>258</v>
      </c>
      <c r="N302" s="66" t="s">
        <v>379</v>
      </c>
      <c r="O302" s="66" t="s">
        <v>399</v>
      </c>
      <c r="P302" s="0" t="s">
        <v>1319</v>
      </c>
      <c r="Q302" s="66" t="s">
        <v>995</v>
      </c>
    </row>
    <row r="303" customFormat="false" ht="14.25" hidden="false" customHeight="false" outlineLevel="0" collapsed="false">
      <c r="A303" s="13" t="s">
        <v>896</v>
      </c>
      <c r="B303" s="13" t="s">
        <v>650</v>
      </c>
      <c r="C303" s="13" t="s">
        <v>658</v>
      </c>
      <c r="D303" s="61" t="n">
        <v>45964.58125</v>
      </c>
      <c r="E303" s="61" t="n">
        <v>45964.58125</v>
      </c>
      <c r="F303" s="61" t="n">
        <v>45964.6041666667</v>
      </c>
      <c r="G303" s="62" t="n">
        <v>0.022916666661331</v>
      </c>
      <c r="H303" s="13" t="s">
        <v>248</v>
      </c>
      <c r="J303" s="13" t="s">
        <v>256</v>
      </c>
      <c r="K303" s="13" t="s">
        <v>430</v>
      </c>
      <c r="L303" s="13" t="s">
        <v>1000</v>
      </c>
      <c r="M303" s="66" t="s">
        <v>258</v>
      </c>
      <c r="N303" s="66" t="s">
        <v>379</v>
      </c>
      <c r="O303" s="66" t="s">
        <v>399</v>
      </c>
      <c r="P303" s="0" t="s">
        <v>1320</v>
      </c>
      <c r="Q303" s="66" t="s">
        <v>995</v>
      </c>
    </row>
    <row r="304" customFormat="false" ht="14.25" hidden="false" customHeight="false" outlineLevel="0" collapsed="false">
      <c r="A304" s="13" t="s">
        <v>896</v>
      </c>
      <c r="B304" s="13" t="s">
        <v>650</v>
      </c>
      <c r="C304" s="13" t="s">
        <v>659</v>
      </c>
      <c r="D304" s="61" t="n">
        <v>45964.58125</v>
      </c>
      <c r="E304" s="61" t="n">
        <v>45964.58125</v>
      </c>
      <c r="F304" s="61" t="n">
        <v>45964.6041666667</v>
      </c>
      <c r="G304" s="62" t="n">
        <v>0.022916666661331</v>
      </c>
      <c r="H304" s="13" t="s">
        <v>248</v>
      </c>
      <c r="J304" s="13" t="s">
        <v>256</v>
      </c>
      <c r="K304" s="13" t="s">
        <v>430</v>
      </c>
      <c r="L304" s="13" t="s">
        <v>1000</v>
      </c>
      <c r="M304" s="66" t="s">
        <v>258</v>
      </c>
      <c r="N304" s="66" t="s">
        <v>379</v>
      </c>
      <c r="O304" s="66" t="s">
        <v>399</v>
      </c>
      <c r="P304" s="0" t="s">
        <v>1321</v>
      </c>
      <c r="Q304" s="66" t="s">
        <v>995</v>
      </c>
    </row>
    <row r="305" customFormat="false" ht="14.25" hidden="false" customHeight="false" outlineLevel="0" collapsed="false">
      <c r="A305" s="13" t="s">
        <v>896</v>
      </c>
      <c r="B305" s="13" t="s">
        <v>650</v>
      </c>
      <c r="C305" s="13" t="s">
        <v>660</v>
      </c>
      <c r="D305" s="61" t="n">
        <v>45964.58125</v>
      </c>
      <c r="E305" s="61" t="n">
        <v>45964.58125</v>
      </c>
      <c r="F305" s="61" t="n">
        <v>45964.6041666667</v>
      </c>
      <c r="G305" s="62" t="n">
        <v>0.022916666661331</v>
      </c>
      <c r="H305" s="13" t="s">
        <v>248</v>
      </c>
      <c r="J305" s="13" t="s">
        <v>256</v>
      </c>
      <c r="K305" s="13" t="s">
        <v>430</v>
      </c>
      <c r="L305" s="13" t="s">
        <v>1000</v>
      </c>
      <c r="M305" s="66" t="s">
        <v>258</v>
      </c>
      <c r="N305" s="66" t="s">
        <v>379</v>
      </c>
      <c r="O305" s="66" t="s">
        <v>399</v>
      </c>
      <c r="P305" s="0" t="s">
        <v>1322</v>
      </c>
      <c r="Q305" s="66" t="s">
        <v>995</v>
      </c>
    </row>
    <row r="306" customFormat="false" ht="14.25" hidden="false" customHeight="false" outlineLevel="0" collapsed="false">
      <c r="A306" s="13" t="s">
        <v>896</v>
      </c>
      <c r="B306" s="13" t="s">
        <v>650</v>
      </c>
      <c r="C306" s="13" t="s">
        <v>661</v>
      </c>
      <c r="D306" s="61" t="n">
        <v>45964.58125</v>
      </c>
      <c r="E306" s="61" t="n">
        <v>45964.58125</v>
      </c>
      <c r="F306" s="61" t="n">
        <v>45964.6041666667</v>
      </c>
      <c r="G306" s="62" t="n">
        <v>0.022916666661331</v>
      </c>
      <c r="H306" s="13" t="s">
        <v>248</v>
      </c>
      <c r="J306" s="13" t="s">
        <v>256</v>
      </c>
      <c r="K306" s="13" t="s">
        <v>430</v>
      </c>
      <c r="L306" s="13" t="s">
        <v>1000</v>
      </c>
      <c r="M306" s="66" t="s">
        <v>258</v>
      </c>
      <c r="N306" s="66" t="s">
        <v>379</v>
      </c>
      <c r="O306" s="66" t="s">
        <v>399</v>
      </c>
      <c r="P306" s="0" t="s">
        <v>1323</v>
      </c>
      <c r="Q306" s="66" t="s">
        <v>995</v>
      </c>
    </row>
    <row r="307" customFormat="false" ht="14.25" hidden="false" customHeight="false" outlineLevel="0" collapsed="false">
      <c r="A307" s="13" t="s">
        <v>896</v>
      </c>
      <c r="B307" s="13" t="s">
        <v>650</v>
      </c>
      <c r="C307" s="13" t="s">
        <v>662</v>
      </c>
      <c r="D307" s="61" t="n">
        <v>45964.58125</v>
      </c>
      <c r="E307" s="61" t="n">
        <v>45964.58125</v>
      </c>
      <c r="F307" s="61" t="n">
        <v>45964.6041666667</v>
      </c>
      <c r="G307" s="62" t="n">
        <v>0.022916666661331</v>
      </c>
      <c r="H307" s="13" t="s">
        <v>248</v>
      </c>
      <c r="J307" s="13" t="s">
        <v>256</v>
      </c>
      <c r="K307" s="13" t="s">
        <v>430</v>
      </c>
      <c r="L307" s="13" t="s">
        <v>1000</v>
      </c>
      <c r="M307" s="66" t="s">
        <v>258</v>
      </c>
      <c r="N307" s="66" t="s">
        <v>379</v>
      </c>
      <c r="O307" s="66" t="s">
        <v>399</v>
      </c>
      <c r="P307" s="0" t="s">
        <v>1324</v>
      </c>
      <c r="Q307" s="66" t="s">
        <v>995</v>
      </c>
    </row>
    <row r="308" customFormat="false" ht="14.25" hidden="false" customHeight="false" outlineLevel="0" collapsed="false">
      <c r="A308" s="13" t="s">
        <v>896</v>
      </c>
      <c r="B308" s="13" t="s">
        <v>650</v>
      </c>
      <c r="C308" s="13" t="s">
        <v>663</v>
      </c>
      <c r="D308" s="61" t="n">
        <v>45964.58125</v>
      </c>
      <c r="E308" s="61" t="n">
        <v>45964.58125</v>
      </c>
      <c r="F308" s="61" t="n">
        <v>45964.6041666667</v>
      </c>
      <c r="G308" s="62" t="n">
        <v>0.022916666661331</v>
      </c>
      <c r="H308" s="13" t="s">
        <v>248</v>
      </c>
      <c r="J308" s="13" t="s">
        <v>256</v>
      </c>
      <c r="K308" s="13" t="s">
        <v>430</v>
      </c>
      <c r="L308" s="13" t="s">
        <v>1000</v>
      </c>
      <c r="M308" s="66" t="s">
        <v>258</v>
      </c>
      <c r="N308" s="66" t="s">
        <v>379</v>
      </c>
      <c r="O308" s="66" t="s">
        <v>399</v>
      </c>
      <c r="P308" s="0" t="s">
        <v>1325</v>
      </c>
      <c r="Q308" s="66" t="s">
        <v>995</v>
      </c>
    </row>
    <row r="309" customFormat="false" ht="14.25" hidden="false" customHeight="false" outlineLevel="0" collapsed="false">
      <c r="A309" s="13" t="s">
        <v>896</v>
      </c>
      <c r="B309" s="13" t="s">
        <v>650</v>
      </c>
      <c r="C309" s="13" t="s">
        <v>664</v>
      </c>
      <c r="D309" s="61" t="n">
        <v>45964.58125</v>
      </c>
      <c r="E309" s="61" t="n">
        <v>45964.58125</v>
      </c>
      <c r="F309" s="61" t="n">
        <v>45964.6041666667</v>
      </c>
      <c r="G309" s="62" t="n">
        <v>0.022916666661331</v>
      </c>
      <c r="H309" s="13" t="s">
        <v>248</v>
      </c>
      <c r="J309" s="13" t="s">
        <v>256</v>
      </c>
      <c r="K309" s="13" t="s">
        <v>430</v>
      </c>
      <c r="L309" s="13" t="s">
        <v>1000</v>
      </c>
      <c r="M309" s="66" t="s">
        <v>258</v>
      </c>
      <c r="N309" s="66" t="s">
        <v>379</v>
      </c>
      <c r="O309" s="66" t="s">
        <v>399</v>
      </c>
      <c r="P309" s="0" t="s">
        <v>1326</v>
      </c>
      <c r="Q309" s="66" t="s">
        <v>995</v>
      </c>
    </row>
    <row r="310" customFormat="false" ht="14.25" hidden="false" customHeight="false" outlineLevel="0" collapsed="false">
      <c r="A310" s="13" t="s">
        <v>896</v>
      </c>
      <c r="B310" s="13" t="s">
        <v>650</v>
      </c>
      <c r="C310" s="13" t="s">
        <v>665</v>
      </c>
      <c r="D310" s="61" t="n">
        <v>45964.58125</v>
      </c>
      <c r="E310" s="61" t="n">
        <v>45964.58125</v>
      </c>
      <c r="F310" s="61" t="n">
        <v>45964.6041666667</v>
      </c>
      <c r="G310" s="62" t="n">
        <v>0.022916666661331</v>
      </c>
      <c r="H310" s="13" t="s">
        <v>248</v>
      </c>
      <c r="J310" s="13" t="s">
        <v>256</v>
      </c>
      <c r="K310" s="13" t="s">
        <v>430</v>
      </c>
      <c r="L310" s="13" t="s">
        <v>1000</v>
      </c>
      <c r="M310" s="66" t="s">
        <v>258</v>
      </c>
      <c r="N310" s="66" t="s">
        <v>379</v>
      </c>
      <c r="O310" s="66" t="s">
        <v>399</v>
      </c>
      <c r="P310" s="0" t="s">
        <v>1327</v>
      </c>
      <c r="Q310" s="66" t="s">
        <v>995</v>
      </c>
    </row>
    <row r="311" customFormat="false" ht="14.25" hidden="false" customHeight="false" outlineLevel="0" collapsed="false">
      <c r="A311" s="13" t="s">
        <v>896</v>
      </c>
      <c r="B311" s="13" t="s">
        <v>650</v>
      </c>
      <c r="C311" s="13" t="s">
        <v>666</v>
      </c>
      <c r="D311" s="61" t="n">
        <v>45964.58125</v>
      </c>
      <c r="E311" s="61" t="n">
        <v>45964.58125</v>
      </c>
      <c r="F311" s="61" t="n">
        <v>45964.6041666667</v>
      </c>
      <c r="G311" s="62" t="n">
        <v>0.022916666661331</v>
      </c>
      <c r="H311" s="13" t="s">
        <v>248</v>
      </c>
      <c r="J311" s="13" t="s">
        <v>256</v>
      </c>
      <c r="K311" s="13" t="s">
        <v>430</v>
      </c>
      <c r="L311" s="13" t="s">
        <v>1000</v>
      </c>
      <c r="M311" s="66" t="s">
        <v>258</v>
      </c>
      <c r="N311" s="66" t="s">
        <v>379</v>
      </c>
      <c r="O311" s="66" t="s">
        <v>399</v>
      </c>
      <c r="P311" s="0" t="s">
        <v>1328</v>
      </c>
      <c r="Q311" s="66" t="s">
        <v>995</v>
      </c>
    </row>
    <row r="312" customFormat="false" ht="14.25" hidden="false" customHeight="false" outlineLevel="0" collapsed="false">
      <c r="A312" s="13" t="s">
        <v>896</v>
      </c>
      <c r="B312" s="13" t="s">
        <v>650</v>
      </c>
      <c r="C312" s="13" t="s">
        <v>667</v>
      </c>
      <c r="D312" s="61" t="n">
        <v>45964.58125</v>
      </c>
      <c r="E312" s="61" t="n">
        <v>45964.58125</v>
      </c>
      <c r="F312" s="61" t="n">
        <v>45964.6041666667</v>
      </c>
      <c r="G312" s="62" t="n">
        <v>0.022916666661331</v>
      </c>
      <c r="H312" s="13" t="s">
        <v>248</v>
      </c>
      <c r="J312" s="13" t="s">
        <v>256</v>
      </c>
      <c r="K312" s="13" t="s">
        <v>430</v>
      </c>
      <c r="L312" s="13" t="s">
        <v>1000</v>
      </c>
      <c r="M312" s="66" t="s">
        <v>258</v>
      </c>
      <c r="N312" s="66" t="s">
        <v>379</v>
      </c>
      <c r="O312" s="66" t="s">
        <v>399</v>
      </c>
      <c r="P312" s="0" t="s">
        <v>1329</v>
      </c>
      <c r="Q312" s="66" t="s">
        <v>995</v>
      </c>
    </row>
    <row r="313" customFormat="false" ht="14.25" hidden="false" customHeight="false" outlineLevel="0" collapsed="false">
      <c r="A313" s="13" t="s">
        <v>896</v>
      </c>
      <c r="B313" s="13" t="s">
        <v>650</v>
      </c>
      <c r="C313" s="13" t="s">
        <v>668</v>
      </c>
      <c r="D313" s="61" t="n">
        <v>45964.58125</v>
      </c>
      <c r="E313" s="61" t="n">
        <v>45964.58125</v>
      </c>
      <c r="F313" s="61" t="n">
        <v>45964.6041666667</v>
      </c>
      <c r="G313" s="62" t="n">
        <v>0.022916666661331</v>
      </c>
      <c r="H313" s="13" t="s">
        <v>248</v>
      </c>
      <c r="J313" s="13" t="s">
        <v>256</v>
      </c>
      <c r="K313" s="13" t="s">
        <v>430</v>
      </c>
      <c r="L313" s="13" t="s">
        <v>1000</v>
      </c>
      <c r="M313" s="66" t="s">
        <v>258</v>
      </c>
      <c r="N313" s="66" t="s">
        <v>379</v>
      </c>
      <c r="O313" s="66" t="s">
        <v>399</v>
      </c>
      <c r="P313" s="0" t="s">
        <v>1330</v>
      </c>
      <c r="Q313" s="66" t="s">
        <v>995</v>
      </c>
    </row>
    <row r="314" customFormat="false" ht="14.25" hidden="false" customHeight="false" outlineLevel="0" collapsed="false">
      <c r="A314" s="13" t="s">
        <v>878</v>
      </c>
      <c r="B314" s="13" t="s">
        <v>504</v>
      </c>
      <c r="C314" s="13" t="s">
        <v>1250</v>
      </c>
      <c r="D314" s="61" t="n">
        <v>45965.2697106482</v>
      </c>
      <c r="E314" s="61" t="n">
        <v>45965.2697106482</v>
      </c>
      <c r="F314" s="61" t="n">
        <v>45965.2766435185</v>
      </c>
      <c r="G314" s="62" t="n">
        <v>0.00693287036847323</v>
      </c>
      <c r="H314" s="13" t="s">
        <v>248</v>
      </c>
      <c r="J314" s="13" t="s">
        <v>249</v>
      </c>
      <c r="K314" s="13" t="s">
        <v>439</v>
      </c>
      <c r="L314" s="13" t="s">
        <v>1251</v>
      </c>
      <c r="M314" s="66" t="s">
        <v>251</v>
      </c>
      <c r="N314" s="66" t="s">
        <v>625</v>
      </c>
      <c r="P314" s="0" t="s">
        <v>1331</v>
      </c>
      <c r="Q314" s="66" t="s">
        <v>1253</v>
      </c>
    </row>
    <row r="315" customFormat="false" ht="14.25" hidden="false" customHeight="false" outlineLevel="0" collapsed="false">
      <c r="A315" s="13" t="s">
        <v>878</v>
      </c>
      <c r="B315" s="13" t="s">
        <v>504</v>
      </c>
      <c r="C315" s="13" t="s">
        <v>1332</v>
      </c>
      <c r="D315" s="61" t="n">
        <v>45965.2699421296</v>
      </c>
      <c r="E315" s="61" t="n">
        <v>45965.2699421296</v>
      </c>
      <c r="F315" s="61" t="n">
        <v>45965.2768865741</v>
      </c>
      <c r="G315" s="62" t="n">
        <v>0.00694444444525288</v>
      </c>
      <c r="H315" s="13" t="s">
        <v>248</v>
      </c>
      <c r="J315" s="13" t="s">
        <v>249</v>
      </c>
      <c r="K315" s="13" t="s">
        <v>439</v>
      </c>
      <c r="L315" s="13" t="s">
        <v>1251</v>
      </c>
      <c r="M315" s="66" t="s">
        <v>251</v>
      </c>
      <c r="N315" s="66" t="s">
        <v>625</v>
      </c>
      <c r="P315" s="0" t="s">
        <v>1333</v>
      </c>
      <c r="Q315" s="66" t="s">
        <v>1253</v>
      </c>
    </row>
    <row r="316" customFormat="false" ht="14.25" hidden="false" customHeight="false" outlineLevel="0" collapsed="false">
      <c r="A316" s="13" t="s">
        <v>878</v>
      </c>
      <c r="B316" s="13" t="s">
        <v>504</v>
      </c>
      <c r="C316" s="13" t="s">
        <v>1334</v>
      </c>
      <c r="D316" s="61" t="n">
        <v>45965.2700231482</v>
      </c>
      <c r="E316" s="61" t="n">
        <v>45965.2700231482</v>
      </c>
      <c r="F316" s="61" t="n">
        <v>45965.2769907407</v>
      </c>
      <c r="G316" s="62" t="n">
        <v>0.00696759259153623</v>
      </c>
      <c r="H316" s="13" t="s">
        <v>248</v>
      </c>
      <c r="J316" s="13" t="s">
        <v>249</v>
      </c>
      <c r="K316" s="13" t="s">
        <v>439</v>
      </c>
      <c r="L316" s="13" t="s">
        <v>1251</v>
      </c>
      <c r="M316" s="66" t="s">
        <v>251</v>
      </c>
      <c r="N316" s="66" t="s">
        <v>625</v>
      </c>
      <c r="P316" s="0" t="s">
        <v>1335</v>
      </c>
      <c r="Q316" s="66" t="s">
        <v>1253</v>
      </c>
    </row>
    <row r="317" customFormat="false" ht="14.25" hidden="false" customHeight="false" outlineLevel="0" collapsed="false">
      <c r="A317" s="13" t="s">
        <v>814</v>
      </c>
      <c r="B317" s="13" t="s">
        <v>542</v>
      </c>
      <c r="C317" s="13" t="s">
        <v>543</v>
      </c>
      <c r="D317" s="61" t="n">
        <v>45965.2708333333</v>
      </c>
      <c r="E317" s="61" t="n">
        <v>45965.2708333333</v>
      </c>
      <c r="F317" s="61" t="n">
        <v>45965.3402777778</v>
      </c>
      <c r="G317" s="62" t="n">
        <v>0.0798611111094942</v>
      </c>
      <c r="H317" s="13" t="s">
        <v>248</v>
      </c>
      <c r="J317" s="13" t="s">
        <v>256</v>
      </c>
      <c r="K317" s="13" t="s">
        <v>430</v>
      </c>
      <c r="L317" s="13" t="s">
        <v>700</v>
      </c>
      <c r="M317" s="66" t="s">
        <v>258</v>
      </c>
      <c r="N317" s="66" t="s">
        <v>379</v>
      </c>
      <c r="O317" s="66" t="s">
        <v>399</v>
      </c>
      <c r="P317" s="0" t="s">
        <v>1336</v>
      </c>
      <c r="Q317" s="66" t="s">
        <v>995</v>
      </c>
    </row>
    <row r="318" customFormat="false" ht="14.25" hidden="false" customHeight="false" outlineLevel="0" collapsed="false">
      <c r="A318" s="13" t="s">
        <v>814</v>
      </c>
      <c r="B318" s="13" t="s">
        <v>542</v>
      </c>
      <c r="C318" s="13" t="s">
        <v>545</v>
      </c>
      <c r="D318" s="61" t="n">
        <v>45965.2708333333</v>
      </c>
      <c r="E318" s="61" t="n">
        <v>45965.2708333333</v>
      </c>
      <c r="F318" s="61" t="n">
        <v>45965.3402777778</v>
      </c>
      <c r="G318" s="62" t="n">
        <v>0.0798611111094942</v>
      </c>
      <c r="H318" s="13" t="s">
        <v>248</v>
      </c>
      <c r="J318" s="13" t="s">
        <v>256</v>
      </c>
      <c r="K318" s="13" t="s">
        <v>430</v>
      </c>
      <c r="L318" s="13" t="s">
        <v>700</v>
      </c>
      <c r="M318" s="66" t="s">
        <v>258</v>
      </c>
      <c r="N318" s="66" t="s">
        <v>379</v>
      </c>
      <c r="O318" s="66" t="s">
        <v>399</v>
      </c>
      <c r="P318" s="0" t="s">
        <v>1337</v>
      </c>
      <c r="Q318" s="66" t="s">
        <v>995</v>
      </c>
    </row>
    <row r="319" customFormat="false" ht="14.25" hidden="false" customHeight="false" outlineLevel="0" collapsed="false">
      <c r="A319" s="13" t="s">
        <v>814</v>
      </c>
      <c r="B319" s="13" t="s">
        <v>542</v>
      </c>
      <c r="C319" s="13" t="s">
        <v>546</v>
      </c>
      <c r="D319" s="61" t="n">
        <v>45965.2708333333</v>
      </c>
      <c r="E319" s="61" t="n">
        <v>45965.2708333333</v>
      </c>
      <c r="F319" s="61" t="n">
        <v>45965.3402777778</v>
      </c>
      <c r="G319" s="62" t="n">
        <v>0.0798611111094942</v>
      </c>
      <c r="H319" s="13" t="s">
        <v>248</v>
      </c>
      <c r="J319" s="13" t="s">
        <v>256</v>
      </c>
      <c r="K319" s="13" t="s">
        <v>430</v>
      </c>
      <c r="L319" s="13" t="s">
        <v>700</v>
      </c>
      <c r="M319" s="66" t="s">
        <v>258</v>
      </c>
      <c r="N319" s="66" t="s">
        <v>379</v>
      </c>
      <c r="O319" s="66" t="s">
        <v>399</v>
      </c>
      <c r="P319" s="0" t="s">
        <v>1338</v>
      </c>
      <c r="Q319" s="66" t="s">
        <v>995</v>
      </c>
    </row>
    <row r="320" customFormat="false" ht="14.25" hidden="false" customHeight="false" outlineLevel="0" collapsed="false">
      <c r="A320" s="13" t="s">
        <v>814</v>
      </c>
      <c r="B320" s="13" t="s">
        <v>542</v>
      </c>
      <c r="C320" s="13" t="s">
        <v>547</v>
      </c>
      <c r="D320" s="61" t="n">
        <v>45965.2708333333</v>
      </c>
      <c r="E320" s="61" t="n">
        <v>45965.2708333333</v>
      </c>
      <c r="F320" s="61" t="n">
        <v>45965.3402777778</v>
      </c>
      <c r="G320" s="62" t="n">
        <v>0.0798611111094942</v>
      </c>
      <c r="H320" s="13" t="s">
        <v>248</v>
      </c>
      <c r="J320" s="13" t="s">
        <v>256</v>
      </c>
      <c r="K320" s="13" t="s">
        <v>430</v>
      </c>
      <c r="L320" s="13" t="s">
        <v>700</v>
      </c>
      <c r="M320" s="66" t="s">
        <v>258</v>
      </c>
      <c r="N320" s="66" t="s">
        <v>379</v>
      </c>
      <c r="O320" s="66" t="s">
        <v>399</v>
      </c>
      <c r="P320" s="0" t="s">
        <v>1339</v>
      </c>
      <c r="Q320" s="66" t="s">
        <v>995</v>
      </c>
    </row>
    <row r="321" customFormat="false" ht="14.25" hidden="false" customHeight="false" outlineLevel="0" collapsed="false">
      <c r="A321" s="13" t="s">
        <v>814</v>
      </c>
      <c r="B321" s="13" t="s">
        <v>542</v>
      </c>
      <c r="C321" s="13" t="s">
        <v>548</v>
      </c>
      <c r="D321" s="61" t="n">
        <v>45965.2708333333</v>
      </c>
      <c r="E321" s="61" t="n">
        <v>45965.2708333333</v>
      </c>
      <c r="F321" s="61" t="n">
        <v>45965.3402777778</v>
      </c>
      <c r="G321" s="62" t="n">
        <v>0.0798611111094942</v>
      </c>
      <c r="H321" s="13" t="s">
        <v>248</v>
      </c>
      <c r="J321" s="13" t="s">
        <v>256</v>
      </c>
      <c r="K321" s="13" t="s">
        <v>430</v>
      </c>
      <c r="L321" s="13" t="s">
        <v>700</v>
      </c>
      <c r="M321" s="66" t="s">
        <v>258</v>
      </c>
      <c r="N321" s="66" t="s">
        <v>379</v>
      </c>
      <c r="O321" s="66" t="s">
        <v>399</v>
      </c>
      <c r="P321" s="0" t="s">
        <v>1340</v>
      </c>
      <c r="Q321" s="66" t="s">
        <v>995</v>
      </c>
    </row>
    <row r="322" customFormat="false" ht="14.25" hidden="false" customHeight="false" outlineLevel="0" collapsed="false">
      <c r="A322" s="13" t="s">
        <v>814</v>
      </c>
      <c r="B322" s="13" t="s">
        <v>542</v>
      </c>
      <c r="C322" s="13" t="s">
        <v>549</v>
      </c>
      <c r="D322" s="61" t="n">
        <v>45965.2708333333</v>
      </c>
      <c r="E322" s="61" t="n">
        <v>45965.2708333333</v>
      </c>
      <c r="F322" s="61" t="n">
        <v>45965.3402777778</v>
      </c>
      <c r="G322" s="62" t="n">
        <v>0.0798611111094942</v>
      </c>
      <c r="H322" s="13" t="s">
        <v>248</v>
      </c>
      <c r="J322" s="13" t="s">
        <v>256</v>
      </c>
      <c r="K322" s="13" t="s">
        <v>430</v>
      </c>
      <c r="L322" s="13" t="s">
        <v>700</v>
      </c>
      <c r="M322" s="66" t="s">
        <v>258</v>
      </c>
      <c r="N322" s="66" t="s">
        <v>379</v>
      </c>
      <c r="O322" s="66" t="s">
        <v>399</v>
      </c>
      <c r="P322" s="0" t="s">
        <v>1341</v>
      </c>
      <c r="Q322" s="66" t="s">
        <v>995</v>
      </c>
    </row>
    <row r="323" customFormat="false" ht="14.25" hidden="false" customHeight="false" outlineLevel="0" collapsed="false">
      <c r="A323" s="13" t="s">
        <v>814</v>
      </c>
      <c r="B323" s="13" t="s">
        <v>542</v>
      </c>
      <c r="C323" s="13" t="s">
        <v>550</v>
      </c>
      <c r="D323" s="61" t="n">
        <v>45965.2708333333</v>
      </c>
      <c r="E323" s="61" t="n">
        <v>45965.2708333333</v>
      </c>
      <c r="F323" s="61" t="n">
        <v>45965.3402777778</v>
      </c>
      <c r="G323" s="62" t="n">
        <v>0.0798611111094942</v>
      </c>
      <c r="H323" s="13" t="s">
        <v>248</v>
      </c>
      <c r="J323" s="13" t="s">
        <v>256</v>
      </c>
      <c r="K323" s="13" t="s">
        <v>430</v>
      </c>
      <c r="L323" s="13" t="s">
        <v>700</v>
      </c>
      <c r="M323" s="66" t="s">
        <v>258</v>
      </c>
      <c r="N323" s="66" t="s">
        <v>379</v>
      </c>
      <c r="O323" s="66" t="s">
        <v>399</v>
      </c>
      <c r="P323" s="0" t="s">
        <v>1342</v>
      </c>
      <c r="Q323" s="66" t="s">
        <v>995</v>
      </c>
    </row>
    <row r="324" customFormat="false" ht="14.25" hidden="false" customHeight="false" outlineLevel="0" collapsed="false">
      <c r="A324" s="13" t="s">
        <v>814</v>
      </c>
      <c r="B324" s="13" t="s">
        <v>542</v>
      </c>
      <c r="C324" s="13" t="s">
        <v>551</v>
      </c>
      <c r="D324" s="61" t="n">
        <v>45965.2708333333</v>
      </c>
      <c r="E324" s="61" t="n">
        <v>45965.2708333333</v>
      </c>
      <c r="F324" s="61" t="n">
        <v>45965.3402777778</v>
      </c>
      <c r="G324" s="62" t="n">
        <v>0.0798611111094942</v>
      </c>
      <c r="H324" s="13" t="s">
        <v>248</v>
      </c>
      <c r="J324" s="13" t="s">
        <v>256</v>
      </c>
      <c r="K324" s="13" t="s">
        <v>430</v>
      </c>
      <c r="L324" s="13" t="s">
        <v>700</v>
      </c>
      <c r="M324" s="66" t="s">
        <v>258</v>
      </c>
      <c r="N324" s="66" t="s">
        <v>379</v>
      </c>
      <c r="O324" s="66" t="s">
        <v>399</v>
      </c>
      <c r="P324" s="0" t="s">
        <v>1343</v>
      </c>
      <c r="Q324" s="66" t="s">
        <v>995</v>
      </c>
    </row>
    <row r="325" customFormat="false" ht="14.25" hidden="false" customHeight="false" outlineLevel="0" collapsed="false">
      <c r="A325" s="13" t="s">
        <v>815</v>
      </c>
      <c r="B325" s="13" t="s">
        <v>542</v>
      </c>
      <c r="C325" s="13" t="s">
        <v>552</v>
      </c>
      <c r="D325" s="61" t="n">
        <v>45965.2708333333</v>
      </c>
      <c r="E325" s="61" t="n">
        <v>45965.2708333333</v>
      </c>
      <c r="F325" s="61" t="n">
        <v>45965.3402777778</v>
      </c>
      <c r="G325" s="62" t="n">
        <v>0.0798611111094942</v>
      </c>
      <c r="H325" s="13" t="s">
        <v>248</v>
      </c>
      <c r="J325" s="13" t="s">
        <v>256</v>
      </c>
      <c r="K325" s="13" t="s">
        <v>430</v>
      </c>
      <c r="L325" s="13" t="s">
        <v>700</v>
      </c>
      <c r="M325" s="66" t="s">
        <v>258</v>
      </c>
      <c r="N325" s="66" t="s">
        <v>379</v>
      </c>
      <c r="O325" s="66" t="s">
        <v>399</v>
      </c>
      <c r="P325" s="0" t="s">
        <v>1344</v>
      </c>
      <c r="Q325" s="66" t="s">
        <v>995</v>
      </c>
    </row>
    <row r="326" customFormat="false" ht="14.25" hidden="false" customHeight="false" outlineLevel="0" collapsed="false">
      <c r="A326" s="13" t="s">
        <v>815</v>
      </c>
      <c r="B326" s="13" t="s">
        <v>542</v>
      </c>
      <c r="C326" s="13" t="s">
        <v>553</v>
      </c>
      <c r="D326" s="61" t="n">
        <v>45965.2708333333</v>
      </c>
      <c r="E326" s="61" t="n">
        <v>45965.2708333333</v>
      </c>
      <c r="F326" s="61" t="n">
        <v>45965.3402777778</v>
      </c>
      <c r="G326" s="62" t="n">
        <v>0.0798611111094942</v>
      </c>
      <c r="H326" s="13" t="s">
        <v>248</v>
      </c>
      <c r="J326" s="13" t="s">
        <v>256</v>
      </c>
      <c r="K326" s="13" t="s">
        <v>430</v>
      </c>
      <c r="L326" s="13" t="s">
        <v>700</v>
      </c>
      <c r="M326" s="66" t="s">
        <v>258</v>
      </c>
      <c r="N326" s="66" t="s">
        <v>379</v>
      </c>
      <c r="O326" s="66" t="s">
        <v>399</v>
      </c>
      <c r="P326" s="0" t="s">
        <v>1345</v>
      </c>
      <c r="Q326" s="66" t="s">
        <v>995</v>
      </c>
    </row>
    <row r="327" customFormat="false" ht="14.25" hidden="false" customHeight="false" outlineLevel="0" collapsed="false">
      <c r="A327" s="13" t="s">
        <v>815</v>
      </c>
      <c r="B327" s="13" t="s">
        <v>542</v>
      </c>
      <c r="C327" s="13" t="s">
        <v>554</v>
      </c>
      <c r="D327" s="61" t="n">
        <v>45965.2708333333</v>
      </c>
      <c r="E327" s="61" t="n">
        <v>45965.2708333333</v>
      </c>
      <c r="F327" s="61" t="n">
        <v>45965.3402777778</v>
      </c>
      <c r="G327" s="62" t="n">
        <v>0.0798611111094942</v>
      </c>
      <c r="H327" s="13" t="s">
        <v>248</v>
      </c>
      <c r="J327" s="13" t="s">
        <v>256</v>
      </c>
      <c r="K327" s="13" t="s">
        <v>430</v>
      </c>
      <c r="L327" s="13" t="s">
        <v>700</v>
      </c>
      <c r="M327" s="66" t="s">
        <v>258</v>
      </c>
      <c r="N327" s="66" t="s">
        <v>379</v>
      </c>
      <c r="O327" s="66" t="s">
        <v>399</v>
      </c>
      <c r="P327" s="0" t="s">
        <v>1346</v>
      </c>
      <c r="Q327" s="66" t="s">
        <v>995</v>
      </c>
    </row>
    <row r="328" customFormat="false" ht="14.25" hidden="false" customHeight="false" outlineLevel="0" collapsed="false">
      <c r="A328" s="13" t="s">
        <v>815</v>
      </c>
      <c r="B328" s="13" t="s">
        <v>542</v>
      </c>
      <c r="C328" s="13" t="s">
        <v>555</v>
      </c>
      <c r="D328" s="61" t="n">
        <v>45965.2708333333</v>
      </c>
      <c r="E328" s="61" t="n">
        <v>45965.2708333333</v>
      </c>
      <c r="F328" s="61" t="n">
        <v>45965.3402777778</v>
      </c>
      <c r="G328" s="62" t="n">
        <v>0.0798611111094942</v>
      </c>
      <c r="H328" s="13" t="s">
        <v>248</v>
      </c>
      <c r="J328" s="13" t="s">
        <v>256</v>
      </c>
      <c r="K328" s="13" t="s">
        <v>430</v>
      </c>
      <c r="L328" s="13" t="s">
        <v>700</v>
      </c>
      <c r="M328" s="66" t="s">
        <v>258</v>
      </c>
      <c r="N328" s="66" t="s">
        <v>379</v>
      </c>
      <c r="O328" s="66" t="s">
        <v>399</v>
      </c>
      <c r="P328" s="0" t="s">
        <v>1347</v>
      </c>
      <c r="Q328" s="66" t="s">
        <v>995</v>
      </c>
    </row>
    <row r="329" customFormat="false" ht="14.25" hidden="false" customHeight="false" outlineLevel="0" collapsed="false">
      <c r="A329" s="13" t="s">
        <v>815</v>
      </c>
      <c r="B329" s="13" t="s">
        <v>542</v>
      </c>
      <c r="C329" s="13" t="s">
        <v>556</v>
      </c>
      <c r="D329" s="61" t="n">
        <v>45965.2708333333</v>
      </c>
      <c r="E329" s="61" t="n">
        <v>45965.2708333333</v>
      </c>
      <c r="F329" s="61" t="n">
        <v>45965.3402777778</v>
      </c>
      <c r="G329" s="62" t="n">
        <v>0.0798611111094942</v>
      </c>
      <c r="H329" s="13" t="s">
        <v>248</v>
      </c>
      <c r="J329" s="13" t="s">
        <v>256</v>
      </c>
      <c r="K329" s="13" t="s">
        <v>430</v>
      </c>
      <c r="L329" s="13" t="s">
        <v>700</v>
      </c>
      <c r="M329" s="66" t="s">
        <v>258</v>
      </c>
      <c r="N329" s="66" t="s">
        <v>379</v>
      </c>
      <c r="O329" s="66" t="s">
        <v>399</v>
      </c>
      <c r="P329" s="0" t="s">
        <v>1348</v>
      </c>
      <c r="Q329" s="66" t="s">
        <v>995</v>
      </c>
    </row>
    <row r="330" customFormat="false" ht="14.25" hidden="false" customHeight="false" outlineLevel="0" collapsed="false">
      <c r="A330" s="13" t="s">
        <v>815</v>
      </c>
      <c r="B330" s="13" t="s">
        <v>542</v>
      </c>
      <c r="C330" s="13" t="s">
        <v>557</v>
      </c>
      <c r="D330" s="61" t="n">
        <v>45965.2708333333</v>
      </c>
      <c r="E330" s="61" t="n">
        <v>45965.2708333333</v>
      </c>
      <c r="F330" s="61" t="n">
        <v>45965.3402777778</v>
      </c>
      <c r="G330" s="62" t="n">
        <v>0.0798611111094942</v>
      </c>
      <c r="H330" s="13" t="s">
        <v>248</v>
      </c>
      <c r="J330" s="13" t="s">
        <v>256</v>
      </c>
      <c r="K330" s="13" t="s">
        <v>430</v>
      </c>
      <c r="L330" s="13" t="s">
        <v>700</v>
      </c>
      <c r="M330" s="66" t="s">
        <v>258</v>
      </c>
      <c r="N330" s="66" t="s">
        <v>379</v>
      </c>
      <c r="O330" s="66" t="s">
        <v>399</v>
      </c>
      <c r="P330" s="0" t="s">
        <v>1349</v>
      </c>
      <c r="Q330" s="66" t="s">
        <v>995</v>
      </c>
    </row>
    <row r="331" customFormat="false" ht="14.25" hidden="false" customHeight="false" outlineLevel="0" collapsed="false">
      <c r="A331" s="13" t="s">
        <v>815</v>
      </c>
      <c r="B331" s="13" t="s">
        <v>542</v>
      </c>
      <c r="C331" s="13" t="s">
        <v>558</v>
      </c>
      <c r="D331" s="61" t="n">
        <v>45965.2708333333</v>
      </c>
      <c r="E331" s="61" t="n">
        <v>45965.2708333333</v>
      </c>
      <c r="F331" s="61" t="n">
        <v>45965.3402777778</v>
      </c>
      <c r="G331" s="62" t="n">
        <v>0.0798611111094942</v>
      </c>
      <c r="H331" s="13" t="s">
        <v>248</v>
      </c>
      <c r="J331" s="13" t="s">
        <v>256</v>
      </c>
      <c r="K331" s="13" t="s">
        <v>430</v>
      </c>
      <c r="L331" s="13" t="s">
        <v>700</v>
      </c>
      <c r="M331" s="66" t="s">
        <v>258</v>
      </c>
      <c r="N331" s="66" t="s">
        <v>379</v>
      </c>
      <c r="O331" s="66" t="s">
        <v>399</v>
      </c>
      <c r="P331" s="0" t="s">
        <v>1350</v>
      </c>
      <c r="Q331" s="66" t="s">
        <v>995</v>
      </c>
    </row>
    <row r="332" customFormat="false" ht="14.25" hidden="false" customHeight="false" outlineLevel="0" collapsed="false">
      <c r="A332" s="13" t="s">
        <v>828</v>
      </c>
      <c r="B332" s="13" t="s">
        <v>542</v>
      </c>
      <c r="C332" s="13" t="s">
        <v>559</v>
      </c>
      <c r="D332" s="61" t="n">
        <v>45965.2708333333</v>
      </c>
      <c r="E332" s="61" t="n">
        <v>45965.2708333333</v>
      </c>
      <c r="F332" s="61" t="n">
        <v>45965.3402777778</v>
      </c>
      <c r="G332" s="62" t="n">
        <v>0.0798611111094942</v>
      </c>
      <c r="H332" s="13" t="s">
        <v>248</v>
      </c>
      <c r="J332" s="13" t="s">
        <v>256</v>
      </c>
      <c r="K332" s="13" t="s">
        <v>430</v>
      </c>
      <c r="L332" s="13" t="s">
        <v>700</v>
      </c>
      <c r="M332" s="66" t="s">
        <v>258</v>
      </c>
      <c r="N332" s="66" t="s">
        <v>379</v>
      </c>
      <c r="O332" s="66" t="s">
        <v>399</v>
      </c>
      <c r="P332" s="0" t="s">
        <v>1351</v>
      </c>
      <c r="Q332" s="66" t="s">
        <v>995</v>
      </c>
    </row>
    <row r="333" customFormat="false" ht="14.25" hidden="false" customHeight="false" outlineLevel="0" collapsed="false">
      <c r="A333" s="13" t="s">
        <v>828</v>
      </c>
      <c r="B333" s="13" t="s">
        <v>542</v>
      </c>
      <c r="C333" s="13" t="s">
        <v>560</v>
      </c>
      <c r="D333" s="61" t="n">
        <v>45965.2708333333</v>
      </c>
      <c r="E333" s="61" t="n">
        <v>45965.2708333333</v>
      </c>
      <c r="F333" s="61" t="n">
        <v>45965.3402777778</v>
      </c>
      <c r="G333" s="62" t="n">
        <v>0.0798611111094942</v>
      </c>
      <c r="H333" s="13" t="s">
        <v>248</v>
      </c>
      <c r="J333" s="13" t="s">
        <v>256</v>
      </c>
      <c r="K333" s="13" t="s">
        <v>430</v>
      </c>
      <c r="L333" s="13" t="s">
        <v>700</v>
      </c>
      <c r="M333" s="66" t="s">
        <v>258</v>
      </c>
      <c r="N333" s="66" t="s">
        <v>379</v>
      </c>
      <c r="O333" s="66" t="s">
        <v>399</v>
      </c>
      <c r="P333" s="0" t="s">
        <v>1352</v>
      </c>
      <c r="Q333" s="66" t="s">
        <v>995</v>
      </c>
    </row>
    <row r="334" customFormat="false" ht="14.25" hidden="false" customHeight="false" outlineLevel="0" collapsed="false">
      <c r="A334" s="13" t="s">
        <v>828</v>
      </c>
      <c r="B334" s="13" t="s">
        <v>542</v>
      </c>
      <c r="C334" s="13" t="s">
        <v>561</v>
      </c>
      <c r="D334" s="61" t="n">
        <v>45965.2708333333</v>
      </c>
      <c r="E334" s="61" t="n">
        <v>45965.2708333333</v>
      </c>
      <c r="F334" s="61" t="n">
        <v>45965.3402777778</v>
      </c>
      <c r="G334" s="62" t="n">
        <v>0.0798611111094942</v>
      </c>
      <c r="H334" s="13" t="s">
        <v>248</v>
      </c>
      <c r="J334" s="13" t="s">
        <v>256</v>
      </c>
      <c r="K334" s="13" t="s">
        <v>430</v>
      </c>
      <c r="L334" s="13" t="s">
        <v>700</v>
      </c>
      <c r="M334" s="66" t="s">
        <v>258</v>
      </c>
      <c r="N334" s="66" t="s">
        <v>379</v>
      </c>
      <c r="O334" s="66" t="s">
        <v>399</v>
      </c>
      <c r="P334" s="0" t="s">
        <v>1353</v>
      </c>
      <c r="Q334" s="66" t="s">
        <v>995</v>
      </c>
    </row>
    <row r="335" customFormat="false" ht="14.25" hidden="false" customHeight="false" outlineLevel="0" collapsed="false">
      <c r="A335" s="13" t="s">
        <v>828</v>
      </c>
      <c r="B335" s="13" t="s">
        <v>542</v>
      </c>
      <c r="C335" s="13" t="s">
        <v>562</v>
      </c>
      <c r="D335" s="61" t="n">
        <v>45965.2708333333</v>
      </c>
      <c r="E335" s="61" t="n">
        <v>45965.2708333333</v>
      </c>
      <c r="F335" s="61" t="n">
        <v>45965.3402777778</v>
      </c>
      <c r="G335" s="62" t="n">
        <v>0.0798611111094942</v>
      </c>
      <c r="H335" s="13" t="s">
        <v>248</v>
      </c>
      <c r="J335" s="13" t="s">
        <v>256</v>
      </c>
      <c r="K335" s="13" t="s">
        <v>430</v>
      </c>
      <c r="L335" s="13" t="s">
        <v>700</v>
      </c>
      <c r="M335" s="66" t="s">
        <v>258</v>
      </c>
      <c r="N335" s="66" t="s">
        <v>379</v>
      </c>
      <c r="O335" s="66" t="s">
        <v>399</v>
      </c>
      <c r="P335" s="0" t="s">
        <v>1354</v>
      </c>
      <c r="Q335" s="66" t="s">
        <v>995</v>
      </c>
    </row>
    <row r="336" customFormat="false" ht="14.25" hidden="false" customHeight="false" outlineLevel="0" collapsed="false">
      <c r="A336" s="13" t="s">
        <v>828</v>
      </c>
      <c r="B336" s="13" t="s">
        <v>542</v>
      </c>
      <c r="C336" s="13" t="s">
        <v>563</v>
      </c>
      <c r="D336" s="61" t="n">
        <v>45965.2708333333</v>
      </c>
      <c r="E336" s="61" t="n">
        <v>45965.2708333333</v>
      </c>
      <c r="F336" s="61" t="n">
        <v>45965.3402777778</v>
      </c>
      <c r="G336" s="62" t="n">
        <v>0.0798611111094942</v>
      </c>
      <c r="H336" s="13" t="s">
        <v>248</v>
      </c>
      <c r="J336" s="13" t="s">
        <v>256</v>
      </c>
      <c r="K336" s="13" t="s">
        <v>430</v>
      </c>
      <c r="L336" s="13" t="s">
        <v>700</v>
      </c>
      <c r="M336" s="66" t="s">
        <v>258</v>
      </c>
      <c r="N336" s="66" t="s">
        <v>379</v>
      </c>
      <c r="O336" s="66" t="s">
        <v>399</v>
      </c>
      <c r="P336" s="0" t="s">
        <v>1355</v>
      </c>
      <c r="Q336" s="66" t="s">
        <v>995</v>
      </c>
    </row>
    <row r="337" customFormat="false" ht="14.25" hidden="false" customHeight="false" outlineLevel="0" collapsed="false">
      <c r="A337" s="13" t="s">
        <v>829</v>
      </c>
      <c r="B337" s="13" t="s">
        <v>542</v>
      </c>
      <c r="C337" s="13" t="s">
        <v>564</v>
      </c>
      <c r="D337" s="61" t="n">
        <v>45965.2708333333</v>
      </c>
      <c r="E337" s="61" t="n">
        <v>45965.2708333333</v>
      </c>
      <c r="F337" s="61" t="n">
        <v>45965.3402777778</v>
      </c>
      <c r="G337" s="62" t="n">
        <v>0.0798611111094942</v>
      </c>
      <c r="H337" s="13" t="s">
        <v>248</v>
      </c>
      <c r="J337" s="13" t="s">
        <v>256</v>
      </c>
      <c r="K337" s="13" t="s">
        <v>430</v>
      </c>
      <c r="L337" s="13" t="s">
        <v>700</v>
      </c>
      <c r="M337" s="66" t="s">
        <v>258</v>
      </c>
      <c r="N337" s="66" t="s">
        <v>379</v>
      </c>
      <c r="O337" s="66" t="s">
        <v>399</v>
      </c>
      <c r="P337" s="0" t="s">
        <v>1356</v>
      </c>
      <c r="Q337" s="66" t="s">
        <v>995</v>
      </c>
    </row>
    <row r="338" customFormat="false" ht="14.25" hidden="false" customHeight="false" outlineLevel="0" collapsed="false">
      <c r="A338" s="13" t="s">
        <v>829</v>
      </c>
      <c r="B338" s="13" t="s">
        <v>542</v>
      </c>
      <c r="C338" s="13" t="s">
        <v>565</v>
      </c>
      <c r="D338" s="61" t="n">
        <v>45965.2708333333</v>
      </c>
      <c r="E338" s="61" t="n">
        <v>45965.2708333333</v>
      </c>
      <c r="F338" s="61" t="n">
        <v>45965.3402777778</v>
      </c>
      <c r="G338" s="62" t="n">
        <v>0.0798611111094942</v>
      </c>
      <c r="H338" s="13" t="s">
        <v>248</v>
      </c>
      <c r="J338" s="13" t="s">
        <v>256</v>
      </c>
      <c r="K338" s="13" t="s">
        <v>430</v>
      </c>
      <c r="L338" s="13" t="s">
        <v>700</v>
      </c>
      <c r="M338" s="66" t="s">
        <v>258</v>
      </c>
      <c r="N338" s="66" t="s">
        <v>379</v>
      </c>
      <c r="O338" s="66" t="s">
        <v>399</v>
      </c>
      <c r="P338" s="0" t="s">
        <v>1357</v>
      </c>
      <c r="Q338" s="66" t="s">
        <v>995</v>
      </c>
    </row>
    <row r="339" customFormat="false" ht="14.25" hidden="false" customHeight="false" outlineLevel="0" collapsed="false">
      <c r="A339" s="13" t="s">
        <v>829</v>
      </c>
      <c r="B339" s="13" t="s">
        <v>542</v>
      </c>
      <c r="C339" s="13" t="s">
        <v>566</v>
      </c>
      <c r="D339" s="61" t="n">
        <v>45965.2708333333</v>
      </c>
      <c r="E339" s="61" t="n">
        <v>45965.2708333333</v>
      </c>
      <c r="F339" s="61" t="n">
        <v>45965.3402777778</v>
      </c>
      <c r="G339" s="62" t="n">
        <v>0.0798611111094942</v>
      </c>
      <c r="H339" s="13" t="s">
        <v>248</v>
      </c>
      <c r="J339" s="13" t="s">
        <v>256</v>
      </c>
      <c r="K339" s="13" t="s">
        <v>430</v>
      </c>
      <c r="L339" s="13" t="s">
        <v>700</v>
      </c>
      <c r="M339" s="66" t="s">
        <v>258</v>
      </c>
      <c r="N339" s="66" t="s">
        <v>379</v>
      </c>
      <c r="O339" s="66" t="s">
        <v>399</v>
      </c>
      <c r="P339" s="0" t="s">
        <v>1358</v>
      </c>
      <c r="Q339" s="66" t="s">
        <v>995</v>
      </c>
    </row>
    <row r="340" customFormat="false" ht="14.25" hidden="false" customHeight="false" outlineLevel="0" collapsed="false">
      <c r="A340" s="13" t="s">
        <v>829</v>
      </c>
      <c r="B340" s="13" t="s">
        <v>542</v>
      </c>
      <c r="C340" s="13" t="s">
        <v>567</v>
      </c>
      <c r="D340" s="61" t="n">
        <v>45965.2708333333</v>
      </c>
      <c r="E340" s="61" t="n">
        <v>45965.2708333333</v>
      </c>
      <c r="F340" s="61" t="n">
        <v>45965.3402777778</v>
      </c>
      <c r="G340" s="62" t="n">
        <v>0.0798611111094942</v>
      </c>
      <c r="H340" s="13" t="s">
        <v>248</v>
      </c>
      <c r="J340" s="13" t="s">
        <v>256</v>
      </c>
      <c r="K340" s="13" t="s">
        <v>430</v>
      </c>
      <c r="L340" s="13" t="s">
        <v>700</v>
      </c>
      <c r="M340" s="66" t="s">
        <v>258</v>
      </c>
      <c r="N340" s="66" t="s">
        <v>379</v>
      </c>
      <c r="O340" s="66" t="s">
        <v>399</v>
      </c>
      <c r="P340" s="0" t="s">
        <v>1359</v>
      </c>
      <c r="Q340" s="66" t="s">
        <v>995</v>
      </c>
    </row>
    <row r="341" customFormat="false" ht="14.25" hidden="false" customHeight="false" outlineLevel="0" collapsed="false">
      <c r="A341" s="13" t="s">
        <v>830</v>
      </c>
      <c r="B341" s="13" t="s">
        <v>542</v>
      </c>
      <c r="C341" s="13" t="s">
        <v>568</v>
      </c>
      <c r="D341" s="61" t="n">
        <v>45965.2708333333</v>
      </c>
      <c r="E341" s="61" t="n">
        <v>45965.2708333333</v>
      </c>
      <c r="F341" s="61" t="n">
        <v>45965.3402777778</v>
      </c>
      <c r="G341" s="62" t="n">
        <v>0.0798611111094942</v>
      </c>
      <c r="H341" s="13" t="s">
        <v>248</v>
      </c>
      <c r="J341" s="13" t="s">
        <v>256</v>
      </c>
      <c r="K341" s="13" t="s">
        <v>430</v>
      </c>
      <c r="L341" s="13" t="s">
        <v>700</v>
      </c>
      <c r="M341" s="66" t="s">
        <v>258</v>
      </c>
      <c r="N341" s="66" t="s">
        <v>379</v>
      </c>
      <c r="O341" s="66" t="s">
        <v>399</v>
      </c>
      <c r="P341" s="0" t="s">
        <v>1360</v>
      </c>
      <c r="Q341" s="66" t="s">
        <v>995</v>
      </c>
    </row>
    <row r="342" customFormat="false" ht="14.25" hidden="false" customHeight="false" outlineLevel="0" collapsed="false">
      <c r="A342" s="13" t="s">
        <v>830</v>
      </c>
      <c r="B342" s="13" t="s">
        <v>542</v>
      </c>
      <c r="C342" s="13" t="s">
        <v>569</v>
      </c>
      <c r="D342" s="61" t="n">
        <v>45965.2708333333</v>
      </c>
      <c r="E342" s="61" t="n">
        <v>45965.2708333333</v>
      </c>
      <c r="F342" s="61" t="n">
        <v>45965.3402777778</v>
      </c>
      <c r="G342" s="62" t="n">
        <v>0.0798611111094942</v>
      </c>
      <c r="H342" s="13" t="s">
        <v>248</v>
      </c>
      <c r="J342" s="13" t="s">
        <v>256</v>
      </c>
      <c r="K342" s="13" t="s">
        <v>430</v>
      </c>
      <c r="L342" s="13" t="s">
        <v>700</v>
      </c>
      <c r="M342" s="66" t="s">
        <v>258</v>
      </c>
      <c r="N342" s="66" t="s">
        <v>379</v>
      </c>
      <c r="O342" s="66" t="s">
        <v>399</v>
      </c>
      <c r="P342" s="0" t="s">
        <v>1361</v>
      </c>
      <c r="Q342" s="66" t="s">
        <v>995</v>
      </c>
    </row>
    <row r="343" customFormat="false" ht="14.25" hidden="false" customHeight="false" outlineLevel="0" collapsed="false">
      <c r="A343" s="13" t="s">
        <v>830</v>
      </c>
      <c r="B343" s="13" t="s">
        <v>542</v>
      </c>
      <c r="C343" s="13" t="s">
        <v>570</v>
      </c>
      <c r="D343" s="61" t="n">
        <v>45965.2708333333</v>
      </c>
      <c r="E343" s="61" t="n">
        <v>45965.2708333333</v>
      </c>
      <c r="F343" s="61" t="n">
        <v>45965.3402777778</v>
      </c>
      <c r="G343" s="62" t="n">
        <v>0.0798611111094942</v>
      </c>
      <c r="H343" s="13" t="s">
        <v>248</v>
      </c>
      <c r="J343" s="13" t="s">
        <v>256</v>
      </c>
      <c r="K343" s="13" t="s">
        <v>430</v>
      </c>
      <c r="L343" s="13" t="s">
        <v>700</v>
      </c>
      <c r="M343" s="66" t="s">
        <v>258</v>
      </c>
      <c r="N343" s="66" t="s">
        <v>379</v>
      </c>
      <c r="O343" s="66" t="s">
        <v>399</v>
      </c>
      <c r="P343" s="0" t="s">
        <v>1362</v>
      </c>
      <c r="Q343" s="66" t="s">
        <v>995</v>
      </c>
    </row>
    <row r="344" customFormat="false" ht="14.25" hidden="false" customHeight="false" outlineLevel="0" collapsed="false">
      <c r="A344" s="13" t="s">
        <v>830</v>
      </c>
      <c r="B344" s="13" t="s">
        <v>542</v>
      </c>
      <c r="C344" s="13" t="s">
        <v>571</v>
      </c>
      <c r="D344" s="61" t="n">
        <v>45965.2708333333</v>
      </c>
      <c r="E344" s="61" t="n">
        <v>45965.2708333333</v>
      </c>
      <c r="F344" s="61" t="n">
        <v>45965.3402777778</v>
      </c>
      <c r="G344" s="62" t="n">
        <v>0.0798611111094942</v>
      </c>
      <c r="H344" s="13" t="s">
        <v>248</v>
      </c>
      <c r="J344" s="13" t="s">
        <v>256</v>
      </c>
      <c r="K344" s="13" t="s">
        <v>430</v>
      </c>
      <c r="L344" s="13" t="s">
        <v>700</v>
      </c>
      <c r="M344" s="66" t="s">
        <v>258</v>
      </c>
      <c r="N344" s="66" t="s">
        <v>379</v>
      </c>
      <c r="O344" s="66" t="s">
        <v>399</v>
      </c>
      <c r="P344" s="0" t="s">
        <v>1363</v>
      </c>
      <c r="Q344" s="66" t="s">
        <v>995</v>
      </c>
    </row>
    <row r="345" customFormat="false" ht="14.25" hidden="false" customHeight="false" outlineLevel="0" collapsed="false">
      <c r="A345" s="13" t="s">
        <v>830</v>
      </c>
      <c r="B345" s="13" t="s">
        <v>542</v>
      </c>
      <c r="C345" s="13" t="s">
        <v>572</v>
      </c>
      <c r="D345" s="61" t="n">
        <v>45965.2708333333</v>
      </c>
      <c r="E345" s="61" t="n">
        <v>45965.2708333333</v>
      </c>
      <c r="F345" s="61" t="n">
        <v>45965.3402777778</v>
      </c>
      <c r="G345" s="62" t="n">
        <v>0.0798611111094942</v>
      </c>
      <c r="H345" s="13" t="s">
        <v>248</v>
      </c>
      <c r="J345" s="13" t="s">
        <v>256</v>
      </c>
      <c r="K345" s="13" t="s">
        <v>430</v>
      </c>
      <c r="L345" s="13" t="s">
        <v>700</v>
      </c>
      <c r="M345" s="66" t="s">
        <v>258</v>
      </c>
      <c r="N345" s="66" t="s">
        <v>379</v>
      </c>
      <c r="O345" s="66" t="s">
        <v>399</v>
      </c>
      <c r="P345" s="0" t="s">
        <v>1364</v>
      </c>
      <c r="Q345" s="66" t="s">
        <v>995</v>
      </c>
    </row>
    <row r="346" customFormat="false" ht="14.25" hidden="false" customHeight="false" outlineLevel="0" collapsed="false">
      <c r="A346" s="13" t="s">
        <v>578</v>
      </c>
      <c r="B346" s="13" t="s">
        <v>578</v>
      </c>
      <c r="C346" s="13" t="s">
        <v>396</v>
      </c>
      <c r="D346" s="61" t="n">
        <v>45965.2708333333</v>
      </c>
      <c r="E346" s="61" t="n">
        <v>45965.2708333333</v>
      </c>
      <c r="F346" s="61" t="n">
        <v>45965.3402777778</v>
      </c>
      <c r="G346" s="62" t="n">
        <v>0.0798611111094942</v>
      </c>
      <c r="H346" s="13" t="s">
        <v>248</v>
      </c>
      <c r="J346" s="13" t="s">
        <v>256</v>
      </c>
      <c r="K346" s="13" t="s">
        <v>430</v>
      </c>
      <c r="L346" s="13" t="s">
        <v>700</v>
      </c>
      <c r="M346" s="66" t="s">
        <v>258</v>
      </c>
      <c r="N346" s="66" t="s">
        <v>379</v>
      </c>
      <c r="O346" s="66" t="s">
        <v>399</v>
      </c>
      <c r="P346" s="0" t="s">
        <v>1365</v>
      </c>
      <c r="Q346" s="66" t="s">
        <v>995</v>
      </c>
    </row>
    <row r="347" customFormat="false" ht="14.25" hidden="false" customHeight="false" outlineLevel="0" collapsed="false">
      <c r="A347" s="13" t="s">
        <v>578</v>
      </c>
      <c r="B347" s="13" t="s">
        <v>578</v>
      </c>
      <c r="C347" s="13" t="s">
        <v>397</v>
      </c>
      <c r="D347" s="61" t="n">
        <v>45965.2708333333</v>
      </c>
      <c r="E347" s="61" t="n">
        <v>45965.2708333333</v>
      </c>
      <c r="F347" s="61" t="n">
        <v>45965.3402777778</v>
      </c>
      <c r="G347" s="62" t="n">
        <v>0.0798611111094942</v>
      </c>
      <c r="H347" s="13" t="s">
        <v>248</v>
      </c>
      <c r="J347" s="13" t="s">
        <v>256</v>
      </c>
      <c r="K347" s="13" t="s">
        <v>430</v>
      </c>
      <c r="L347" s="13" t="s">
        <v>700</v>
      </c>
      <c r="M347" s="66" t="s">
        <v>258</v>
      </c>
      <c r="N347" s="66" t="s">
        <v>379</v>
      </c>
      <c r="O347" s="66" t="s">
        <v>399</v>
      </c>
      <c r="P347" s="0" t="s">
        <v>1366</v>
      </c>
      <c r="Q347" s="66" t="s">
        <v>995</v>
      </c>
    </row>
    <row r="348" customFormat="false" ht="14.25" hidden="false" customHeight="false" outlineLevel="0" collapsed="false">
      <c r="A348" s="13" t="s">
        <v>578</v>
      </c>
      <c r="B348" s="13" t="s">
        <v>578</v>
      </c>
      <c r="C348" s="13" t="s">
        <v>394</v>
      </c>
      <c r="D348" s="61" t="n">
        <v>45965.2708333333</v>
      </c>
      <c r="E348" s="61" t="n">
        <v>45965.2708333333</v>
      </c>
      <c r="F348" s="61" t="n">
        <v>45965.3402777778</v>
      </c>
      <c r="G348" s="62" t="n">
        <v>0.0798611111094942</v>
      </c>
      <c r="H348" s="13" t="s">
        <v>248</v>
      </c>
      <c r="J348" s="13" t="s">
        <v>256</v>
      </c>
      <c r="K348" s="13" t="s">
        <v>430</v>
      </c>
      <c r="L348" s="13" t="s">
        <v>700</v>
      </c>
      <c r="M348" s="66" t="s">
        <v>258</v>
      </c>
      <c r="N348" s="66" t="s">
        <v>379</v>
      </c>
      <c r="O348" s="66" t="s">
        <v>399</v>
      </c>
      <c r="P348" s="0" t="s">
        <v>1367</v>
      </c>
      <c r="Q348" s="66" t="s">
        <v>995</v>
      </c>
    </row>
    <row r="349" customFormat="false" ht="14.25" hidden="false" customHeight="false" outlineLevel="0" collapsed="false">
      <c r="A349" s="13" t="s">
        <v>578</v>
      </c>
      <c r="B349" s="13" t="s">
        <v>578</v>
      </c>
      <c r="C349" s="13" t="s">
        <v>395</v>
      </c>
      <c r="D349" s="61" t="n">
        <v>45965.2708333333</v>
      </c>
      <c r="E349" s="61" t="n">
        <v>45965.2708333333</v>
      </c>
      <c r="F349" s="61" t="n">
        <v>45965.3402777778</v>
      </c>
      <c r="G349" s="62" t="n">
        <v>0.0798611111094942</v>
      </c>
      <c r="H349" s="13" t="s">
        <v>248</v>
      </c>
      <c r="J349" s="13" t="s">
        <v>256</v>
      </c>
      <c r="K349" s="13" t="s">
        <v>430</v>
      </c>
      <c r="L349" s="13" t="s">
        <v>700</v>
      </c>
      <c r="M349" s="66" t="s">
        <v>258</v>
      </c>
      <c r="N349" s="66" t="s">
        <v>379</v>
      </c>
      <c r="O349" s="66" t="s">
        <v>399</v>
      </c>
      <c r="P349" s="0" t="s">
        <v>1368</v>
      </c>
      <c r="Q349" s="66" t="s">
        <v>995</v>
      </c>
    </row>
    <row r="350" customFormat="false" ht="14.25" hidden="false" customHeight="false" outlineLevel="0" collapsed="false">
      <c r="A350" s="13" t="s">
        <v>578</v>
      </c>
      <c r="B350" s="13" t="s">
        <v>578</v>
      </c>
      <c r="C350" s="13" t="s">
        <v>391</v>
      </c>
      <c r="D350" s="61" t="n">
        <v>45965.2708333333</v>
      </c>
      <c r="E350" s="61" t="n">
        <v>45965.2708333333</v>
      </c>
      <c r="F350" s="61" t="n">
        <v>45965.3402777778</v>
      </c>
      <c r="G350" s="62" t="n">
        <v>0.0798611111094942</v>
      </c>
      <c r="H350" s="13" t="s">
        <v>248</v>
      </c>
      <c r="J350" s="13" t="s">
        <v>256</v>
      </c>
      <c r="K350" s="13" t="s">
        <v>430</v>
      </c>
      <c r="L350" s="13" t="s">
        <v>700</v>
      </c>
      <c r="M350" s="66" t="s">
        <v>258</v>
      </c>
      <c r="N350" s="66" t="s">
        <v>379</v>
      </c>
      <c r="O350" s="66" t="s">
        <v>399</v>
      </c>
      <c r="P350" s="0" t="s">
        <v>1369</v>
      </c>
      <c r="Q350" s="66" t="s">
        <v>995</v>
      </c>
    </row>
    <row r="351" customFormat="false" ht="14.25" hidden="false" customHeight="false" outlineLevel="0" collapsed="false">
      <c r="A351" s="13" t="s">
        <v>579</v>
      </c>
      <c r="B351" s="13" t="s">
        <v>579</v>
      </c>
      <c r="C351" s="13" t="s">
        <v>396</v>
      </c>
      <c r="D351" s="61" t="n">
        <v>45965.2708333333</v>
      </c>
      <c r="E351" s="61" t="n">
        <v>45965.2708333333</v>
      </c>
      <c r="F351" s="61" t="n">
        <v>45965.3402777778</v>
      </c>
      <c r="G351" s="62" t="n">
        <v>0.0798611111094942</v>
      </c>
      <c r="H351" s="13" t="s">
        <v>248</v>
      </c>
      <c r="J351" s="13" t="s">
        <v>256</v>
      </c>
      <c r="K351" s="13" t="s">
        <v>430</v>
      </c>
      <c r="L351" s="13" t="s">
        <v>700</v>
      </c>
      <c r="M351" s="66" t="s">
        <v>258</v>
      </c>
      <c r="N351" s="66" t="s">
        <v>379</v>
      </c>
      <c r="O351" s="66" t="s">
        <v>399</v>
      </c>
      <c r="P351" s="0" t="s">
        <v>1370</v>
      </c>
      <c r="Q351" s="66" t="s">
        <v>995</v>
      </c>
    </row>
    <row r="352" customFormat="false" ht="14.25" hidden="false" customHeight="false" outlineLevel="0" collapsed="false">
      <c r="A352" s="13" t="s">
        <v>579</v>
      </c>
      <c r="B352" s="13" t="s">
        <v>579</v>
      </c>
      <c r="C352" s="13" t="s">
        <v>397</v>
      </c>
      <c r="D352" s="61" t="n">
        <v>45965.2708333333</v>
      </c>
      <c r="E352" s="61" t="n">
        <v>45965.2708333333</v>
      </c>
      <c r="F352" s="61" t="n">
        <v>45965.3402777778</v>
      </c>
      <c r="G352" s="62" t="n">
        <v>0.0798611111094942</v>
      </c>
      <c r="H352" s="13" t="s">
        <v>248</v>
      </c>
      <c r="J352" s="13" t="s">
        <v>256</v>
      </c>
      <c r="K352" s="13" t="s">
        <v>430</v>
      </c>
      <c r="L352" s="13" t="s">
        <v>700</v>
      </c>
      <c r="M352" s="66" t="s">
        <v>258</v>
      </c>
      <c r="N352" s="66" t="s">
        <v>379</v>
      </c>
      <c r="O352" s="66" t="s">
        <v>399</v>
      </c>
      <c r="P352" s="0" t="s">
        <v>1371</v>
      </c>
      <c r="Q352" s="66" t="s">
        <v>995</v>
      </c>
    </row>
    <row r="353" customFormat="false" ht="14.25" hidden="false" customHeight="false" outlineLevel="0" collapsed="false">
      <c r="A353" s="13" t="s">
        <v>579</v>
      </c>
      <c r="B353" s="13" t="s">
        <v>579</v>
      </c>
      <c r="C353" s="13" t="s">
        <v>394</v>
      </c>
      <c r="D353" s="61" t="n">
        <v>45965.2708333333</v>
      </c>
      <c r="E353" s="61" t="n">
        <v>45965.2708333333</v>
      </c>
      <c r="F353" s="61" t="n">
        <v>45965.3402777778</v>
      </c>
      <c r="G353" s="62" t="n">
        <v>0.0798611111094942</v>
      </c>
      <c r="H353" s="13" t="s">
        <v>248</v>
      </c>
      <c r="J353" s="13" t="s">
        <v>256</v>
      </c>
      <c r="K353" s="13" t="s">
        <v>430</v>
      </c>
      <c r="L353" s="13" t="s">
        <v>700</v>
      </c>
      <c r="M353" s="66" t="s">
        <v>258</v>
      </c>
      <c r="N353" s="66" t="s">
        <v>379</v>
      </c>
      <c r="O353" s="66" t="s">
        <v>399</v>
      </c>
      <c r="P353" s="0" t="s">
        <v>1372</v>
      </c>
      <c r="Q353" s="66" t="s">
        <v>995</v>
      </c>
    </row>
    <row r="354" customFormat="false" ht="14.25" hidden="false" customHeight="false" outlineLevel="0" collapsed="false">
      <c r="A354" s="13" t="s">
        <v>579</v>
      </c>
      <c r="B354" s="13" t="s">
        <v>579</v>
      </c>
      <c r="C354" s="13" t="s">
        <v>395</v>
      </c>
      <c r="D354" s="61" t="n">
        <v>45965.2708333333</v>
      </c>
      <c r="E354" s="61" t="n">
        <v>45965.2708333333</v>
      </c>
      <c r="F354" s="61" t="n">
        <v>45965.3402777778</v>
      </c>
      <c r="G354" s="62" t="n">
        <v>0.0798611111094942</v>
      </c>
      <c r="H354" s="13" t="s">
        <v>248</v>
      </c>
      <c r="J354" s="13" t="s">
        <v>256</v>
      </c>
      <c r="K354" s="13" t="s">
        <v>430</v>
      </c>
      <c r="L354" s="13" t="s">
        <v>700</v>
      </c>
      <c r="M354" s="66" t="s">
        <v>258</v>
      </c>
      <c r="N354" s="66" t="s">
        <v>379</v>
      </c>
      <c r="O354" s="66" t="s">
        <v>399</v>
      </c>
      <c r="P354" s="0" t="s">
        <v>1373</v>
      </c>
      <c r="Q354" s="66" t="s">
        <v>995</v>
      </c>
    </row>
    <row r="355" customFormat="false" ht="14.25" hidden="false" customHeight="false" outlineLevel="0" collapsed="false">
      <c r="A355" s="13" t="s">
        <v>579</v>
      </c>
      <c r="B355" s="13" t="s">
        <v>579</v>
      </c>
      <c r="C355" s="13" t="s">
        <v>391</v>
      </c>
      <c r="D355" s="61" t="n">
        <v>45965.2708333333</v>
      </c>
      <c r="E355" s="61" t="n">
        <v>45965.2708333333</v>
      </c>
      <c r="F355" s="61" t="n">
        <v>45965.3402777778</v>
      </c>
      <c r="G355" s="62" t="n">
        <v>0.0798611111094942</v>
      </c>
      <c r="H355" s="13" t="s">
        <v>248</v>
      </c>
      <c r="J355" s="13" t="s">
        <v>256</v>
      </c>
      <c r="K355" s="13" t="s">
        <v>430</v>
      </c>
      <c r="L355" s="13" t="s">
        <v>700</v>
      </c>
      <c r="M355" s="66" t="s">
        <v>258</v>
      </c>
      <c r="N355" s="66" t="s">
        <v>379</v>
      </c>
      <c r="O355" s="66" t="s">
        <v>399</v>
      </c>
      <c r="P355" s="0" t="s">
        <v>1374</v>
      </c>
      <c r="Q355" s="66" t="s">
        <v>995</v>
      </c>
    </row>
    <row r="356" customFormat="false" ht="14.25" hidden="false" customHeight="false" outlineLevel="0" collapsed="false">
      <c r="A356" s="13" t="s">
        <v>580</v>
      </c>
      <c r="B356" s="13" t="s">
        <v>580</v>
      </c>
      <c r="C356" s="13" t="s">
        <v>396</v>
      </c>
      <c r="D356" s="61" t="n">
        <v>45965.2708333333</v>
      </c>
      <c r="E356" s="61" t="n">
        <v>45965.2708333333</v>
      </c>
      <c r="F356" s="61" t="n">
        <v>45965.3402777778</v>
      </c>
      <c r="G356" s="62" t="n">
        <v>0.0798611111094942</v>
      </c>
      <c r="H356" s="13" t="s">
        <v>248</v>
      </c>
      <c r="J356" s="13" t="s">
        <v>256</v>
      </c>
      <c r="K356" s="13" t="s">
        <v>430</v>
      </c>
      <c r="L356" s="13" t="s">
        <v>700</v>
      </c>
      <c r="M356" s="66" t="s">
        <v>258</v>
      </c>
      <c r="N356" s="66" t="s">
        <v>379</v>
      </c>
      <c r="O356" s="66" t="s">
        <v>399</v>
      </c>
      <c r="P356" s="0" t="s">
        <v>1375</v>
      </c>
      <c r="Q356" s="66" t="s">
        <v>995</v>
      </c>
    </row>
    <row r="357" customFormat="false" ht="14.25" hidden="false" customHeight="false" outlineLevel="0" collapsed="false">
      <c r="A357" s="13" t="s">
        <v>580</v>
      </c>
      <c r="B357" s="13" t="s">
        <v>580</v>
      </c>
      <c r="C357" s="13" t="s">
        <v>397</v>
      </c>
      <c r="D357" s="61" t="n">
        <v>45965.2708333333</v>
      </c>
      <c r="E357" s="61" t="n">
        <v>45965.2708333333</v>
      </c>
      <c r="F357" s="61" t="n">
        <v>45965.3402777778</v>
      </c>
      <c r="G357" s="62" t="n">
        <v>0.0798611111094942</v>
      </c>
      <c r="H357" s="13" t="s">
        <v>248</v>
      </c>
      <c r="J357" s="13" t="s">
        <v>256</v>
      </c>
      <c r="K357" s="13" t="s">
        <v>430</v>
      </c>
      <c r="L357" s="13" t="s">
        <v>700</v>
      </c>
      <c r="M357" s="66" t="s">
        <v>258</v>
      </c>
      <c r="N357" s="66" t="s">
        <v>379</v>
      </c>
      <c r="O357" s="66" t="s">
        <v>399</v>
      </c>
      <c r="P357" s="0" t="s">
        <v>1376</v>
      </c>
      <c r="Q357" s="66" t="s">
        <v>995</v>
      </c>
    </row>
    <row r="358" customFormat="false" ht="14.25" hidden="false" customHeight="false" outlineLevel="0" collapsed="false">
      <c r="A358" s="13" t="s">
        <v>580</v>
      </c>
      <c r="B358" s="13" t="s">
        <v>580</v>
      </c>
      <c r="C358" s="13" t="s">
        <v>394</v>
      </c>
      <c r="D358" s="61" t="n">
        <v>45965.2708333333</v>
      </c>
      <c r="E358" s="61" t="n">
        <v>45965.2708333333</v>
      </c>
      <c r="F358" s="61" t="n">
        <v>45965.3402777778</v>
      </c>
      <c r="G358" s="62" t="n">
        <v>0.0798611111094942</v>
      </c>
      <c r="H358" s="13" t="s">
        <v>248</v>
      </c>
      <c r="J358" s="13" t="s">
        <v>256</v>
      </c>
      <c r="K358" s="13" t="s">
        <v>430</v>
      </c>
      <c r="L358" s="13" t="s">
        <v>700</v>
      </c>
      <c r="M358" s="66" t="s">
        <v>258</v>
      </c>
      <c r="N358" s="66" t="s">
        <v>379</v>
      </c>
      <c r="O358" s="66" t="s">
        <v>399</v>
      </c>
      <c r="P358" s="0" t="s">
        <v>1377</v>
      </c>
      <c r="Q358" s="66" t="s">
        <v>995</v>
      </c>
    </row>
    <row r="359" customFormat="false" ht="14.25" hidden="false" customHeight="false" outlineLevel="0" collapsed="false">
      <c r="A359" s="13" t="s">
        <v>580</v>
      </c>
      <c r="B359" s="13" t="s">
        <v>580</v>
      </c>
      <c r="C359" s="13" t="s">
        <v>395</v>
      </c>
      <c r="D359" s="61" t="n">
        <v>45965.2708333333</v>
      </c>
      <c r="E359" s="61" t="n">
        <v>45965.2708333333</v>
      </c>
      <c r="F359" s="61" t="n">
        <v>45965.3402777778</v>
      </c>
      <c r="G359" s="62" t="n">
        <v>0.0798611111094942</v>
      </c>
      <c r="H359" s="13" t="s">
        <v>248</v>
      </c>
      <c r="J359" s="13" t="s">
        <v>256</v>
      </c>
      <c r="K359" s="13" t="s">
        <v>430</v>
      </c>
      <c r="L359" s="13" t="s">
        <v>700</v>
      </c>
      <c r="M359" s="66" t="s">
        <v>258</v>
      </c>
      <c r="N359" s="66" t="s">
        <v>379</v>
      </c>
      <c r="O359" s="66" t="s">
        <v>399</v>
      </c>
      <c r="P359" s="0" t="s">
        <v>1378</v>
      </c>
      <c r="Q359" s="66" t="s">
        <v>995</v>
      </c>
    </row>
    <row r="360" customFormat="false" ht="14.25" hidden="false" customHeight="false" outlineLevel="0" collapsed="false">
      <c r="A360" s="13" t="s">
        <v>580</v>
      </c>
      <c r="B360" s="13" t="s">
        <v>580</v>
      </c>
      <c r="C360" s="13" t="s">
        <v>391</v>
      </c>
      <c r="D360" s="61" t="n">
        <v>45965.2708333333</v>
      </c>
      <c r="E360" s="61" t="n">
        <v>45965.2708333333</v>
      </c>
      <c r="F360" s="61" t="n">
        <v>45965.3402777778</v>
      </c>
      <c r="G360" s="62" t="n">
        <v>0.0798611111094942</v>
      </c>
      <c r="H360" s="13" t="s">
        <v>248</v>
      </c>
      <c r="J360" s="13" t="s">
        <v>256</v>
      </c>
      <c r="K360" s="13" t="s">
        <v>430</v>
      </c>
      <c r="L360" s="13" t="s">
        <v>700</v>
      </c>
      <c r="M360" s="66" t="s">
        <v>258</v>
      </c>
      <c r="N360" s="66" t="s">
        <v>379</v>
      </c>
      <c r="O360" s="66" t="s">
        <v>399</v>
      </c>
      <c r="P360" s="0" t="s">
        <v>1379</v>
      </c>
      <c r="Q360" s="66" t="s">
        <v>995</v>
      </c>
    </row>
    <row r="361" customFormat="false" ht="14.25" hidden="false" customHeight="false" outlineLevel="0" collapsed="false">
      <c r="A361" s="13" t="s">
        <v>816</v>
      </c>
      <c r="B361" s="13" t="s">
        <v>581</v>
      </c>
      <c r="C361" s="13" t="s">
        <v>586</v>
      </c>
      <c r="D361" s="61" t="n">
        <v>45965.2708333333</v>
      </c>
      <c r="E361" s="61" t="n">
        <v>45965.2708333333</v>
      </c>
      <c r="F361" s="61" t="n">
        <v>45965.3555555556</v>
      </c>
      <c r="G361" s="62" t="n">
        <v>0.0673611111124046</v>
      </c>
      <c r="H361" s="13" t="s">
        <v>248</v>
      </c>
      <c r="J361" s="13" t="s">
        <v>256</v>
      </c>
      <c r="K361" s="13" t="s">
        <v>430</v>
      </c>
      <c r="L361" s="13" t="s">
        <v>786</v>
      </c>
      <c r="M361" s="66" t="s">
        <v>787</v>
      </c>
      <c r="N361" s="66" t="s">
        <v>379</v>
      </c>
      <c r="O361" s="66" t="s">
        <v>736</v>
      </c>
      <c r="P361" s="0" t="s">
        <v>1380</v>
      </c>
      <c r="Q361" s="66" t="s">
        <v>995</v>
      </c>
    </row>
    <row r="362" customFormat="false" ht="14.25" hidden="false" customHeight="false" outlineLevel="0" collapsed="false">
      <c r="A362" s="13" t="s">
        <v>816</v>
      </c>
      <c r="B362" s="13" t="s">
        <v>581</v>
      </c>
      <c r="C362" s="13" t="s">
        <v>737</v>
      </c>
      <c r="D362" s="61" t="n">
        <v>45965.2708333333</v>
      </c>
      <c r="E362" s="61" t="n">
        <v>45965.2708333333</v>
      </c>
      <c r="F362" s="61" t="n">
        <v>45965.3555555556</v>
      </c>
      <c r="G362" s="62" t="n">
        <v>0.0673611111124046</v>
      </c>
      <c r="H362" s="13" t="s">
        <v>248</v>
      </c>
      <c r="J362" s="13" t="s">
        <v>256</v>
      </c>
      <c r="K362" s="13" t="s">
        <v>430</v>
      </c>
      <c r="L362" s="13" t="s">
        <v>786</v>
      </c>
      <c r="M362" s="66" t="s">
        <v>787</v>
      </c>
      <c r="N362" s="66" t="s">
        <v>379</v>
      </c>
      <c r="O362" s="66" t="s">
        <v>736</v>
      </c>
      <c r="P362" s="0" t="s">
        <v>1381</v>
      </c>
      <c r="Q362" s="66" t="s">
        <v>995</v>
      </c>
    </row>
    <row r="363" customFormat="false" ht="14.25" hidden="false" customHeight="false" outlineLevel="0" collapsed="false">
      <c r="A363" s="13" t="s">
        <v>816</v>
      </c>
      <c r="B363" s="13" t="s">
        <v>581</v>
      </c>
      <c r="C363" s="13" t="s">
        <v>582</v>
      </c>
      <c r="D363" s="61" t="n">
        <v>45965.2708333333</v>
      </c>
      <c r="E363" s="61" t="n">
        <v>45965.2708333333</v>
      </c>
      <c r="F363" s="61" t="n">
        <v>45965.3555555556</v>
      </c>
      <c r="G363" s="62" t="n">
        <v>0.0673611111124046</v>
      </c>
      <c r="H363" s="13" t="s">
        <v>248</v>
      </c>
      <c r="J363" s="13" t="s">
        <v>256</v>
      </c>
      <c r="K363" s="13" t="s">
        <v>430</v>
      </c>
      <c r="L363" s="13" t="s">
        <v>786</v>
      </c>
      <c r="M363" s="66" t="s">
        <v>787</v>
      </c>
      <c r="N363" s="66" t="s">
        <v>379</v>
      </c>
      <c r="O363" s="66" t="s">
        <v>736</v>
      </c>
      <c r="P363" s="0" t="s">
        <v>1382</v>
      </c>
      <c r="Q363" s="66" t="s">
        <v>995</v>
      </c>
    </row>
    <row r="364" customFormat="false" ht="14.25" hidden="false" customHeight="false" outlineLevel="0" collapsed="false">
      <c r="A364" s="13" t="s">
        <v>816</v>
      </c>
      <c r="B364" s="13" t="s">
        <v>581</v>
      </c>
      <c r="C364" s="13" t="s">
        <v>594</v>
      </c>
      <c r="D364" s="61" t="n">
        <v>45965.2708333333</v>
      </c>
      <c r="E364" s="61" t="n">
        <v>45965.2708333333</v>
      </c>
      <c r="F364" s="61" t="n">
        <v>45965.3555555556</v>
      </c>
      <c r="G364" s="62" t="n">
        <v>0.0673611111124046</v>
      </c>
      <c r="H364" s="13" t="s">
        <v>248</v>
      </c>
      <c r="J364" s="13" t="s">
        <v>256</v>
      </c>
      <c r="K364" s="13" t="s">
        <v>430</v>
      </c>
      <c r="L364" s="13" t="s">
        <v>786</v>
      </c>
      <c r="M364" s="66" t="s">
        <v>787</v>
      </c>
      <c r="N364" s="66" t="s">
        <v>379</v>
      </c>
      <c r="O364" s="66" t="s">
        <v>736</v>
      </c>
      <c r="P364" s="0" t="s">
        <v>1383</v>
      </c>
      <c r="Q364" s="66" t="s">
        <v>995</v>
      </c>
    </row>
    <row r="365" customFormat="false" ht="14.25" hidden="false" customHeight="false" outlineLevel="0" collapsed="false">
      <c r="A365" s="13" t="s">
        <v>816</v>
      </c>
      <c r="B365" s="13" t="s">
        <v>581</v>
      </c>
      <c r="C365" s="13" t="s">
        <v>596</v>
      </c>
      <c r="D365" s="61" t="n">
        <v>45965.2708333333</v>
      </c>
      <c r="E365" s="61" t="n">
        <v>45965.2708333333</v>
      </c>
      <c r="F365" s="61" t="n">
        <v>45965.3555555556</v>
      </c>
      <c r="G365" s="62" t="n">
        <v>0.0673611111124046</v>
      </c>
      <c r="H365" s="13" t="s">
        <v>248</v>
      </c>
      <c r="J365" s="13" t="s">
        <v>256</v>
      </c>
      <c r="K365" s="13" t="s">
        <v>430</v>
      </c>
      <c r="L365" s="13" t="s">
        <v>786</v>
      </c>
      <c r="M365" s="66" t="s">
        <v>787</v>
      </c>
      <c r="N365" s="66" t="s">
        <v>379</v>
      </c>
      <c r="O365" s="66" t="s">
        <v>736</v>
      </c>
      <c r="P365" s="0" t="s">
        <v>1384</v>
      </c>
      <c r="Q365" s="66" t="s">
        <v>995</v>
      </c>
    </row>
    <row r="366" customFormat="false" ht="14.25" hidden="false" customHeight="false" outlineLevel="0" collapsed="false">
      <c r="A366" s="13" t="s">
        <v>816</v>
      </c>
      <c r="B366" s="13" t="s">
        <v>581</v>
      </c>
      <c r="C366" s="13" t="s">
        <v>592</v>
      </c>
      <c r="D366" s="61" t="n">
        <v>45965.2708333333</v>
      </c>
      <c r="E366" s="61" t="n">
        <v>45965.2708333333</v>
      </c>
      <c r="F366" s="61" t="n">
        <v>45965.3555555556</v>
      </c>
      <c r="G366" s="62" t="n">
        <v>0.0673611111124046</v>
      </c>
      <c r="H366" s="13" t="s">
        <v>248</v>
      </c>
      <c r="J366" s="13" t="s">
        <v>256</v>
      </c>
      <c r="K366" s="13" t="s">
        <v>430</v>
      </c>
      <c r="L366" s="13" t="s">
        <v>786</v>
      </c>
      <c r="M366" s="66" t="s">
        <v>787</v>
      </c>
      <c r="N366" s="66" t="s">
        <v>379</v>
      </c>
      <c r="O366" s="66" t="s">
        <v>736</v>
      </c>
      <c r="P366" s="0" t="s">
        <v>1385</v>
      </c>
      <c r="Q366" s="66" t="s">
        <v>995</v>
      </c>
    </row>
    <row r="367" customFormat="false" ht="14.25" hidden="false" customHeight="false" outlineLevel="0" collapsed="false">
      <c r="A367" s="13" t="s">
        <v>816</v>
      </c>
      <c r="B367" s="13" t="s">
        <v>581</v>
      </c>
      <c r="C367" s="13" t="s">
        <v>595</v>
      </c>
      <c r="D367" s="61" t="n">
        <v>45965.2708333333</v>
      </c>
      <c r="E367" s="61" t="n">
        <v>45965.2708333333</v>
      </c>
      <c r="F367" s="61" t="n">
        <v>45965.3555555556</v>
      </c>
      <c r="G367" s="62" t="n">
        <v>0.0673611111124046</v>
      </c>
      <c r="H367" s="13" t="s">
        <v>248</v>
      </c>
      <c r="J367" s="13" t="s">
        <v>256</v>
      </c>
      <c r="K367" s="13" t="s">
        <v>430</v>
      </c>
      <c r="L367" s="13" t="s">
        <v>786</v>
      </c>
      <c r="M367" s="66" t="s">
        <v>787</v>
      </c>
      <c r="N367" s="66" t="s">
        <v>379</v>
      </c>
      <c r="O367" s="66" t="s">
        <v>736</v>
      </c>
      <c r="P367" s="0" t="s">
        <v>1386</v>
      </c>
      <c r="Q367" s="66" t="s">
        <v>995</v>
      </c>
    </row>
    <row r="368" customFormat="false" ht="14.25" hidden="false" customHeight="false" outlineLevel="0" collapsed="false">
      <c r="A368" s="13" t="s">
        <v>816</v>
      </c>
      <c r="B368" s="13" t="s">
        <v>581</v>
      </c>
      <c r="C368" s="13" t="s">
        <v>599</v>
      </c>
      <c r="D368" s="61" t="n">
        <v>45965.2708333333</v>
      </c>
      <c r="E368" s="61" t="n">
        <v>45965.2708333333</v>
      </c>
      <c r="F368" s="61" t="n">
        <v>45965.3555555556</v>
      </c>
      <c r="G368" s="62" t="n">
        <v>0.0673611111124046</v>
      </c>
      <c r="H368" s="13" t="s">
        <v>248</v>
      </c>
      <c r="J368" s="13" t="s">
        <v>256</v>
      </c>
      <c r="K368" s="13" t="s">
        <v>430</v>
      </c>
      <c r="L368" s="13" t="s">
        <v>786</v>
      </c>
      <c r="M368" s="66" t="s">
        <v>787</v>
      </c>
      <c r="N368" s="66" t="s">
        <v>379</v>
      </c>
      <c r="O368" s="66" t="s">
        <v>736</v>
      </c>
      <c r="P368" s="0" t="s">
        <v>1387</v>
      </c>
      <c r="Q368" s="66" t="s">
        <v>995</v>
      </c>
    </row>
    <row r="369" customFormat="false" ht="14.25" hidden="false" customHeight="false" outlineLevel="0" collapsed="false">
      <c r="A369" s="13" t="s">
        <v>816</v>
      </c>
      <c r="B369" s="13" t="s">
        <v>581</v>
      </c>
      <c r="C369" s="13" t="s">
        <v>584</v>
      </c>
      <c r="D369" s="61" t="n">
        <v>45965.2708333333</v>
      </c>
      <c r="E369" s="61" t="n">
        <v>45965.2708333333</v>
      </c>
      <c r="F369" s="61" t="n">
        <v>45965.3555555556</v>
      </c>
      <c r="G369" s="62" t="n">
        <v>0.0673611111124046</v>
      </c>
      <c r="H369" s="13" t="s">
        <v>248</v>
      </c>
      <c r="J369" s="13" t="s">
        <v>256</v>
      </c>
      <c r="K369" s="13" t="s">
        <v>430</v>
      </c>
      <c r="L369" s="13" t="s">
        <v>786</v>
      </c>
      <c r="M369" s="66" t="s">
        <v>787</v>
      </c>
      <c r="N369" s="66" t="s">
        <v>379</v>
      </c>
      <c r="O369" s="66" t="s">
        <v>736</v>
      </c>
      <c r="P369" s="0" t="s">
        <v>1388</v>
      </c>
      <c r="Q369" s="66" t="s">
        <v>995</v>
      </c>
    </row>
    <row r="370" customFormat="false" ht="14.25" hidden="false" customHeight="false" outlineLevel="0" collapsed="false">
      <c r="A370" s="13" t="s">
        <v>816</v>
      </c>
      <c r="B370" s="13" t="s">
        <v>581</v>
      </c>
      <c r="C370" s="13" t="s">
        <v>590</v>
      </c>
      <c r="D370" s="61" t="n">
        <v>45965.2708333333</v>
      </c>
      <c r="E370" s="61" t="n">
        <v>45965.2708333333</v>
      </c>
      <c r="F370" s="61" t="n">
        <v>45965.3555555556</v>
      </c>
      <c r="G370" s="62" t="n">
        <v>0.0673611111124046</v>
      </c>
      <c r="H370" s="13" t="s">
        <v>248</v>
      </c>
      <c r="J370" s="13" t="s">
        <v>256</v>
      </c>
      <c r="K370" s="13" t="s">
        <v>430</v>
      </c>
      <c r="L370" s="13" t="s">
        <v>786</v>
      </c>
      <c r="M370" s="66" t="s">
        <v>787</v>
      </c>
      <c r="N370" s="66" t="s">
        <v>379</v>
      </c>
      <c r="O370" s="66" t="s">
        <v>736</v>
      </c>
      <c r="P370" s="0" t="s">
        <v>1389</v>
      </c>
      <c r="Q370" s="66" t="s">
        <v>995</v>
      </c>
    </row>
    <row r="371" customFormat="false" ht="14.25" hidden="false" customHeight="false" outlineLevel="0" collapsed="false">
      <c r="A371" s="13" t="s">
        <v>672</v>
      </c>
      <c r="B371" s="13" t="s">
        <v>672</v>
      </c>
      <c r="C371" s="13" t="s">
        <v>291</v>
      </c>
      <c r="D371" s="61" t="n">
        <v>45965.46875</v>
      </c>
      <c r="E371" s="61" t="n">
        <v>45965.46875</v>
      </c>
      <c r="F371" s="61" t="n">
        <v>45972.6597222222</v>
      </c>
      <c r="G371" s="62" t="n">
        <v>7.19097222221899</v>
      </c>
      <c r="H371" s="13" t="s">
        <v>313</v>
      </c>
      <c r="J371" s="13" t="s">
        <v>230</v>
      </c>
      <c r="K371" s="13" t="s">
        <v>230</v>
      </c>
      <c r="L371" s="13" t="s">
        <v>1390</v>
      </c>
      <c r="M371" s="66" t="s">
        <v>288</v>
      </c>
      <c r="N371" s="66" t="s">
        <v>289</v>
      </c>
      <c r="O371" s="66" t="s">
        <v>1391</v>
      </c>
      <c r="P371" s="0" t="s">
        <v>1392</v>
      </c>
      <c r="Q371" s="66" t="s">
        <v>1393</v>
      </c>
    </row>
    <row r="372" customFormat="false" ht="14.25" hidden="false" customHeight="false" outlineLevel="0" collapsed="false">
      <c r="A372" s="13" t="s">
        <v>672</v>
      </c>
      <c r="B372" s="13" t="s">
        <v>672</v>
      </c>
      <c r="C372" s="13" t="s">
        <v>674</v>
      </c>
      <c r="D372" s="61" t="n">
        <v>45965.46875</v>
      </c>
      <c r="E372" s="61" t="n">
        <v>45965.46875</v>
      </c>
      <c r="F372" s="61" t="n">
        <v>45972.6597222222</v>
      </c>
      <c r="G372" s="62" t="n">
        <v>7.19097222221899</v>
      </c>
      <c r="H372" s="13" t="s">
        <v>313</v>
      </c>
      <c r="J372" s="13" t="s">
        <v>230</v>
      </c>
      <c r="K372" s="13" t="s">
        <v>230</v>
      </c>
      <c r="L372" s="13" t="s">
        <v>1390</v>
      </c>
      <c r="M372" s="66" t="s">
        <v>288</v>
      </c>
      <c r="N372" s="66" t="s">
        <v>289</v>
      </c>
      <c r="O372" s="66" t="s">
        <v>1391</v>
      </c>
      <c r="P372" s="0" t="s">
        <v>1394</v>
      </c>
      <c r="Q372" s="66" t="s">
        <v>1393</v>
      </c>
    </row>
    <row r="373" customFormat="false" ht="14.25" hidden="false" customHeight="false" outlineLevel="0" collapsed="false">
      <c r="A373" s="13" t="s">
        <v>672</v>
      </c>
      <c r="B373" s="13" t="s">
        <v>672</v>
      </c>
      <c r="C373" s="13" t="s">
        <v>675</v>
      </c>
      <c r="D373" s="61" t="n">
        <v>45965.46875</v>
      </c>
      <c r="E373" s="61" t="n">
        <v>45965.46875</v>
      </c>
      <c r="F373" s="61" t="n">
        <v>45972.6597222222</v>
      </c>
      <c r="G373" s="62" t="n">
        <v>7.19097222221899</v>
      </c>
      <c r="H373" s="13" t="s">
        <v>313</v>
      </c>
      <c r="J373" s="13" t="s">
        <v>230</v>
      </c>
      <c r="K373" s="13" t="s">
        <v>230</v>
      </c>
      <c r="L373" s="13" t="s">
        <v>1390</v>
      </c>
      <c r="M373" s="66" t="s">
        <v>288</v>
      </c>
      <c r="N373" s="66" t="s">
        <v>289</v>
      </c>
      <c r="O373" s="66" t="s">
        <v>1391</v>
      </c>
      <c r="P373" s="0" t="s">
        <v>1395</v>
      </c>
      <c r="Q373" s="66" t="s">
        <v>1393</v>
      </c>
    </row>
    <row r="374" customFormat="false" ht="14.25" hidden="false" customHeight="false" outlineLevel="0" collapsed="false">
      <c r="A374" s="13" t="s">
        <v>672</v>
      </c>
      <c r="B374" s="13" t="s">
        <v>672</v>
      </c>
      <c r="C374" s="13" t="s">
        <v>676</v>
      </c>
      <c r="D374" s="61" t="n">
        <v>45965.46875</v>
      </c>
      <c r="E374" s="61" t="n">
        <v>45965.46875</v>
      </c>
      <c r="F374" s="61" t="n">
        <v>45972.6597222222</v>
      </c>
      <c r="G374" s="62" t="n">
        <v>7.19097222221899</v>
      </c>
      <c r="H374" s="13" t="s">
        <v>313</v>
      </c>
      <c r="J374" s="13" t="s">
        <v>230</v>
      </c>
      <c r="K374" s="13" t="s">
        <v>230</v>
      </c>
      <c r="L374" s="13" t="s">
        <v>1390</v>
      </c>
      <c r="M374" s="66" t="s">
        <v>288</v>
      </c>
      <c r="N374" s="66" t="s">
        <v>289</v>
      </c>
      <c r="O374" s="66" t="s">
        <v>1391</v>
      </c>
      <c r="P374" s="0" t="s">
        <v>1396</v>
      </c>
      <c r="Q374" s="66" t="s">
        <v>1393</v>
      </c>
    </row>
    <row r="375" customFormat="false" ht="14.25" hidden="false" customHeight="false" outlineLevel="0" collapsed="false">
      <c r="A375" s="13" t="s">
        <v>672</v>
      </c>
      <c r="B375" s="13" t="s">
        <v>672</v>
      </c>
      <c r="C375" s="13" t="s">
        <v>677</v>
      </c>
      <c r="D375" s="61" t="n">
        <v>45965.46875</v>
      </c>
      <c r="E375" s="61" t="n">
        <v>45965.46875</v>
      </c>
      <c r="F375" s="61" t="n">
        <v>45972.6597222222</v>
      </c>
      <c r="G375" s="62" t="n">
        <v>7.19097222221899</v>
      </c>
      <c r="H375" s="13" t="s">
        <v>313</v>
      </c>
      <c r="J375" s="13" t="s">
        <v>230</v>
      </c>
      <c r="K375" s="13" t="s">
        <v>230</v>
      </c>
      <c r="L375" s="13" t="s">
        <v>1390</v>
      </c>
      <c r="M375" s="66" t="s">
        <v>288</v>
      </c>
      <c r="N375" s="66" t="s">
        <v>289</v>
      </c>
      <c r="O375" s="66" t="s">
        <v>1391</v>
      </c>
      <c r="P375" s="0" t="s">
        <v>1397</v>
      </c>
      <c r="Q375" s="66" t="s">
        <v>1393</v>
      </c>
    </row>
    <row r="376" customFormat="false" ht="14.25" hidden="false" customHeight="false" outlineLevel="0" collapsed="false">
      <c r="A376" s="13" t="s">
        <v>672</v>
      </c>
      <c r="B376" s="13" t="s">
        <v>672</v>
      </c>
      <c r="C376" s="13" t="s">
        <v>678</v>
      </c>
      <c r="D376" s="61" t="n">
        <v>45965.46875</v>
      </c>
      <c r="E376" s="61" t="n">
        <v>45965.46875</v>
      </c>
      <c r="F376" s="61" t="n">
        <v>45972.6597222222</v>
      </c>
      <c r="G376" s="62" t="n">
        <v>7.19097222221899</v>
      </c>
      <c r="H376" s="13" t="s">
        <v>313</v>
      </c>
      <c r="J376" s="13" t="s">
        <v>230</v>
      </c>
      <c r="K376" s="13" t="s">
        <v>230</v>
      </c>
      <c r="L376" s="13" t="s">
        <v>1390</v>
      </c>
      <c r="M376" s="66" t="s">
        <v>288</v>
      </c>
      <c r="N376" s="66" t="s">
        <v>289</v>
      </c>
      <c r="O376" s="66" t="s">
        <v>1391</v>
      </c>
      <c r="P376" s="0" t="s">
        <v>1398</v>
      </c>
      <c r="Q376" s="66" t="s">
        <v>1393</v>
      </c>
    </row>
    <row r="377" customFormat="false" ht="14.25" hidden="false" customHeight="false" outlineLevel="0" collapsed="false">
      <c r="A377" s="13" t="s">
        <v>672</v>
      </c>
      <c r="B377" s="13" t="s">
        <v>672</v>
      </c>
      <c r="C377" s="13" t="s">
        <v>679</v>
      </c>
      <c r="D377" s="61" t="n">
        <v>45965.46875</v>
      </c>
      <c r="E377" s="61" t="n">
        <v>45965.46875</v>
      </c>
      <c r="F377" s="61" t="n">
        <v>45972.6597222222</v>
      </c>
      <c r="G377" s="62" t="n">
        <v>7.19097222221899</v>
      </c>
      <c r="H377" s="13" t="s">
        <v>313</v>
      </c>
      <c r="J377" s="13" t="s">
        <v>230</v>
      </c>
      <c r="K377" s="13" t="s">
        <v>230</v>
      </c>
      <c r="L377" s="13" t="s">
        <v>1390</v>
      </c>
      <c r="M377" s="66" t="s">
        <v>288</v>
      </c>
      <c r="N377" s="66" t="s">
        <v>289</v>
      </c>
      <c r="O377" s="66" t="s">
        <v>1391</v>
      </c>
      <c r="P377" s="0" t="s">
        <v>1399</v>
      </c>
      <c r="Q377" s="66" t="s">
        <v>1393</v>
      </c>
    </row>
    <row r="378" customFormat="false" ht="14.25" hidden="false" customHeight="false" outlineLevel="0" collapsed="false">
      <c r="A378" s="13" t="s">
        <v>672</v>
      </c>
      <c r="B378" s="13" t="s">
        <v>672</v>
      </c>
      <c r="C378" s="13" t="s">
        <v>680</v>
      </c>
      <c r="D378" s="61" t="n">
        <v>45965.46875</v>
      </c>
      <c r="E378" s="61" t="n">
        <v>45965.46875</v>
      </c>
      <c r="F378" s="61" t="n">
        <v>45972.6597222222</v>
      </c>
      <c r="G378" s="62" t="n">
        <v>7.19097222221899</v>
      </c>
      <c r="H378" s="13" t="s">
        <v>313</v>
      </c>
      <c r="J378" s="13" t="s">
        <v>230</v>
      </c>
      <c r="K378" s="13" t="s">
        <v>230</v>
      </c>
      <c r="L378" s="13" t="s">
        <v>1390</v>
      </c>
      <c r="M378" s="66" t="s">
        <v>288</v>
      </c>
      <c r="N378" s="66" t="s">
        <v>289</v>
      </c>
      <c r="O378" s="66" t="s">
        <v>1391</v>
      </c>
      <c r="P378" s="0" t="s">
        <v>1400</v>
      </c>
      <c r="Q378" s="66" t="s">
        <v>1393</v>
      </c>
    </row>
    <row r="379" customFormat="false" ht="14.25" hidden="false" customHeight="false" outlineLevel="0" collapsed="false">
      <c r="A379" s="13" t="s">
        <v>672</v>
      </c>
      <c r="B379" s="13" t="s">
        <v>672</v>
      </c>
      <c r="C379" s="13" t="s">
        <v>681</v>
      </c>
      <c r="D379" s="61" t="n">
        <v>45965.46875</v>
      </c>
      <c r="E379" s="61" t="n">
        <v>45965.46875</v>
      </c>
      <c r="F379" s="61" t="n">
        <v>45972.6597222222</v>
      </c>
      <c r="G379" s="62" t="n">
        <v>7.19097222221899</v>
      </c>
      <c r="H379" s="13" t="s">
        <v>313</v>
      </c>
      <c r="J379" s="13" t="s">
        <v>230</v>
      </c>
      <c r="K379" s="13" t="s">
        <v>230</v>
      </c>
      <c r="L379" s="13" t="s">
        <v>1390</v>
      </c>
      <c r="M379" s="66" t="s">
        <v>288</v>
      </c>
      <c r="N379" s="66" t="s">
        <v>289</v>
      </c>
      <c r="O379" s="66" t="s">
        <v>1391</v>
      </c>
      <c r="P379" s="0" t="s">
        <v>1401</v>
      </c>
      <c r="Q379" s="66" t="s">
        <v>1393</v>
      </c>
    </row>
    <row r="380" customFormat="false" ht="14.25" hidden="false" customHeight="false" outlineLevel="0" collapsed="false">
      <c r="A380" s="13" t="s">
        <v>672</v>
      </c>
      <c r="B380" s="13" t="s">
        <v>672</v>
      </c>
      <c r="C380" s="13" t="s">
        <v>682</v>
      </c>
      <c r="D380" s="61" t="n">
        <v>45965.46875</v>
      </c>
      <c r="E380" s="61" t="n">
        <v>45965.46875</v>
      </c>
      <c r="F380" s="61" t="n">
        <v>45972.6597222222</v>
      </c>
      <c r="G380" s="62" t="n">
        <v>7.19097222221899</v>
      </c>
      <c r="H380" s="13" t="s">
        <v>313</v>
      </c>
      <c r="J380" s="13" t="s">
        <v>230</v>
      </c>
      <c r="K380" s="13" t="s">
        <v>230</v>
      </c>
      <c r="L380" s="13" t="s">
        <v>1390</v>
      </c>
      <c r="M380" s="66" t="s">
        <v>288</v>
      </c>
      <c r="N380" s="66" t="s">
        <v>289</v>
      </c>
      <c r="O380" s="66" t="s">
        <v>1391</v>
      </c>
      <c r="P380" s="0" t="s">
        <v>1402</v>
      </c>
      <c r="Q380" s="66" t="s">
        <v>1393</v>
      </c>
    </row>
    <row r="381" customFormat="false" ht="14.25" hidden="false" customHeight="false" outlineLevel="0" collapsed="false">
      <c r="A381" s="13" t="s">
        <v>672</v>
      </c>
      <c r="B381" s="13" t="s">
        <v>672</v>
      </c>
      <c r="C381" s="13" t="s">
        <v>683</v>
      </c>
      <c r="D381" s="61" t="n">
        <v>45965.46875</v>
      </c>
      <c r="E381" s="61" t="n">
        <v>45965.46875</v>
      </c>
      <c r="F381" s="61" t="n">
        <v>45972.6597222222</v>
      </c>
      <c r="G381" s="62" t="n">
        <v>7.19097222221899</v>
      </c>
      <c r="H381" s="13" t="s">
        <v>313</v>
      </c>
      <c r="J381" s="13" t="s">
        <v>230</v>
      </c>
      <c r="K381" s="13" t="s">
        <v>230</v>
      </c>
      <c r="L381" s="13" t="s">
        <v>1390</v>
      </c>
      <c r="M381" s="66" t="s">
        <v>288</v>
      </c>
      <c r="N381" s="66" t="s">
        <v>289</v>
      </c>
      <c r="O381" s="66" t="s">
        <v>1391</v>
      </c>
      <c r="P381" s="0" t="s">
        <v>1403</v>
      </c>
      <c r="Q381" s="66" t="s">
        <v>1393</v>
      </c>
    </row>
    <row r="382" customFormat="false" ht="14.25" hidden="false" customHeight="false" outlineLevel="0" collapsed="false">
      <c r="A382" s="13" t="s">
        <v>672</v>
      </c>
      <c r="B382" s="13" t="s">
        <v>672</v>
      </c>
      <c r="C382" s="13" t="s">
        <v>684</v>
      </c>
      <c r="D382" s="61" t="n">
        <v>45965.46875</v>
      </c>
      <c r="E382" s="61" t="n">
        <v>45965.46875</v>
      </c>
      <c r="F382" s="61" t="n">
        <v>45972.6597222222</v>
      </c>
      <c r="G382" s="62" t="n">
        <v>7.19097222221899</v>
      </c>
      <c r="H382" s="13" t="s">
        <v>313</v>
      </c>
      <c r="J382" s="13" t="s">
        <v>230</v>
      </c>
      <c r="K382" s="13" t="s">
        <v>230</v>
      </c>
      <c r="L382" s="13" t="s">
        <v>1390</v>
      </c>
      <c r="M382" s="66" t="s">
        <v>288</v>
      </c>
      <c r="N382" s="66" t="s">
        <v>289</v>
      </c>
      <c r="O382" s="66" t="s">
        <v>1391</v>
      </c>
      <c r="P382" s="0" t="s">
        <v>1404</v>
      </c>
      <c r="Q382" s="66" t="s">
        <v>1393</v>
      </c>
    </row>
    <row r="383" customFormat="false" ht="14.25" hidden="false" customHeight="false" outlineLevel="0" collapsed="false">
      <c r="A383" s="13" t="s">
        <v>726</v>
      </c>
      <c r="B383" s="13" t="s">
        <v>726</v>
      </c>
      <c r="C383" s="13" t="s">
        <v>277</v>
      </c>
      <c r="D383" s="61" t="n">
        <v>45965.5763888889</v>
      </c>
      <c r="E383" s="61" t="n">
        <v>45965.5763888889</v>
      </c>
      <c r="F383" s="61" t="n">
        <v>45965.6006944444</v>
      </c>
      <c r="G383" s="62" t="n">
        <v>0.0243055555547471</v>
      </c>
      <c r="H383" s="13" t="s">
        <v>445</v>
      </c>
      <c r="I383" s="13" t="s">
        <v>263</v>
      </c>
      <c r="J383" s="13" t="s">
        <v>417</v>
      </c>
      <c r="K383" s="13" t="s">
        <v>1405</v>
      </c>
      <c r="L383" s="13" t="s">
        <v>420</v>
      </c>
      <c r="M383" s="66" t="s">
        <v>418</v>
      </c>
      <c r="N383" s="66" t="s">
        <v>625</v>
      </c>
      <c r="O383" s="66" t="s">
        <v>625</v>
      </c>
      <c r="P383" s="0" t="s">
        <v>1406</v>
      </c>
      <c r="Q383" s="66" t="s">
        <v>1407</v>
      </c>
    </row>
    <row r="384" customFormat="false" ht="14.25" hidden="false" customHeight="false" outlineLevel="0" collapsed="false">
      <c r="A384" s="13" t="s">
        <v>726</v>
      </c>
      <c r="B384" s="13" t="s">
        <v>726</v>
      </c>
      <c r="C384" s="13" t="s">
        <v>247</v>
      </c>
      <c r="D384" s="61" t="n">
        <v>45965.5763888889</v>
      </c>
      <c r="E384" s="61" t="n">
        <v>45965.5763888889</v>
      </c>
      <c r="F384" s="61" t="n">
        <v>45965.6006944444</v>
      </c>
      <c r="G384" s="62" t="n">
        <v>0.0243055555547471</v>
      </c>
      <c r="H384" s="13" t="s">
        <v>445</v>
      </c>
      <c r="I384" s="13" t="s">
        <v>263</v>
      </c>
      <c r="J384" s="13" t="s">
        <v>417</v>
      </c>
      <c r="K384" s="13" t="s">
        <v>1405</v>
      </c>
      <c r="L384" s="13" t="s">
        <v>420</v>
      </c>
      <c r="M384" s="66" t="s">
        <v>418</v>
      </c>
      <c r="N384" s="66" t="s">
        <v>625</v>
      </c>
      <c r="O384" s="66" t="s">
        <v>625</v>
      </c>
      <c r="P384" s="0" t="s">
        <v>1408</v>
      </c>
      <c r="Q384" s="66" t="s">
        <v>1407</v>
      </c>
    </row>
    <row r="385" customFormat="false" ht="14.25" hidden="false" customHeight="false" outlineLevel="0" collapsed="false">
      <c r="A385" s="13" t="s">
        <v>726</v>
      </c>
      <c r="B385" s="13" t="s">
        <v>726</v>
      </c>
      <c r="C385" s="13" t="s">
        <v>729</v>
      </c>
      <c r="D385" s="61" t="n">
        <v>45965.5763888889</v>
      </c>
      <c r="E385" s="61" t="n">
        <v>45965.5763888889</v>
      </c>
      <c r="F385" s="61" t="n">
        <v>45965.6006944444</v>
      </c>
      <c r="G385" s="62" t="n">
        <v>0.0243055555547471</v>
      </c>
      <c r="H385" s="13" t="s">
        <v>445</v>
      </c>
      <c r="I385" s="13" t="s">
        <v>263</v>
      </c>
      <c r="J385" s="13" t="s">
        <v>417</v>
      </c>
      <c r="K385" s="13" t="s">
        <v>1405</v>
      </c>
      <c r="L385" s="13" t="s">
        <v>420</v>
      </c>
      <c r="M385" s="66" t="s">
        <v>418</v>
      </c>
      <c r="N385" s="66" t="s">
        <v>625</v>
      </c>
      <c r="O385" s="66" t="s">
        <v>625</v>
      </c>
      <c r="P385" s="0" t="s">
        <v>1409</v>
      </c>
      <c r="Q385" s="66" t="s">
        <v>1407</v>
      </c>
    </row>
    <row r="386" customFormat="false" ht="14.25" hidden="false" customHeight="false" outlineLevel="0" collapsed="false">
      <c r="A386" s="13" t="s">
        <v>726</v>
      </c>
      <c r="B386" s="13" t="s">
        <v>726</v>
      </c>
      <c r="C386" s="13" t="s">
        <v>730</v>
      </c>
      <c r="D386" s="61" t="n">
        <v>45965.5763888889</v>
      </c>
      <c r="E386" s="61" t="n">
        <v>45965.5763888889</v>
      </c>
      <c r="F386" s="61" t="n">
        <v>45965.6006944444</v>
      </c>
      <c r="G386" s="62" t="n">
        <v>0.0243055555547471</v>
      </c>
      <c r="H386" s="13" t="s">
        <v>445</v>
      </c>
      <c r="I386" s="13" t="s">
        <v>263</v>
      </c>
      <c r="J386" s="13" t="s">
        <v>417</v>
      </c>
      <c r="K386" s="13" t="s">
        <v>1405</v>
      </c>
      <c r="L386" s="13" t="s">
        <v>420</v>
      </c>
      <c r="M386" s="66" t="s">
        <v>418</v>
      </c>
      <c r="N386" s="66" t="s">
        <v>625</v>
      </c>
      <c r="O386" s="66" t="s">
        <v>625</v>
      </c>
      <c r="P386" s="0" t="s">
        <v>1410</v>
      </c>
      <c r="Q386" s="66" t="s">
        <v>1407</v>
      </c>
    </row>
    <row r="387" customFormat="false" ht="14.25" hidden="false" customHeight="false" outlineLevel="0" collapsed="false">
      <c r="A387" s="13" t="s">
        <v>726</v>
      </c>
      <c r="B387" s="13" t="s">
        <v>726</v>
      </c>
      <c r="C387" s="13" t="s">
        <v>690</v>
      </c>
      <c r="D387" s="61" t="n">
        <v>45965.5763888889</v>
      </c>
      <c r="E387" s="61" t="n">
        <v>45965.5763888889</v>
      </c>
      <c r="F387" s="61" t="n">
        <v>45965.6006944444</v>
      </c>
      <c r="G387" s="62" t="n">
        <v>0.0243055555547471</v>
      </c>
      <c r="H387" s="13" t="s">
        <v>445</v>
      </c>
      <c r="I387" s="13" t="s">
        <v>263</v>
      </c>
      <c r="J387" s="13" t="s">
        <v>417</v>
      </c>
      <c r="K387" s="13" t="s">
        <v>1405</v>
      </c>
      <c r="L387" s="13" t="s">
        <v>420</v>
      </c>
      <c r="M387" s="66" t="s">
        <v>418</v>
      </c>
      <c r="N387" s="66" t="s">
        <v>625</v>
      </c>
      <c r="O387" s="66" t="s">
        <v>625</v>
      </c>
      <c r="P387" s="0" t="s">
        <v>1411</v>
      </c>
      <c r="Q387" s="66" t="s">
        <v>1407</v>
      </c>
    </row>
    <row r="388" customFormat="false" ht="14.25" hidden="false" customHeight="false" outlineLevel="0" collapsed="false">
      <c r="A388" s="13" t="s">
        <v>731</v>
      </c>
      <c r="B388" s="13" t="s">
        <v>731</v>
      </c>
      <c r="C388" s="13" t="s">
        <v>732</v>
      </c>
      <c r="D388" s="61" t="n">
        <v>45965.5763888889</v>
      </c>
      <c r="E388" s="61" t="n">
        <v>45965.5763888889</v>
      </c>
      <c r="F388" s="61" t="n">
        <v>45965.6006944444</v>
      </c>
      <c r="G388" s="62" t="n">
        <v>0.0243055555547471</v>
      </c>
      <c r="H388" s="13" t="s">
        <v>445</v>
      </c>
      <c r="I388" s="13" t="s">
        <v>263</v>
      </c>
      <c r="J388" s="13" t="s">
        <v>417</v>
      </c>
      <c r="K388" s="13" t="s">
        <v>1405</v>
      </c>
      <c r="L388" s="13" t="s">
        <v>420</v>
      </c>
      <c r="M388" s="66" t="s">
        <v>418</v>
      </c>
      <c r="N388" s="66" t="s">
        <v>625</v>
      </c>
      <c r="O388" s="66" t="s">
        <v>625</v>
      </c>
      <c r="P388" s="0" t="s">
        <v>1412</v>
      </c>
      <c r="Q388" s="66" t="s">
        <v>1407</v>
      </c>
    </row>
    <row r="389" customFormat="false" ht="14.25" hidden="false" customHeight="false" outlineLevel="0" collapsed="false">
      <c r="A389" s="13" t="s">
        <v>731</v>
      </c>
      <c r="B389" s="13" t="s">
        <v>731</v>
      </c>
      <c r="C389" s="13" t="s">
        <v>733</v>
      </c>
      <c r="D389" s="61" t="n">
        <v>45965.5763888889</v>
      </c>
      <c r="E389" s="61" t="n">
        <v>45965.5763888889</v>
      </c>
      <c r="F389" s="61" t="n">
        <v>45965.6006944444</v>
      </c>
      <c r="G389" s="62" t="n">
        <v>0.0243055555547471</v>
      </c>
      <c r="H389" s="13" t="s">
        <v>445</v>
      </c>
      <c r="I389" s="13" t="s">
        <v>263</v>
      </c>
      <c r="J389" s="13" t="s">
        <v>417</v>
      </c>
      <c r="K389" s="13" t="s">
        <v>1405</v>
      </c>
      <c r="L389" s="13" t="s">
        <v>420</v>
      </c>
      <c r="M389" s="66" t="s">
        <v>418</v>
      </c>
      <c r="N389" s="66" t="s">
        <v>625</v>
      </c>
      <c r="O389" s="66" t="s">
        <v>625</v>
      </c>
      <c r="P389" s="0" t="s">
        <v>1413</v>
      </c>
      <c r="Q389" s="66" t="s">
        <v>1407</v>
      </c>
    </row>
    <row r="390" customFormat="false" ht="14.25" hidden="false" customHeight="false" outlineLevel="0" collapsed="false">
      <c r="A390" s="13" t="s">
        <v>731</v>
      </c>
      <c r="B390" s="13" t="s">
        <v>731</v>
      </c>
      <c r="C390" s="13" t="s">
        <v>734</v>
      </c>
      <c r="D390" s="61" t="n">
        <v>45965.5763888889</v>
      </c>
      <c r="E390" s="61" t="n">
        <v>45965.5763888889</v>
      </c>
      <c r="F390" s="61" t="n">
        <v>45965.6006944444</v>
      </c>
      <c r="G390" s="62" t="n">
        <v>0.0243055555547471</v>
      </c>
      <c r="H390" s="13" t="s">
        <v>445</v>
      </c>
      <c r="I390" s="13" t="s">
        <v>263</v>
      </c>
      <c r="J390" s="13" t="s">
        <v>417</v>
      </c>
      <c r="K390" s="13" t="s">
        <v>1405</v>
      </c>
      <c r="L390" s="13" t="s">
        <v>420</v>
      </c>
      <c r="M390" s="66" t="s">
        <v>418</v>
      </c>
      <c r="N390" s="66" t="s">
        <v>625</v>
      </c>
      <c r="O390" s="66" t="s">
        <v>625</v>
      </c>
      <c r="P390" s="0" t="s">
        <v>1414</v>
      </c>
      <c r="Q390" s="66" t="s">
        <v>1407</v>
      </c>
    </row>
    <row r="391" customFormat="false" ht="14.25" hidden="false" customHeight="false" outlineLevel="0" collapsed="false">
      <c r="A391" s="13" t="s">
        <v>622</v>
      </c>
      <c r="B391" s="13" t="s">
        <v>622</v>
      </c>
      <c r="C391" s="13" t="s">
        <v>280</v>
      </c>
      <c r="D391" s="61" t="n">
        <v>45966.2534722222</v>
      </c>
      <c r="E391" s="61" t="n">
        <v>45966.2534722222</v>
      </c>
      <c r="F391" s="61" t="n">
        <v>45966.3083333333</v>
      </c>
      <c r="G391" s="62" t="n">
        <v>0.054861111115315</v>
      </c>
      <c r="H391" s="13" t="s">
        <v>248</v>
      </c>
      <c r="J391" s="13" t="s">
        <v>256</v>
      </c>
      <c r="K391" s="13" t="s">
        <v>430</v>
      </c>
      <c r="L391" s="13" t="s">
        <v>1415</v>
      </c>
      <c r="M391" s="66" t="s">
        <v>258</v>
      </c>
      <c r="N391" s="66" t="s">
        <v>379</v>
      </c>
      <c r="O391" s="66" t="s">
        <v>399</v>
      </c>
      <c r="P391" s="0" t="s">
        <v>1416</v>
      </c>
      <c r="Q391" s="66" t="s">
        <v>995</v>
      </c>
    </row>
    <row r="392" customFormat="false" ht="14.25" hidden="false" customHeight="false" outlineLevel="0" collapsed="false">
      <c r="A392" s="13" t="s">
        <v>622</v>
      </c>
      <c r="B392" s="13" t="s">
        <v>622</v>
      </c>
      <c r="C392" s="13" t="s">
        <v>247</v>
      </c>
      <c r="D392" s="61" t="n">
        <v>45966.2534722222</v>
      </c>
      <c r="E392" s="61" t="n">
        <v>45966.2534722222</v>
      </c>
      <c r="F392" s="61" t="n">
        <v>45966.3083333333</v>
      </c>
      <c r="G392" s="62" t="n">
        <v>0.054861111115315</v>
      </c>
      <c r="H392" s="13" t="s">
        <v>248</v>
      </c>
      <c r="J392" s="13" t="s">
        <v>256</v>
      </c>
      <c r="K392" s="13" t="s">
        <v>430</v>
      </c>
      <c r="L392" s="13" t="s">
        <v>1417</v>
      </c>
      <c r="M392" s="66" t="s">
        <v>258</v>
      </c>
      <c r="N392" s="66" t="s">
        <v>379</v>
      </c>
      <c r="O392" s="66" t="s">
        <v>399</v>
      </c>
      <c r="P392" s="0" t="s">
        <v>1418</v>
      </c>
      <c r="Q392" s="66" t="s">
        <v>995</v>
      </c>
    </row>
    <row r="393" customFormat="false" ht="14.25" hidden="false" customHeight="false" outlineLevel="0" collapsed="false">
      <c r="A393" s="13" t="s">
        <v>622</v>
      </c>
      <c r="B393" s="13" t="s">
        <v>622</v>
      </c>
      <c r="C393" s="13" t="s">
        <v>277</v>
      </c>
      <c r="D393" s="61" t="n">
        <v>45966.2534722222</v>
      </c>
      <c r="E393" s="61" t="n">
        <v>45966.2534722222</v>
      </c>
      <c r="F393" s="61" t="n">
        <v>45966.3083333333</v>
      </c>
      <c r="G393" s="62" t="n">
        <v>0.054861111115315</v>
      </c>
      <c r="H393" s="13" t="s">
        <v>248</v>
      </c>
      <c r="J393" s="13" t="s">
        <v>256</v>
      </c>
      <c r="K393" s="13" t="s">
        <v>430</v>
      </c>
      <c r="L393" s="13" t="s">
        <v>1417</v>
      </c>
      <c r="M393" s="66" t="s">
        <v>258</v>
      </c>
      <c r="N393" s="66" t="s">
        <v>379</v>
      </c>
      <c r="O393" s="66" t="s">
        <v>399</v>
      </c>
      <c r="P393" s="0" t="s">
        <v>1419</v>
      </c>
      <c r="Q393" s="66" t="s">
        <v>995</v>
      </c>
    </row>
    <row r="394" customFormat="false" ht="14.25" hidden="false" customHeight="false" outlineLevel="0" collapsed="false">
      <c r="A394" s="13" t="s">
        <v>622</v>
      </c>
      <c r="B394" s="13" t="s">
        <v>622</v>
      </c>
      <c r="C394" s="13" t="s">
        <v>255</v>
      </c>
      <c r="D394" s="61" t="n">
        <v>45966.2534722222</v>
      </c>
      <c r="E394" s="61" t="n">
        <v>45966.2534722222</v>
      </c>
      <c r="F394" s="61" t="n">
        <v>45966.3083333333</v>
      </c>
      <c r="G394" s="62" t="n">
        <v>0.054861111115315</v>
      </c>
      <c r="H394" s="13" t="s">
        <v>248</v>
      </c>
      <c r="J394" s="13" t="s">
        <v>256</v>
      </c>
      <c r="K394" s="13" t="s">
        <v>430</v>
      </c>
      <c r="L394" s="13" t="s">
        <v>1417</v>
      </c>
      <c r="M394" s="66" t="s">
        <v>258</v>
      </c>
      <c r="N394" s="66" t="s">
        <v>379</v>
      </c>
      <c r="O394" s="66" t="s">
        <v>399</v>
      </c>
      <c r="P394" s="0" t="s">
        <v>1420</v>
      </c>
      <c r="Q394" s="66" t="s">
        <v>995</v>
      </c>
    </row>
    <row r="395" customFormat="false" ht="14.25" hidden="false" customHeight="false" outlineLevel="0" collapsed="false">
      <c r="A395" s="13" t="s">
        <v>698</v>
      </c>
      <c r="B395" s="13" t="s">
        <v>698</v>
      </c>
      <c r="C395" s="13" t="s">
        <v>247</v>
      </c>
      <c r="D395" s="61" t="n">
        <v>45966.2534722222</v>
      </c>
      <c r="E395" s="61" t="n">
        <v>45966.2534722222</v>
      </c>
      <c r="F395" s="61" t="n">
        <v>45966.3083333333</v>
      </c>
      <c r="G395" s="62" t="n">
        <v>0.054861111115315</v>
      </c>
      <c r="H395" s="13" t="s">
        <v>248</v>
      </c>
      <c r="J395" s="13" t="s">
        <v>256</v>
      </c>
      <c r="K395" s="13" t="s">
        <v>430</v>
      </c>
      <c r="L395" s="13" t="s">
        <v>1417</v>
      </c>
      <c r="M395" s="66" t="s">
        <v>258</v>
      </c>
      <c r="N395" s="66" t="s">
        <v>379</v>
      </c>
      <c r="O395" s="66" t="s">
        <v>399</v>
      </c>
      <c r="P395" s="0" t="s">
        <v>1421</v>
      </c>
      <c r="Q395" s="66" t="s">
        <v>995</v>
      </c>
    </row>
    <row r="396" customFormat="false" ht="14.25" hidden="false" customHeight="false" outlineLevel="0" collapsed="false">
      <c r="A396" s="13" t="s">
        <v>698</v>
      </c>
      <c r="B396" s="13" t="s">
        <v>698</v>
      </c>
      <c r="C396" s="13" t="s">
        <v>277</v>
      </c>
      <c r="D396" s="61" t="n">
        <v>45966.2534722222</v>
      </c>
      <c r="E396" s="61" t="n">
        <v>45966.2534722222</v>
      </c>
      <c r="F396" s="61" t="n">
        <v>45966.3083333333</v>
      </c>
      <c r="G396" s="62" t="n">
        <v>0.054861111115315</v>
      </c>
      <c r="H396" s="13" t="s">
        <v>248</v>
      </c>
      <c r="J396" s="13" t="s">
        <v>256</v>
      </c>
      <c r="K396" s="13" t="s">
        <v>430</v>
      </c>
      <c r="L396" s="13" t="s">
        <v>1417</v>
      </c>
      <c r="M396" s="66" t="s">
        <v>258</v>
      </c>
      <c r="N396" s="66" t="s">
        <v>379</v>
      </c>
      <c r="O396" s="66" t="s">
        <v>399</v>
      </c>
      <c r="P396" s="0" t="s">
        <v>1422</v>
      </c>
      <c r="Q396" s="66" t="s">
        <v>995</v>
      </c>
    </row>
    <row r="397" customFormat="false" ht="14.25" hidden="false" customHeight="false" outlineLevel="0" collapsed="false">
      <c r="A397" s="13" t="s">
        <v>698</v>
      </c>
      <c r="B397" s="13" t="s">
        <v>698</v>
      </c>
      <c r="C397" s="13" t="s">
        <v>279</v>
      </c>
      <c r="D397" s="61" t="n">
        <v>45966.2534722222</v>
      </c>
      <c r="E397" s="61" t="n">
        <v>45966.2534722222</v>
      </c>
      <c r="F397" s="61" t="n">
        <v>45966.3083333333</v>
      </c>
      <c r="G397" s="62" t="n">
        <v>0.054861111115315</v>
      </c>
      <c r="H397" s="13" t="s">
        <v>248</v>
      </c>
      <c r="J397" s="13" t="s">
        <v>256</v>
      </c>
      <c r="K397" s="13" t="s">
        <v>430</v>
      </c>
      <c r="L397" s="13" t="s">
        <v>1417</v>
      </c>
      <c r="M397" s="66" t="s">
        <v>258</v>
      </c>
      <c r="N397" s="66" t="s">
        <v>379</v>
      </c>
      <c r="O397" s="66" t="s">
        <v>399</v>
      </c>
      <c r="P397" s="0" t="s">
        <v>1423</v>
      </c>
      <c r="Q397" s="66" t="s">
        <v>995</v>
      </c>
    </row>
    <row r="398" customFormat="false" ht="14.25" hidden="false" customHeight="false" outlineLevel="0" collapsed="false">
      <c r="A398" s="13" t="s">
        <v>698</v>
      </c>
      <c r="B398" s="13" t="s">
        <v>698</v>
      </c>
      <c r="C398" s="13" t="s">
        <v>280</v>
      </c>
      <c r="D398" s="61" t="n">
        <v>45966.2534722222</v>
      </c>
      <c r="E398" s="61" t="n">
        <v>45966.2534722222</v>
      </c>
      <c r="F398" s="61" t="n">
        <v>45966.3083333333</v>
      </c>
      <c r="G398" s="62" t="n">
        <v>0.054861111115315</v>
      </c>
      <c r="H398" s="13" t="s">
        <v>248</v>
      </c>
      <c r="J398" s="13" t="s">
        <v>256</v>
      </c>
      <c r="K398" s="13" t="s">
        <v>430</v>
      </c>
      <c r="L398" s="13" t="s">
        <v>1417</v>
      </c>
      <c r="M398" s="66" t="s">
        <v>258</v>
      </c>
      <c r="N398" s="66" t="s">
        <v>379</v>
      </c>
      <c r="O398" s="66" t="s">
        <v>399</v>
      </c>
      <c r="P398" s="0" t="s">
        <v>1424</v>
      </c>
      <c r="Q398" s="66" t="s">
        <v>995</v>
      </c>
    </row>
    <row r="399" customFormat="false" ht="14.25" hidden="false" customHeight="false" outlineLevel="0" collapsed="false">
      <c r="A399" s="13" t="s">
        <v>699</v>
      </c>
      <c r="B399" s="13" t="s">
        <v>699</v>
      </c>
      <c r="C399" s="13" t="s">
        <v>247</v>
      </c>
      <c r="D399" s="61" t="n">
        <v>45966.2534722222</v>
      </c>
      <c r="E399" s="61" t="n">
        <v>45966.2534722222</v>
      </c>
      <c r="F399" s="61" t="n">
        <v>45966.3083333333</v>
      </c>
      <c r="G399" s="62" t="n">
        <v>0.054861111115315</v>
      </c>
      <c r="H399" s="13" t="s">
        <v>248</v>
      </c>
      <c r="J399" s="13" t="s">
        <v>256</v>
      </c>
      <c r="K399" s="13" t="s">
        <v>430</v>
      </c>
      <c r="L399" s="13" t="s">
        <v>1417</v>
      </c>
      <c r="M399" s="66" t="s">
        <v>258</v>
      </c>
      <c r="N399" s="66" t="s">
        <v>379</v>
      </c>
      <c r="O399" s="66" t="s">
        <v>399</v>
      </c>
      <c r="P399" s="0" t="s">
        <v>1425</v>
      </c>
      <c r="Q399" s="66" t="s">
        <v>995</v>
      </c>
    </row>
    <row r="400" customFormat="false" ht="14.25" hidden="false" customHeight="false" outlineLevel="0" collapsed="false">
      <c r="A400" s="13" t="s">
        <v>699</v>
      </c>
      <c r="B400" s="13" t="s">
        <v>699</v>
      </c>
      <c r="C400" s="13" t="s">
        <v>277</v>
      </c>
      <c r="D400" s="61" t="n">
        <v>45966.2534722222</v>
      </c>
      <c r="E400" s="61" t="n">
        <v>45966.2534722222</v>
      </c>
      <c r="F400" s="61" t="n">
        <v>45966.3083333333</v>
      </c>
      <c r="G400" s="62" t="n">
        <v>0.054861111115315</v>
      </c>
      <c r="H400" s="13" t="s">
        <v>248</v>
      </c>
      <c r="J400" s="13" t="s">
        <v>256</v>
      </c>
      <c r="K400" s="13" t="s">
        <v>430</v>
      </c>
      <c r="L400" s="13" t="s">
        <v>1417</v>
      </c>
      <c r="M400" s="66" t="s">
        <v>258</v>
      </c>
      <c r="N400" s="66" t="s">
        <v>379</v>
      </c>
      <c r="O400" s="66" t="s">
        <v>399</v>
      </c>
      <c r="P400" s="0" t="s">
        <v>1426</v>
      </c>
      <c r="Q400" s="66" t="s">
        <v>995</v>
      </c>
    </row>
    <row r="401" customFormat="false" ht="14.25" hidden="false" customHeight="false" outlineLevel="0" collapsed="false">
      <c r="A401" s="13" t="s">
        <v>1142</v>
      </c>
      <c r="B401" s="13" t="s">
        <v>320</v>
      </c>
      <c r="C401" s="13" t="s">
        <v>323</v>
      </c>
      <c r="D401" s="61" t="n">
        <v>45966.2569444444</v>
      </c>
      <c r="E401" s="61" t="n">
        <v>45966.2569444444</v>
      </c>
      <c r="F401" s="61" t="n">
        <v>45966.3506944444</v>
      </c>
      <c r="G401" s="62" t="n">
        <v>0.09375</v>
      </c>
      <c r="H401" s="13" t="s">
        <v>445</v>
      </c>
      <c r="I401" s="13" t="s">
        <v>263</v>
      </c>
      <c r="J401" s="13" t="s">
        <v>264</v>
      </c>
      <c r="K401" s="13" t="s">
        <v>456</v>
      </c>
      <c r="L401" s="13" t="s">
        <v>1427</v>
      </c>
      <c r="M401" s="66" t="s">
        <v>251</v>
      </c>
      <c r="N401" s="66" t="s">
        <v>625</v>
      </c>
      <c r="O401" s="66" t="s">
        <v>1428</v>
      </c>
      <c r="P401" s="0" t="s">
        <v>1429</v>
      </c>
      <c r="Q401" s="66" t="s">
        <v>1430</v>
      </c>
    </row>
    <row r="402" customFormat="false" ht="14.25" hidden="false" customHeight="false" outlineLevel="0" collapsed="false">
      <c r="A402" s="13" t="s">
        <v>857</v>
      </c>
      <c r="B402" s="13" t="s">
        <v>320</v>
      </c>
      <c r="C402" s="13" t="s">
        <v>321</v>
      </c>
      <c r="D402" s="61" t="n">
        <v>45966.2569444444</v>
      </c>
      <c r="E402" s="61" t="n">
        <v>45966.2569444444</v>
      </c>
      <c r="F402" s="61" t="n">
        <v>45966.3506944444</v>
      </c>
      <c r="G402" s="62" t="n">
        <v>0.09375</v>
      </c>
      <c r="H402" s="13" t="s">
        <v>445</v>
      </c>
      <c r="I402" s="13" t="s">
        <v>263</v>
      </c>
      <c r="J402" s="13" t="s">
        <v>264</v>
      </c>
      <c r="K402" s="13" t="s">
        <v>456</v>
      </c>
      <c r="L402" s="13" t="s">
        <v>1427</v>
      </c>
      <c r="M402" s="66" t="s">
        <v>251</v>
      </c>
      <c r="N402" s="66" t="s">
        <v>625</v>
      </c>
      <c r="O402" s="66" t="s">
        <v>1428</v>
      </c>
      <c r="P402" s="0" t="s">
        <v>1431</v>
      </c>
      <c r="Q402" s="66" t="s">
        <v>1430</v>
      </c>
    </row>
    <row r="403" customFormat="false" ht="14.25" hidden="false" customHeight="false" outlineLevel="0" collapsed="false">
      <c r="A403" s="13" t="s">
        <v>1145</v>
      </c>
      <c r="B403" s="13" t="s">
        <v>320</v>
      </c>
      <c r="C403" s="13" t="s">
        <v>324</v>
      </c>
      <c r="D403" s="61" t="n">
        <v>45966.2569444444</v>
      </c>
      <c r="E403" s="61" t="n">
        <v>45966.2569444444</v>
      </c>
      <c r="F403" s="61" t="n">
        <v>45966.3506944444</v>
      </c>
      <c r="G403" s="62" t="n">
        <v>0.09375</v>
      </c>
      <c r="H403" s="13" t="s">
        <v>445</v>
      </c>
      <c r="I403" s="13" t="s">
        <v>263</v>
      </c>
      <c r="J403" s="13" t="s">
        <v>264</v>
      </c>
      <c r="K403" s="13" t="s">
        <v>456</v>
      </c>
      <c r="L403" s="13" t="s">
        <v>1427</v>
      </c>
      <c r="M403" s="66" t="s">
        <v>251</v>
      </c>
      <c r="N403" s="66" t="s">
        <v>625</v>
      </c>
      <c r="O403" s="66" t="s">
        <v>1428</v>
      </c>
      <c r="P403" s="0" t="s">
        <v>1432</v>
      </c>
      <c r="Q403" s="66" t="s">
        <v>1430</v>
      </c>
    </row>
    <row r="404" customFormat="false" ht="14.25" hidden="false" customHeight="false" outlineLevel="0" collapsed="false">
      <c r="A404" s="13" t="s">
        <v>878</v>
      </c>
      <c r="B404" s="13" t="s">
        <v>504</v>
      </c>
      <c r="C404" s="13" t="s">
        <v>1250</v>
      </c>
      <c r="D404" s="61" t="n">
        <v>45966.2613888889</v>
      </c>
      <c r="E404" s="61" t="n">
        <v>45966.2613888889</v>
      </c>
      <c r="F404" s="61" t="n">
        <v>45966.2683564815</v>
      </c>
      <c r="G404" s="62" t="n">
        <v>0.00696759259153623</v>
      </c>
      <c r="H404" s="13" t="s">
        <v>248</v>
      </c>
      <c r="J404" s="13" t="s">
        <v>249</v>
      </c>
      <c r="K404" s="13" t="s">
        <v>439</v>
      </c>
      <c r="L404" s="13" t="s">
        <v>1251</v>
      </c>
      <c r="M404" s="66" t="s">
        <v>251</v>
      </c>
      <c r="N404" s="66" t="s">
        <v>625</v>
      </c>
      <c r="P404" s="0" t="s">
        <v>1433</v>
      </c>
      <c r="Q404" s="66" t="s">
        <v>1253</v>
      </c>
    </row>
    <row r="405" customFormat="false" ht="14.25" hidden="false" customHeight="false" outlineLevel="0" collapsed="false">
      <c r="A405" s="13" t="s">
        <v>878</v>
      </c>
      <c r="B405" s="13" t="s">
        <v>504</v>
      </c>
      <c r="C405" s="13" t="s">
        <v>1332</v>
      </c>
      <c r="D405" s="61" t="n">
        <v>45966.2618402778</v>
      </c>
      <c r="E405" s="61" t="n">
        <v>45966.2618402778</v>
      </c>
      <c r="F405" s="61" t="n">
        <v>45966.2852314815</v>
      </c>
      <c r="G405" s="62" t="n">
        <v>0.0233912037001573</v>
      </c>
      <c r="H405" s="13" t="s">
        <v>248</v>
      </c>
      <c r="J405" s="13" t="s">
        <v>249</v>
      </c>
      <c r="K405" s="13" t="s">
        <v>439</v>
      </c>
      <c r="L405" s="13" t="s">
        <v>1251</v>
      </c>
      <c r="M405" s="66" t="s">
        <v>251</v>
      </c>
      <c r="N405" s="66" t="s">
        <v>625</v>
      </c>
      <c r="P405" s="0" t="s">
        <v>1434</v>
      </c>
      <c r="Q405" s="66" t="s">
        <v>1253</v>
      </c>
    </row>
    <row r="406" customFormat="false" ht="14.25" hidden="false" customHeight="false" outlineLevel="0" collapsed="false">
      <c r="A406" s="13" t="s">
        <v>878</v>
      </c>
      <c r="B406" s="13" t="s">
        <v>504</v>
      </c>
      <c r="C406" s="13" t="s">
        <v>1334</v>
      </c>
      <c r="D406" s="61" t="n">
        <v>45966.2618634259</v>
      </c>
      <c r="E406" s="61" t="n">
        <v>45966.2618634259</v>
      </c>
      <c r="F406" s="61" t="n">
        <v>45966.2852314815</v>
      </c>
      <c r="G406" s="62" t="n">
        <v>0.023368055553874</v>
      </c>
      <c r="H406" s="13" t="s">
        <v>248</v>
      </c>
      <c r="J406" s="13" t="s">
        <v>249</v>
      </c>
      <c r="K406" s="13" t="s">
        <v>439</v>
      </c>
      <c r="L406" s="13" t="s">
        <v>1251</v>
      </c>
      <c r="M406" s="66" t="s">
        <v>251</v>
      </c>
      <c r="N406" s="66" t="s">
        <v>625</v>
      </c>
      <c r="P406" s="0" t="s">
        <v>1435</v>
      </c>
      <c r="Q406" s="66" t="s">
        <v>1253</v>
      </c>
    </row>
    <row r="407" customFormat="false" ht="14.25" hidden="false" customHeight="false" outlineLevel="0" collapsed="false">
      <c r="A407" s="13" t="s">
        <v>878</v>
      </c>
      <c r="B407" s="13" t="s">
        <v>504</v>
      </c>
      <c r="C407" s="13" t="s">
        <v>1436</v>
      </c>
      <c r="D407" s="61" t="n">
        <v>45966.2619328704</v>
      </c>
      <c r="E407" s="61" t="n">
        <v>45966.2619328704</v>
      </c>
      <c r="F407" s="61" t="n">
        <v>45966.2852314815</v>
      </c>
      <c r="G407" s="62" t="n">
        <v>0.023298611107748</v>
      </c>
      <c r="H407" s="13" t="s">
        <v>248</v>
      </c>
      <c r="J407" s="13" t="s">
        <v>249</v>
      </c>
      <c r="K407" s="13" t="s">
        <v>439</v>
      </c>
      <c r="L407" s="13" t="s">
        <v>1251</v>
      </c>
      <c r="M407" s="66" t="s">
        <v>251</v>
      </c>
      <c r="N407" s="66" t="s">
        <v>625</v>
      </c>
      <c r="P407" s="0" t="s">
        <v>1437</v>
      </c>
      <c r="Q407" s="66" t="s">
        <v>1253</v>
      </c>
    </row>
    <row r="408" customFormat="false" ht="14.25" hidden="false" customHeight="false" outlineLevel="0" collapsed="false">
      <c r="A408" s="13" t="s">
        <v>816</v>
      </c>
      <c r="B408" s="13" t="s">
        <v>581</v>
      </c>
      <c r="C408" s="13" t="s">
        <v>586</v>
      </c>
      <c r="D408" s="61" t="n">
        <v>45966.3069444444</v>
      </c>
      <c r="E408" s="61" t="n">
        <v>45966.3069444444</v>
      </c>
      <c r="F408" s="61" t="n">
        <v>45966.7222222222</v>
      </c>
      <c r="G408" s="62" t="n">
        <v>0.415277777778101</v>
      </c>
      <c r="H408" s="13" t="s">
        <v>313</v>
      </c>
      <c r="J408" s="13" t="s">
        <v>230</v>
      </c>
      <c r="K408" s="13" t="s">
        <v>230</v>
      </c>
      <c r="L408" s="13" t="s">
        <v>1438</v>
      </c>
      <c r="M408" s="66" t="s">
        <v>288</v>
      </c>
      <c r="N408" s="66" t="s">
        <v>315</v>
      </c>
      <c r="O408" s="66" t="s">
        <v>933</v>
      </c>
      <c r="P408" s="0" t="s">
        <v>1439</v>
      </c>
      <c r="Q408" s="66" t="s">
        <v>1393</v>
      </c>
    </row>
    <row r="409" customFormat="false" ht="14.25" hidden="false" customHeight="false" outlineLevel="0" collapsed="false">
      <c r="A409" s="13" t="s">
        <v>816</v>
      </c>
      <c r="B409" s="13" t="s">
        <v>581</v>
      </c>
      <c r="C409" s="13" t="s">
        <v>737</v>
      </c>
      <c r="D409" s="61" t="n">
        <v>45966.3069444444</v>
      </c>
      <c r="E409" s="61" t="n">
        <v>45966.3069444444</v>
      </c>
      <c r="F409" s="61" t="n">
        <v>45966.7222222222</v>
      </c>
      <c r="G409" s="62" t="n">
        <v>0.415277777778101</v>
      </c>
      <c r="H409" s="13" t="s">
        <v>313</v>
      </c>
      <c r="J409" s="13" t="s">
        <v>230</v>
      </c>
      <c r="K409" s="13" t="s">
        <v>230</v>
      </c>
      <c r="L409" s="13" t="s">
        <v>1438</v>
      </c>
      <c r="M409" s="66" t="s">
        <v>288</v>
      </c>
      <c r="N409" s="66" t="s">
        <v>315</v>
      </c>
      <c r="O409" s="66" t="s">
        <v>933</v>
      </c>
      <c r="P409" s="0" t="s">
        <v>1440</v>
      </c>
      <c r="Q409" s="66" t="s">
        <v>1393</v>
      </c>
    </row>
    <row r="410" customFormat="false" ht="14.25" hidden="false" customHeight="false" outlineLevel="0" collapsed="false">
      <c r="A410" s="13" t="s">
        <v>816</v>
      </c>
      <c r="B410" s="13" t="s">
        <v>581</v>
      </c>
      <c r="C410" s="13" t="s">
        <v>582</v>
      </c>
      <c r="D410" s="61" t="n">
        <v>45966.3069444444</v>
      </c>
      <c r="E410" s="61" t="n">
        <v>45966.3069444444</v>
      </c>
      <c r="F410" s="61" t="n">
        <v>45966.7222222222</v>
      </c>
      <c r="G410" s="62" t="n">
        <v>0.415277777778101</v>
      </c>
      <c r="H410" s="13" t="s">
        <v>313</v>
      </c>
      <c r="J410" s="13" t="s">
        <v>230</v>
      </c>
      <c r="K410" s="13" t="s">
        <v>230</v>
      </c>
      <c r="L410" s="13" t="s">
        <v>1438</v>
      </c>
      <c r="M410" s="66" t="s">
        <v>288</v>
      </c>
      <c r="N410" s="66" t="s">
        <v>315</v>
      </c>
      <c r="O410" s="66" t="s">
        <v>933</v>
      </c>
      <c r="P410" s="0" t="s">
        <v>1441</v>
      </c>
      <c r="Q410" s="66" t="s">
        <v>1393</v>
      </c>
    </row>
    <row r="411" customFormat="false" ht="14.25" hidden="false" customHeight="false" outlineLevel="0" collapsed="false">
      <c r="A411" s="13" t="s">
        <v>816</v>
      </c>
      <c r="B411" s="13" t="s">
        <v>581</v>
      </c>
      <c r="C411" s="13" t="s">
        <v>594</v>
      </c>
      <c r="D411" s="61" t="n">
        <v>45966.3069444444</v>
      </c>
      <c r="E411" s="61" t="n">
        <v>45966.3069444444</v>
      </c>
      <c r="F411" s="61" t="n">
        <v>45966.7222222222</v>
      </c>
      <c r="G411" s="62" t="n">
        <v>0.415277777778101</v>
      </c>
      <c r="H411" s="13" t="s">
        <v>313</v>
      </c>
      <c r="J411" s="13" t="s">
        <v>230</v>
      </c>
      <c r="K411" s="13" t="s">
        <v>230</v>
      </c>
      <c r="L411" s="13" t="s">
        <v>1438</v>
      </c>
      <c r="M411" s="66" t="s">
        <v>288</v>
      </c>
      <c r="N411" s="66" t="s">
        <v>315</v>
      </c>
      <c r="O411" s="66" t="s">
        <v>933</v>
      </c>
      <c r="P411" s="0" t="s">
        <v>1442</v>
      </c>
      <c r="Q411" s="66" t="s">
        <v>1393</v>
      </c>
    </row>
    <row r="412" customFormat="false" ht="14.25" hidden="false" customHeight="false" outlineLevel="0" collapsed="false">
      <c r="A412" s="13" t="s">
        <v>816</v>
      </c>
      <c r="B412" s="13" t="s">
        <v>581</v>
      </c>
      <c r="C412" s="13" t="s">
        <v>596</v>
      </c>
      <c r="D412" s="61" t="n">
        <v>45966.3069444444</v>
      </c>
      <c r="E412" s="61" t="n">
        <v>45966.3069444444</v>
      </c>
      <c r="F412" s="61" t="n">
        <v>45966.7222222222</v>
      </c>
      <c r="G412" s="62" t="n">
        <v>0.415277777778101</v>
      </c>
      <c r="H412" s="13" t="s">
        <v>313</v>
      </c>
      <c r="J412" s="13" t="s">
        <v>230</v>
      </c>
      <c r="K412" s="13" t="s">
        <v>230</v>
      </c>
      <c r="L412" s="13" t="s">
        <v>1438</v>
      </c>
      <c r="M412" s="66" t="s">
        <v>288</v>
      </c>
      <c r="N412" s="66" t="s">
        <v>315</v>
      </c>
      <c r="O412" s="66" t="s">
        <v>933</v>
      </c>
      <c r="P412" s="0" t="s">
        <v>1443</v>
      </c>
      <c r="Q412" s="66" t="s">
        <v>1393</v>
      </c>
    </row>
    <row r="413" customFormat="false" ht="14.25" hidden="false" customHeight="false" outlineLevel="0" collapsed="false">
      <c r="A413" s="13" t="s">
        <v>816</v>
      </c>
      <c r="B413" s="13" t="s">
        <v>581</v>
      </c>
      <c r="C413" s="13" t="s">
        <v>592</v>
      </c>
      <c r="D413" s="61" t="n">
        <v>45966.3069444444</v>
      </c>
      <c r="E413" s="61" t="n">
        <v>45966.3069444444</v>
      </c>
      <c r="F413" s="61" t="n">
        <v>45966.7222222222</v>
      </c>
      <c r="G413" s="62" t="n">
        <v>0.415277777778101</v>
      </c>
      <c r="H413" s="13" t="s">
        <v>313</v>
      </c>
      <c r="J413" s="13" t="s">
        <v>230</v>
      </c>
      <c r="K413" s="13" t="s">
        <v>230</v>
      </c>
      <c r="L413" s="13" t="s">
        <v>1438</v>
      </c>
      <c r="M413" s="66" t="s">
        <v>288</v>
      </c>
      <c r="N413" s="66" t="s">
        <v>315</v>
      </c>
      <c r="O413" s="66" t="s">
        <v>933</v>
      </c>
      <c r="P413" s="0" t="s">
        <v>1444</v>
      </c>
      <c r="Q413" s="66" t="s">
        <v>1393</v>
      </c>
    </row>
    <row r="414" customFormat="false" ht="14.25" hidden="false" customHeight="false" outlineLevel="0" collapsed="false">
      <c r="A414" s="13" t="s">
        <v>816</v>
      </c>
      <c r="B414" s="13" t="s">
        <v>581</v>
      </c>
      <c r="C414" s="13" t="s">
        <v>595</v>
      </c>
      <c r="D414" s="61" t="n">
        <v>45966.3069444444</v>
      </c>
      <c r="E414" s="61" t="n">
        <v>45966.3069444444</v>
      </c>
      <c r="F414" s="61" t="n">
        <v>45966.7222222222</v>
      </c>
      <c r="G414" s="62" t="n">
        <v>0.415277777778101</v>
      </c>
      <c r="H414" s="13" t="s">
        <v>313</v>
      </c>
      <c r="J414" s="13" t="s">
        <v>230</v>
      </c>
      <c r="K414" s="13" t="s">
        <v>230</v>
      </c>
      <c r="L414" s="13" t="s">
        <v>1438</v>
      </c>
      <c r="M414" s="66" t="s">
        <v>288</v>
      </c>
      <c r="N414" s="66" t="s">
        <v>315</v>
      </c>
      <c r="O414" s="66" t="s">
        <v>933</v>
      </c>
      <c r="P414" s="0" t="s">
        <v>1445</v>
      </c>
      <c r="Q414" s="66" t="s">
        <v>1393</v>
      </c>
    </row>
    <row r="415" customFormat="false" ht="14.25" hidden="false" customHeight="false" outlineLevel="0" collapsed="false">
      <c r="A415" s="13" t="s">
        <v>816</v>
      </c>
      <c r="B415" s="13" t="s">
        <v>581</v>
      </c>
      <c r="C415" s="13" t="s">
        <v>599</v>
      </c>
      <c r="D415" s="61" t="n">
        <v>45966.3069444444</v>
      </c>
      <c r="E415" s="61" t="n">
        <v>45966.3069444444</v>
      </c>
      <c r="F415" s="61" t="n">
        <v>45966.7222222222</v>
      </c>
      <c r="G415" s="62" t="n">
        <v>0.415277777778101</v>
      </c>
      <c r="H415" s="13" t="s">
        <v>313</v>
      </c>
      <c r="J415" s="13" t="s">
        <v>230</v>
      </c>
      <c r="K415" s="13" t="s">
        <v>230</v>
      </c>
      <c r="L415" s="13" t="s">
        <v>1438</v>
      </c>
      <c r="M415" s="66" t="s">
        <v>288</v>
      </c>
      <c r="N415" s="66" t="s">
        <v>315</v>
      </c>
      <c r="O415" s="66" t="s">
        <v>933</v>
      </c>
      <c r="P415" s="0" t="s">
        <v>1446</v>
      </c>
      <c r="Q415" s="66" t="s">
        <v>1393</v>
      </c>
    </row>
    <row r="416" customFormat="false" ht="14.25" hidden="false" customHeight="false" outlineLevel="0" collapsed="false">
      <c r="A416" s="13" t="s">
        <v>816</v>
      </c>
      <c r="B416" s="13" t="s">
        <v>581</v>
      </c>
      <c r="C416" s="13" t="s">
        <v>584</v>
      </c>
      <c r="D416" s="61" t="n">
        <v>45966.3069444444</v>
      </c>
      <c r="E416" s="61" t="n">
        <v>45966.3069444444</v>
      </c>
      <c r="F416" s="61" t="n">
        <v>45966.7222222222</v>
      </c>
      <c r="G416" s="62" t="n">
        <v>0.415277777778101</v>
      </c>
      <c r="H416" s="13" t="s">
        <v>313</v>
      </c>
      <c r="J416" s="13" t="s">
        <v>230</v>
      </c>
      <c r="K416" s="13" t="s">
        <v>230</v>
      </c>
      <c r="L416" s="13" t="s">
        <v>1438</v>
      </c>
      <c r="M416" s="66" t="s">
        <v>288</v>
      </c>
      <c r="N416" s="66" t="s">
        <v>315</v>
      </c>
      <c r="O416" s="66" t="s">
        <v>933</v>
      </c>
      <c r="P416" s="0" t="s">
        <v>1447</v>
      </c>
      <c r="Q416" s="66" t="s">
        <v>1393</v>
      </c>
    </row>
    <row r="417" customFormat="false" ht="14.25" hidden="false" customHeight="false" outlineLevel="0" collapsed="false">
      <c r="A417" s="13" t="s">
        <v>816</v>
      </c>
      <c r="B417" s="13" t="s">
        <v>581</v>
      </c>
      <c r="C417" s="13" t="s">
        <v>590</v>
      </c>
      <c r="D417" s="61" t="n">
        <v>45966.3069444444</v>
      </c>
      <c r="E417" s="61" t="n">
        <v>45966.3069444444</v>
      </c>
      <c r="F417" s="61" t="n">
        <v>45966.7222222222</v>
      </c>
      <c r="G417" s="62" t="n">
        <v>0.415277777778101</v>
      </c>
      <c r="H417" s="13" t="s">
        <v>313</v>
      </c>
      <c r="J417" s="13" t="s">
        <v>230</v>
      </c>
      <c r="K417" s="13" t="s">
        <v>230</v>
      </c>
      <c r="L417" s="13" t="s">
        <v>1438</v>
      </c>
      <c r="M417" s="66" t="s">
        <v>288</v>
      </c>
      <c r="N417" s="66" t="s">
        <v>315</v>
      </c>
      <c r="O417" s="66" t="s">
        <v>933</v>
      </c>
      <c r="P417" s="0" t="s">
        <v>1448</v>
      </c>
      <c r="Q417" s="66" t="s">
        <v>1393</v>
      </c>
    </row>
    <row r="418" customFormat="false" ht="14.25" hidden="false" customHeight="false" outlineLevel="0" collapsed="false">
      <c r="A418" s="13" t="s">
        <v>758</v>
      </c>
      <c r="B418" s="13" t="s">
        <v>758</v>
      </c>
      <c r="C418" s="13" t="s">
        <v>759</v>
      </c>
      <c r="D418" s="61" t="n">
        <v>45966.4347222222</v>
      </c>
      <c r="E418" s="61" t="n">
        <v>45966.4347222222</v>
      </c>
      <c r="F418" s="61" t="n">
        <v>45966.4479166667</v>
      </c>
      <c r="G418" s="62" t="n">
        <v>0.0131944444437977</v>
      </c>
      <c r="H418" s="13" t="s">
        <v>248</v>
      </c>
      <c r="J418" s="13" t="s">
        <v>256</v>
      </c>
      <c r="K418" s="13" t="s">
        <v>430</v>
      </c>
      <c r="L418" s="13" t="s">
        <v>1449</v>
      </c>
      <c r="M418" s="66" t="s">
        <v>258</v>
      </c>
      <c r="N418" s="66" t="s">
        <v>379</v>
      </c>
      <c r="O418" s="66" t="s">
        <v>760</v>
      </c>
      <c r="P418" s="0" t="s">
        <v>1450</v>
      </c>
      <c r="Q418" s="66" t="s">
        <v>995</v>
      </c>
    </row>
    <row r="419" customFormat="false" ht="14.25" hidden="false" customHeight="false" outlineLevel="0" collapsed="false">
      <c r="A419" s="13" t="s">
        <v>758</v>
      </c>
      <c r="B419" s="13" t="s">
        <v>758</v>
      </c>
      <c r="C419" s="13" t="s">
        <v>761</v>
      </c>
      <c r="D419" s="61" t="n">
        <v>45966.4347222222</v>
      </c>
      <c r="E419" s="61" t="n">
        <v>45966.4347222222</v>
      </c>
      <c r="F419" s="61" t="n">
        <v>45966.4479166667</v>
      </c>
      <c r="G419" s="62" t="n">
        <v>0.0131944444437977</v>
      </c>
      <c r="H419" s="13" t="s">
        <v>248</v>
      </c>
      <c r="J419" s="13" t="s">
        <v>256</v>
      </c>
      <c r="K419" s="13" t="s">
        <v>430</v>
      </c>
      <c r="L419" s="13" t="s">
        <v>1449</v>
      </c>
      <c r="M419" s="66" t="s">
        <v>258</v>
      </c>
      <c r="N419" s="66" t="s">
        <v>379</v>
      </c>
      <c r="O419" s="66" t="s">
        <v>760</v>
      </c>
      <c r="P419" s="0" t="s">
        <v>1451</v>
      </c>
      <c r="Q419" s="66" t="s">
        <v>995</v>
      </c>
    </row>
    <row r="420" customFormat="false" ht="14.25" hidden="false" customHeight="false" outlineLevel="0" collapsed="false">
      <c r="A420" s="13" t="s">
        <v>758</v>
      </c>
      <c r="B420" s="13" t="s">
        <v>758</v>
      </c>
      <c r="C420" s="13" t="s">
        <v>762</v>
      </c>
      <c r="D420" s="61" t="n">
        <v>45966.4347222222</v>
      </c>
      <c r="E420" s="61" t="n">
        <v>45966.4347222222</v>
      </c>
      <c r="F420" s="61" t="n">
        <v>45966.4479166667</v>
      </c>
      <c r="G420" s="62" t="n">
        <v>0.0131944444437977</v>
      </c>
      <c r="H420" s="13" t="s">
        <v>248</v>
      </c>
      <c r="J420" s="13" t="s">
        <v>256</v>
      </c>
      <c r="K420" s="13" t="s">
        <v>430</v>
      </c>
      <c r="L420" s="13" t="s">
        <v>1449</v>
      </c>
      <c r="M420" s="66" t="s">
        <v>258</v>
      </c>
      <c r="N420" s="66" t="s">
        <v>379</v>
      </c>
      <c r="O420" s="66" t="s">
        <v>760</v>
      </c>
      <c r="P420" s="0" t="s">
        <v>1452</v>
      </c>
      <c r="Q420" s="66" t="s">
        <v>995</v>
      </c>
    </row>
    <row r="421" customFormat="false" ht="14.25" hidden="false" customHeight="false" outlineLevel="0" collapsed="false">
      <c r="A421" s="13" t="s">
        <v>758</v>
      </c>
      <c r="B421" s="13" t="s">
        <v>758</v>
      </c>
      <c r="C421" s="13" t="s">
        <v>763</v>
      </c>
      <c r="D421" s="61" t="n">
        <v>45966.4347222222</v>
      </c>
      <c r="E421" s="61" t="n">
        <v>45966.4347222222</v>
      </c>
      <c r="F421" s="61" t="n">
        <v>45966.4479166667</v>
      </c>
      <c r="G421" s="62" t="n">
        <v>0.0131944444437977</v>
      </c>
      <c r="H421" s="13" t="s">
        <v>248</v>
      </c>
      <c r="J421" s="13" t="s">
        <v>256</v>
      </c>
      <c r="K421" s="13" t="s">
        <v>430</v>
      </c>
      <c r="L421" s="13" t="s">
        <v>1449</v>
      </c>
      <c r="M421" s="66" t="s">
        <v>258</v>
      </c>
      <c r="N421" s="66" t="s">
        <v>379</v>
      </c>
      <c r="O421" s="66" t="s">
        <v>760</v>
      </c>
      <c r="P421" s="0" t="s">
        <v>1453</v>
      </c>
      <c r="Q421" s="66" t="s">
        <v>995</v>
      </c>
    </row>
    <row r="422" customFormat="false" ht="14.25" hidden="false" customHeight="false" outlineLevel="0" collapsed="false">
      <c r="A422" s="13" t="s">
        <v>764</v>
      </c>
      <c r="B422" s="13" t="s">
        <v>764</v>
      </c>
      <c r="C422" s="13" t="s">
        <v>269</v>
      </c>
      <c r="D422" s="61" t="n">
        <v>45966.4347222222</v>
      </c>
      <c r="E422" s="61" t="n">
        <v>45966.4347222222</v>
      </c>
      <c r="F422" s="61" t="n">
        <v>45966.4479166667</v>
      </c>
      <c r="G422" s="62" t="n">
        <v>0.0131944444437977</v>
      </c>
      <c r="H422" s="13" t="s">
        <v>248</v>
      </c>
      <c r="J422" s="13" t="s">
        <v>256</v>
      </c>
      <c r="K422" s="13" t="s">
        <v>430</v>
      </c>
      <c r="L422" s="13" t="s">
        <v>1449</v>
      </c>
      <c r="M422" s="66" t="s">
        <v>258</v>
      </c>
      <c r="N422" s="66" t="s">
        <v>379</v>
      </c>
      <c r="O422" s="66" t="s">
        <v>760</v>
      </c>
      <c r="P422" s="0" t="s">
        <v>1454</v>
      </c>
      <c r="Q422" s="66" t="s">
        <v>995</v>
      </c>
    </row>
    <row r="423" customFormat="false" ht="14.25" hidden="false" customHeight="false" outlineLevel="0" collapsed="false">
      <c r="A423" s="13" t="s">
        <v>764</v>
      </c>
      <c r="B423" s="13" t="s">
        <v>764</v>
      </c>
      <c r="C423" s="13" t="s">
        <v>262</v>
      </c>
      <c r="D423" s="61" t="n">
        <v>45966.4347222222</v>
      </c>
      <c r="E423" s="61" t="n">
        <v>45966.4347222222</v>
      </c>
      <c r="F423" s="61" t="n">
        <v>45966.4479166667</v>
      </c>
      <c r="G423" s="62" t="n">
        <v>0.0131944444437977</v>
      </c>
      <c r="H423" s="13" t="s">
        <v>248</v>
      </c>
      <c r="J423" s="13" t="s">
        <v>256</v>
      </c>
      <c r="K423" s="13" t="s">
        <v>430</v>
      </c>
      <c r="L423" s="13" t="s">
        <v>1449</v>
      </c>
      <c r="M423" s="66" t="s">
        <v>258</v>
      </c>
      <c r="N423" s="66" t="s">
        <v>379</v>
      </c>
      <c r="O423" s="66" t="s">
        <v>760</v>
      </c>
      <c r="P423" s="0" t="s">
        <v>1455</v>
      </c>
      <c r="Q423" s="66" t="s">
        <v>995</v>
      </c>
    </row>
    <row r="424" customFormat="false" ht="14.25" hidden="false" customHeight="false" outlineLevel="0" collapsed="false">
      <c r="A424" s="13" t="s">
        <v>764</v>
      </c>
      <c r="B424" s="13" t="s">
        <v>764</v>
      </c>
      <c r="C424" s="13" t="s">
        <v>270</v>
      </c>
      <c r="D424" s="61" t="n">
        <v>45966.4347222222</v>
      </c>
      <c r="E424" s="61" t="n">
        <v>45966.4347222222</v>
      </c>
      <c r="F424" s="61" t="n">
        <v>45966.4479166667</v>
      </c>
      <c r="G424" s="62" t="n">
        <v>0.0131944444437977</v>
      </c>
      <c r="H424" s="13" t="s">
        <v>248</v>
      </c>
      <c r="J424" s="13" t="s">
        <v>256</v>
      </c>
      <c r="K424" s="13" t="s">
        <v>430</v>
      </c>
      <c r="L424" s="13" t="s">
        <v>1449</v>
      </c>
      <c r="M424" s="66" t="s">
        <v>258</v>
      </c>
      <c r="N424" s="66" t="s">
        <v>379</v>
      </c>
      <c r="O424" s="66" t="s">
        <v>760</v>
      </c>
      <c r="P424" s="0" t="s">
        <v>1456</v>
      </c>
      <c r="Q424" s="66" t="s">
        <v>995</v>
      </c>
    </row>
    <row r="425" customFormat="false" ht="14.25" hidden="false" customHeight="false" outlineLevel="0" collapsed="false">
      <c r="A425" s="13" t="s">
        <v>764</v>
      </c>
      <c r="B425" s="13" t="s">
        <v>764</v>
      </c>
      <c r="C425" s="13" t="s">
        <v>272</v>
      </c>
      <c r="D425" s="61" t="n">
        <v>45966.4347222222</v>
      </c>
      <c r="E425" s="61" t="n">
        <v>45966.4347222222</v>
      </c>
      <c r="F425" s="61" t="n">
        <v>45966.4479166667</v>
      </c>
      <c r="G425" s="62" t="n">
        <v>0.0131944444437977</v>
      </c>
      <c r="H425" s="13" t="s">
        <v>248</v>
      </c>
      <c r="J425" s="13" t="s">
        <v>256</v>
      </c>
      <c r="K425" s="13" t="s">
        <v>430</v>
      </c>
      <c r="L425" s="13" t="s">
        <v>1449</v>
      </c>
      <c r="M425" s="66" t="s">
        <v>258</v>
      </c>
      <c r="N425" s="66" t="s">
        <v>379</v>
      </c>
      <c r="O425" s="66" t="s">
        <v>760</v>
      </c>
      <c r="P425" s="0" t="s">
        <v>1457</v>
      </c>
      <c r="Q425" s="66" t="s">
        <v>995</v>
      </c>
    </row>
    <row r="426" customFormat="false" ht="14.25" hidden="false" customHeight="false" outlineLevel="0" collapsed="false">
      <c r="A426" s="13" t="s">
        <v>764</v>
      </c>
      <c r="B426" s="13" t="s">
        <v>764</v>
      </c>
      <c r="C426" s="13" t="s">
        <v>271</v>
      </c>
      <c r="D426" s="61" t="n">
        <v>45966.4347222222</v>
      </c>
      <c r="E426" s="61" t="n">
        <v>45966.4347222222</v>
      </c>
      <c r="F426" s="61" t="n">
        <v>45966.4479166667</v>
      </c>
      <c r="G426" s="62" t="n">
        <v>0.0131944444437977</v>
      </c>
      <c r="H426" s="13" t="s">
        <v>248</v>
      </c>
      <c r="J426" s="13" t="s">
        <v>256</v>
      </c>
      <c r="K426" s="13" t="s">
        <v>430</v>
      </c>
      <c r="L426" s="13" t="s">
        <v>1449</v>
      </c>
      <c r="M426" s="66" t="s">
        <v>258</v>
      </c>
      <c r="N426" s="66" t="s">
        <v>379</v>
      </c>
      <c r="O426" s="66" t="s">
        <v>760</v>
      </c>
      <c r="P426" s="0" t="s">
        <v>1458</v>
      </c>
      <c r="Q426" s="66" t="s">
        <v>995</v>
      </c>
    </row>
    <row r="427" customFormat="false" ht="14.25" hidden="false" customHeight="false" outlineLevel="0" collapsed="false">
      <c r="A427" s="13" t="s">
        <v>765</v>
      </c>
      <c r="B427" s="13" t="s">
        <v>765</v>
      </c>
      <c r="C427" s="13" t="s">
        <v>604</v>
      </c>
      <c r="D427" s="61" t="n">
        <v>45966.4347222222</v>
      </c>
      <c r="E427" s="61" t="n">
        <v>45966.4347222222</v>
      </c>
      <c r="F427" s="61" t="n">
        <v>45966.4479166667</v>
      </c>
      <c r="G427" s="62" t="n">
        <v>0.0131944444437977</v>
      </c>
      <c r="H427" s="13" t="s">
        <v>248</v>
      </c>
      <c r="J427" s="13" t="s">
        <v>256</v>
      </c>
      <c r="K427" s="13" t="s">
        <v>430</v>
      </c>
      <c r="L427" s="13" t="s">
        <v>1449</v>
      </c>
      <c r="M427" s="66" t="s">
        <v>258</v>
      </c>
      <c r="N427" s="66" t="s">
        <v>379</v>
      </c>
      <c r="O427" s="66" t="s">
        <v>760</v>
      </c>
      <c r="P427" s="0" t="s">
        <v>1459</v>
      </c>
      <c r="Q427" s="66" t="s">
        <v>995</v>
      </c>
    </row>
    <row r="428" customFormat="false" ht="14.25" hidden="false" customHeight="false" outlineLevel="0" collapsed="false">
      <c r="A428" s="13" t="s">
        <v>765</v>
      </c>
      <c r="B428" s="13" t="s">
        <v>765</v>
      </c>
      <c r="C428" s="13" t="s">
        <v>499</v>
      </c>
      <c r="D428" s="61" t="n">
        <v>45966.4347222222</v>
      </c>
      <c r="E428" s="61" t="n">
        <v>45966.4347222222</v>
      </c>
      <c r="F428" s="61" t="n">
        <v>45966.4479166667</v>
      </c>
      <c r="G428" s="62" t="n">
        <v>0.0131944444437977</v>
      </c>
      <c r="H428" s="13" t="s">
        <v>248</v>
      </c>
      <c r="J428" s="13" t="s">
        <v>256</v>
      </c>
      <c r="K428" s="13" t="s">
        <v>430</v>
      </c>
      <c r="L428" s="13" t="s">
        <v>1449</v>
      </c>
      <c r="M428" s="66" t="s">
        <v>258</v>
      </c>
      <c r="N428" s="66" t="s">
        <v>379</v>
      </c>
      <c r="O428" s="66" t="s">
        <v>760</v>
      </c>
      <c r="P428" s="0" t="s">
        <v>1460</v>
      </c>
      <c r="Q428" s="66" t="s">
        <v>995</v>
      </c>
    </row>
    <row r="429" customFormat="false" ht="14.25" hidden="false" customHeight="false" outlineLevel="0" collapsed="false">
      <c r="A429" s="13" t="s">
        <v>765</v>
      </c>
      <c r="B429" s="13" t="s">
        <v>765</v>
      </c>
      <c r="C429" s="13" t="s">
        <v>607</v>
      </c>
      <c r="D429" s="61" t="n">
        <v>45966.4347222222</v>
      </c>
      <c r="E429" s="61" t="n">
        <v>45966.4347222222</v>
      </c>
      <c r="F429" s="61" t="n">
        <v>45966.4479166667</v>
      </c>
      <c r="G429" s="62" t="n">
        <v>0.0131944444437977</v>
      </c>
      <c r="H429" s="13" t="s">
        <v>248</v>
      </c>
      <c r="J429" s="13" t="s">
        <v>256</v>
      </c>
      <c r="K429" s="13" t="s">
        <v>430</v>
      </c>
      <c r="L429" s="13" t="s">
        <v>1449</v>
      </c>
      <c r="M429" s="66" t="s">
        <v>258</v>
      </c>
      <c r="N429" s="66" t="s">
        <v>379</v>
      </c>
      <c r="O429" s="66" t="s">
        <v>760</v>
      </c>
      <c r="P429" s="0" t="s">
        <v>1461</v>
      </c>
      <c r="Q429" s="66" t="s">
        <v>995</v>
      </c>
    </row>
    <row r="430" customFormat="false" ht="14.25" hidden="false" customHeight="false" outlineLevel="0" collapsed="false">
      <c r="A430" s="13" t="s">
        <v>766</v>
      </c>
      <c r="B430" s="13" t="s">
        <v>766</v>
      </c>
      <c r="C430" s="13" t="s">
        <v>280</v>
      </c>
      <c r="D430" s="61" t="n">
        <v>45966.4347222222</v>
      </c>
      <c r="E430" s="61" t="n">
        <v>45966.4347222222</v>
      </c>
      <c r="F430" s="61" t="n">
        <v>45966.4479166667</v>
      </c>
      <c r="G430" s="62" t="n">
        <v>0.0131944444437977</v>
      </c>
      <c r="H430" s="13" t="s">
        <v>248</v>
      </c>
      <c r="J430" s="13" t="s">
        <v>256</v>
      </c>
      <c r="K430" s="13" t="s">
        <v>430</v>
      </c>
      <c r="L430" s="13" t="s">
        <v>1449</v>
      </c>
      <c r="M430" s="66" t="s">
        <v>258</v>
      </c>
      <c r="N430" s="66" t="s">
        <v>379</v>
      </c>
      <c r="O430" s="66" t="s">
        <v>760</v>
      </c>
      <c r="P430" s="0" t="s">
        <v>1462</v>
      </c>
      <c r="Q430" s="66" t="s">
        <v>995</v>
      </c>
    </row>
    <row r="431" customFormat="false" ht="14.25" hidden="false" customHeight="false" outlineLevel="0" collapsed="false">
      <c r="A431" s="13" t="s">
        <v>766</v>
      </c>
      <c r="B431" s="13" t="s">
        <v>766</v>
      </c>
      <c r="C431" s="13" t="s">
        <v>279</v>
      </c>
      <c r="D431" s="61" t="n">
        <v>45966.4347222222</v>
      </c>
      <c r="E431" s="61" t="n">
        <v>45966.4347222222</v>
      </c>
      <c r="F431" s="61" t="n">
        <v>45966.4479166667</v>
      </c>
      <c r="G431" s="62" t="n">
        <v>0.0131944444437977</v>
      </c>
      <c r="H431" s="13" t="s">
        <v>248</v>
      </c>
      <c r="J431" s="13" t="s">
        <v>256</v>
      </c>
      <c r="K431" s="13" t="s">
        <v>430</v>
      </c>
      <c r="L431" s="13" t="s">
        <v>1449</v>
      </c>
      <c r="M431" s="66" t="s">
        <v>258</v>
      </c>
      <c r="N431" s="66" t="s">
        <v>379</v>
      </c>
      <c r="O431" s="66" t="s">
        <v>760</v>
      </c>
      <c r="P431" s="0" t="s">
        <v>1463</v>
      </c>
      <c r="Q431" s="66" t="s">
        <v>995</v>
      </c>
    </row>
    <row r="432" customFormat="false" ht="14.25" hidden="false" customHeight="false" outlineLevel="0" collapsed="false">
      <c r="A432" s="13" t="s">
        <v>766</v>
      </c>
      <c r="B432" s="13" t="s">
        <v>766</v>
      </c>
      <c r="C432" s="13" t="s">
        <v>690</v>
      </c>
      <c r="D432" s="61" t="n">
        <v>45966.4347222222</v>
      </c>
      <c r="E432" s="61" t="n">
        <v>45966.4347222222</v>
      </c>
      <c r="F432" s="61" t="n">
        <v>45966.4479166667</v>
      </c>
      <c r="G432" s="62" t="n">
        <v>0.0131944444437977</v>
      </c>
      <c r="H432" s="13" t="s">
        <v>248</v>
      </c>
      <c r="J432" s="13" t="s">
        <v>256</v>
      </c>
      <c r="K432" s="13" t="s">
        <v>430</v>
      </c>
      <c r="L432" s="13" t="s">
        <v>1449</v>
      </c>
      <c r="M432" s="66" t="s">
        <v>258</v>
      </c>
      <c r="N432" s="66" t="s">
        <v>379</v>
      </c>
      <c r="O432" s="66" t="s">
        <v>760</v>
      </c>
      <c r="P432" s="0" t="s">
        <v>1464</v>
      </c>
      <c r="Q432" s="66" t="s">
        <v>995</v>
      </c>
    </row>
    <row r="433" customFormat="false" ht="14.25" hidden="false" customHeight="false" outlineLevel="0" collapsed="false">
      <c r="A433" s="13" t="s">
        <v>766</v>
      </c>
      <c r="B433" s="13" t="s">
        <v>766</v>
      </c>
      <c r="C433" s="13" t="s">
        <v>767</v>
      </c>
      <c r="D433" s="61" t="n">
        <v>45966.4347222222</v>
      </c>
      <c r="E433" s="61" t="n">
        <v>45966.4347222222</v>
      </c>
      <c r="F433" s="61" t="n">
        <v>45966.4479166667</v>
      </c>
      <c r="G433" s="62" t="n">
        <v>0.0131944444437977</v>
      </c>
      <c r="H433" s="13" t="s">
        <v>248</v>
      </c>
      <c r="J433" s="13" t="s">
        <v>256</v>
      </c>
      <c r="K433" s="13" t="s">
        <v>430</v>
      </c>
      <c r="L433" s="13" t="s">
        <v>1449</v>
      </c>
      <c r="M433" s="66" t="s">
        <v>258</v>
      </c>
      <c r="N433" s="66" t="s">
        <v>379</v>
      </c>
      <c r="O433" s="66" t="s">
        <v>760</v>
      </c>
      <c r="P433" s="0" t="s">
        <v>1465</v>
      </c>
      <c r="Q433" s="66" t="s">
        <v>995</v>
      </c>
    </row>
    <row r="434" customFormat="false" ht="14.25" hidden="false" customHeight="false" outlineLevel="0" collapsed="false">
      <c r="A434" s="13" t="s">
        <v>766</v>
      </c>
      <c r="B434" s="13" t="s">
        <v>766</v>
      </c>
      <c r="C434" s="13" t="s">
        <v>768</v>
      </c>
      <c r="D434" s="61" t="n">
        <v>45966.4347222222</v>
      </c>
      <c r="E434" s="61" t="n">
        <v>45966.4347222222</v>
      </c>
      <c r="F434" s="61" t="n">
        <v>45966.4479166667</v>
      </c>
      <c r="G434" s="62" t="n">
        <v>0.0131944444437977</v>
      </c>
      <c r="H434" s="13" t="s">
        <v>248</v>
      </c>
      <c r="J434" s="13" t="s">
        <v>256</v>
      </c>
      <c r="K434" s="13" t="s">
        <v>430</v>
      </c>
      <c r="L434" s="13" t="s">
        <v>1449</v>
      </c>
      <c r="M434" s="66" t="s">
        <v>258</v>
      </c>
      <c r="N434" s="66" t="s">
        <v>379</v>
      </c>
      <c r="O434" s="66" t="s">
        <v>760</v>
      </c>
      <c r="P434" s="0" t="s">
        <v>1466</v>
      </c>
      <c r="Q434" s="66" t="s">
        <v>995</v>
      </c>
    </row>
    <row r="435" customFormat="false" ht="14.25" hidden="false" customHeight="false" outlineLevel="0" collapsed="false">
      <c r="A435" s="13" t="s">
        <v>261</v>
      </c>
      <c r="B435" s="13" t="s">
        <v>261</v>
      </c>
      <c r="C435" s="13" t="s">
        <v>262</v>
      </c>
      <c r="D435" s="61" t="n">
        <v>45966.4347222222</v>
      </c>
      <c r="E435" s="61" t="n">
        <v>45966.4347222222</v>
      </c>
      <c r="F435" s="61" t="n">
        <v>45966.4479166667</v>
      </c>
      <c r="G435" s="62" t="n">
        <v>0.0131944444437977</v>
      </c>
      <c r="H435" s="13" t="s">
        <v>248</v>
      </c>
      <c r="J435" s="13" t="s">
        <v>256</v>
      </c>
      <c r="K435" s="13" t="s">
        <v>430</v>
      </c>
      <c r="L435" s="13" t="s">
        <v>1449</v>
      </c>
      <c r="M435" s="66" t="s">
        <v>258</v>
      </c>
      <c r="N435" s="66" t="s">
        <v>379</v>
      </c>
      <c r="O435" s="66" t="s">
        <v>760</v>
      </c>
      <c r="P435" s="0" t="s">
        <v>1467</v>
      </c>
      <c r="Q435" s="66" t="s">
        <v>995</v>
      </c>
    </row>
    <row r="436" customFormat="false" ht="14.25" hidden="false" customHeight="false" outlineLevel="0" collapsed="false">
      <c r="A436" s="13" t="s">
        <v>261</v>
      </c>
      <c r="B436" s="13" t="s">
        <v>261</v>
      </c>
      <c r="C436" s="13" t="s">
        <v>269</v>
      </c>
      <c r="D436" s="61" t="n">
        <v>45966.4347222222</v>
      </c>
      <c r="E436" s="61" t="n">
        <v>45966.4347222222</v>
      </c>
      <c r="F436" s="61" t="n">
        <v>45966.4479166667</v>
      </c>
      <c r="G436" s="62" t="n">
        <v>0.0131944444437977</v>
      </c>
      <c r="H436" s="13" t="s">
        <v>248</v>
      </c>
      <c r="J436" s="13" t="s">
        <v>256</v>
      </c>
      <c r="K436" s="13" t="s">
        <v>430</v>
      </c>
      <c r="L436" s="13" t="s">
        <v>1449</v>
      </c>
      <c r="M436" s="66" t="s">
        <v>258</v>
      </c>
      <c r="N436" s="66" t="s">
        <v>379</v>
      </c>
      <c r="O436" s="66" t="s">
        <v>760</v>
      </c>
      <c r="P436" s="0" t="s">
        <v>1468</v>
      </c>
      <c r="Q436" s="66" t="s">
        <v>995</v>
      </c>
    </row>
    <row r="437" customFormat="false" ht="14.25" hidden="false" customHeight="false" outlineLevel="0" collapsed="false">
      <c r="A437" s="13" t="s">
        <v>261</v>
      </c>
      <c r="B437" s="13" t="s">
        <v>261</v>
      </c>
      <c r="C437" s="13" t="s">
        <v>270</v>
      </c>
      <c r="D437" s="61" t="n">
        <v>45966.4347222222</v>
      </c>
      <c r="E437" s="61" t="n">
        <v>45966.4347222222</v>
      </c>
      <c r="F437" s="61" t="n">
        <v>45966.4479166667</v>
      </c>
      <c r="G437" s="62" t="n">
        <v>0.0131944444437977</v>
      </c>
      <c r="H437" s="13" t="s">
        <v>248</v>
      </c>
      <c r="J437" s="13" t="s">
        <v>256</v>
      </c>
      <c r="K437" s="13" t="s">
        <v>430</v>
      </c>
      <c r="L437" s="13" t="s">
        <v>1449</v>
      </c>
      <c r="M437" s="66" t="s">
        <v>258</v>
      </c>
      <c r="N437" s="66" t="s">
        <v>379</v>
      </c>
      <c r="O437" s="66" t="s">
        <v>760</v>
      </c>
      <c r="P437" s="0" t="s">
        <v>1469</v>
      </c>
      <c r="Q437" s="66" t="s">
        <v>995</v>
      </c>
    </row>
    <row r="438" customFormat="false" ht="14.25" hidden="false" customHeight="false" outlineLevel="0" collapsed="false">
      <c r="A438" s="13" t="s">
        <v>261</v>
      </c>
      <c r="B438" s="13" t="s">
        <v>261</v>
      </c>
      <c r="C438" s="13" t="s">
        <v>271</v>
      </c>
      <c r="D438" s="61" t="n">
        <v>45966.4347222222</v>
      </c>
      <c r="E438" s="61" t="n">
        <v>45966.4347222222</v>
      </c>
      <c r="F438" s="61" t="n">
        <v>45966.4479166667</v>
      </c>
      <c r="G438" s="62" t="n">
        <v>0.0131944444437977</v>
      </c>
      <c r="H438" s="13" t="s">
        <v>248</v>
      </c>
      <c r="J438" s="13" t="s">
        <v>256</v>
      </c>
      <c r="K438" s="13" t="s">
        <v>430</v>
      </c>
      <c r="L438" s="13" t="s">
        <v>1449</v>
      </c>
      <c r="M438" s="66" t="s">
        <v>258</v>
      </c>
      <c r="N438" s="66" t="s">
        <v>379</v>
      </c>
      <c r="O438" s="66" t="s">
        <v>760</v>
      </c>
      <c r="P438" s="0" t="s">
        <v>1470</v>
      </c>
      <c r="Q438" s="66" t="s">
        <v>995</v>
      </c>
    </row>
    <row r="439" customFormat="false" ht="14.25" hidden="false" customHeight="false" outlineLevel="0" collapsed="false">
      <c r="A439" s="13" t="s">
        <v>261</v>
      </c>
      <c r="B439" s="13" t="s">
        <v>261</v>
      </c>
      <c r="C439" s="13" t="s">
        <v>272</v>
      </c>
      <c r="D439" s="61" t="n">
        <v>45966.4347222222</v>
      </c>
      <c r="E439" s="61" t="n">
        <v>45966.4347222222</v>
      </c>
      <c r="F439" s="61" t="n">
        <v>45966.4479166667</v>
      </c>
      <c r="G439" s="62" t="n">
        <v>0.0131944444437977</v>
      </c>
      <c r="H439" s="13" t="s">
        <v>248</v>
      </c>
      <c r="J439" s="13" t="s">
        <v>256</v>
      </c>
      <c r="K439" s="13" t="s">
        <v>430</v>
      </c>
      <c r="L439" s="13" t="s">
        <v>1449</v>
      </c>
      <c r="M439" s="66" t="s">
        <v>258</v>
      </c>
      <c r="N439" s="66" t="s">
        <v>379</v>
      </c>
      <c r="O439" s="66" t="s">
        <v>760</v>
      </c>
      <c r="P439" s="0" t="s">
        <v>1471</v>
      </c>
      <c r="Q439" s="66" t="s">
        <v>995</v>
      </c>
    </row>
    <row r="440" customFormat="false" ht="14.25" hidden="false" customHeight="false" outlineLevel="0" collapsed="false">
      <c r="A440" s="13" t="s">
        <v>498</v>
      </c>
      <c r="B440" s="13" t="s">
        <v>498</v>
      </c>
      <c r="C440" s="13" t="s">
        <v>604</v>
      </c>
      <c r="D440" s="61" t="n">
        <v>45966.4347222222</v>
      </c>
      <c r="E440" s="61" t="n">
        <v>45966.4347222222</v>
      </c>
      <c r="F440" s="61" t="n">
        <v>45966.4479166667</v>
      </c>
      <c r="G440" s="62" t="n">
        <v>0.0131944444437977</v>
      </c>
      <c r="H440" s="13" t="s">
        <v>248</v>
      </c>
      <c r="J440" s="13" t="s">
        <v>256</v>
      </c>
      <c r="K440" s="13" t="s">
        <v>430</v>
      </c>
      <c r="L440" s="13" t="s">
        <v>1449</v>
      </c>
      <c r="M440" s="66" t="s">
        <v>258</v>
      </c>
      <c r="N440" s="66" t="s">
        <v>379</v>
      </c>
      <c r="O440" s="66" t="s">
        <v>760</v>
      </c>
      <c r="P440" s="0" t="s">
        <v>1472</v>
      </c>
      <c r="Q440" s="66" t="s">
        <v>995</v>
      </c>
    </row>
    <row r="441" customFormat="false" ht="14.25" hidden="false" customHeight="false" outlineLevel="0" collapsed="false">
      <c r="A441" s="13" t="s">
        <v>498</v>
      </c>
      <c r="B441" s="13" t="s">
        <v>498</v>
      </c>
      <c r="C441" s="13" t="s">
        <v>607</v>
      </c>
      <c r="D441" s="61" t="n">
        <v>45966.4347222222</v>
      </c>
      <c r="E441" s="61" t="n">
        <v>45966.4347222222</v>
      </c>
      <c r="F441" s="61" t="n">
        <v>45966.4479166667</v>
      </c>
      <c r="G441" s="62" t="n">
        <v>0.0131944444437977</v>
      </c>
      <c r="H441" s="13" t="s">
        <v>248</v>
      </c>
      <c r="J441" s="13" t="s">
        <v>256</v>
      </c>
      <c r="K441" s="13" t="s">
        <v>430</v>
      </c>
      <c r="L441" s="13" t="s">
        <v>1449</v>
      </c>
      <c r="M441" s="66" t="s">
        <v>258</v>
      </c>
      <c r="N441" s="66" t="s">
        <v>379</v>
      </c>
      <c r="O441" s="66" t="s">
        <v>760</v>
      </c>
      <c r="P441" s="0" t="s">
        <v>1473</v>
      </c>
      <c r="Q441" s="66" t="s">
        <v>995</v>
      </c>
    </row>
    <row r="442" customFormat="false" ht="14.25" hidden="false" customHeight="false" outlineLevel="0" collapsed="false">
      <c r="A442" s="13" t="s">
        <v>498</v>
      </c>
      <c r="B442" s="13" t="s">
        <v>498</v>
      </c>
      <c r="C442" s="13" t="s">
        <v>499</v>
      </c>
      <c r="D442" s="61" t="n">
        <v>45966.4347222222</v>
      </c>
      <c r="E442" s="61" t="n">
        <v>45966.4347222222</v>
      </c>
      <c r="F442" s="61" t="n">
        <v>45966.4479166667</v>
      </c>
      <c r="G442" s="62" t="n">
        <v>0.0131944444437977</v>
      </c>
      <c r="H442" s="13" t="s">
        <v>248</v>
      </c>
      <c r="J442" s="13" t="s">
        <v>256</v>
      </c>
      <c r="K442" s="13" t="s">
        <v>430</v>
      </c>
      <c r="L442" s="13" t="s">
        <v>1449</v>
      </c>
      <c r="M442" s="66" t="s">
        <v>258</v>
      </c>
      <c r="N442" s="66" t="s">
        <v>379</v>
      </c>
      <c r="O442" s="66" t="s">
        <v>760</v>
      </c>
      <c r="P442" s="0" t="s">
        <v>1474</v>
      </c>
      <c r="Q442" s="66" t="s">
        <v>995</v>
      </c>
    </row>
    <row r="443" customFormat="false" ht="14.25" hidden="false" customHeight="false" outlineLevel="0" collapsed="false">
      <c r="A443" s="13" t="s">
        <v>1475</v>
      </c>
      <c r="B443" s="13" t="s">
        <v>333</v>
      </c>
      <c r="C443" s="13" t="s">
        <v>334</v>
      </c>
      <c r="D443" s="61" t="n">
        <v>45966.625</v>
      </c>
      <c r="E443" s="61" t="n">
        <v>45966.625</v>
      </c>
      <c r="F443" s="61" t="n">
        <v>45966.7083333333</v>
      </c>
      <c r="G443" s="62" t="n">
        <v>0.0833333333357587</v>
      </c>
      <c r="H443" s="13" t="s">
        <v>248</v>
      </c>
      <c r="J443" s="13" t="s">
        <v>256</v>
      </c>
      <c r="K443" s="13" t="s">
        <v>430</v>
      </c>
      <c r="L443" s="13" t="s">
        <v>1476</v>
      </c>
      <c r="M443" s="66" t="s">
        <v>258</v>
      </c>
      <c r="N443" s="66" t="s">
        <v>379</v>
      </c>
      <c r="O443" s="66" t="s">
        <v>760</v>
      </c>
      <c r="P443" s="0" t="s">
        <v>1477</v>
      </c>
      <c r="Q443" s="66" t="s">
        <v>995</v>
      </c>
    </row>
    <row r="444" customFormat="false" ht="14.25" hidden="false" customHeight="false" outlineLevel="0" collapsed="false">
      <c r="A444" s="13" t="s">
        <v>1475</v>
      </c>
      <c r="B444" s="13" t="s">
        <v>333</v>
      </c>
      <c r="C444" s="13" t="s">
        <v>336</v>
      </c>
      <c r="D444" s="61" t="n">
        <v>45966.625</v>
      </c>
      <c r="E444" s="61" t="n">
        <v>45966.625</v>
      </c>
      <c r="F444" s="61" t="n">
        <v>45966.7083333333</v>
      </c>
      <c r="G444" s="62" t="n">
        <v>0.0833333333357587</v>
      </c>
      <c r="H444" s="13" t="s">
        <v>248</v>
      </c>
      <c r="J444" s="13" t="s">
        <v>256</v>
      </c>
      <c r="K444" s="13" t="s">
        <v>430</v>
      </c>
      <c r="L444" s="13" t="s">
        <v>1476</v>
      </c>
      <c r="M444" s="66" t="s">
        <v>258</v>
      </c>
      <c r="N444" s="66" t="s">
        <v>379</v>
      </c>
      <c r="O444" s="66" t="s">
        <v>760</v>
      </c>
      <c r="P444" s="0" t="s">
        <v>1478</v>
      </c>
      <c r="Q444" s="66" t="s">
        <v>995</v>
      </c>
    </row>
    <row r="445" customFormat="false" ht="14.25" hidden="false" customHeight="false" outlineLevel="0" collapsed="false">
      <c r="A445" s="13" t="s">
        <v>1475</v>
      </c>
      <c r="B445" s="13" t="s">
        <v>333</v>
      </c>
      <c r="C445" s="13" t="s">
        <v>337</v>
      </c>
      <c r="D445" s="61" t="n">
        <v>45966.625</v>
      </c>
      <c r="E445" s="61" t="n">
        <v>45966.625</v>
      </c>
      <c r="F445" s="61" t="n">
        <v>45966.7083333333</v>
      </c>
      <c r="G445" s="62" t="n">
        <v>0.0833333333357587</v>
      </c>
      <c r="H445" s="13" t="s">
        <v>248</v>
      </c>
      <c r="J445" s="13" t="s">
        <v>256</v>
      </c>
      <c r="K445" s="13" t="s">
        <v>430</v>
      </c>
      <c r="L445" s="13" t="s">
        <v>1476</v>
      </c>
      <c r="M445" s="66" t="s">
        <v>258</v>
      </c>
      <c r="N445" s="66" t="s">
        <v>379</v>
      </c>
      <c r="O445" s="66" t="s">
        <v>760</v>
      </c>
      <c r="P445" s="0" t="s">
        <v>1479</v>
      </c>
      <c r="Q445" s="66" t="s">
        <v>995</v>
      </c>
    </row>
    <row r="446" customFormat="false" ht="14.25" hidden="false" customHeight="false" outlineLevel="0" collapsed="false">
      <c r="A446" s="13" t="s">
        <v>1475</v>
      </c>
      <c r="B446" s="13" t="s">
        <v>333</v>
      </c>
      <c r="C446" s="13" t="s">
        <v>338</v>
      </c>
      <c r="D446" s="61" t="n">
        <v>45966.625</v>
      </c>
      <c r="E446" s="61" t="n">
        <v>45966.625</v>
      </c>
      <c r="F446" s="61" t="n">
        <v>45966.7083333333</v>
      </c>
      <c r="G446" s="62" t="n">
        <v>0.0833333333357587</v>
      </c>
      <c r="H446" s="13" t="s">
        <v>248</v>
      </c>
      <c r="J446" s="13" t="s">
        <v>256</v>
      </c>
      <c r="K446" s="13" t="s">
        <v>430</v>
      </c>
      <c r="L446" s="13" t="s">
        <v>1476</v>
      </c>
      <c r="M446" s="66" t="s">
        <v>258</v>
      </c>
      <c r="N446" s="66" t="s">
        <v>379</v>
      </c>
      <c r="O446" s="66" t="s">
        <v>760</v>
      </c>
      <c r="P446" s="0" t="s">
        <v>1480</v>
      </c>
      <c r="Q446" s="66" t="s">
        <v>995</v>
      </c>
    </row>
    <row r="447" customFormat="false" ht="14.25" hidden="false" customHeight="false" outlineLevel="0" collapsed="false">
      <c r="A447" s="13" t="s">
        <v>1475</v>
      </c>
      <c r="B447" s="13" t="s">
        <v>333</v>
      </c>
      <c r="C447" s="13" t="s">
        <v>339</v>
      </c>
      <c r="D447" s="61" t="n">
        <v>45966.625</v>
      </c>
      <c r="E447" s="61" t="n">
        <v>45966.625</v>
      </c>
      <c r="F447" s="61" t="n">
        <v>45966.7083333333</v>
      </c>
      <c r="G447" s="62" t="n">
        <v>0.0833333333357587</v>
      </c>
      <c r="H447" s="13" t="s">
        <v>248</v>
      </c>
      <c r="J447" s="13" t="s">
        <v>256</v>
      </c>
      <c r="K447" s="13" t="s">
        <v>430</v>
      </c>
      <c r="L447" s="13" t="s">
        <v>1476</v>
      </c>
      <c r="M447" s="66" t="s">
        <v>258</v>
      </c>
      <c r="N447" s="66" t="s">
        <v>379</v>
      </c>
      <c r="O447" s="66" t="s">
        <v>760</v>
      </c>
      <c r="P447" s="0" t="s">
        <v>1481</v>
      </c>
      <c r="Q447" s="66" t="s">
        <v>995</v>
      </c>
    </row>
    <row r="448" customFormat="false" ht="14.25" hidden="false" customHeight="false" outlineLevel="0" collapsed="false">
      <c r="A448" s="13" t="s">
        <v>1475</v>
      </c>
      <c r="B448" s="13" t="s">
        <v>333</v>
      </c>
      <c r="C448" s="13" t="s">
        <v>340</v>
      </c>
      <c r="D448" s="61" t="n">
        <v>45966.625</v>
      </c>
      <c r="E448" s="61" t="n">
        <v>45966.625</v>
      </c>
      <c r="F448" s="61" t="n">
        <v>45966.7083333333</v>
      </c>
      <c r="G448" s="62" t="n">
        <v>0.0833333333357587</v>
      </c>
      <c r="H448" s="13" t="s">
        <v>248</v>
      </c>
      <c r="J448" s="13" t="s">
        <v>256</v>
      </c>
      <c r="K448" s="13" t="s">
        <v>430</v>
      </c>
      <c r="L448" s="13" t="s">
        <v>1476</v>
      </c>
      <c r="M448" s="66" t="s">
        <v>258</v>
      </c>
      <c r="N448" s="66" t="s">
        <v>379</v>
      </c>
      <c r="O448" s="66" t="s">
        <v>760</v>
      </c>
      <c r="P448" s="0" t="s">
        <v>1482</v>
      </c>
      <c r="Q448" s="66" t="s">
        <v>995</v>
      </c>
    </row>
    <row r="449" customFormat="false" ht="14.25" hidden="false" customHeight="false" outlineLevel="0" collapsed="false">
      <c r="A449" s="13" t="s">
        <v>1475</v>
      </c>
      <c r="B449" s="13" t="s">
        <v>333</v>
      </c>
      <c r="C449" s="13" t="s">
        <v>341</v>
      </c>
      <c r="D449" s="61" t="n">
        <v>45966.625</v>
      </c>
      <c r="E449" s="61" t="n">
        <v>45966.625</v>
      </c>
      <c r="F449" s="61" t="n">
        <v>45966.7083333333</v>
      </c>
      <c r="G449" s="62" t="n">
        <v>0.0833333333357587</v>
      </c>
      <c r="H449" s="13" t="s">
        <v>248</v>
      </c>
      <c r="J449" s="13" t="s">
        <v>256</v>
      </c>
      <c r="K449" s="13" t="s">
        <v>430</v>
      </c>
      <c r="L449" s="13" t="s">
        <v>1476</v>
      </c>
      <c r="M449" s="66" t="s">
        <v>258</v>
      </c>
      <c r="N449" s="66" t="s">
        <v>379</v>
      </c>
      <c r="O449" s="66" t="s">
        <v>760</v>
      </c>
      <c r="P449" s="0" t="s">
        <v>1483</v>
      </c>
      <c r="Q449" s="66" t="s">
        <v>995</v>
      </c>
    </row>
    <row r="450" customFormat="false" ht="14.25" hidden="false" customHeight="false" outlineLevel="0" collapsed="false">
      <c r="A450" s="13" t="s">
        <v>1475</v>
      </c>
      <c r="B450" s="13" t="s">
        <v>333</v>
      </c>
      <c r="C450" s="13" t="s">
        <v>342</v>
      </c>
      <c r="D450" s="61" t="n">
        <v>45966.625</v>
      </c>
      <c r="E450" s="61" t="n">
        <v>45966.625</v>
      </c>
      <c r="F450" s="61" t="n">
        <v>45966.7083333333</v>
      </c>
      <c r="G450" s="62" t="n">
        <v>0.0833333333357587</v>
      </c>
      <c r="H450" s="13" t="s">
        <v>248</v>
      </c>
      <c r="J450" s="13" t="s">
        <v>256</v>
      </c>
      <c r="K450" s="13" t="s">
        <v>430</v>
      </c>
      <c r="L450" s="13" t="s">
        <v>1476</v>
      </c>
      <c r="M450" s="66" t="s">
        <v>258</v>
      </c>
      <c r="N450" s="66" t="s">
        <v>379</v>
      </c>
      <c r="O450" s="66" t="s">
        <v>760</v>
      </c>
      <c r="P450" s="0" t="s">
        <v>1484</v>
      </c>
      <c r="Q450" s="66" t="s">
        <v>995</v>
      </c>
    </row>
    <row r="451" customFormat="false" ht="14.25" hidden="false" customHeight="false" outlineLevel="0" collapsed="false">
      <c r="A451" s="13" t="s">
        <v>1475</v>
      </c>
      <c r="B451" s="13" t="s">
        <v>333</v>
      </c>
      <c r="C451" s="13" t="s">
        <v>343</v>
      </c>
      <c r="D451" s="61" t="n">
        <v>45966.625</v>
      </c>
      <c r="E451" s="61" t="n">
        <v>45966.625</v>
      </c>
      <c r="F451" s="61" t="n">
        <v>45966.7083333333</v>
      </c>
      <c r="G451" s="62" t="n">
        <v>0.0833333333357587</v>
      </c>
      <c r="H451" s="13" t="s">
        <v>248</v>
      </c>
      <c r="J451" s="13" t="s">
        <v>256</v>
      </c>
      <c r="K451" s="13" t="s">
        <v>430</v>
      </c>
      <c r="L451" s="13" t="s">
        <v>1476</v>
      </c>
      <c r="M451" s="66" t="s">
        <v>258</v>
      </c>
      <c r="N451" s="66" t="s">
        <v>379</v>
      </c>
      <c r="O451" s="66" t="s">
        <v>760</v>
      </c>
      <c r="P451" s="0" t="s">
        <v>1485</v>
      </c>
      <c r="Q451" s="66" t="s">
        <v>995</v>
      </c>
    </row>
    <row r="452" customFormat="false" ht="14.25" hidden="false" customHeight="false" outlineLevel="0" collapsed="false">
      <c r="A452" s="13" t="s">
        <v>1486</v>
      </c>
      <c r="B452" s="13" t="s">
        <v>333</v>
      </c>
      <c r="C452" s="13" t="s">
        <v>344</v>
      </c>
      <c r="D452" s="61" t="n">
        <v>45966.625</v>
      </c>
      <c r="E452" s="61" t="n">
        <v>45966.625</v>
      </c>
      <c r="F452" s="61" t="n">
        <v>45966.7083333333</v>
      </c>
      <c r="G452" s="62" t="n">
        <v>0.0833333333357587</v>
      </c>
      <c r="H452" s="13" t="s">
        <v>248</v>
      </c>
      <c r="J452" s="13" t="s">
        <v>256</v>
      </c>
      <c r="K452" s="13" t="s">
        <v>430</v>
      </c>
      <c r="L452" s="13" t="s">
        <v>1476</v>
      </c>
      <c r="M452" s="66" t="s">
        <v>258</v>
      </c>
      <c r="N452" s="66" t="s">
        <v>379</v>
      </c>
      <c r="O452" s="66" t="s">
        <v>760</v>
      </c>
      <c r="P452" s="0" t="s">
        <v>1487</v>
      </c>
      <c r="Q452" s="66" t="s">
        <v>995</v>
      </c>
    </row>
    <row r="453" customFormat="false" ht="14.25" hidden="false" customHeight="false" outlineLevel="0" collapsed="false">
      <c r="A453" s="13" t="s">
        <v>1486</v>
      </c>
      <c r="B453" s="13" t="s">
        <v>333</v>
      </c>
      <c r="C453" s="13" t="s">
        <v>345</v>
      </c>
      <c r="D453" s="61" t="n">
        <v>45966.625</v>
      </c>
      <c r="E453" s="61" t="n">
        <v>45966.625</v>
      </c>
      <c r="F453" s="61" t="n">
        <v>45966.7083333333</v>
      </c>
      <c r="G453" s="62" t="n">
        <v>0.0833333333357587</v>
      </c>
      <c r="H453" s="13" t="s">
        <v>248</v>
      </c>
      <c r="J453" s="13" t="s">
        <v>256</v>
      </c>
      <c r="K453" s="13" t="s">
        <v>430</v>
      </c>
      <c r="L453" s="13" t="s">
        <v>1476</v>
      </c>
      <c r="M453" s="66" t="s">
        <v>258</v>
      </c>
      <c r="N453" s="66" t="s">
        <v>379</v>
      </c>
      <c r="O453" s="66" t="s">
        <v>760</v>
      </c>
      <c r="P453" s="0" t="s">
        <v>1488</v>
      </c>
      <c r="Q453" s="66" t="s">
        <v>995</v>
      </c>
    </row>
    <row r="454" customFormat="false" ht="14.25" hidden="false" customHeight="false" outlineLevel="0" collapsed="false">
      <c r="A454" s="13" t="s">
        <v>1486</v>
      </c>
      <c r="B454" s="13" t="s">
        <v>333</v>
      </c>
      <c r="C454" s="13" t="s">
        <v>346</v>
      </c>
      <c r="D454" s="61" t="n">
        <v>45966.625</v>
      </c>
      <c r="E454" s="61" t="n">
        <v>45966.625</v>
      </c>
      <c r="F454" s="61" t="n">
        <v>45966.7083333333</v>
      </c>
      <c r="G454" s="62" t="n">
        <v>0.0833333333357587</v>
      </c>
      <c r="H454" s="13" t="s">
        <v>248</v>
      </c>
      <c r="J454" s="13" t="s">
        <v>256</v>
      </c>
      <c r="K454" s="13" t="s">
        <v>430</v>
      </c>
      <c r="L454" s="13" t="s">
        <v>1476</v>
      </c>
      <c r="M454" s="66" t="s">
        <v>258</v>
      </c>
      <c r="N454" s="66" t="s">
        <v>379</v>
      </c>
      <c r="O454" s="66" t="s">
        <v>760</v>
      </c>
      <c r="P454" s="0" t="s">
        <v>1489</v>
      </c>
      <c r="Q454" s="66" t="s">
        <v>995</v>
      </c>
    </row>
    <row r="455" customFormat="false" ht="14.25" hidden="false" customHeight="false" outlineLevel="0" collapsed="false">
      <c r="A455" s="13" t="s">
        <v>1486</v>
      </c>
      <c r="B455" s="13" t="s">
        <v>333</v>
      </c>
      <c r="C455" s="13" t="s">
        <v>347</v>
      </c>
      <c r="D455" s="61" t="n">
        <v>45966.625</v>
      </c>
      <c r="E455" s="61" t="n">
        <v>45966.625</v>
      </c>
      <c r="F455" s="61" t="n">
        <v>45966.7083333333</v>
      </c>
      <c r="G455" s="62" t="n">
        <v>0.0833333333357587</v>
      </c>
      <c r="H455" s="13" t="s">
        <v>248</v>
      </c>
      <c r="J455" s="13" t="s">
        <v>256</v>
      </c>
      <c r="K455" s="13" t="s">
        <v>430</v>
      </c>
      <c r="L455" s="13" t="s">
        <v>1476</v>
      </c>
      <c r="M455" s="66" t="s">
        <v>258</v>
      </c>
      <c r="N455" s="66" t="s">
        <v>379</v>
      </c>
      <c r="O455" s="66" t="s">
        <v>760</v>
      </c>
      <c r="P455" s="0" t="s">
        <v>1490</v>
      </c>
      <c r="Q455" s="66" t="s">
        <v>995</v>
      </c>
    </row>
    <row r="456" customFormat="false" ht="14.25" hidden="false" customHeight="false" outlineLevel="0" collapsed="false">
      <c r="A456" s="13" t="s">
        <v>1486</v>
      </c>
      <c r="B456" s="13" t="s">
        <v>333</v>
      </c>
      <c r="C456" s="13" t="s">
        <v>348</v>
      </c>
      <c r="D456" s="61" t="n">
        <v>45966.625</v>
      </c>
      <c r="E456" s="61" t="n">
        <v>45966.625</v>
      </c>
      <c r="F456" s="61" t="n">
        <v>45966.7083333333</v>
      </c>
      <c r="G456" s="62" t="n">
        <v>0.0833333333357587</v>
      </c>
      <c r="H456" s="13" t="s">
        <v>248</v>
      </c>
      <c r="J456" s="13" t="s">
        <v>256</v>
      </c>
      <c r="K456" s="13" t="s">
        <v>430</v>
      </c>
      <c r="L456" s="13" t="s">
        <v>1476</v>
      </c>
      <c r="M456" s="66" t="s">
        <v>258</v>
      </c>
      <c r="N456" s="66" t="s">
        <v>379</v>
      </c>
      <c r="O456" s="66" t="s">
        <v>760</v>
      </c>
      <c r="P456" s="0" t="s">
        <v>1491</v>
      </c>
      <c r="Q456" s="66" t="s">
        <v>995</v>
      </c>
    </row>
    <row r="457" customFormat="false" ht="14.25" hidden="false" customHeight="false" outlineLevel="0" collapsed="false">
      <c r="A457" s="13" t="s">
        <v>1492</v>
      </c>
      <c r="B457" s="13" t="s">
        <v>333</v>
      </c>
      <c r="C457" s="13" t="s">
        <v>349</v>
      </c>
      <c r="D457" s="61" t="n">
        <v>45966.625</v>
      </c>
      <c r="E457" s="61" t="n">
        <v>45966.625</v>
      </c>
      <c r="F457" s="61" t="n">
        <v>45966.7083333333</v>
      </c>
      <c r="G457" s="62" t="n">
        <v>0.0833333333357587</v>
      </c>
      <c r="H457" s="13" t="s">
        <v>248</v>
      </c>
      <c r="J457" s="13" t="s">
        <v>256</v>
      </c>
      <c r="K457" s="13" t="s">
        <v>430</v>
      </c>
      <c r="L457" s="13" t="s">
        <v>1476</v>
      </c>
      <c r="M457" s="66" t="s">
        <v>258</v>
      </c>
      <c r="N457" s="66" t="s">
        <v>379</v>
      </c>
      <c r="O457" s="66" t="s">
        <v>760</v>
      </c>
      <c r="P457" s="0" t="s">
        <v>1493</v>
      </c>
      <c r="Q457" s="66" t="s">
        <v>995</v>
      </c>
    </row>
    <row r="458" customFormat="false" ht="14.25" hidden="false" customHeight="false" outlineLevel="0" collapsed="false">
      <c r="A458" s="13" t="s">
        <v>1492</v>
      </c>
      <c r="B458" s="13" t="s">
        <v>333</v>
      </c>
      <c r="C458" s="13" t="s">
        <v>350</v>
      </c>
      <c r="D458" s="61" t="n">
        <v>45966.625</v>
      </c>
      <c r="E458" s="61" t="n">
        <v>45966.625</v>
      </c>
      <c r="F458" s="61" t="n">
        <v>45966.7083333333</v>
      </c>
      <c r="G458" s="62" t="n">
        <v>0.0833333333357587</v>
      </c>
      <c r="H458" s="13" t="s">
        <v>248</v>
      </c>
      <c r="J458" s="13" t="s">
        <v>256</v>
      </c>
      <c r="K458" s="13" t="s">
        <v>430</v>
      </c>
      <c r="L458" s="13" t="s">
        <v>1476</v>
      </c>
      <c r="M458" s="66" t="s">
        <v>258</v>
      </c>
      <c r="N458" s="66" t="s">
        <v>379</v>
      </c>
      <c r="O458" s="66" t="s">
        <v>760</v>
      </c>
      <c r="P458" s="0" t="s">
        <v>1494</v>
      </c>
      <c r="Q458" s="66" t="s">
        <v>995</v>
      </c>
    </row>
    <row r="459" customFormat="false" ht="14.25" hidden="false" customHeight="false" outlineLevel="0" collapsed="false">
      <c r="A459" s="13" t="s">
        <v>1492</v>
      </c>
      <c r="B459" s="13" t="s">
        <v>333</v>
      </c>
      <c r="C459" s="13" t="s">
        <v>351</v>
      </c>
      <c r="D459" s="61" t="n">
        <v>45966.625</v>
      </c>
      <c r="E459" s="61" t="n">
        <v>45966.625</v>
      </c>
      <c r="F459" s="61" t="n">
        <v>45966.7083333333</v>
      </c>
      <c r="G459" s="62" t="n">
        <v>0.0833333333357587</v>
      </c>
      <c r="H459" s="13" t="s">
        <v>248</v>
      </c>
      <c r="J459" s="13" t="s">
        <v>256</v>
      </c>
      <c r="K459" s="13" t="s">
        <v>430</v>
      </c>
      <c r="L459" s="13" t="s">
        <v>1476</v>
      </c>
      <c r="M459" s="66" t="s">
        <v>258</v>
      </c>
      <c r="N459" s="66" t="s">
        <v>379</v>
      </c>
      <c r="O459" s="66" t="s">
        <v>760</v>
      </c>
      <c r="P459" s="0" t="s">
        <v>1495</v>
      </c>
      <c r="Q459" s="66" t="s">
        <v>995</v>
      </c>
    </row>
    <row r="460" customFormat="false" ht="14.25" hidden="false" customHeight="false" outlineLevel="0" collapsed="false">
      <c r="A460" s="13" t="s">
        <v>1492</v>
      </c>
      <c r="B460" s="13" t="s">
        <v>333</v>
      </c>
      <c r="C460" s="13" t="s">
        <v>352</v>
      </c>
      <c r="D460" s="61" t="n">
        <v>45966.625</v>
      </c>
      <c r="E460" s="61" t="n">
        <v>45966.625</v>
      </c>
      <c r="F460" s="61" t="n">
        <v>45966.7083333333</v>
      </c>
      <c r="G460" s="62" t="n">
        <v>0.0833333333357587</v>
      </c>
      <c r="H460" s="13" t="s">
        <v>248</v>
      </c>
      <c r="J460" s="13" t="s">
        <v>256</v>
      </c>
      <c r="K460" s="13" t="s">
        <v>430</v>
      </c>
      <c r="L460" s="13" t="s">
        <v>1476</v>
      </c>
      <c r="M460" s="66" t="s">
        <v>258</v>
      </c>
      <c r="N460" s="66" t="s">
        <v>379</v>
      </c>
      <c r="O460" s="66" t="s">
        <v>760</v>
      </c>
      <c r="P460" s="0" t="s">
        <v>1496</v>
      </c>
      <c r="Q460" s="66" t="s">
        <v>995</v>
      </c>
    </row>
    <row r="461" customFormat="false" ht="14.25" hidden="false" customHeight="false" outlineLevel="0" collapsed="false">
      <c r="A461" s="13" t="s">
        <v>1492</v>
      </c>
      <c r="B461" s="13" t="s">
        <v>333</v>
      </c>
      <c r="C461" s="13" t="s">
        <v>353</v>
      </c>
      <c r="D461" s="61" t="n">
        <v>45966.625</v>
      </c>
      <c r="E461" s="61" t="n">
        <v>45966.625</v>
      </c>
      <c r="F461" s="61" t="n">
        <v>45966.7083333333</v>
      </c>
      <c r="G461" s="62" t="n">
        <v>0.0833333333357587</v>
      </c>
      <c r="H461" s="13" t="s">
        <v>248</v>
      </c>
      <c r="J461" s="13" t="s">
        <v>256</v>
      </c>
      <c r="K461" s="13" t="s">
        <v>430</v>
      </c>
      <c r="L461" s="13" t="s">
        <v>1476</v>
      </c>
      <c r="M461" s="66" t="s">
        <v>258</v>
      </c>
      <c r="N461" s="66" t="s">
        <v>379</v>
      </c>
      <c r="O461" s="66" t="s">
        <v>760</v>
      </c>
      <c r="P461" s="0" t="s">
        <v>1497</v>
      </c>
      <c r="Q461" s="66" t="s">
        <v>995</v>
      </c>
    </row>
    <row r="462" customFormat="false" ht="14.25" hidden="false" customHeight="false" outlineLevel="0" collapsed="false">
      <c r="A462" s="13" t="s">
        <v>1492</v>
      </c>
      <c r="B462" s="13" t="s">
        <v>333</v>
      </c>
      <c r="C462" s="13" t="s">
        <v>354</v>
      </c>
      <c r="D462" s="61" t="n">
        <v>45966.625</v>
      </c>
      <c r="E462" s="61" t="n">
        <v>45966.625</v>
      </c>
      <c r="F462" s="61" t="n">
        <v>45966.7083333333</v>
      </c>
      <c r="G462" s="62" t="n">
        <v>0.0833333333357587</v>
      </c>
      <c r="H462" s="13" t="s">
        <v>248</v>
      </c>
      <c r="J462" s="13" t="s">
        <v>256</v>
      </c>
      <c r="K462" s="13" t="s">
        <v>430</v>
      </c>
      <c r="L462" s="13" t="s">
        <v>1476</v>
      </c>
      <c r="M462" s="66" t="s">
        <v>258</v>
      </c>
      <c r="N462" s="66" t="s">
        <v>379</v>
      </c>
      <c r="O462" s="66" t="s">
        <v>760</v>
      </c>
      <c r="P462" s="0" t="s">
        <v>1498</v>
      </c>
      <c r="Q462" s="66" t="s">
        <v>995</v>
      </c>
    </row>
    <row r="463" customFormat="false" ht="14.25" hidden="false" customHeight="false" outlineLevel="0" collapsed="false">
      <c r="A463" s="13" t="s">
        <v>1499</v>
      </c>
      <c r="B463" s="13" t="s">
        <v>333</v>
      </c>
      <c r="C463" s="13" t="s">
        <v>355</v>
      </c>
      <c r="D463" s="61" t="n">
        <v>45966.625</v>
      </c>
      <c r="E463" s="61" t="n">
        <v>45966.625</v>
      </c>
      <c r="F463" s="61" t="n">
        <v>45966.7083333333</v>
      </c>
      <c r="G463" s="62" t="n">
        <v>0.0833333333357587</v>
      </c>
      <c r="H463" s="13" t="s">
        <v>248</v>
      </c>
      <c r="J463" s="13" t="s">
        <v>256</v>
      </c>
      <c r="K463" s="13" t="s">
        <v>430</v>
      </c>
      <c r="L463" s="13" t="s">
        <v>1476</v>
      </c>
      <c r="M463" s="66" t="s">
        <v>258</v>
      </c>
      <c r="N463" s="66" t="s">
        <v>379</v>
      </c>
      <c r="O463" s="66" t="s">
        <v>760</v>
      </c>
      <c r="P463" s="0" t="s">
        <v>1500</v>
      </c>
      <c r="Q463" s="66" t="s">
        <v>995</v>
      </c>
    </row>
    <row r="464" customFormat="false" ht="14.25" hidden="false" customHeight="false" outlineLevel="0" collapsed="false">
      <c r="A464" s="13" t="s">
        <v>1499</v>
      </c>
      <c r="B464" s="13" t="s">
        <v>333</v>
      </c>
      <c r="C464" s="13" t="s">
        <v>356</v>
      </c>
      <c r="D464" s="61" t="n">
        <v>45966.625</v>
      </c>
      <c r="E464" s="61" t="n">
        <v>45966.625</v>
      </c>
      <c r="F464" s="61" t="n">
        <v>45966.7083333333</v>
      </c>
      <c r="G464" s="62" t="n">
        <v>0.0833333333357587</v>
      </c>
      <c r="H464" s="13" t="s">
        <v>248</v>
      </c>
      <c r="J464" s="13" t="s">
        <v>256</v>
      </c>
      <c r="K464" s="13" t="s">
        <v>430</v>
      </c>
      <c r="L464" s="13" t="s">
        <v>1476</v>
      </c>
      <c r="M464" s="66" t="s">
        <v>258</v>
      </c>
      <c r="N464" s="66" t="s">
        <v>379</v>
      </c>
      <c r="O464" s="66" t="s">
        <v>760</v>
      </c>
      <c r="P464" s="0" t="s">
        <v>1501</v>
      </c>
      <c r="Q464" s="66" t="s">
        <v>995</v>
      </c>
    </row>
    <row r="465" customFormat="false" ht="14.25" hidden="false" customHeight="false" outlineLevel="0" collapsed="false">
      <c r="A465" s="13" t="s">
        <v>1499</v>
      </c>
      <c r="B465" s="13" t="s">
        <v>333</v>
      </c>
      <c r="C465" s="13" t="s">
        <v>357</v>
      </c>
      <c r="D465" s="61" t="n">
        <v>45966.625</v>
      </c>
      <c r="E465" s="61" t="n">
        <v>45966.625</v>
      </c>
      <c r="F465" s="61" t="n">
        <v>45966.7083333333</v>
      </c>
      <c r="G465" s="62" t="n">
        <v>0.0833333333357587</v>
      </c>
      <c r="H465" s="13" t="s">
        <v>248</v>
      </c>
      <c r="J465" s="13" t="s">
        <v>256</v>
      </c>
      <c r="K465" s="13" t="s">
        <v>430</v>
      </c>
      <c r="L465" s="13" t="s">
        <v>1476</v>
      </c>
      <c r="M465" s="66" t="s">
        <v>258</v>
      </c>
      <c r="N465" s="66" t="s">
        <v>379</v>
      </c>
      <c r="O465" s="66" t="s">
        <v>760</v>
      </c>
      <c r="P465" s="0" t="s">
        <v>1502</v>
      </c>
      <c r="Q465" s="66" t="s">
        <v>995</v>
      </c>
    </row>
    <row r="466" customFormat="false" ht="14.25" hidden="false" customHeight="false" outlineLevel="0" collapsed="false">
      <c r="A466" s="13" t="s">
        <v>1499</v>
      </c>
      <c r="B466" s="13" t="s">
        <v>333</v>
      </c>
      <c r="C466" s="13" t="s">
        <v>358</v>
      </c>
      <c r="D466" s="61" t="n">
        <v>45966.625</v>
      </c>
      <c r="E466" s="61" t="n">
        <v>45966.625</v>
      </c>
      <c r="F466" s="61" t="n">
        <v>45966.7083333333</v>
      </c>
      <c r="G466" s="62" t="n">
        <v>0.0833333333357587</v>
      </c>
      <c r="H466" s="13" t="s">
        <v>248</v>
      </c>
      <c r="J466" s="13" t="s">
        <v>256</v>
      </c>
      <c r="K466" s="13" t="s">
        <v>430</v>
      </c>
      <c r="L466" s="13" t="s">
        <v>1476</v>
      </c>
      <c r="M466" s="66" t="s">
        <v>258</v>
      </c>
      <c r="N466" s="66" t="s">
        <v>379</v>
      </c>
      <c r="O466" s="66" t="s">
        <v>760</v>
      </c>
      <c r="P466" s="0" t="s">
        <v>1503</v>
      </c>
      <c r="Q466" s="66" t="s">
        <v>995</v>
      </c>
    </row>
    <row r="467" customFormat="false" ht="14.25" hidden="false" customHeight="false" outlineLevel="0" collapsed="false">
      <c r="A467" s="13" t="s">
        <v>1499</v>
      </c>
      <c r="B467" s="13" t="s">
        <v>333</v>
      </c>
      <c r="C467" s="13" t="s">
        <v>359</v>
      </c>
      <c r="D467" s="61" t="n">
        <v>45966.625</v>
      </c>
      <c r="E467" s="61" t="n">
        <v>45966.625</v>
      </c>
      <c r="F467" s="61" t="n">
        <v>45966.7083333333</v>
      </c>
      <c r="G467" s="62" t="n">
        <v>0.0833333333357587</v>
      </c>
      <c r="H467" s="13" t="s">
        <v>248</v>
      </c>
      <c r="J467" s="13" t="s">
        <v>256</v>
      </c>
      <c r="K467" s="13" t="s">
        <v>430</v>
      </c>
      <c r="L467" s="13" t="s">
        <v>1476</v>
      </c>
      <c r="M467" s="66" t="s">
        <v>258</v>
      </c>
      <c r="N467" s="66" t="s">
        <v>379</v>
      </c>
      <c r="O467" s="66" t="s">
        <v>760</v>
      </c>
      <c r="P467" s="0" t="s">
        <v>1504</v>
      </c>
      <c r="Q467" s="66" t="s">
        <v>995</v>
      </c>
    </row>
    <row r="468" customFormat="false" ht="14.25" hidden="false" customHeight="false" outlineLevel="0" collapsed="false">
      <c r="A468" s="13" t="s">
        <v>1499</v>
      </c>
      <c r="B468" s="13" t="s">
        <v>333</v>
      </c>
      <c r="C468" s="13" t="s">
        <v>360</v>
      </c>
      <c r="D468" s="61" t="n">
        <v>45966.625</v>
      </c>
      <c r="E468" s="61" t="n">
        <v>45966.625</v>
      </c>
      <c r="F468" s="61" t="n">
        <v>45966.7083333333</v>
      </c>
      <c r="G468" s="62" t="n">
        <v>0.0833333333357587</v>
      </c>
      <c r="H468" s="13" t="s">
        <v>248</v>
      </c>
      <c r="J468" s="13" t="s">
        <v>256</v>
      </c>
      <c r="K468" s="13" t="s">
        <v>430</v>
      </c>
      <c r="L468" s="13" t="s">
        <v>1476</v>
      </c>
      <c r="M468" s="66" t="s">
        <v>258</v>
      </c>
      <c r="N468" s="66" t="s">
        <v>379</v>
      </c>
      <c r="O468" s="66" t="s">
        <v>760</v>
      </c>
      <c r="P468" s="0" t="s">
        <v>1505</v>
      </c>
      <c r="Q468" s="66" t="s">
        <v>995</v>
      </c>
    </row>
    <row r="469" customFormat="false" ht="14.25" hidden="false" customHeight="false" outlineLevel="0" collapsed="false">
      <c r="A469" s="13" t="s">
        <v>1506</v>
      </c>
      <c r="B469" s="13" t="s">
        <v>333</v>
      </c>
      <c r="C469" s="13" t="s">
        <v>361</v>
      </c>
      <c r="D469" s="61" t="n">
        <v>45966.625</v>
      </c>
      <c r="E469" s="61" t="n">
        <v>45966.625</v>
      </c>
      <c r="F469" s="61" t="n">
        <v>45966.7083333333</v>
      </c>
      <c r="G469" s="62" t="n">
        <v>0.0833333333357587</v>
      </c>
      <c r="H469" s="13" t="s">
        <v>248</v>
      </c>
      <c r="J469" s="13" t="s">
        <v>256</v>
      </c>
      <c r="K469" s="13" t="s">
        <v>430</v>
      </c>
      <c r="L469" s="13" t="s">
        <v>1476</v>
      </c>
      <c r="M469" s="66" t="s">
        <v>258</v>
      </c>
      <c r="N469" s="66" t="s">
        <v>379</v>
      </c>
      <c r="O469" s="66" t="s">
        <v>760</v>
      </c>
      <c r="P469" s="0" t="s">
        <v>1507</v>
      </c>
      <c r="Q469" s="66" t="s">
        <v>995</v>
      </c>
    </row>
    <row r="470" customFormat="false" ht="14.25" hidden="false" customHeight="false" outlineLevel="0" collapsed="false">
      <c r="A470" s="13" t="s">
        <v>1506</v>
      </c>
      <c r="B470" s="13" t="s">
        <v>333</v>
      </c>
      <c r="C470" s="13" t="s">
        <v>362</v>
      </c>
      <c r="D470" s="61" t="n">
        <v>45966.625</v>
      </c>
      <c r="E470" s="61" t="n">
        <v>45966.625</v>
      </c>
      <c r="F470" s="61" t="n">
        <v>45966.7083333333</v>
      </c>
      <c r="G470" s="62" t="n">
        <v>0.0833333333357587</v>
      </c>
      <c r="H470" s="13" t="s">
        <v>248</v>
      </c>
      <c r="J470" s="13" t="s">
        <v>256</v>
      </c>
      <c r="K470" s="13" t="s">
        <v>430</v>
      </c>
      <c r="L470" s="13" t="s">
        <v>1476</v>
      </c>
      <c r="M470" s="66" t="s">
        <v>258</v>
      </c>
      <c r="N470" s="66" t="s">
        <v>379</v>
      </c>
      <c r="O470" s="66" t="s">
        <v>760</v>
      </c>
      <c r="P470" s="0" t="s">
        <v>1508</v>
      </c>
      <c r="Q470" s="66" t="s">
        <v>995</v>
      </c>
    </row>
    <row r="471" customFormat="false" ht="14.25" hidden="false" customHeight="false" outlineLevel="0" collapsed="false">
      <c r="A471" s="13" t="s">
        <v>1506</v>
      </c>
      <c r="B471" s="13" t="s">
        <v>333</v>
      </c>
      <c r="C471" s="13" t="s">
        <v>363</v>
      </c>
      <c r="D471" s="61" t="n">
        <v>45966.625</v>
      </c>
      <c r="E471" s="61" t="n">
        <v>45966.625</v>
      </c>
      <c r="F471" s="61" t="n">
        <v>45966.7083333333</v>
      </c>
      <c r="G471" s="62" t="n">
        <v>0.0833333333357587</v>
      </c>
      <c r="H471" s="13" t="s">
        <v>248</v>
      </c>
      <c r="J471" s="13" t="s">
        <v>256</v>
      </c>
      <c r="K471" s="13" t="s">
        <v>430</v>
      </c>
      <c r="L471" s="13" t="s">
        <v>1476</v>
      </c>
      <c r="M471" s="66" t="s">
        <v>258</v>
      </c>
      <c r="N471" s="66" t="s">
        <v>379</v>
      </c>
      <c r="O471" s="66" t="s">
        <v>760</v>
      </c>
      <c r="P471" s="0" t="s">
        <v>1509</v>
      </c>
      <c r="Q471" s="66" t="s">
        <v>995</v>
      </c>
    </row>
    <row r="472" customFormat="false" ht="14.25" hidden="false" customHeight="false" outlineLevel="0" collapsed="false">
      <c r="A472" s="13" t="s">
        <v>1510</v>
      </c>
      <c r="B472" s="13" t="s">
        <v>333</v>
      </c>
      <c r="C472" s="13" t="s">
        <v>364</v>
      </c>
      <c r="D472" s="61" t="n">
        <v>45966.625</v>
      </c>
      <c r="E472" s="61" t="n">
        <v>45966.625</v>
      </c>
      <c r="F472" s="61" t="n">
        <v>45966.7083333333</v>
      </c>
      <c r="G472" s="62" t="n">
        <v>0.0833333333357587</v>
      </c>
      <c r="H472" s="13" t="s">
        <v>248</v>
      </c>
      <c r="J472" s="13" t="s">
        <v>256</v>
      </c>
      <c r="K472" s="13" t="s">
        <v>430</v>
      </c>
      <c r="L472" s="13" t="s">
        <v>1476</v>
      </c>
      <c r="M472" s="66" t="s">
        <v>258</v>
      </c>
      <c r="N472" s="66" t="s">
        <v>379</v>
      </c>
      <c r="O472" s="66" t="s">
        <v>760</v>
      </c>
      <c r="P472" s="0" t="s">
        <v>1511</v>
      </c>
      <c r="Q472" s="66" t="s">
        <v>995</v>
      </c>
    </row>
    <row r="473" customFormat="false" ht="14.25" hidden="false" customHeight="false" outlineLevel="0" collapsed="false">
      <c r="A473" s="13" t="s">
        <v>1510</v>
      </c>
      <c r="B473" s="13" t="s">
        <v>333</v>
      </c>
      <c r="C473" s="13" t="s">
        <v>365</v>
      </c>
      <c r="D473" s="61" t="n">
        <v>45966.625</v>
      </c>
      <c r="E473" s="61" t="n">
        <v>45966.625</v>
      </c>
      <c r="F473" s="61" t="n">
        <v>45966.7083333333</v>
      </c>
      <c r="G473" s="62" t="n">
        <v>0.0833333333357587</v>
      </c>
      <c r="H473" s="13" t="s">
        <v>248</v>
      </c>
      <c r="J473" s="13" t="s">
        <v>256</v>
      </c>
      <c r="K473" s="13" t="s">
        <v>430</v>
      </c>
      <c r="L473" s="13" t="s">
        <v>1476</v>
      </c>
      <c r="M473" s="66" t="s">
        <v>258</v>
      </c>
      <c r="N473" s="66" t="s">
        <v>379</v>
      </c>
      <c r="O473" s="66" t="s">
        <v>760</v>
      </c>
      <c r="P473" s="0" t="s">
        <v>1512</v>
      </c>
      <c r="Q473" s="66" t="s">
        <v>995</v>
      </c>
    </row>
    <row r="474" customFormat="false" ht="14.25" hidden="false" customHeight="false" outlineLevel="0" collapsed="false">
      <c r="A474" s="13" t="s">
        <v>1510</v>
      </c>
      <c r="B474" s="13" t="s">
        <v>333</v>
      </c>
      <c r="C474" s="13" t="s">
        <v>366</v>
      </c>
      <c r="D474" s="61" t="n">
        <v>45966.625</v>
      </c>
      <c r="E474" s="61" t="n">
        <v>45966.625</v>
      </c>
      <c r="F474" s="61" t="n">
        <v>45966.7083333333</v>
      </c>
      <c r="G474" s="62" t="n">
        <v>0.0833333333357587</v>
      </c>
      <c r="H474" s="13" t="s">
        <v>248</v>
      </c>
      <c r="J474" s="13" t="s">
        <v>256</v>
      </c>
      <c r="K474" s="13" t="s">
        <v>430</v>
      </c>
      <c r="L474" s="13" t="s">
        <v>1476</v>
      </c>
      <c r="M474" s="66" t="s">
        <v>258</v>
      </c>
      <c r="N474" s="66" t="s">
        <v>379</v>
      </c>
      <c r="O474" s="66" t="s">
        <v>760</v>
      </c>
      <c r="P474" s="0" t="s">
        <v>1513</v>
      </c>
      <c r="Q474" s="66" t="s">
        <v>995</v>
      </c>
    </row>
    <row r="475" customFormat="false" ht="14.25" hidden="false" customHeight="false" outlineLevel="0" collapsed="false">
      <c r="A475" s="13" t="s">
        <v>1514</v>
      </c>
      <c r="B475" s="13" t="s">
        <v>333</v>
      </c>
      <c r="C475" s="13" t="s">
        <v>367</v>
      </c>
      <c r="D475" s="61" t="n">
        <v>45966.625</v>
      </c>
      <c r="E475" s="61" t="n">
        <v>45966.625</v>
      </c>
      <c r="F475" s="61" t="n">
        <v>45966.7083333333</v>
      </c>
      <c r="G475" s="62" t="n">
        <v>0.0833333333357587</v>
      </c>
      <c r="H475" s="13" t="s">
        <v>248</v>
      </c>
      <c r="J475" s="13" t="s">
        <v>256</v>
      </c>
      <c r="K475" s="13" t="s">
        <v>430</v>
      </c>
      <c r="L475" s="13" t="s">
        <v>1476</v>
      </c>
      <c r="M475" s="66" t="s">
        <v>258</v>
      </c>
      <c r="N475" s="66" t="s">
        <v>379</v>
      </c>
      <c r="O475" s="66" t="s">
        <v>760</v>
      </c>
      <c r="P475" s="0" t="s">
        <v>1515</v>
      </c>
      <c r="Q475" s="66" t="s">
        <v>995</v>
      </c>
    </row>
    <row r="476" customFormat="false" ht="14.25" hidden="false" customHeight="false" outlineLevel="0" collapsed="false">
      <c r="A476" s="13" t="s">
        <v>1514</v>
      </c>
      <c r="B476" s="13" t="s">
        <v>333</v>
      </c>
      <c r="C476" s="13" t="s">
        <v>368</v>
      </c>
      <c r="D476" s="61" t="n">
        <v>45966.625</v>
      </c>
      <c r="E476" s="61" t="n">
        <v>45966.625</v>
      </c>
      <c r="F476" s="61" t="n">
        <v>45966.7083333333</v>
      </c>
      <c r="G476" s="62" t="n">
        <v>0.0833333333357587</v>
      </c>
      <c r="H476" s="13" t="s">
        <v>248</v>
      </c>
      <c r="J476" s="13" t="s">
        <v>256</v>
      </c>
      <c r="K476" s="13" t="s">
        <v>430</v>
      </c>
      <c r="L476" s="13" t="s">
        <v>1476</v>
      </c>
      <c r="M476" s="66" t="s">
        <v>258</v>
      </c>
      <c r="N476" s="66" t="s">
        <v>379</v>
      </c>
      <c r="O476" s="66" t="s">
        <v>760</v>
      </c>
      <c r="P476" s="0" t="s">
        <v>1516</v>
      </c>
      <c r="Q476" s="66" t="s">
        <v>995</v>
      </c>
    </row>
    <row r="477" customFormat="false" ht="14.25" hidden="false" customHeight="false" outlineLevel="0" collapsed="false">
      <c r="A477" s="13" t="s">
        <v>1514</v>
      </c>
      <c r="B477" s="13" t="s">
        <v>333</v>
      </c>
      <c r="C477" s="13" t="s">
        <v>369</v>
      </c>
      <c r="D477" s="61" t="n">
        <v>45966.625</v>
      </c>
      <c r="E477" s="61" t="n">
        <v>45966.625</v>
      </c>
      <c r="F477" s="61" t="n">
        <v>45966.7083333333</v>
      </c>
      <c r="G477" s="62" t="n">
        <v>0.0833333333357587</v>
      </c>
      <c r="H477" s="13" t="s">
        <v>248</v>
      </c>
      <c r="J477" s="13" t="s">
        <v>256</v>
      </c>
      <c r="K477" s="13" t="s">
        <v>430</v>
      </c>
      <c r="L477" s="13" t="s">
        <v>1476</v>
      </c>
      <c r="M477" s="66" t="s">
        <v>258</v>
      </c>
      <c r="N477" s="66" t="s">
        <v>379</v>
      </c>
      <c r="O477" s="66" t="s">
        <v>760</v>
      </c>
      <c r="P477" s="0" t="s">
        <v>1517</v>
      </c>
      <c r="Q477" s="66" t="s">
        <v>995</v>
      </c>
    </row>
    <row r="478" customFormat="false" ht="14.25" hidden="false" customHeight="false" outlineLevel="0" collapsed="false">
      <c r="A478" s="13" t="s">
        <v>1514</v>
      </c>
      <c r="B478" s="13" t="s">
        <v>333</v>
      </c>
      <c r="C478" s="13" t="s">
        <v>370</v>
      </c>
      <c r="D478" s="61" t="n">
        <v>45966.625</v>
      </c>
      <c r="E478" s="61" t="n">
        <v>45966.625</v>
      </c>
      <c r="F478" s="61" t="n">
        <v>45966.7083333333</v>
      </c>
      <c r="G478" s="62" t="n">
        <v>0.0833333333357587</v>
      </c>
      <c r="H478" s="13" t="s">
        <v>248</v>
      </c>
      <c r="J478" s="13" t="s">
        <v>256</v>
      </c>
      <c r="K478" s="13" t="s">
        <v>430</v>
      </c>
      <c r="L478" s="13" t="s">
        <v>1476</v>
      </c>
      <c r="M478" s="66" t="s">
        <v>258</v>
      </c>
      <c r="N478" s="66" t="s">
        <v>379</v>
      </c>
      <c r="O478" s="66" t="s">
        <v>760</v>
      </c>
      <c r="P478" s="0" t="s">
        <v>1518</v>
      </c>
      <c r="Q478" s="66" t="s">
        <v>995</v>
      </c>
    </row>
    <row r="479" customFormat="false" ht="14.25" hidden="false" customHeight="false" outlineLevel="0" collapsed="false">
      <c r="A479" s="13" t="s">
        <v>1514</v>
      </c>
      <c r="B479" s="13" t="s">
        <v>333</v>
      </c>
      <c r="C479" s="13" t="s">
        <v>371</v>
      </c>
      <c r="D479" s="61" t="n">
        <v>45966.625</v>
      </c>
      <c r="E479" s="61" t="n">
        <v>45966.625</v>
      </c>
      <c r="F479" s="61" t="n">
        <v>45966.7083333333</v>
      </c>
      <c r="G479" s="62" t="n">
        <v>0.0833333333357587</v>
      </c>
      <c r="H479" s="13" t="s">
        <v>248</v>
      </c>
      <c r="J479" s="13" t="s">
        <v>256</v>
      </c>
      <c r="K479" s="13" t="s">
        <v>430</v>
      </c>
      <c r="L479" s="13" t="s">
        <v>1476</v>
      </c>
      <c r="M479" s="66" t="s">
        <v>258</v>
      </c>
      <c r="N479" s="66" t="s">
        <v>379</v>
      </c>
      <c r="O479" s="66" t="s">
        <v>760</v>
      </c>
      <c r="P479" s="0" t="s">
        <v>1519</v>
      </c>
      <c r="Q479" s="66" t="s">
        <v>995</v>
      </c>
    </row>
    <row r="480" customFormat="false" ht="14.25" hidden="false" customHeight="false" outlineLevel="0" collapsed="false">
      <c r="A480" s="13" t="s">
        <v>1514</v>
      </c>
      <c r="B480" s="13" t="s">
        <v>333</v>
      </c>
      <c r="C480" s="13" t="s">
        <v>372</v>
      </c>
      <c r="D480" s="61" t="n">
        <v>45966.625</v>
      </c>
      <c r="E480" s="61" t="n">
        <v>45966.625</v>
      </c>
      <c r="F480" s="61" t="n">
        <v>45966.7083333333</v>
      </c>
      <c r="G480" s="62" t="n">
        <v>0.0833333333357587</v>
      </c>
      <c r="H480" s="13" t="s">
        <v>248</v>
      </c>
      <c r="J480" s="13" t="s">
        <v>256</v>
      </c>
      <c r="K480" s="13" t="s">
        <v>430</v>
      </c>
      <c r="L480" s="13" t="s">
        <v>1476</v>
      </c>
      <c r="M480" s="66" t="s">
        <v>258</v>
      </c>
      <c r="N480" s="66" t="s">
        <v>379</v>
      </c>
      <c r="O480" s="66" t="s">
        <v>760</v>
      </c>
      <c r="P480" s="0" t="s">
        <v>1520</v>
      </c>
      <c r="Q480" s="66" t="s">
        <v>995</v>
      </c>
    </row>
    <row r="481" customFormat="false" ht="14.25" hidden="false" customHeight="false" outlineLevel="0" collapsed="false">
      <c r="A481" s="13" t="s">
        <v>1521</v>
      </c>
      <c r="B481" s="13" t="s">
        <v>333</v>
      </c>
      <c r="C481" s="13" t="s">
        <v>373</v>
      </c>
      <c r="D481" s="61" t="n">
        <v>45966.625</v>
      </c>
      <c r="E481" s="61" t="n">
        <v>45966.625</v>
      </c>
      <c r="F481" s="61" t="n">
        <v>45966.7083333333</v>
      </c>
      <c r="G481" s="62" t="n">
        <v>0.0833333333357587</v>
      </c>
      <c r="H481" s="13" t="s">
        <v>248</v>
      </c>
      <c r="J481" s="13" t="s">
        <v>256</v>
      </c>
      <c r="K481" s="13" t="s">
        <v>430</v>
      </c>
      <c r="L481" s="13" t="s">
        <v>1476</v>
      </c>
      <c r="M481" s="66" t="s">
        <v>258</v>
      </c>
      <c r="N481" s="66" t="s">
        <v>379</v>
      </c>
      <c r="O481" s="66" t="s">
        <v>760</v>
      </c>
      <c r="P481" s="0" t="s">
        <v>1522</v>
      </c>
      <c r="Q481" s="66" t="s">
        <v>995</v>
      </c>
    </row>
    <row r="482" customFormat="false" ht="14.25" hidden="false" customHeight="false" outlineLevel="0" collapsed="false">
      <c r="A482" s="13" t="s">
        <v>1521</v>
      </c>
      <c r="B482" s="13" t="s">
        <v>333</v>
      </c>
      <c r="C482" s="13" t="s">
        <v>374</v>
      </c>
      <c r="D482" s="61" t="n">
        <v>45966.625</v>
      </c>
      <c r="E482" s="61" t="n">
        <v>45966.625</v>
      </c>
      <c r="F482" s="61" t="n">
        <v>45966.7083333333</v>
      </c>
      <c r="G482" s="62" t="n">
        <v>0.0833333333357587</v>
      </c>
      <c r="H482" s="13" t="s">
        <v>248</v>
      </c>
      <c r="J482" s="13" t="s">
        <v>256</v>
      </c>
      <c r="K482" s="13" t="s">
        <v>430</v>
      </c>
      <c r="L482" s="13" t="s">
        <v>1476</v>
      </c>
      <c r="M482" s="66" t="s">
        <v>258</v>
      </c>
      <c r="N482" s="66" t="s">
        <v>379</v>
      </c>
      <c r="O482" s="66" t="s">
        <v>760</v>
      </c>
      <c r="P482" s="0" t="s">
        <v>1523</v>
      </c>
      <c r="Q482" s="66" t="s">
        <v>995</v>
      </c>
    </row>
    <row r="483" customFormat="false" ht="14.25" hidden="false" customHeight="false" outlineLevel="0" collapsed="false">
      <c r="A483" s="13" t="s">
        <v>1521</v>
      </c>
      <c r="B483" s="13" t="s">
        <v>333</v>
      </c>
      <c r="C483" s="13" t="s">
        <v>375</v>
      </c>
      <c r="D483" s="61" t="n">
        <v>45966.625</v>
      </c>
      <c r="E483" s="61" t="n">
        <v>45966.625</v>
      </c>
      <c r="F483" s="61" t="n">
        <v>45966.7083333333</v>
      </c>
      <c r="G483" s="62" t="n">
        <v>0.0833333333357587</v>
      </c>
      <c r="H483" s="13" t="s">
        <v>248</v>
      </c>
      <c r="J483" s="13" t="s">
        <v>256</v>
      </c>
      <c r="K483" s="13" t="s">
        <v>430</v>
      </c>
      <c r="L483" s="13" t="s">
        <v>1476</v>
      </c>
      <c r="M483" s="66" t="s">
        <v>258</v>
      </c>
      <c r="N483" s="66" t="s">
        <v>379</v>
      </c>
      <c r="O483" s="66" t="s">
        <v>760</v>
      </c>
      <c r="P483" s="0" t="s">
        <v>1524</v>
      </c>
      <c r="Q483" s="66" t="s">
        <v>995</v>
      </c>
    </row>
    <row r="484" customFormat="false" ht="14.25" hidden="false" customHeight="false" outlineLevel="0" collapsed="false">
      <c r="A484" s="13" t="s">
        <v>878</v>
      </c>
      <c r="B484" s="13" t="s">
        <v>504</v>
      </c>
      <c r="C484" s="13" t="s">
        <v>1250</v>
      </c>
      <c r="D484" s="61" t="n">
        <v>45967.2631828704</v>
      </c>
      <c r="E484" s="61" t="n">
        <v>45967.2631828704</v>
      </c>
      <c r="F484" s="61" t="n">
        <v>45967.2701273148</v>
      </c>
      <c r="G484" s="62" t="n">
        <v>0.00694444444525288</v>
      </c>
      <c r="H484" s="13" t="s">
        <v>248</v>
      </c>
      <c r="J484" s="13" t="s">
        <v>249</v>
      </c>
      <c r="K484" s="13" t="s">
        <v>439</v>
      </c>
      <c r="L484" s="13" t="s">
        <v>1251</v>
      </c>
      <c r="M484" s="66" t="s">
        <v>251</v>
      </c>
      <c r="N484" s="66" t="s">
        <v>625</v>
      </c>
      <c r="P484" s="0" t="s">
        <v>1525</v>
      </c>
      <c r="Q484" s="66" t="s">
        <v>1253</v>
      </c>
    </row>
    <row r="485" customFormat="false" ht="14.25" hidden="false" customHeight="false" outlineLevel="0" collapsed="false">
      <c r="A485" s="13" t="s">
        <v>878</v>
      </c>
      <c r="B485" s="13" t="s">
        <v>504</v>
      </c>
      <c r="C485" s="13" t="s">
        <v>1332</v>
      </c>
      <c r="D485" s="61" t="n">
        <v>45967.2634837963</v>
      </c>
      <c r="E485" s="61" t="n">
        <v>45967.2634837963</v>
      </c>
      <c r="F485" s="61" t="n">
        <v>45967.2990740741</v>
      </c>
      <c r="G485" s="62" t="n">
        <v>0.0355902777737356</v>
      </c>
      <c r="H485" s="13" t="s">
        <v>248</v>
      </c>
      <c r="J485" s="13" t="s">
        <v>249</v>
      </c>
      <c r="K485" s="13" t="s">
        <v>439</v>
      </c>
      <c r="L485" s="13" t="s">
        <v>1251</v>
      </c>
      <c r="M485" s="66" t="s">
        <v>251</v>
      </c>
      <c r="N485" s="66" t="s">
        <v>625</v>
      </c>
      <c r="P485" s="0" t="s">
        <v>1526</v>
      </c>
      <c r="Q485" s="66" t="s">
        <v>1253</v>
      </c>
    </row>
    <row r="486" customFormat="false" ht="14.25" hidden="false" customHeight="false" outlineLevel="0" collapsed="false">
      <c r="A486" s="13" t="s">
        <v>1142</v>
      </c>
      <c r="B486" s="13" t="s">
        <v>320</v>
      </c>
      <c r="C486" s="13" t="s">
        <v>323</v>
      </c>
      <c r="D486" s="61" t="n">
        <v>45967.2680555556</v>
      </c>
      <c r="E486" s="61" t="n">
        <v>45967.2680555556</v>
      </c>
      <c r="F486" s="61" t="n">
        <v>45972.2326388889</v>
      </c>
      <c r="G486" s="62" t="n">
        <v>4.9645833333343</v>
      </c>
      <c r="H486" s="13" t="s">
        <v>286</v>
      </c>
      <c r="J486" s="13" t="s">
        <v>256</v>
      </c>
      <c r="K486" s="13" t="s">
        <v>430</v>
      </c>
      <c r="L486" s="13" t="s">
        <v>1527</v>
      </c>
      <c r="M486" s="66" t="s">
        <v>258</v>
      </c>
      <c r="N486" s="66" t="s">
        <v>379</v>
      </c>
      <c r="O486" s="66" t="s">
        <v>1528</v>
      </c>
      <c r="P486" s="0" t="s">
        <v>1529</v>
      </c>
      <c r="Q486" s="66" t="s">
        <v>1530</v>
      </c>
    </row>
    <row r="487" customFormat="false" ht="14.25" hidden="false" customHeight="false" outlineLevel="0" collapsed="false">
      <c r="A487" s="13" t="s">
        <v>857</v>
      </c>
      <c r="B487" s="13" t="s">
        <v>320</v>
      </c>
      <c r="C487" s="13" t="s">
        <v>321</v>
      </c>
      <c r="D487" s="61" t="n">
        <v>45967.2680555556</v>
      </c>
      <c r="E487" s="61" t="n">
        <v>45967.2680555556</v>
      </c>
      <c r="F487" s="61" t="n">
        <v>45972.2326388889</v>
      </c>
      <c r="G487" s="62" t="n">
        <v>4.9645833333343</v>
      </c>
      <c r="H487" s="13" t="s">
        <v>286</v>
      </c>
      <c r="J487" s="13" t="s">
        <v>256</v>
      </c>
      <c r="K487" s="13" t="s">
        <v>430</v>
      </c>
      <c r="L487" s="13" t="s">
        <v>1527</v>
      </c>
      <c r="M487" s="66" t="s">
        <v>258</v>
      </c>
      <c r="N487" s="66" t="s">
        <v>379</v>
      </c>
      <c r="O487" s="66" t="s">
        <v>1528</v>
      </c>
      <c r="P487" s="0" t="s">
        <v>1531</v>
      </c>
      <c r="Q487" s="66" t="s">
        <v>1530</v>
      </c>
    </row>
    <row r="488" customFormat="false" ht="14.25" hidden="false" customHeight="false" outlineLevel="0" collapsed="false">
      <c r="A488" s="13" t="s">
        <v>1145</v>
      </c>
      <c r="B488" s="13" t="s">
        <v>320</v>
      </c>
      <c r="C488" s="13" t="s">
        <v>324</v>
      </c>
      <c r="D488" s="61" t="n">
        <v>45967.2680555556</v>
      </c>
      <c r="E488" s="61" t="n">
        <v>45967.2680555556</v>
      </c>
      <c r="F488" s="61" t="n">
        <v>45972.2326388889</v>
      </c>
      <c r="G488" s="62" t="n">
        <v>4.9645833333343</v>
      </c>
      <c r="H488" s="13" t="s">
        <v>286</v>
      </c>
      <c r="J488" s="13" t="s">
        <v>256</v>
      </c>
      <c r="K488" s="13" t="s">
        <v>430</v>
      </c>
      <c r="L488" s="13" t="s">
        <v>1527</v>
      </c>
      <c r="M488" s="66" t="s">
        <v>258</v>
      </c>
      <c r="N488" s="66" t="s">
        <v>379</v>
      </c>
      <c r="O488" s="66" t="s">
        <v>1528</v>
      </c>
      <c r="P488" s="0" t="s">
        <v>1532</v>
      </c>
      <c r="Q488" s="66" t="s">
        <v>1530</v>
      </c>
    </row>
    <row r="489" customFormat="false" ht="14.25" hidden="false" customHeight="false" outlineLevel="0" collapsed="false">
      <c r="A489" s="13" t="s">
        <v>814</v>
      </c>
      <c r="B489" s="13" t="s">
        <v>542</v>
      </c>
      <c r="C489" s="13" t="s">
        <v>543</v>
      </c>
      <c r="D489" s="61" t="n">
        <v>45967.2722222222</v>
      </c>
      <c r="E489" s="61" t="n">
        <v>45967.2722222222</v>
      </c>
      <c r="F489" s="61" t="n">
        <v>45967.3020833333</v>
      </c>
      <c r="G489" s="62" t="n">
        <v>0.0298611111138598</v>
      </c>
      <c r="H489" s="13" t="s">
        <v>248</v>
      </c>
      <c r="J489" s="13" t="s">
        <v>256</v>
      </c>
      <c r="K489" s="13" t="s">
        <v>430</v>
      </c>
      <c r="L489" s="13" t="s">
        <v>1533</v>
      </c>
      <c r="M489" s="66" t="s">
        <v>258</v>
      </c>
      <c r="N489" s="66" t="s">
        <v>379</v>
      </c>
      <c r="O489" s="66" t="s">
        <v>399</v>
      </c>
      <c r="P489" s="0" t="s">
        <v>1534</v>
      </c>
      <c r="Q489" s="66" t="s">
        <v>995</v>
      </c>
    </row>
    <row r="490" customFormat="false" ht="14.25" hidden="false" customHeight="false" outlineLevel="0" collapsed="false">
      <c r="A490" s="13" t="s">
        <v>814</v>
      </c>
      <c r="B490" s="13" t="s">
        <v>542</v>
      </c>
      <c r="C490" s="13" t="s">
        <v>545</v>
      </c>
      <c r="D490" s="61" t="n">
        <v>45967.2722222222</v>
      </c>
      <c r="E490" s="61" t="n">
        <v>45967.2722222222</v>
      </c>
      <c r="F490" s="61" t="n">
        <v>45967.3020833333</v>
      </c>
      <c r="G490" s="62" t="n">
        <v>0.0298611111138598</v>
      </c>
      <c r="H490" s="13" t="s">
        <v>248</v>
      </c>
      <c r="J490" s="13" t="s">
        <v>256</v>
      </c>
      <c r="K490" s="13" t="s">
        <v>430</v>
      </c>
      <c r="L490" s="13" t="s">
        <v>1533</v>
      </c>
      <c r="M490" s="66" t="s">
        <v>258</v>
      </c>
      <c r="N490" s="66" t="s">
        <v>379</v>
      </c>
      <c r="O490" s="66" t="s">
        <v>399</v>
      </c>
      <c r="P490" s="0" t="s">
        <v>1535</v>
      </c>
      <c r="Q490" s="66" t="s">
        <v>995</v>
      </c>
    </row>
    <row r="491" customFormat="false" ht="14.25" hidden="false" customHeight="false" outlineLevel="0" collapsed="false">
      <c r="A491" s="13" t="s">
        <v>814</v>
      </c>
      <c r="B491" s="13" t="s">
        <v>542</v>
      </c>
      <c r="C491" s="13" t="s">
        <v>546</v>
      </c>
      <c r="D491" s="61" t="n">
        <v>45967.2722222222</v>
      </c>
      <c r="E491" s="61" t="n">
        <v>45967.2722222222</v>
      </c>
      <c r="F491" s="61" t="n">
        <v>45967.3020833333</v>
      </c>
      <c r="G491" s="62" t="n">
        <v>0.0298611111138598</v>
      </c>
      <c r="H491" s="13" t="s">
        <v>248</v>
      </c>
      <c r="J491" s="13" t="s">
        <v>256</v>
      </c>
      <c r="K491" s="13" t="s">
        <v>430</v>
      </c>
      <c r="L491" s="13" t="s">
        <v>1533</v>
      </c>
      <c r="M491" s="66" t="s">
        <v>258</v>
      </c>
      <c r="N491" s="66" t="s">
        <v>379</v>
      </c>
      <c r="O491" s="66" t="s">
        <v>399</v>
      </c>
      <c r="P491" s="0" t="s">
        <v>1536</v>
      </c>
      <c r="Q491" s="66" t="s">
        <v>995</v>
      </c>
    </row>
    <row r="492" customFormat="false" ht="14.25" hidden="false" customHeight="false" outlineLevel="0" collapsed="false">
      <c r="A492" s="13" t="s">
        <v>814</v>
      </c>
      <c r="B492" s="13" t="s">
        <v>542</v>
      </c>
      <c r="C492" s="13" t="s">
        <v>547</v>
      </c>
      <c r="D492" s="61" t="n">
        <v>45967.2722222222</v>
      </c>
      <c r="E492" s="61" t="n">
        <v>45967.2722222222</v>
      </c>
      <c r="F492" s="61" t="n">
        <v>45967.3020833333</v>
      </c>
      <c r="G492" s="62" t="n">
        <v>0.0298611111138598</v>
      </c>
      <c r="H492" s="13" t="s">
        <v>248</v>
      </c>
      <c r="J492" s="13" t="s">
        <v>256</v>
      </c>
      <c r="K492" s="13" t="s">
        <v>430</v>
      </c>
      <c r="L492" s="13" t="s">
        <v>1533</v>
      </c>
      <c r="M492" s="66" t="s">
        <v>258</v>
      </c>
      <c r="N492" s="66" t="s">
        <v>379</v>
      </c>
      <c r="O492" s="66" t="s">
        <v>399</v>
      </c>
      <c r="P492" s="0" t="s">
        <v>1537</v>
      </c>
      <c r="Q492" s="66" t="s">
        <v>995</v>
      </c>
    </row>
    <row r="493" customFormat="false" ht="14.25" hidden="false" customHeight="false" outlineLevel="0" collapsed="false">
      <c r="A493" s="13" t="s">
        <v>814</v>
      </c>
      <c r="B493" s="13" t="s">
        <v>542</v>
      </c>
      <c r="C493" s="13" t="s">
        <v>548</v>
      </c>
      <c r="D493" s="61" t="n">
        <v>45967.2722222222</v>
      </c>
      <c r="E493" s="61" t="n">
        <v>45967.2722222222</v>
      </c>
      <c r="F493" s="61" t="n">
        <v>45967.3020833333</v>
      </c>
      <c r="G493" s="62" t="n">
        <v>0.0298611111138598</v>
      </c>
      <c r="H493" s="13" t="s">
        <v>248</v>
      </c>
      <c r="J493" s="13" t="s">
        <v>256</v>
      </c>
      <c r="K493" s="13" t="s">
        <v>430</v>
      </c>
      <c r="L493" s="13" t="s">
        <v>1533</v>
      </c>
      <c r="M493" s="66" t="s">
        <v>258</v>
      </c>
      <c r="N493" s="66" t="s">
        <v>379</v>
      </c>
      <c r="O493" s="66" t="s">
        <v>399</v>
      </c>
      <c r="P493" s="0" t="s">
        <v>1538</v>
      </c>
      <c r="Q493" s="66" t="s">
        <v>995</v>
      </c>
    </row>
    <row r="494" customFormat="false" ht="14.25" hidden="false" customHeight="false" outlineLevel="0" collapsed="false">
      <c r="A494" s="13" t="s">
        <v>814</v>
      </c>
      <c r="B494" s="13" t="s">
        <v>542</v>
      </c>
      <c r="C494" s="13" t="s">
        <v>549</v>
      </c>
      <c r="D494" s="61" t="n">
        <v>45967.2722222222</v>
      </c>
      <c r="E494" s="61" t="n">
        <v>45967.2722222222</v>
      </c>
      <c r="F494" s="61" t="n">
        <v>45967.3020833333</v>
      </c>
      <c r="G494" s="62" t="n">
        <v>0.0298611111138598</v>
      </c>
      <c r="H494" s="13" t="s">
        <v>248</v>
      </c>
      <c r="J494" s="13" t="s">
        <v>256</v>
      </c>
      <c r="K494" s="13" t="s">
        <v>430</v>
      </c>
      <c r="L494" s="13" t="s">
        <v>1533</v>
      </c>
      <c r="M494" s="66" t="s">
        <v>258</v>
      </c>
      <c r="N494" s="66" t="s">
        <v>379</v>
      </c>
      <c r="O494" s="66" t="s">
        <v>399</v>
      </c>
      <c r="P494" s="0" t="s">
        <v>1539</v>
      </c>
      <c r="Q494" s="66" t="s">
        <v>995</v>
      </c>
    </row>
    <row r="495" customFormat="false" ht="14.25" hidden="false" customHeight="false" outlineLevel="0" collapsed="false">
      <c r="A495" s="13" t="s">
        <v>814</v>
      </c>
      <c r="B495" s="13" t="s">
        <v>542</v>
      </c>
      <c r="C495" s="13" t="s">
        <v>550</v>
      </c>
      <c r="D495" s="61" t="n">
        <v>45967.2722222222</v>
      </c>
      <c r="E495" s="61" t="n">
        <v>45967.2722222222</v>
      </c>
      <c r="F495" s="61" t="n">
        <v>45967.3020833333</v>
      </c>
      <c r="G495" s="62" t="n">
        <v>0.0298611111138598</v>
      </c>
      <c r="H495" s="13" t="s">
        <v>248</v>
      </c>
      <c r="J495" s="13" t="s">
        <v>256</v>
      </c>
      <c r="K495" s="13" t="s">
        <v>430</v>
      </c>
      <c r="L495" s="13" t="s">
        <v>1533</v>
      </c>
      <c r="M495" s="66" t="s">
        <v>258</v>
      </c>
      <c r="N495" s="66" t="s">
        <v>379</v>
      </c>
      <c r="O495" s="66" t="s">
        <v>399</v>
      </c>
      <c r="P495" s="0" t="s">
        <v>1540</v>
      </c>
      <c r="Q495" s="66" t="s">
        <v>995</v>
      </c>
    </row>
    <row r="496" customFormat="false" ht="14.25" hidden="false" customHeight="false" outlineLevel="0" collapsed="false">
      <c r="A496" s="13" t="s">
        <v>814</v>
      </c>
      <c r="B496" s="13" t="s">
        <v>542</v>
      </c>
      <c r="C496" s="13" t="s">
        <v>551</v>
      </c>
      <c r="D496" s="61" t="n">
        <v>45967.2722222222</v>
      </c>
      <c r="E496" s="61" t="n">
        <v>45967.2722222222</v>
      </c>
      <c r="F496" s="61" t="n">
        <v>45967.3020833333</v>
      </c>
      <c r="G496" s="62" t="n">
        <v>0.0298611111138598</v>
      </c>
      <c r="H496" s="13" t="s">
        <v>248</v>
      </c>
      <c r="J496" s="13" t="s">
        <v>256</v>
      </c>
      <c r="K496" s="13" t="s">
        <v>430</v>
      </c>
      <c r="L496" s="13" t="s">
        <v>1533</v>
      </c>
      <c r="M496" s="66" t="s">
        <v>258</v>
      </c>
      <c r="N496" s="66" t="s">
        <v>379</v>
      </c>
      <c r="O496" s="66" t="s">
        <v>399</v>
      </c>
      <c r="P496" s="0" t="s">
        <v>1541</v>
      </c>
      <c r="Q496" s="66" t="s">
        <v>995</v>
      </c>
    </row>
    <row r="497" customFormat="false" ht="14.25" hidden="false" customHeight="false" outlineLevel="0" collapsed="false">
      <c r="A497" s="13" t="s">
        <v>815</v>
      </c>
      <c r="B497" s="13" t="s">
        <v>542</v>
      </c>
      <c r="C497" s="13" t="s">
        <v>552</v>
      </c>
      <c r="D497" s="61" t="n">
        <v>45967.2722222222</v>
      </c>
      <c r="E497" s="61" t="n">
        <v>45967.2722222222</v>
      </c>
      <c r="F497" s="61" t="n">
        <v>45967.3020833333</v>
      </c>
      <c r="G497" s="62" t="n">
        <v>0.0298611111138598</v>
      </c>
      <c r="H497" s="13" t="s">
        <v>248</v>
      </c>
      <c r="J497" s="13" t="s">
        <v>256</v>
      </c>
      <c r="K497" s="13" t="s">
        <v>430</v>
      </c>
      <c r="L497" s="13" t="s">
        <v>1533</v>
      </c>
      <c r="M497" s="66" t="s">
        <v>258</v>
      </c>
      <c r="N497" s="66" t="s">
        <v>379</v>
      </c>
      <c r="O497" s="66" t="s">
        <v>399</v>
      </c>
      <c r="P497" s="0" t="s">
        <v>1542</v>
      </c>
      <c r="Q497" s="66" t="s">
        <v>995</v>
      </c>
    </row>
    <row r="498" customFormat="false" ht="14.25" hidden="false" customHeight="false" outlineLevel="0" collapsed="false">
      <c r="A498" s="13" t="s">
        <v>815</v>
      </c>
      <c r="B498" s="13" t="s">
        <v>542</v>
      </c>
      <c r="C498" s="13" t="s">
        <v>553</v>
      </c>
      <c r="D498" s="61" t="n">
        <v>45967.2722222222</v>
      </c>
      <c r="E498" s="61" t="n">
        <v>45967.2722222222</v>
      </c>
      <c r="F498" s="61" t="n">
        <v>45967.3020833333</v>
      </c>
      <c r="G498" s="62" t="n">
        <v>0.0298611111138598</v>
      </c>
      <c r="H498" s="13" t="s">
        <v>248</v>
      </c>
      <c r="J498" s="13" t="s">
        <v>256</v>
      </c>
      <c r="K498" s="13" t="s">
        <v>430</v>
      </c>
      <c r="L498" s="13" t="s">
        <v>1533</v>
      </c>
      <c r="M498" s="66" t="s">
        <v>258</v>
      </c>
      <c r="N498" s="66" t="s">
        <v>379</v>
      </c>
      <c r="O498" s="66" t="s">
        <v>399</v>
      </c>
      <c r="P498" s="0" t="s">
        <v>1543</v>
      </c>
      <c r="Q498" s="66" t="s">
        <v>995</v>
      </c>
    </row>
    <row r="499" customFormat="false" ht="14.25" hidden="false" customHeight="false" outlineLevel="0" collapsed="false">
      <c r="A499" s="13" t="s">
        <v>815</v>
      </c>
      <c r="B499" s="13" t="s">
        <v>542</v>
      </c>
      <c r="C499" s="13" t="s">
        <v>554</v>
      </c>
      <c r="D499" s="61" t="n">
        <v>45967.2722222222</v>
      </c>
      <c r="E499" s="61" t="n">
        <v>45967.2722222222</v>
      </c>
      <c r="F499" s="61" t="n">
        <v>45967.3020833333</v>
      </c>
      <c r="G499" s="62" t="n">
        <v>0.0298611111138598</v>
      </c>
      <c r="H499" s="13" t="s">
        <v>248</v>
      </c>
      <c r="J499" s="13" t="s">
        <v>256</v>
      </c>
      <c r="K499" s="13" t="s">
        <v>430</v>
      </c>
      <c r="L499" s="13" t="s">
        <v>1533</v>
      </c>
      <c r="M499" s="66" t="s">
        <v>258</v>
      </c>
      <c r="N499" s="66" t="s">
        <v>379</v>
      </c>
      <c r="O499" s="66" t="s">
        <v>399</v>
      </c>
      <c r="P499" s="0" t="s">
        <v>1544</v>
      </c>
      <c r="Q499" s="66" t="s">
        <v>995</v>
      </c>
    </row>
    <row r="500" customFormat="false" ht="14.25" hidden="false" customHeight="false" outlineLevel="0" collapsed="false">
      <c r="A500" s="13" t="s">
        <v>815</v>
      </c>
      <c r="B500" s="13" t="s">
        <v>542</v>
      </c>
      <c r="C500" s="13" t="s">
        <v>555</v>
      </c>
      <c r="D500" s="61" t="n">
        <v>45967.2722222222</v>
      </c>
      <c r="E500" s="61" t="n">
        <v>45967.2722222222</v>
      </c>
      <c r="F500" s="61" t="n">
        <v>45967.3020833333</v>
      </c>
      <c r="G500" s="62" t="n">
        <v>0.0298611111138598</v>
      </c>
      <c r="H500" s="13" t="s">
        <v>248</v>
      </c>
      <c r="J500" s="13" t="s">
        <v>256</v>
      </c>
      <c r="K500" s="13" t="s">
        <v>430</v>
      </c>
      <c r="L500" s="13" t="s">
        <v>1533</v>
      </c>
      <c r="M500" s="66" t="s">
        <v>258</v>
      </c>
      <c r="N500" s="66" t="s">
        <v>379</v>
      </c>
      <c r="O500" s="66" t="s">
        <v>399</v>
      </c>
      <c r="P500" s="0" t="s">
        <v>1545</v>
      </c>
      <c r="Q500" s="66" t="s">
        <v>995</v>
      </c>
    </row>
    <row r="501" customFormat="false" ht="14.25" hidden="false" customHeight="false" outlineLevel="0" collapsed="false">
      <c r="A501" s="13" t="s">
        <v>815</v>
      </c>
      <c r="B501" s="13" t="s">
        <v>542</v>
      </c>
      <c r="C501" s="13" t="s">
        <v>556</v>
      </c>
      <c r="D501" s="61" t="n">
        <v>45967.2722222222</v>
      </c>
      <c r="E501" s="61" t="n">
        <v>45967.2722222222</v>
      </c>
      <c r="F501" s="61" t="n">
        <v>45967.3020833333</v>
      </c>
      <c r="G501" s="62" t="n">
        <v>0.0298611111138598</v>
      </c>
      <c r="H501" s="13" t="s">
        <v>248</v>
      </c>
      <c r="J501" s="13" t="s">
        <v>256</v>
      </c>
      <c r="K501" s="13" t="s">
        <v>430</v>
      </c>
      <c r="L501" s="13" t="s">
        <v>1533</v>
      </c>
      <c r="M501" s="66" t="s">
        <v>258</v>
      </c>
      <c r="N501" s="66" t="s">
        <v>379</v>
      </c>
      <c r="O501" s="66" t="s">
        <v>399</v>
      </c>
      <c r="P501" s="0" t="s">
        <v>1546</v>
      </c>
      <c r="Q501" s="66" t="s">
        <v>995</v>
      </c>
    </row>
    <row r="502" customFormat="false" ht="14.25" hidden="false" customHeight="false" outlineLevel="0" collapsed="false">
      <c r="A502" s="13" t="s">
        <v>815</v>
      </c>
      <c r="B502" s="13" t="s">
        <v>542</v>
      </c>
      <c r="C502" s="13" t="s">
        <v>557</v>
      </c>
      <c r="D502" s="61" t="n">
        <v>45967.2722222222</v>
      </c>
      <c r="E502" s="61" t="n">
        <v>45967.2722222222</v>
      </c>
      <c r="F502" s="61" t="n">
        <v>45967.3020833333</v>
      </c>
      <c r="G502" s="62" t="n">
        <v>0.0298611111138598</v>
      </c>
      <c r="H502" s="13" t="s">
        <v>248</v>
      </c>
      <c r="J502" s="13" t="s">
        <v>256</v>
      </c>
      <c r="K502" s="13" t="s">
        <v>430</v>
      </c>
      <c r="L502" s="13" t="s">
        <v>1533</v>
      </c>
      <c r="M502" s="66" t="s">
        <v>258</v>
      </c>
      <c r="N502" s="66" t="s">
        <v>379</v>
      </c>
      <c r="O502" s="66" t="s">
        <v>399</v>
      </c>
      <c r="P502" s="0" t="s">
        <v>1547</v>
      </c>
      <c r="Q502" s="66" t="s">
        <v>995</v>
      </c>
    </row>
    <row r="503" customFormat="false" ht="14.25" hidden="false" customHeight="false" outlineLevel="0" collapsed="false">
      <c r="A503" s="13" t="s">
        <v>815</v>
      </c>
      <c r="B503" s="13" t="s">
        <v>542</v>
      </c>
      <c r="C503" s="13" t="s">
        <v>558</v>
      </c>
      <c r="D503" s="61" t="n">
        <v>45967.2722222222</v>
      </c>
      <c r="E503" s="61" t="n">
        <v>45967.2722222222</v>
      </c>
      <c r="F503" s="61" t="n">
        <v>45967.3020833333</v>
      </c>
      <c r="G503" s="62" t="n">
        <v>0.0298611111138598</v>
      </c>
      <c r="H503" s="13" t="s">
        <v>248</v>
      </c>
      <c r="J503" s="13" t="s">
        <v>256</v>
      </c>
      <c r="K503" s="13" t="s">
        <v>430</v>
      </c>
      <c r="L503" s="13" t="s">
        <v>1533</v>
      </c>
      <c r="M503" s="66" t="s">
        <v>258</v>
      </c>
      <c r="N503" s="66" t="s">
        <v>379</v>
      </c>
      <c r="O503" s="66" t="s">
        <v>399</v>
      </c>
      <c r="P503" s="0" t="s">
        <v>1548</v>
      </c>
      <c r="Q503" s="66" t="s">
        <v>995</v>
      </c>
    </row>
    <row r="504" customFormat="false" ht="14.25" hidden="false" customHeight="false" outlineLevel="0" collapsed="false">
      <c r="A504" s="13" t="s">
        <v>828</v>
      </c>
      <c r="B504" s="13" t="s">
        <v>542</v>
      </c>
      <c r="C504" s="13" t="s">
        <v>559</v>
      </c>
      <c r="D504" s="61" t="n">
        <v>45967.2722222222</v>
      </c>
      <c r="E504" s="61" t="n">
        <v>45967.2722222222</v>
      </c>
      <c r="F504" s="61" t="n">
        <v>45967.3020833333</v>
      </c>
      <c r="G504" s="62" t="n">
        <v>0.0298611111138598</v>
      </c>
      <c r="H504" s="13" t="s">
        <v>248</v>
      </c>
      <c r="J504" s="13" t="s">
        <v>256</v>
      </c>
      <c r="K504" s="13" t="s">
        <v>430</v>
      </c>
      <c r="L504" s="13" t="s">
        <v>1533</v>
      </c>
      <c r="M504" s="66" t="s">
        <v>258</v>
      </c>
      <c r="N504" s="66" t="s">
        <v>379</v>
      </c>
      <c r="O504" s="66" t="s">
        <v>399</v>
      </c>
      <c r="P504" s="0" t="s">
        <v>1549</v>
      </c>
      <c r="Q504" s="66" t="s">
        <v>995</v>
      </c>
    </row>
    <row r="505" customFormat="false" ht="14.25" hidden="false" customHeight="false" outlineLevel="0" collapsed="false">
      <c r="A505" s="13" t="s">
        <v>828</v>
      </c>
      <c r="B505" s="13" t="s">
        <v>542</v>
      </c>
      <c r="C505" s="13" t="s">
        <v>560</v>
      </c>
      <c r="D505" s="61" t="n">
        <v>45967.2722222222</v>
      </c>
      <c r="E505" s="61" t="n">
        <v>45967.2722222222</v>
      </c>
      <c r="F505" s="61" t="n">
        <v>45967.3020833333</v>
      </c>
      <c r="G505" s="62" t="n">
        <v>0.0298611111138598</v>
      </c>
      <c r="H505" s="13" t="s">
        <v>248</v>
      </c>
      <c r="J505" s="13" t="s">
        <v>256</v>
      </c>
      <c r="K505" s="13" t="s">
        <v>430</v>
      </c>
      <c r="L505" s="13" t="s">
        <v>1533</v>
      </c>
      <c r="M505" s="66" t="s">
        <v>258</v>
      </c>
      <c r="N505" s="66" t="s">
        <v>379</v>
      </c>
      <c r="O505" s="66" t="s">
        <v>399</v>
      </c>
      <c r="P505" s="0" t="s">
        <v>1550</v>
      </c>
      <c r="Q505" s="66" t="s">
        <v>995</v>
      </c>
    </row>
    <row r="506" customFormat="false" ht="14.25" hidden="false" customHeight="false" outlineLevel="0" collapsed="false">
      <c r="A506" s="13" t="s">
        <v>828</v>
      </c>
      <c r="B506" s="13" t="s">
        <v>542</v>
      </c>
      <c r="C506" s="13" t="s">
        <v>561</v>
      </c>
      <c r="D506" s="61" t="n">
        <v>45967.2722222222</v>
      </c>
      <c r="E506" s="61" t="n">
        <v>45967.2722222222</v>
      </c>
      <c r="F506" s="61" t="n">
        <v>45967.3020833333</v>
      </c>
      <c r="G506" s="62" t="n">
        <v>0.0298611111138598</v>
      </c>
      <c r="H506" s="13" t="s">
        <v>248</v>
      </c>
      <c r="J506" s="13" t="s">
        <v>256</v>
      </c>
      <c r="K506" s="13" t="s">
        <v>430</v>
      </c>
      <c r="L506" s="13" t="s">
        <v>1533</v>
      </c>
      <c r="M506" s="66" t="s">
        <v>258</v>
      </c>
      <c r="N506" s="66" t="s">
        <v>379</v>
      </c>
      <c r="O506" s="66" t="s">
        <v>399</v>
      </c>
      <c r="P506" s="0" t="s">
        <v>1551</v>
      </c>
      <c r="Q506" s="66" t="s">
        <v>995</v>
      </c>
    </row>
    <row r="507" customFormat="false" ht="14.25" hidden="false" customHeight="false" outlineLevel="0" collapsed="false">
      <c r="A507" s="13" t="s">
        <v>828</v>
      </c>
      <c r="B507" s="13" t="s">
        <v>542</v>
      </c>
      <c r="C507" s="13" t="s">
        <v>562</v>
      </c>
      <c r="D507" s="61" t="n">
        <v>45967.2722222222</v>
      </c>
      <c r="E507" s="61" t="n">
        <v>45967.2722222222</v>
      </c>
      <c r="F507" s="61" t="n">
        <v>45967.3020833333</v>
      </c>
      <c r="G507" s="62" t="n">
        <v>0.0298611111138598</v>
      </c>
      <c r="H507" s="13" t="s">
        <v>248</v>
      </c>
      <c r="J507" s="13" t="s">
        <v>256</v>
      </c>
      <c r="K507" s="13" t="s">
        <v>430</v>
      </c>
      <c r="L507" s="13" t="s">
        <v>1533</v>
      </c>
      <c r="M507" s="66" t="s">
        <v>258</v>
      </c>
      <c r="N507" s="66" t="s">
        <v>379</v>
      </c>
      <c r="O507" s="66" t="s">
        <v>399</v>
      </c>
      <c r="P507" s="0" t="s">
        <v>1552</v>
      </c>
      <c r="Q507" s="66" t="s">
        <v>995</v>
      </c>
    </row>
    <row r="508" customFormat="false" ht="14.25" hidden="false" customHeight="false" outlineLevel="0" collapsed="false">
      <c r="A508" s="13" t="s">
        <v>828</v>
      </c>
      <c r="B508" s="13" t="s">
        <v>542</v>
      </c>
      <c r="C508" s="13" t="s">
        <v>563</v>
      </c>
      <c r="D508" s="61" t="n">
        <v>45967.2722222222</v>
      </c>
      <c r="E508" s="61" t="n">
        <v>45967.2722222222</v>
      </c>
      <c r="F508" s="61" t="n">
        <v>45967.3020833333</v>
      </c>
      <c r="G508" s="62" t="n">
        <v>0.0298611111138598</v>
      </c>
      <c r="H508" s="13" t="s">
        <v>248</v>
      </c>
      <c r="J508" s="13" t="s">
        <v>256</v>
      </c>
      <c r="K508" s="13" t="s">
        <v>430</v>
      </c>
      <c r="L508" s="13" t="s">
        <v>1533</v>
      </c>
      <c r="M508" s="66" t="s">
        <v>258</v>
      </c>
      <c r="N508" s="66" t="s">
        <v>379</v>
      </c>
      <c r="O508" s="66" t="s">
        <v>399</v>
      </c>
      <c r="P508" s="0" t="s">
        <v>1553</v>
      </c>
      <c r="Q508" s="66" t="s">
        <v>995</v>
      </c>
    </row>
    <row r="509" customFormat="false" ht="14.25" hidden="false" customHeight="false" outlineLevel="0" collapsed="false">
      <c r="A509" s="13" t="s">
        <v>829</v>
      </c>
      <c r="B509" s="13" t="s">
        <v>542</v>
      </c>
      <c r="C509" s="13" t="s">
        <v>564</v>
      </c>
      <c r="D509" s="61" t="n">
        <v>45967.2722222222</v>
      </c>
      <c r="E509" s="61" t="n">
        <v>45967.2722222222</v>
      </c>
      <c r="F509" s="61" t="n">
        <v>45967.3020833333</v>
      </c>
      <c r="G509" s="62" t="n">
        <v>0.0298611111138598</v>
      </c>
      <c r="H509" s="13" t="s">
        <v>248</v>
      </c>
      <c r="J509" s="13" t="s">
        <v>256</v>
      </c>
      <c r="K509" s="13" t="s">
        <v>430</v>
      </c>
      <c r="L509" s="13" t="s">
        <v>1533</v>
      </c>
      <c r="M509" s="66" t="s">
        <v>258</v>
      </c>
      <c r="N509" s="66" t="s">
        <v>379</v>
      </c>
      <c r="O509" s="66" t="s">
        <v>399</v>
      </c>
      <c r="P509" s="0" t="s">
        <v>1554</v>
      </c>
      <c r="Q509" s="66" t="s">
        <v>995</v>
      </c>
    </row>
    <row r="510" customFormat="false" ht="14.25" hidden="false" customHeight="false" outlineLevel="0" collapsed="false">
      <c r="A510" s="13" t="s">
        <v>829</v>
      </c>
      <c r="B510" s="13" t="s">
        <v>542</v>
      </c>
      <c r="C510" s="13" t="s">
        <v>565</v>
      </c>
      <c r="D510" s="61" t="n">
        <v>45967.2722222222</v>
      </c>
      <c r="E510" s="61" t="n">
        <v>45967.2722222222</v>
      </c>
      <c r="F510" s="61" t="n">
        <v>45967.3020833333</v>
      </c>
      <c r="G510" s="62" t="n">
        <v>0.0298611111138598</v>
      </c>
      <c r="H510" s="13" t="s">
        <v>248</v>
      </c>
      <c r="J510" s="13" t="s">
        <v>256</v>
      </c>
      <c r="K510" s="13" t="s">
        <v>430</v>
      </c>
      <c r="L510" s="13" t="s">
        <v>1533</v>
      </c>
      <c r="M510" s="66" t="s">
        <v>258</v>
      </c>
      <c r="N510" s="66" t="s">
        <v>379</v>
      </c>
      <c r="O510" s="66" t="s">
        <v>399</v>
      </c>
      <c r="P510" s="0" t="s">
        <v>1555</v>
      </c>
      <c r="Q510" s="66" t="s">
        <v>995</v>
      </c>
    </row>
    <row r="511" customFormat="false" ht="14.25" hidden="false" customHeight="false" outlineLevel="0" collapsed="false">
      <c r="A511" s="13" t="s">
        <v>829</v>
      </c>
      <c r="B511" s="13" t="s">
        <v>542</v>
      </c>
      <c r="C511" s="13" t="s">
        <v>566</v>
      </c>
      <c r="D511" s="61" t="n">
        <v>45967.2722222222</v>
      </c>
      <c r="E511" s="61" t="n">
        <v>45967.2722222222</v>
      </c>
      <c r="F511" s="61" t="n">
        <v>45967.3020833333</v>
      </c>
      <c r="G511" s="62" t="n">
        <v>0.0298611111138598</v>
      </c>
      <c r="H511" s="13" t="s">
        <v>248</v>
      </c>
      <c r="J511" s="13" t="s">
        <v>256</v>
      </c>
      <c r="K511" s="13" t="s">
        <v>430</v>
      </c>
      <c r="L511" s="13" t="s">
        <v>1533</v>
      </c>
      <c r="M511" s="66" t="s">
        <v>258</v>
      </c>
      <c r="N511" s="66" t="s">
        <v>379</v>
      </c>
      <c r="O511" s="66" t="s">
        <v>399</v>
      </c>
      <c r="P511" s="0" t="s">
        <v>1556</v>
      </c>
      <c r="Q511" s="66" t="s">
        <v>995</v>
      </c>
    </row>
    <row r="512" customFormat="false" ht="14.25" hidden="false" customHeight="false" outlineLevel="0" collapsed="false">
      <c r="A512" s="13" t="s">
        <v>829</v>
      </c>
      <c r="B512" s="13" t="s">
        <v>542</v>
      </c>
      <c r="C512" s="13" t="s">
        <v>567</v>
      </c>
      <c r="D512" s="61" t="n">
        <v>45967.2722222222</v>
      </c>
      <c r="E512" s="61" t="n">
        <v>45967.2722222222</v>
      </c>
      <c r="F512" s="61" t="n">
        <v>45967.3020833333</v>
      </c>
      <c r="G512" s="62" t="n">
        <v>0.0298611111138598</v>
      </c>
      <c r="H512" s="13" t="s">
        <v>248</v>
      </c>
      <c r="J512" s="13" t="s">
        <v>256</v>
      </c>
      <c r="K512" s="13" t="s">
        <v>430</v>
      </c>
      <c r="L512" s="13" t="s">
        <v>1533</v>
      </c>
      <c r="M512" s="66" t="s">
        <v>258</v>
      </c>
      <c r="N512" s="66" t="s">
        <v>379</v>
      </c>
      <c r="O512" s="66" t="s">
        <v>399</v>
      </c>
      <c r="P512" s="0" t="s">
        <v>1557</v>
      </c>
      <c r="Q512" s="66" t="s">
        <v>995</v>
      </c>
    </row>
    <row r="513" customFormat="false" ht="14.25" hidden="false" customHeight="false" outlineLevel="0" collapsed="false">
      <c r="A513" s="13" t="s">
        <v>830</v>
      </c>
      <c r="B513" s="13" t="s">
        <v>542</v>
      </c>
      <c r="C513" s="13" t="s">
        <v>568</v>
      </c>
      <c r="D513" s="61" t="n">
        <v>45967.2722222222</v>
      </c>
      <c r="E513" s="61" t="n">
        <v>45967.2722222222</v>
      </c>
      <c r="F513" s="61" t="n">
        <v>45967.3020833333</v>
      </c>
      <c r="G513" s="62" t="n">
        <v>0.0298611111138598</v>
      </c>
      <c r="H513" s="13" t="s">
        <v>248</v>
      </c>
      <c r="J513" s="13" t="s">
        <v>256</v>
      </c>
      <c r="K513" s="13" t="s">
        <v>430</v>
      </c>
      <c r="L513" s="13" t="s">
        <v>1533</v>
      </c>
      <c r="M513" s="66" t="s">
        <v>258</v>
      </c>
      <c r="N513" s="66" t="s">
        <v>379</v>
      </c>
      <c r="O513" s="66" t="s">
        <v>399</v>
      </c>
      <c r="P513" s="0" t="s">
        <v>1558</v>
      </c>
      <c r="Q513" s="66" t="s">
        <v>995</v>
      </c>
    </row>
    <row r="514" customFormat="false" ht="14.25" hidden="false" customHeight="false" outlineLevel="0" collapsed="false">
      <c r="A514" s="13" t="s">
        <v>830</v>
      </c>
      <c r="B514" s="13" t="s">
        <v>542</v>
      </c>
      <c r="C514" s="13" t="s">
        <v>569</v>
      </c>
      <c r="D514" s="61" t="n">
        <v>45967.2722222222</v>
      </c>
      <c r="E514" s="61" t="n">
        <v>45967.2722222222</v>
      </c>
      <c r="F514" s="61" t="n">
        <v>45967.3020833333</v>
      </c>
      <c r="G514" s="62" t="n">
        <v>0.0298611111138598</v>
      </c>
      <c r="H514" s="13" t="s">
        <v>248</v>
      </c>
      <c r="J514" s="13" t="s">
        <v>256</v>
      </c>
      <c r="K514" s="13" t="s">
        <v>430</v>
      </c>
      <c r="L514" s="13" t="s">
        <v>1533</v>
      </c>
      <c r="M514" s="66" t="s">
        <v>258</v>
      </c>
      <c r="N514" s="66" t="s">
        <v>379</v>
      </c>
      <c r="O514" s="66" t="s">
        <v>399</v>
      </c>
      <c r="P514" s="0" t="s">
        <v>1559</v>
      </c>
      <c r="Q514" s="66" t="s">
        <v>995</v>
      </c>
    </row>
    <row r="515" customFormat="false" ht="14.25" hidden="false" customHeight="false" outlineLevel="0" collapsed="false">
      <c r="A515" s="13" t="s">
        <v>830</v>
      </c>
      <c r="B515" s="13" t="s">
        <v>542</v>
      </c>
      <c r="C515" s="13" t="s">
        <v>570</v>
      </c>
      <c r="D515" s="61" t="n">
        <v>45967.2722222222</v>
      </c>
      <c r="E515" s="61" t="n">
        <v>45967.2722222222</v>
      </c>
      <c r="F515" s="61" t="n">
        <v>45967.3020833333</v>
      </c>
      <c r="G515" s="62" t="n">
        <v>0.0298611111138598</v>
      </c>
      <c r="H515" s="13" t="s">
        <v>248</v>
      </c>
      <c r="J515" s="13" t="s">
        <v>256</v>
      </c>
      <c r="K515" s="13" t="s">
        <v>430</v>
      </c>
      <c r="L515" s="13" t="s">
        <v>1533</v>
      </c>
      <c r="M515" s="66" t="s">
        <v>258</v>
      </c>
      <c r="N515" s="66" t="s">
        <v>379</v>
      </c>
      <c r="O515" s="66" t="s">
        <v>399</v>
      </c>
      <c r="P515" s="0" t="s">
        <v>1560</v>
      </c>
      <c r="Q515" s="66" t="s">
        <v>995</v>
      </c>
    </row>
    <row r="516" customFormat="false" ht="14.25" hidden="false" customHeight="false" outlineLevel="0" collapsed="false">
      <c r="A516" s="13" t="s">
        <v>830</v>
      </c>
      <c r="B516" s="13" t="s">
        <v>542</v>
      </c>
      <c r="C516" s="13" t="s">
        <v>571</v>
      </c>
      <c r="D516" s="61" t="n">
        <v>45967.2722222222</v>
      </c>
      <c r="E516" s="61" t="n">
        <v>45967.2722222222</v>
      </c>
      <c r="F516" s="61" t="n">
        <v>45967.3020833333</v>
      </c>
      <c r="G516" s="62" t="n">
        <v>0.0298611111138598</v>
      </c>
      <c r="H516" s="13" t="s">
        <v>248</v>
      </c>
      <c r="J516" s="13" t="s">
        <v>256</v>
      </c>
      <c r="K516" s="13" t="s">
        <v>430</v>
      </c>
      <c r="L516" s="13" t="s">
        <v>1533</v>
      </c>
      <c r="M516" s="66" t="s">
        <v>258</v>
      </c>
      <c r="N516" s="66" t="s">
        <v>379</v>
      </c>
      <c r="O516" s="66" t="s">
        <v>399</v>
      </c>
      <c r="P516" s="0" t="s">
        <v>1561</v>
      </c>
      <c r="Q516" s="66" t="s">
        <v>995</v>
      </c>
    </row>
    <row r="517" customFormat="false" ht="14.25" hidden="false" customHeight="false" outlineLevel="0" collapsed="false">
      <c r="A517" s="13" t="s">
        <v>830</v>
      </c>
      <c r="B517" s="13" t="s">
        <v>542</v>
      </c>
      <c r="C517" s="13" t="s">
        <v>572</v>
      </c>
      <c r="D517" s="61" t="n">
        <v>45967.2722222222</v>
      </c>
      <c r="E517" s="61" t="n">
        <v>45967.2722222222</v>
      </c>
      <c r="F517" s="61" t="n">
        <v>45967.3020833333</v>
      </c>
      <c r="G517" s="62" t="n">
        <v>0.0298611111138598</v>
      </c>
      <c r="H517" s="13" t="s">
        <v>248</v>
      </c>
      <c r="J517" s="13" t="s">
        <v>256</v>
      </c>
      <c r="K517" s="13" t="s">
        <v>430</v>
      </c>
      <c r="L517" s="13" t="s">
        <v>1533</v>
      </c>
      <c r="M517" s="66" t="s">
        <v>258</v>
      </c>
      <c r="N517" s="66" t="s">
        <v>379</v>
      </c>
      <c r="O517" s="66" t="s">
        <v>399</v>
      </c>
      <c r="P517" s="0" t="s">
        <v>1562</v>
      </c>
      <c r="Q517" s="66" t="s">
        <v>995</v>
      </c>
    </row>
    <row r="518" customFormat="false" ht="14.25" hidden="false" customHeight="false" outlineLevel="0" collapsed="false">
      <c r="A518" s="13" t="s">
        <v>878</v>
      </c>
      <c r="B518" s="13" t="s">
        <v>504</v>
      </c>
      <c r="C518" s="13" t="s">
        <v>1563</v>
      </c>
      <c r="D518" s="61" t="n">
        <v>45967.2985416667</v>
      </c>
      <c r="E518" s="61" t="n">
        <v>45967.2985416667</v>
      </c>
      <c r="F518" s="61" t="n">
        <v>45967.3229166667</v>
      </c>
      <c r="G518" s="62" t="n">
        <v>0.0243750000008731</v>
      </c>
      <c r="H518" s="13" t="s">
        <v>248</v>
      </c>
      <c r="J518" s="13" t="s">
        <v>249</v>
      </c>
      <c r="K518" s="13" t="s">
        <v>439</v>
      </c>
      <c r="L518" s="13" t="s">
        <v>1251</v>
      </c>
      <c r="M518" s="66" t="s">
        <v>251</v>
      </c>
      <c r="N518" s="66" t="s">
        <v>625</v>
      </c>
      <c r="P518" s="0" t="s">
        <v>1564</v>
      </c>
      <c r="Q518" s="66" t="s">
        <v>1253</v>
      </c>
    </row>
    <row r="519" customFormat="false" ht="14.25" hidden="false" customHeight="false" outlineLevel="0" collapsed="false">
      <c r="A519" s="13" t="s">
        <v>878</v>
      </c>
      <c r="B519" s="13" t="s">
        <v>504</v>
      </c>
      <c r="C519" s="13" t="s">
        <v>1565</v>
      </c>
      <c r="D519" s="61" t="n">
        <v>45967.2985416667</v>
      </c>
      <c r="E519" s="61" t="n">
        <v>45967.2985416667</v>
      </c>
      <c r="F519" s="61" t="n">
        <v>45967.3229166667</v>
      </c>
      <c r="G519" s="62" t="n">
        <v>0.0243750000008731</v>
      </c>
      <c r="H519" s="13" t="s">
        <v>248</v>
      </c>
      <c r="J519" s="13" t="s">
        <v>249</v>
      </c>
      <c r="K519" s="13" t="s">
        <v>439</v>
      </c>
      <c r="L519" s="13" t="s">
        <v>1251</v>
      </c>
      <c r="M519" s="66" t="s">
        <v>251</v>
      </c>
      <c r="N519" s="66" t="s">
        <v>625</v>
      </c>
      <c r="P519" s="0" t="s">
        <v>1566</v>
      </c>
      <c r="Q519" s="66" t="s">
        <v>1253</v>
      </c>
    </row>
    <row r="520" customFormat="false" ht="14.25" hidden="false" customHeight="false" outlineLevel="0" collapsed="false">
      <c r="A520" s="13" t="s">
        <v>878</v>
      </c>
      <c r="B520" s="13" t="s">
        <v>504</v>
      </c>
      <c r="C520" s="13" t="s">
        <v>1250</v>
      </c>
      <c r="D520" s="61" t="n">
        <v>45967.2985416667</v>
      </c>
      <c r="E520" s="61" t="n">
        <v>45967.2985416667</v>
      </c>
      <c r="F520" s="61" t="n">
        <v>45967.2986689815</v>
      </c>
      <c r="G520" s="62" t="n">
        <v>0.000127314815472346</v>
      </c>
      <c r="H520" s="13" t="s">
        <v>248</v>
      </c>
      <c r="J520" s="13" t="s">
        <v>249</v>
      </c>
      <c r="K520" s="13" t="s">
        <v>439</v>
      </c>
      <c r="L520" s="13" t="s">
        <v>1251</v>
      </c>
      <c r="M520" s="66" t="s">
        <v>251</v>
      </c>
      <c r="N520" s="66" t="s">
        <v>625</v>
      </c>
      <c r="P520" s="0" t="s">
        <v>1567</v>
      </c>
      <c r="Q520" s="66" t="s">
        <v>1253</v>
      </c>
    </row>
    <row r="521" customFormat="false" ht="14.25" hidden="false" customHeight="false" outlineLevel="0" collapsed="false">
      <c r="A521" s="13" t="s">
        <v>878</v>
      </c>
      <c r="B521" s="13" t="s">
        <v>504</v>
      </c>
      <c r="C521" s="13" t="s">
        <v>519</v>
      </c>
      <c r="D521" s="61" t="n">
        <v>45967.2985416667</v>
      </c>
      <c r="E521" s="61" t="n">
        <v>45967.2985416667</v>
      </c>
      <c r="F521" s="61" t="n">
        <v>45967.3229166667</v>
      </c>
      <c r="G521" s="62" t="n">
        <v>0.0243750000008731</v>
      </c>
      <c r="H521" s="13" t="s">
        <v>248</v>
      </c>
      <c r="J521" s="13" t="s">
        <v>249</v>
      </c>
      <c r="K521" s="13" t="s">
        <v>439</v>
      </c>
      <c r="L521" s="13" t="s">
        <v>1251</v>
      </c>
      <c r="M521" s="66" t="s">
        <v>251</v>
      </c>
      <c r="N521" s="66" t="s">
        <v>625</v>
      </c>
      <c r="P521" s="0" t="s">
        <v>1568</v>
      </c>
      <c r="Q521" s="66" t="s">
        <v>1253</v>
      </c>
    </row>
    <row r="522" customFormat="false" ht="14.25" hidden="false" customHeight="false" outlineLevel="0" collapsed="false">
      <c r="A522" s="13" t="s">
        <v>578</v>
      </c>
      <c r="B522" s="13" t="s">
        <v>578</v>
      </c>
      <c r="C522" s="13" t="s">
        <v>396</v>
      </c>
      <c r="D522" s="61" t="n">
        <v>45967.3368055556</v>
      </c>
      <c r="E522" s="61" t="n">
        <v>45967.3368055556</v>
      </c>
      <c r="F522" s="61" t="n">
        <v>45967.4520833333</v>
      </c>
      <c r="G522" s="62" t="n">
        <v>0.115277777775191</v>
      </c>
      <c r="H522" s="13" t="s">
        <v>313</v>
      </c>
      <c r="J522" s="13" t="s">
        <v>230</v>
      </c>
      <c r="K522" s="13" t="s">
        <v>230</v>
      </c>
      <c r="L522" s="13" t="s">
        <v>1569</v>
      </c>
      <c r="M522" s="66" t="s">
        <v>288</v>
      </c>
      <c r="N522" s="66" t="s">
        <v>315</v>
      </c>
      <c r="O522" s="66" t="s">
        <v>1570</v>
      </c>
      <c r="P522" s="0" t="s">
        <v>1571</v>
      </c>
      <c r="Q522" s="66" t="s">
        <v>1393</v>
      </c>
    </row>
    <row r="523" customFormat="false" ht="14.25" hidden="false" customHeight="false" outlineLevel="0" collapsed="false">
      <c r="A523" s="13" t="s">
        <v>578</v>
      </c>
      <c r="B523" s="13" t="s">
        <v>578</v>
      </c>
      <c r="C523" s="13" t="s">
        <v>397</v>
      </c>
      <c r="D523" s="61" t="n">
        <v>45967.3368055556</v>
      </c>
      <c r="E523" s="61" t="n">
        <v>45967.3368055556</v>
      </c>
      <c r="F523" s="61" t="n">
        <v>45967.4520833333</v>
      </c>
      <c r="G523" s="62" t="n">
        <v>0.115277777775191</v>
      </c>
      <c r="H523" s="13" t="s">
        <v>313</v>
      </c>
      <c r="J523" s="13" t="s">
        <v>230</v>
      </c>
      <c r="K523" s="13" t="s">
        <v>230</v>
      </c>
      <c r="L523" s="13" t="s">
        <v>1569</v>
      </c>
      <c r="M523" s="66" t="s">
        <v>288</v>
      </c>
      <c r="N523" s="66" t="s">
        <v>315</v>
      </c>
      <c r="O523" s="66" t="s">
        <v>1570</v>
      </c>
      <c r="P523" s="0" t="s">
        <v>1572</v>
      </c>
      <c r="Q523" s="66" t="s">
        <v>1393</v>
      </c>
    </row>
    <row r="524" customFormat="false" ht="14.25" hidden="false" customHeight="false" outlineLevel="0" collapsed="false">
      <c r="A524" s="13" t="s">
        <v>578</v>
      </c>
      <c r="B524" s="13" t="s">
        <v>578</v>
      </c>
      <c r="C524" s="13" t="s">
        <v>394</v>
      </c>
      <c r="D524" s="61" t="n">
        <v>45967.3368055556</v>
      </c>
      <c r="E524" s="61" t="n">
        <v>45967.3368055556</v>
      </c>
      <c r="F524" s="61" t="n">
        <v>45967.4520833333</v>
      </c>
      <c r="G524" s="62" t="n">
        <v>0.115277777775191</v>
      </c>
      <c r="H524" s="13" t="s">
        <v>313</v>
      </c>
      <c r="J524" s="13" t="s">
        <v>230</v>
      </c>
      <c r="K524" s="13" t="s">
        <v>230</v>
      </c>
      <c r="L524" s="13" t="s">
        <v>1569</v>
      </c>
      <c r="M524" s="66" t="s">
        <v>288</v>
      </c>
      <c r="N524" s="66" t="s">
        <v>315</v>
      </c>
      <c r="O524" s="66" t="s">
        <v>1570</v>
      </c>
      <c r="P524" s="0" t="s">
        <v>1573</v>
      </c>
      <c r="Q524" s="66" t="s">
        <v>1393</v>
      </c>
    </row>
    <row r="525" customFormat="false" ht="14.25" hidden="false" customHeight="false" outlineLevel="0" collapsed="false">
      <c r="A525" s="13" t="s">
        <v>578</v>
      </c>
      <c r="B525" s="13" t="s">
        <v>578</v>
      </c>
      <c r="C525" s="13" t="s">
        <v>395</v>
      </c>
      <c r="D525" s="61" t="n">
        <v>45967.3368055556</v>
      </c>
      <c r="E525" s="61" t="n">
        <v>45967.3368055556</v>
      </c>
      <c r="F525" s="61" t="n">
        <v>45967.4520833333</v>
      </c>
      <c r="G525" s="62" t="n">
        <v>0.115277777775191</v>
      </c>
      <c r="H525" s="13" t="s">
        <v>313</v>
      </c>
      <c r="J525" s="13" t="s">
        <v>230</v>
      </c>
      <c r="K525" s="13" t="s">
        <v>230</v>
      </c>
      <c r="L525" s="13" t="s">
        <v>1569</v>
      </c>
      <c r="M525" s="66" t="s">
        <v>288</v>
      </c>
      <c r="N525" s="66" t="s">
        <v>315</v>
      </c>
      <c r="O525" s="66" t="s">
        <v>1570</v>
      </c>
      <c r="P525" s="0" t="s">
        <v>1574</v>
      </c>
      <c r="Q525" s="66" t="s">
        <v>1393</v>
      </c>
    </row>
    <row r="526" customFormat="false" ht="14.25" hidden="false" customHeight="false" outlineLevel="0" collapsed="false">
      <c r="A526" s="13" t="s">
        <v>578</v>
      </c>
      <c r="B526" s="13" t="s">
        <v>578</v>
      </c>
      <c r="C526" s="13" t="s">
        <v>391</v>
      </c>
      <c r="D526" s="61" t="n">
        <v>45967.3368055556</v>
      </c>
      <c r="E526" s="61" t="n">
        <v>45967.3368055556</v>
      </c>
      <c r="F526" s="61" t="n">
        <v>45967.4520833333</v>
      </c>
      <c r="G526" s="62" t="n">
        <v>0.115277777775191</v>
      </c>
      <c r="H526" s="13" t="s">
        <v>313</v>
      </c>
      <c r="J526" s="13" t="s">
        <v>230</v>
      </c>
      <c r="K526" s="13" t="s">
        <v>230</v>
      </c>
      <c r="L526" s="13" t="s">
        <v>1569</v>
      </c>
      <c r="M526" s="66" t="s">
        <v>288</v>
      </c>
      <c r="N526" s="66" t="s">
        <v>315</v>
      </c>
      <c r="O526" s="66" t="s">
        <v>1570</v>
      </c>
      <c r="P526" s="0" t="s">
        <v>1575</v>
      </c>
      <c r="Q526" s="66" t="s">
        <v>1393</v>
      </c>
    </row>
    <row r="527" customFormat="false" ht="14.25" hidden="false" customHeight="false" outlineLevel="0" collapsed="false">
      <c r="A527" s="13" t="s">
        <v>814</v>
      </c>
      <c r="B527" s="13" t="s">
        <v>542</v>
      </c>
      <c r="C527" s="13" t="s">
        <v>543</v>
      </c>
      <c r="D527" s="61" t="n">
        <v>45967.6180555556</v>
      </c>
      <c r="E527" s="61" t="n">
        <v>45967.6180555556</v>
      </c>
      <c r="F527" s="61" t="n">
        <v>45967.65625</v>
      </c>
      <c r="G527" s="62" t="n">
        <v>0.0381944444452529</v>
      </c>
      <c r="H527" s="13" t="s">
        <v>248</v>
      </c>
      <c r="J527" s="13" t="s">
        <v>256</v>
      </c>
      <c r="K527" s="13" t="s">
        <v>430</v>
      </c>
      <c r="L527" s="13" t="s">
        <v>700</v>
      </c>
      <c r="M527" s="66" t="s">
        <v>258</v>
      </c>
      <c r="N527" s="66" t="s">
        <v>379</v>
      </c>
      <c r="O527" s="66" t="s">
        <v>399</v>
      </c>
      <c r="P527" s="0" t="s">
        <v>1576</v>
      </c>
      <c r="Q527" s="66" t="s">
        <v>995</v>
      </c>
    </row>
    <row r="528" customFormat="false" ht="14.25" hidden="false" customHeight="false" outlineLevel="0" collapsed="false">
      <c r="A528" s="13" t="s">
        <v>814</v>
      </c>
      <c r="B528" s="13" t="s">
        <v>542</v>
      </c>
      <c r="C528" s="13" t="s">
        <v>545</v>
      </c>
      <c r="D528" s="61" t="n">
        <v>45967.6180555556</v>
      </c>
      <c r="E528" s="61" t="n">
        <v>45967.6180555556</v>
      </c>
      <c r="F528" s="61" t="n">
        <v>45967.65625</v>
      </c>
      <c r="G528" s="62" t="n">
        <v>0.0381944444452529</v>
      </c>
      <c r="H528" s="13" t="s">
        <v>248</v>
      </c>
      <c r="J528" s="13" t="s">
        <v>256</v>
      </c>
      <c r="K528" s="13" t="s">
        <v>430</v>
      </c>
      <c r="L528" s="13" t="s">
        <v>700</v>
      </c>
      <c r="M528" s="66" t="s">
        <v>258</v>
      </c>
      <c r="N528" s="66" t="s">
        <v>379</v>
      </c>
      <c r="O528" s="66" t="s">
        <v>399</v>
      </c>
      <c r="P528" s="0" t="s">
        <v>1577</v>
      </c>
      <c r="Q528" s="66" t="s">
        <v>995</v>
      </c>
    </row>
    <row r="529" customFormat="false" ht="14.25" hidden="false" customHeight="false" outlineLevel="0" collapsed="false">
      <c r="A529" s="13" t="s">
        <v>814</v>
      </c>
      <c r="B529" s="13" t="s">
        <v>542</v>
      </c>
      <c r="C529" s="13" t="s">
        <v>546</v>
      </c>
      <c r="D529" s="61" t="n">
        <v>45967.6180555556</v>
      </c>
      <c r="E529" s="61" t="n">
        <v>45967.6180555556</v>
      </c>
      <c r="F529" s="61" t="n">
        <v>45967.65625</v>
      </c>
      <c r="G529" s="62" t="n">
        <v>0.0381944444452529</v>
      </c>
      <c r="H529" s="13" t="s">
        <v>248</v>
      </c>
      <c r="J529" s="13" t="s">
        <v>256</v>
      </c>
      <c r="K529" s="13" t="s">
        <v>430</v>
      </c>
      <c r="L529" s="13" t="s">
        <v>700</v>
      </c>
      <c r="M529" s="66" t="s">
        <v>258</v>
      </c>
      <c r="N529" s="66" t="s">
        <v>379</v>
      </c>
      <c r="O529" s="66" t="s">
        <v>399</v>
      </c>
      <c r="P529" s="0" t="s">
        <v>1578</v>
      </c>
      <c r="Q529" s="66" t="s">
        <v>995</v>
      </c>
    </row>
    <row r="530" customFormat="false" ht="14.25" hidden="false" customHeight="false" outlineLevel="0" collapsed="false">
      <c r="A530" s="13" t="s">
        <v>814</v>
      </c>
      <c r="B530" s="13" t="s">
        <v>542</v>
      </c>
      <c r="C530" s="13" t="s">
        <v>547</v>
      </c>
      <c r="D530" s="61" t="n">
        <v>45967.6180555556</v>
      </c>
      <c r="E530" s="61" t="n">
        <v>45967.6180555556</v>
      </c>
      <c r="F530" s="61" t="n">
        <v>45967.65625</v>
      </c>
      <c r="G530" s="62" t="n">
        <v>0.0381944444452529</v>
      </c>
      <c r="H530" s="13" t="s">
        <v>248</v>
      </c>
      <c r="J530" s="13" t="s">
        <v>256</v>
      </c>
      <c r="K530" s="13" t="s">
        <v>430</v>
      </c>
      <c r="L530" s="13" t="s">
        <v>700</v>
      </c>
      <c r="M530" s="66" t="s">
        <v>258</v>
      </c>
      <c r="N530" s="66" t="s">
        <v>379</v>
      </c>
      <c r="O530" s="66" t="s">
        <v>399</v>
      </c>
      <c r="P530" s="0" t="s">
        <v>1579</v>
      </c>
      <c r="Q530" s="66" t="s">
        <v>995</v>
      </c>
    </row>
    <row r="531" customFormat="false" ht="14.25" hidden="false" customHeight="false" outlineLevel="0" collapsed="false">
      <c r="A531" s="13" t="s">
        <v>814</v>
      </c>
      <c r="B531" s="13" t="s">
        <v>542</v>
      </c>
      <c r="C531" s="13" t="s">
        <v>548</v>
      </c>
      <c r="D531" s="61" t="n">
        <v>45967.6180555556</v>
      </c>
      <c r="E531" s="61" t="n">
        <v>45967.6180555556</v>
      </c>
      <c r="F531" s="61" t="n">
        <v>45967.65625</v>
      </c>
      <c r="G531" s="62" t="n">
        <v>0.0381944444452529</v>
      </c>
      <c r="H531" s="13" t="s">
        <v>248</v>
      </c>
      <c r="J531" s="13" t="s">
        <v>256</v>
      </c>
      <c r="K531" s="13" t="s">
        <v>430</v>
      </c>
      <c r="L531" s="13" t="s">
        <v>700</v>
      </c>
      <c r="M531" s="66" t="s">
        <v>258</v>
      </c>
      <c r="N531" s="66" t="s">
        <v>379</v>
      </c>
      <c r="O531" s="66" t="s">
        <v>399</v>
      </c>
      <c r="P531" s="0" t="s">
        <v>1580</v>
      </c>
      <c r="Q531" s="66" t="s">
        <v>995</v>
      </c>
    </row>
    <row r="532" customFormat="false" ht="14.25" hidden="false" customHeight="false" outlineLevel="0" collapsed="false">
      <c r="A532" s="13" t="s">
        <v>814</v>
      </c>
      <c r="B532" s="13" t="s">
        <v>542</v>
      </c>
      <c r="C532" s="13" t="s">
        <v>549</v>
      </c>
      <c r="D532" s="61" t="n">
        <v>45967.6180555556</v>
      </c>
      <c r="E532" s="61" t="n">
        <v>45967.6180555556</v>
      </c>
      <c r="F532" s="61" t="n">
        <v>45967.65625</v>
      </c>
      <c r="G532" s="62" t="n">
        <v>0.0381944444452529</v>
      </c>
      <c r="H532" s="13" t="s">
        <v>248</v>
      </c>
      <c r="J532" s="13" t="s">
        <v>256</v>
      </c>
      <c r="K532" s="13" t="s">
        <v>430</v>
      </c>
      <c r="L532" s="13" t="s">
        <v>700</v>
      </c>
      <c r="M532" s="66" t="s">
        <v>258</v>
      </c>
      <c r="N532" s="66" t="s">
        <v>379</v>
      </c>
      <c r="O532" s="66" t="s">
        <v>399</v>
      </c>
      <c r="P532" s="0" t="s">
        <v>1581</v>
      </c>
      <c r="Q532" s="66" t="s">
        <v>995</v>
      </c>
    </row>
    <row r="533" customFormat="false" ht="14.25" hidden="false" customHeight="false" outlineLevel="0" collapsed="false">
      <c r="A533" s="13" t="s">
        <v>814</v>
      </c>
      <c r="B533" s="13" t="s">
        <v>542</v>
      </c>
      <c r="C533" s="13" t="s">
        <v>550</v>
      </c>
      <c r="D533" s="61" t="n">
        <v>45967.6180555556</v>
      </c>
      <c r="E533" s="61" t="n">
        <v>45967.6180555556</v>
      </c>
      <c r="F533" s="61" t="n">
        <v>45967.65625</v>
      </c>
      <c r="G533" s="62" t="n">
        <v>0.0381944444452529</v>
      </c>
      <c r="H533" s="13" t="s">
        <v>248</v>
      </c>
      <c r="J533" s="13" t="s">
        <v>256</v>
      </c>
      <c r="K533" s="13" t="s">
        <v>430</v>
      </c>
      <c r="L533" s="13" t="s">
        <v>700</v>
      </c>
      <c r="M533" s="66" t="s">
        <v>258</v>
      </c>
      <c r="N533" s="66" t="s">
        <v>379</v>
      </c>
      <c r="O533" s="66" t="s">
        <v>399</v>
      </c>
      <c r="P533" s="0" t="s">
        <v>1582</v>
      </c>
      <c r="Q533" s="66" t="s">
        <v>995</v>
      </c>
    </row>
    <row r="534" customFormat="false" ht="14.25" hidden="false" customHeight="false" outlineLevel="0" collapsed="false">
      <c r="A534" s="13" t="s">
        <v>814</v>
      </c>
      <c r="B534" s="13" t="s">
        <v>542</v>
      </c>
      <c r="C534" s="13" t="s">
        <v>551</v>
      </c>
      <c r="D534" s="61" t="n">
        <v>45967.6180555556</v>
      </c>
      <c r="E534" s="61" t="n">
        <v>45967.6180555556</v>
      </c>
      <c r="F534" s="61" t="n">
        <v>45967.65625</v>
      </c>
      <c r="G534" s="62" t="n">
        <v>0.0381944444452529</v>
      </c>
      <c r="H534" s="13" t="s">
        <v>248</v>
      </c>
      <c r="J534" s="13" t="s">
        <v>256</v>
      </c>
      <c r="K534" s="13" t="s">
        <v>430</v>
      </c>
      <c r="L534" s="13" t="s">
        <v>700</v>
      </c>
      <c r="M534" s="66" t="s">
        <v>258</v>
      </c>
      <c r="N534" s="66" t="s">
        <v>379</v>
      </c>
      <c r="O534" s="66" t="s">
        <v>399</v>
      </c>
      <c r="P534" s="0" t="s">
        <v>1583</v>
      </c>
      <c r="Q534" s="66" t="s">
        <v>995</v>
      </c>
    </row>
    <row r="535" customFormat="false" ht="14.25" hidden="false" customHeight="false" outlineLevel="0" collapsed="false">
      <c r="A535" s="13" t="s">
        <v>815</v>
      </c>
      <c r="B535" s="13" t="s">
        <v>542</v>
      </c>
      <c r="C535" s="13" t="s">
        <v>552</v>
      </c>
      <c r="D535" s="61" t="n">
        <v>45967.6180555556</v>
      </c>
      <c r="E535" s="61" t="n">
        <v>45967.6180555556</v>
      </c>
      <c r="F535" s="61" t="n">
        <v>45967.65625</v>
      </c>
      <c r="G535" s="62" t="n">
        <v>0.0381944444452529</v>
      </c>
      <c r="H535" s="13" t="s">
        <v>248</v>
      </c>
      <c r="J535" s="13" t="s">
        <v>256</v>
      </c>
      <c r="K535" s="13" t="s">
        <v>430</v>
      </c>
      <c r="L535" s="13" t="s">
        <v>700</v>
      </c>
      <c r="M535" s="66" t="s">
        <v>258</v>
      </c>
      <c r="N535" s="66" t="s">
        <v>379</v>
      </c>
      <c r="O535" s="66" t="s">
        <v>399</v>
      </c>
      <c r="P535" s="0" t="s">
        <v>1584</v>
      </c>
      <c r="Q535" s="66" t="s">
        <v>995</v>
      </c>
    </row>
    <row r="536" customFormat="false" ht="14.25" hidden="false" customHeight="false" outlineLevel="0" collapsed="false">
      <c r="A536" s="13" t="s">
        <v>815</v>
      </c>
      <c r="B536" s="13" t="s">
        <v>542</v>
      </c>
      <c r="C536" s="13" t="s">
        <v>553</v>
      </c>
      <c r="D536" s="61" t="n">
        <v>45967.6180555556</v>
      </c>
      <c r="E536" s="61" t="n">
        <v>45967.6180555556</v>
      </c>
      <c r="F536" s="61" t="n">
        <v>45967.65625</v>
      </c>
      <c r="G536" s="62" t="n">
        <v>0.0381944444452529</v>
      </c>
      <c r="H536" s="13" t="s">
        <v>248</v>
      </c>
      <c r="J536" s="13" t="s">
        <v>256</v>
      </c>
      <c r="K536" s="13" t="s">
        <v>430</v>
      </c>
      <c r="L536" s="13" t="s">
        <v>700</v>
      </c>
      <c r="M536" s="66" t="s">
        <v>258</v>
      </c>
      <c r="N536" s="66" t="s">
        <v>379</v>
      </c>
      <c r="O536" s="66" t="s">
        <v>399</v>
      </c>
      <c r="P536" s="0" t="s">
        <v>1585</v>
      </c>
      <c r="Q536" s="66" t="s">
        <v>995</v>
      </c>
    </row>
    <row r="537" customFormat="false" ht="14.25" hidden="false" customHeight="false" outlineLevel="0" collapsed="false">
      <c r="A537" s="13" t="s">
        <v>815</v>
      </c>
      <c r="B537" s="13" t="s">
        <v>542</v>
      </c>
      <c r="C537" s="13" t="s">
        <v>554</v>
      </c>
      <c r="D537" s="61" t="n">
        <v>45967.6180555556</v>
      </c>
      <c r="E537" s="61" t="n">
        <v>45967.6180555556</v>
      </c>
      <c r="F537" s="61" t="n">
        <v>45967.65625</v>
      </c>
      <c r="G537" s="62" t="n">
        <v>0.0381944444452529</v>
      </c>
      <c r="H537" s="13" t="s">
        <v>248</v>
      </c>
      <c r="J537" s="13" t="s">
        <v>256</v>
      </c>
      <c r="K537" s="13" t="s">
        <v>430</v>
      </c>
      <c r="L537" s="13" t="s">
        <v>700</v>
      </c>
      <c r="M537" s="66" t="s">
        <v>258</v>
      </c>
      <c r="N537" s="66" t="s">
        <v>379</v>
      </c>
      <c r="O537" s="66" t="s">
        <v>399</v>
      </c>
      <c r="P537" s="0" t="s">
        <v>1586</v>
      </c>
      <c r="Q537" s="66" t="s">
        <v>995</v>
      </c>
    </row>
    <row r="538" customFormat="false" ht="14.25" hidden="false" customHeight="false" outlineLevel="0" collapsed="false">
      <c r="A538" s="13" t="s">
        <v>815</v>
      </c>
      <c r="B538" s="13" t="s">
        <v>542</v>
      </c>
      <c r="C538" s="13" t="s">
        <v>555</v>
      </c>
      <c r="D538" s="61" t="n">
        <v>45967.6180555556</v>
      </c>
      <c r="E538" s="61" t="n">
        <v>45967.6180555556</v>
      </c>
      <c r="F538" s="61" t="n">
        <v>45967.65625</v>
      </c>
      <c r="G538" s="62" t="n">
        <v>0.0381944444452529</v>
      </c>
      <c r="H538" s="13" t="s">
        <v>248</v>
      </c>
      <c r="J538" s="13" t="s">
        <v>256</v>
      </c>
      <c r="K538" s="13" t="s">
        <v>430</v>
      </c>
      <c r="L538" s="13" t="s">
        <v>700</v>
      </c>
      <c r="M538" s="66" t="s">
        <v>258</v>
      </c>
      <c r="N538" s="66" t="s">
        <v>379</v>
      </c>
      <c r="O538" s="66" t="s">
        <v>399</v>
      </c>
      <c r="P538" s="0" t="s">
        <v>1587</v>
      </c>
      <c r="Q538" s="66" t="s">
        <v>995</v>
      </c>
    </row>
    <row r="539" customFormat="false" ht="14.25" hidden="false" customHeight="false" outlineLevel="0" collapsed="false">
      <c r="A539" s="13" t="s">
        <v>815</v>
      </c>
      <c r="B539" s="13" t="s">
        <v>542</v>
      </c>
      <c r="C539" s="13" t="s">
        <v>556</v>
      </c>
      <c r="D539" s="61" t="n">
        <v>45967.6180555556</v>
      </c>
      <c r="E539" s="61" t="n">
        <v>45967.6180555556</v>
      </c>
      <c r="F539" s="61" t="n">
        <v>45967.65625</v>
      </c>
      <c r="G539" s="62" t="n">
        <v>0.0381944444452529</v>
      </c>
      <c r="H539" s="13" t="s">
        <v>248</v>
      </c>
      <c r="J539" s="13" t="s">
        <v>256</v>
      </c>
      <c r="K539" s="13" t="s">
        <v>430</v>
      </c>
      <c r="L539" s="13" t="s">
        <v>700</v>
      </c>
      <c r="M539" s="66" t="s">
        <v>258</v>
      </c>
      <c r="N539" s="66" t="s">
        <v>379</v>
      </c>
      <c r="O539" s="66" t="s">
        <v>399</v>
      </c>
      <c r="P539" s="0" t="s">
        <v>1588</v>
      </c>
      <c r="Q539" s="66" t="s">
        <v>995</v>
      </c>
    </row>
    <row r="540" customFormat="false" ht="14.25" hidden="false" customHeight="false" outlineLevel="0" collapsed="false">
      <c r="A540" s="13" t="s">
        <v>815</v>
      </c>
      <c r="B540" s="13" t="s">
        <v>542</v>
      </c>
      <c r="C540" s="13" t="s">
        <v>557</v>
      </c>
      <c r="D540" s="61" t="n">
        <v>45967.6180555556</v>
      </c>
      <c r="E540" s="61" t="n">
        <v>45967.6180555556</v>
      </c>
      <c r="F540" s="61" t="n">
        <v>45967.65625</v>
      </c>
      <c r="G540" s="62" t="n">
        <v>0.0381944444452529</v>
      </c>
      <c r="H540" s="13" t="s">
        <v>248</v>
      </c>
      <c r="J540" s="13" t="s">
        <v>256</v>
      </c>
      <c r="K540" s="13" t="s">
        <v>430</v>
      </c>
      <c r="L540" s="13" t="s">
        <v>700</v>
      </c>
      <c r="M540" s="66" t="s">
        <v>258</v>
      </c>
      <c r="N540" s="66" t="s">
        <v>379</v>
      </c>
      <c r="O540" s="66" t="s">
        <v>399</v>
      </c>
      <c r="P540" s="0" t="s">
        <v>1589</v>
      </c>
      <c r="Q540" s="66" t="s">
        <v>995</v>
      </c>
    </row>
    <row r="541" customFormat="false" ht="14.25" hidden="false" customHeight="false" outlineLevel="0" collapsed="false">
      <c r="A541" s="13" t="s">
        <v>815</v>
      </c>
      <c r="B541" s="13" t="s">
        <v>542</v>
      </c>
      <c r="C541" s="13" t="s">
        <v>558</v>
      </c>
      <c r="D541" s="61" t="n">
        <v>45967.6180555556</v>
      </c>
      <c r="E541" s="61" t="n">
        <v>45967.6180555556</v>
      </c>
      <c r="F541" s="61" t="n">
        <v>45967.65625</v>
      </c>
      <c r="G541" s="62" t="n">
        <v>0.0381944444452529</v>
      </c>
      <c r="H541" s="13" t="s">
        <v>248</v>
      </c>
      <c r="J541" s="13" t="s">
        <v>256</v>
      </c>
      <c r="K541" s="13" t="s">
        <v>430</v>
      </c>
      <c r="L541" s="13" t="s">
        <v>700</v>
      </c>
      <c r="M541" s="66" t="s">
        <v>258</v>
      </c>
      <c r="N541" s="66" t="s">
        <v>379</v>
      </c>
      <c r="O541" s="66" t="s">
        <v>399</v>
      </c>
      <c r="P541" s="0" t="s">
        <v>1590</v>
      </c>
      <c r="Q541" s="66" t="s">
        <v>995</v>
      </c>
    </row>
    <row r="542" customFormat="false" ht="14.25" hidden="false" customHeight="false" outlineLevel="0" collapsed="false">
      <c r="A542" s="13" t="s">
        <v>828</v>
      </c>
      <c r="B542" s="13" t="s">
        <v>542</v>
      </c>
      <c r="C542" s="13" t="s">
        <v>559</v>
      </c>
      <c r="D542" s="61" t="n">
        <v>45967.6180555556</v>
      </c>
      <c r="E542" s="61" t="n">
        <v>45967.6180555556</v>
      </c>
      <c r="F542" s="61" t="n">
        <v>45967.65625</v>
      </c>
      <c r="G542" s="62" t="n">
        <v>0.0381944444452529</v>
      </c>
      <c r="H542" s="13" t="s">
        <v>248</v>
      </c>
      <c r="J542" s="13" t="s">
        <v>256</v>
      </c>
      <c r="K542" s="13" t="s">
        <v>430</v>
      </c>
      <c r="L542" s="13" t="s">
        <v>700</v>
      </c>
      <c r="M542" s="66" t="s">
        <v>258</v>
      </c>
      <c r="N542" s="66" t="s">
        <v>379</v>
      </c>
      <c r="O542" s="66" t="s">
        <v>399</v>
      </c>
      <c r="P542" s="0" t="s">
        <v>1591</v>
      </c>
      <c r="Q542" s="66" t="s">
        <v>995</v>
      </c>
    </row>
    <row r="543" customFormat="false" ht="14.25" hidden="false" customHeight="false" outlineLevel="0" collapsed="false">
      <c r="A543" s="13" t="s">
        <v>828</v>
      </c>
      <c r="B543" s="13" t="s">
        <v>542</v>
      </c>
      <c r="C543" s="13" t="s">
        <v>560</v>
      </c>
      <c r="D543" s="61" t="n">
        <v>45967.6180555556</v>
      </c>
      <c r="E543" s="61" t="n">
        <v>45967.6180555556</v>
      </c>
      <c r="F543" s="61" t="n">
        <v>45967.65625</v>
      </c>
      <c r="G543" s="62" t="n">
        <v>0.0381944444452529</v>
      </c>
      <c r="H543" s="13" t="s">
        <v>248</v>
      </c>
      <c r="J543" s="13" t="s">
        <v>256</v>
      </c>
      <c r="K543" s="13" t="s">
        <v>430</v>
      </c>
      <c r="L543" s="13" t="s">
        <v>700</v>
      </c>
      <c r="M543" s="66" t="s">
        <v>258</v>
      </c>
      <c r="N543" s="66" t="s">
        <v>379</v>
      </c>
      <c r="O543" s="66" t="s">
        <v>399</v>
      </c>
      <c r="P543" s="0" t="s">
        <v>1592</v>
      </c>
      <c r="Q543" s="66" t="s">
        <v>995</v>
      </c>
    </row>
    <row r="544" customFormat="false" ht="14.25" hidden="false" customHeight="false" outlineLevel="0" collapsed="false">
      <c r="A544" s="13" t="s">
        <v>828</v>
      </c>
      <c r="B544" s="13" t="s">
        <v>542</v>
      </c>
      <c r="C544" s="13" t="s">
        <v>561</v>
      </c>
      <c r="D544" s="61" t="n">
        <v>45967.6180555556</v>
      </c>
      <c r="E544" s="61" t="n">
        <v>45967.6180555556</v>
      </c>
      <c r="F544" s="61" t="n">
        <v>45967.65625</v>
      </c>
      <c r="G544" s="62" t="n">
        <v>0.0381944444452529</v>
      </c>
      <c r="H544" s="13" t="s">
        <v>248</v>
      </c>
      <c r="J544" s="13" t="s">
        <v>256</v>
      </c>
      <c r="K544" s="13" t="s">
        <v>430</v>
      </c>
      <c r="L544" s="13" t="s">
        <v>700</v>
      </c>
      <c r="M544" s="66" t="s">
        <v>258</v>
      </c>
      <c r="N544" s="66" t="s">
        <v>379</v>
      </c>
      <c r="O544" s="66" t="s">
        <v>399</v>
      </c>
      <c r="P544" s="0" t="s">
        <v>1593</v>
      </c>
      <c r="Q544" s="66" t="s">
        <v>995</v>
      </c>
    </row>
    <row r="545" customFormat="false" ht="14.25" hidden="false" customHeight="false" outlineLevel="0" collapsed="false">
      <c r="A545" s="13" t="s">
        <v>828</v>
      </c>
      <c r="B545" s="13" t="s">
        <v>542</v>
      </c>
      <c r="C545" s="13" t="s">
        <v>562</v>
      </c>
      <c r="D545" s="61" t="n">
        <v>45967.6180555556</v>
      </c>
      <c r="E545" s="61" t="n">
        <v>45967.6180555556</v>
      </c>
      <c r="F545" s="61" t="n">
        <v>45967.65625</v>
      </c>
      <c r="G545" s="62" t="n">
        <v>0.0381944444452529</v>
      </c>
      <c r="H545" s="13" t="s">
        <v>248</v>
      </c>
      <c r="J545" s="13" t="s">
        <v>256</v>
      </c>
      <c r="K545" s="13" t="s">
        <v>430</v>
      </c>
      <c r="L545" s="13" t="s">
        <v>700</v>
      </c>
      <c r="M545" s="66" t="s">
        <v>258</v>
      </c>
      <c r="N545" s="66" t="s">
        <v>379</v>
      </c>
      <c r="O545" s="66" t="s">
        <v>399</v>
      </c>
      <c r="P545" s="0" t="s">
        <v>1594</v>
      </c>
      <c r="Q545" s="66" t="s">
        <v>995</v>
      </c>
    </row>
    <row r="546" customFormat="false" ht="14.25" hidden="false" customHeight="false" outlineLevel="0" collapsed="false">
      <c r="A546" s="13" t="s">
        <v>828</v>
      </c>
      <c r="B546" s="13" t="s">
        <v>542</v>
      </c>
      <c r="C546" s="13" t="s">
        <v>563</v>
      </c>
      <c r="D546" s="61" t="n">
        <v>45967.6180555556</v>
      </c>
      <c r="E546" s="61" t="n">
        <v>45967.6180555556</v>
      </c>
      <c r="F546" s="61" t="n">
        <v>45967.65625</v>
      </c>
      <c r="G546" s="62" t="n">
        <v>0.0381944444452529</v>
      </c>
      <c r="H546" s="13" t="s">
        <v>248</v>
      </c>
      <c r="J546" s="13" t="s">
        <v>256</v>
      </c>
      <c r="K546" s="13" t="s">
        <v>430</v>
      </c>
      <c r="L546" s="13" t="s">
        <v>700</v>
      </c>
      <c r="M546" s="66" t="s">
        <v>258</v>
      </c>
      <c r="N546" s="66" t="s">
        <v>379</v>
      </c>
      <c r="O546" s="66" t="s">
        <v>399</v>
      </c>
      <c r="P546" s="0" t="s">
        <v>1595</v>
      </c>
      <c r="Q546" s="66" t="s">
        <v>995</v>
      </c>
    </row>
    <row r="547" customFormat="false" ht="14.25" hidden="false" customHeight="false" outlineLevel="0" collapsed="false">
      <c r="A547" s="13" t="s">
        <v>829</v>
      </c>
      <c r="B547" s="13" t="s">
        <v>542</v>
      </c>
      <c r="C547" s="13" t="s">
        <v>564</v>
      </c>
      <c r="D547" s="61" t="n">
        <v>45967.6180555556</v>
      </c>
      <c r="E547" s="61" t="n">
        <v>45967.6180555556</v>
      </c>
      <c r="F547" s="61" t="n">
        <v>45967.65625</v>
      </c>
      <c r="G547" s="62" t="n">
        <v>0.0381944444452529</v>
      </c>
      <c r="H547" s="13" t="s">
        <v>248</v>
      </c>
      <c r="J547" s="13" t="s">
        <v>256</v>
      </c>
      <c r="K547" s="13" t="s">
        <v>430</v>
      </c>
      <c r="L547" s="13" t="s">
        <v>700</v>
      </c>
      <c r="M547" s="66" t="s">
        <v>258</v>
      </c>
      <c r="N547" s="66" t="s">
        <v>379</v>
      </c>
      <c r="O547" s="66" t="s">
        <v>399</v>
      </c>
      <c r="P547" s="0" t="s">
        <v>1596</v>
      </c>
      <c r="Q547" s="66" t="s">
        <v>995</v>
      </c>
    </row>
    <row r="548" customFormat="false" ht="14.25" hidden="false" customHeight="false" outlineLevel="0" collapsed="false">
      <c r="A548" s="13" t="s">
        <v>829</v>
      </c>
      <c r="B548" s="13" t="s">
        <v>542</v>
      </c>
      <c r="C548" s="13" t="s">
        <v>565</v>
      </c>
      <c r="D548" s="61" t="n">
        <v>45967.6180555556</v>
      </c>
      <c r="E548" s="61" t="n">
        <v>45967.6180555556</v>
      </c>
      <c r="F548" s="61" t="n">
        <v>45967.65625</v>
      </c>
      <c r="G548" s="62" t="n">
        <v>0.0381944444452529</v>
      </c>
      <c r="H548" s="13" t="s">
        <v>248</v>
      </c>
      <c r="J548" s="13" t="s">
        <v>256</v>
      </c>
      <c r="K548" s="13" t="s">
        <v>430</v>
      </c>
      <c r="L548" s="13" t="s">
        <v>700</v>
      </c>
      <c r="M548" s="66" t="s">
        <v>258</v>
      </c>
      <c r="N548" s="66" t="s">
        <v>379</v>
      </c>
      <c r="O548" s="66" t="s">
        <v>399</v>
      </c>
      <c r="P548" s="0" t="s">
        <v>1597</v>
      </c>
      <c r="Q548" s="66" t="s">
        <v>995</v>
      </c>
    </row>
    <row r="549" customFormat="false" ht="14.25" hidden="false" customHeight="false" outlineLevel="0" collapsed="false">
      <c r="A549" s="13" t="s">
        <v>829</v>
      </c>
      <c r="B549" s="13" t="s">
        <v>542</v>
      </c>
      <c r="C549" s="13" t="s">
        <v>566</v>
      </c>
      <c r="D549" s="61" t="n">
        <v>45967.6180555556</v>
      </c>
      <c r="E549" s="61" t="n">
        <v>45967.6180555556</v>
      </c>
      <c r="F549" s="61" t="n">
        <v>45967.65625</v>
      </c>
      <c r="G549" s="62" t="n">
        <v>0.0381944444452529</v>
      </c>
      <c r="H549" s="13" t="s">
        <v>248</v>
      </c>
      <c r="J549" s="13" t="s">
        <v>256</v>
      </c>
      <c r="K549" s="13" t="s">
        <v>430</v>
      </c>
      <c r="L549" s="13" t="s">
        <v>700</v>
      </c>
      <c r="M549" s="66" t="s">
        <v>258</v>
      </c>
      <c r="N549" s="66" t="s">
        <v>379</v>
      </c>
      <c r="O549" s="66" t="s">
        <v>399</v>
      </c>
      <c r="P549" s="0" t="s">
        <v>1598</v>
      </c>
      <c r="Q549" s="66" t="s">
        <v>995</v>
      </c>
    </row>
    <row r="550" customFormat="false" ht="14.25" hidden="false" customHeight="false" outlineLevel="0" collapsed="false">
      <c r="A550" s="13" t="s">
        <v>829</v>
      </c>
      <c r="B550" s="13" t="s">
        <v>542</v>
      </c>
      <c r="C550" s="13" t="s">
        <v>567</v>
      </c>
      <c r="D550" s="61" t="n">
        <v>45967.6180555556</v>
      </c>
      <c r="E550" s="61" t="n">
        <v>45967.6180555556</v>
      </c>
      <c r="F550" s="61" t="n">
        <v>45967.65625</v>
      </c>
      <c r="G550" s="62" t="n">
        <v>0.0381944444452529</v>
      </c>
      <c r="H550" s="13" t="s">
        <v>248</v>
      </c>
      <c r="J550" s="13" t="s">
        <v>256</v>
      </c>
      <c r="K550" s="13" t="s">
        <v>430</v>
      </c>
      <c r="L550" s="13" t="s">
        <v>700</v>
      </c>
      <c r="M550" s="66" t="s">
        <v>258</v>
      </c>
      <c r="N550" s="66" t="s">
        <v>379</v>
      </c>
      <c r="O550" s="66" t="s">
        <v>399</v>
      </c>
      <c r="P550" s="0" t="s">
        <v>1599</v>
      </c>
      <c r="Q550" s="66" t="s">
        <v>995</v>
      </c>
    </row>
    <row r="551" customFormat="false" ht="14.25" hidden="false" customHeight="false" outlineLevel="0" collapsed="false">
      <c r="A551" s="13" t="s">
        <v>830</v>
      </c>
      <c r="B551" s="13" t="s">
        <v>542</v>
      </c>
      <c r="C551" s="13" t="s">
        <v>568</v>
      </c>
      <c r="D551" s="61" t="n">
        <v>45967.6180555556</v>
      </c>
      <c r="E551" s="61" t="n">
        <v>45967.6180555556</v>
      </c>
      <c r="F551" s="61" t="n">
        <v>45967.65625</v>
      </c>
      <c r="G551" s="62" t="n">
        <v>0.0381944444452529</v>
      </c>
      <c r="H551" s="13" t="s">
        <v>248</v>
      </c>
      <c r="J551" s="13" t="s">
        <v>256</v>
      </c>
      <c r="K551" s="13" t="s">
        <v>430</v>
      </c>
      <c r="L551" s="13" t="s">
        <v>700</v>
      </c>
      <c r="M551" s="66" t="s">
        <v>258</v>
      </c>
      <c r="N551" s="66" t="s">
        <v>379</v>
      </c>
      <c r="O551" s="66" t="s">
        <v>399</v>
      </c>
      <c r="P551" s="0" t="s">
        <v>1600</v>
      </c>
      <c r="Q551" s="66" t="s">
        <v>995</v>
      </c>
    </row>
    <row r="552" customFormat="false" ht="14.25" hidden="false" customHeight="false" outlineLevel="0" collapsed="false">
      <c r="A552" s="13" t="s">
        <v>830</v>
      </c>
      <c r="B552" s="13" t="s">
        <v>542</v>
      </c>
      <c r="C552" s="13" t="s">
        <v>569</v>
      </c>
      <c r="D552" s="61" t="n">
        <v>45967.6180555556</v>
      </c>
      <c r="E552" s="61" t="n">
        <v>45967.6180555556</v>
      </c>
      <c r="F552" s="61" t="n">
        <v>45967.65625</v>
      </c>
      <c r="G552" s="62" t="n">
        <v>0.0381944444452529</v>
      </c>
      <c r="H552" s="13" t="s">
        <v>248</v>
      </c>
      <c r="J552" s="13" t="s">
        <v>256</v>
      </c>
      <c r="K552" s="13" t="s">
        <v>430</v>
      </c>
      <c r="L552" s="13" t="s">
        <v>700</v>
      </c>
      <c r="M552" s="66" t="s">
        <v>258</v>
      </c>
      <c r="N552" s="66" t="s">
        <v>379</v>
      </c>
      <c r="O552" s="66" t="s">
        <v>399</v>
      </c>
      <c r="P552" s="0" t="s">
        <v>1601</v>
      </c>
      <c r="Q552" s="66" t="s">
        <v>995</v>
      </c>
    </row>
    <row r="553" customFormat="false" ht="14.25" hidden="false" customHeight="false" outlineLevel="0" collapsed="false">
      <c r="A553" s="13" t="s">
        <v>830</v>
      </c>
      <c r="B553" s="13" t="s">
        <v>542</v>
      </c>
      <c r="C553" s="13" t="s">
        <v>570</v>
      </c>
      <c r="D553" s="61" t="n">
        <v>45967.6180555556</v>
      </c>
      <c r="E553" s="61" t="n">
        <v>45967.6180555556</v>
      </c>
      <c r="F553" s="61" t="n">
        <v>45967.65625</v>
      </c>
      <c r="G553" s="62" t="n">
        <v>0.0381944444452529</v>
      </c>
      <c r="H553" s="13" t="s">
        <v>248</v>
      </c>
      <c r="J553" s="13" t="s">
        <v>256</v>
      </c>
      <c r="K553" s="13" t="s">
        <v>430</v>
      </c>
      <c r="L553" s="13" t="s">
        <v>700</v>
      </c>
      <c r="M553" s="66" t="s">
        <v>258</v>
      </c>
      <c r="N553" s="66" t="s">
        <v>379</v>
      </c>
      <c r="O553" s="66" t="s">
        <v>399</v>
      </c>
      <c r="P553" s="0" t="s">
        <v>1602</v>
      </c>
      <c r="Q553" s="66" t="s">
        <v>995</v>
      </c>
    </row>
    <row r="554" customFormat="false" ht="14.25" hidden="false" customHeight="false" outlineLevel="0" collapsed="false">
      <c r="A554" s="13" t="s">
        <v>830</v>
      </c>
      <c r="B554" s="13" t="s">
        <v>542</v>
      </c>
      <c r="C554" s="13" t="s">
        <v>571</v>
      </c>
      <c r="D554" s="61" t="n">
        <v>45967.6180555556</v>
      </c>
      <c r="E554" s="61" t="n">
        <v>45967.6180555556</v>
      </c>
      <c r="F554" s="61" t="n">
        <v>45967.65625</v>
      </c>
      <c r="G554" s="62" t="n">
        <v>0.0381944444452529</v>
      </c>
      <c r="H554" s="13" t="s">
        <v>248</v>
      </c>
      <c r="J554" s="13" t="s">
        <v>256</v>
      </c>
      <c r="K554" s="13" t="s">
        <v>430</v>
      </c>
      <c r="L554" s="13" t="s">
        <v>700</v>
      </c>
      <c r="M554" s="66" t="s">
        <v>258</v>
      </c>
      <c r="N554" s="66" t="s">
        <v>379</v>
      </c>
      <c r="O554" s="66" t="s">
        <v>399</v>
      </c>
      <c r="P554" s="0" t="s">
        <v>1603</v>
      </c>
      <c r="Q554" s="66" t="s">
        <v>995</v>
      </c>
    </row>
    <row r="555" customFormat="false" ht="14.25" hidden="false" customHeight="false" outlineLevel="0" collapsed="false">
      <c r="A555" s="13" t="s">
        <v>830</v>
      </c>
      <c r="B555" s="13" t="s">
        <v>542</v>
      </c>
      <c r="C555" s="13" t="s">
        <v>572</v>
      </c>
      <c r="D555" s="61" t="n">
        <v>45967.6180555556</v>
      </c>
      <c r="E555" s="61" t="n">
        <v>45967.6180555556</v>
      </c>
      <c r="F555" s="61" t="n">
        <v>45967.65625</v>
      </c>
      <c r="G555" s="62" t="n">
        <v>0.0381944444452529</v>
      </c>
      <c r="H555" s="13" t="s">
        <v>248</v>
      </c>
      <c r="J555" s="13" t="s">
        <v>256</v>
      </c>
      <c r="K555" s="13" t="s">
        <v>430</v>
      </c>
      <c r="L555" s="13" t="s">
        <v>700</v>
      </c>
      <c r="M555" s="66" t="s">
        <v>258</v>
      </c>
      <c r="N555" s="66" t="s">
        <v>379</v>
      </c>
      <c r="O555" s="66" t="s">
        <v>399</v>
      </c>
      <c r="P555" s="0" t="s">
        <v>1604</v>
      </c>
      <c r="Q555" s="66" t="s">
        <v>995</v>
      </c>
    </row>
    <row r="556" customFormat="false" ht="14.25" hidden="false" customHeight="false" outlineLevel="0" collapsed="false">
      <c r="A556" s="13" t="s">
        <v>578</v>
      </c>
      <c r="B556" s="13" t="s">
        <v>578</v>
      </c>
      <c r="C556" s="13" t="s">
        <v>396</v>
      </c>
      <c r="D556" s="61" t="n">
        <v>45967.6180555556</v>
      </c>
      <c r="E556" s="61" t="n">
        <v>45967.6180555556</v>
      </c>
      <c r="F556" s="61" t="n">
        <v>45967.65625</v>
      </c>
      <c r="G556" s="62" t="n">
        <v>0.0381944444452529</v>
      </c>
      <c r="H556" s="13" t="s">
        <v>248</v>
      </c>
      <c r="J556" s="13" t="s">
        <v>256</v>
      </c>
      <c r="K556" s="13" t="s">
        <v>430</v>
      </c>
      <c r="L556" s="13" t="s">
        <v>700</v>
      </c>
      <c r="M556" s="66" t="s">
        <v>258</v>
      </c>
      <c r="N556" s="66" t="s">
        <v>379</v>
      </c>
      <c r="O556" s="66" t="s">
        <v>399</v>
      </c>
      <c r="P556" s="0" t="s">
        <v>1605</v>
      </c>
      <c r="Q556" s="66" t="s">
        <v>995</v>
      </c>
    </row>
    <row r="557" customFormat="false" ht="14.25" hidden="false" customHeight="false" outlineLevel="0" collapsed="false">
      <c r="A557" s="13" t="s">
        <v>578</v>
      </c>
      <c r="B557" s="13" t="s">
        <v>578</v>
      </c>
      <c r="C557" s="13" t="s">
        <v>397</v>
      </c>
      <c r="D557" s="61" t="n">
        <v>45967.6180555556</v>
      </c>
      <c r="E557" s="61" t="n">
        <v>45967.6180555556</v>
      </c>
      <c r="F557" s="61" t="n">
        <v>45967.65625</v>
      </c>
      <c r="G557" s="62" t="n">
        <v>0.0381944444452529</v>
      </c>
      <c r="H557" s="13" t="s">
        <v>248</v>
      </c>
      <c r="J557" s="13" t="s">
        <v>256</v>
      </c>
      <c r="K557" s="13" t="s">
        <v>430</v>
      </c>
      <c r="L557" s="13" t="s">
        <v>700</v>
      </c>
      <c r="M557" s="66" t="s">
        <v>258</v>
      </c>
      <c r="N557" s="66" t="s">
        <v>379</v>
      </c>
      <c r="O557" s="66" t="s">
        <v>399</v>
      </c>
      <c r="P557" s="0" t="s">
        <v>1606</v>
      </c>
      <c r="Q557" s="66" t="s">
        <v>995</v>
      </c>
    </row>
    <row r="558" customFormat="false" ht="14.25" hidden="false" customHeight="false" outlineLevel="0" collapsed="false">
      <c r="A558" s="13" t="s">
        <v>578</v>
      </c>
      <c r="B558" s="13" t="s">
        <v>578</v>
      </c>
      <c r="C558" s="13" t="s">
        <v>394</v>
      </c>
      <c r="D558" s="61" t="n">
        <v>45967.6180555556</v>
      </c>
      <c r="E558" s="61" t="n">
        <v>45967.6180555556</v>
      </c>
      <c r="F558" s="61" t="n">
        <v>45967.65625</v>
      </c>
      <c r="G558" s="62" t="n">
        <v>0.0381944444452529</v>
      </c>
      <c r="H558" s="13" t="s">
        <v>248</v>
      </c>
      <c r="J558" s="13" t="s">
        <v>256</v>
      </c>
      <c r="K558" s="13" t="s">
        <v>430</v>
      </c>
      <c r="L558" s="13" t="s">
        <v>700</v>
      </c>
      <c r="M558" s="66" t="s">
        <v>258</v>
      </c>
      <c r="N558" s="66" t="s">
        <v>379</v>
      </c>
      <c r="O558" s="66" t="s">
        <v>399</v>
      </c>
      <c r="P558" s="0" t="s">
        <v>1607</v>
      </c>
      <c r="Q558" s="66" t="s">
        <v>995</v>
      </c>
    </row>
    <row r="559" customFormat="false" ht="14.25" hidden="false" customHeight="false" outlineLevel="0" collapsed="false">
      <c r="A559" s="13" t="s">
        <v>578</v>
      </c>
      <c r="B559" s="13" t="s">
        <v>578</v>
      </c>
      <c r="C559" s="13" t="s">
        <v>395</v>
      </c>
      <c r="D559" s="61" t="n">
        <v>45967.6180555556</v>
      </c>
      <c r="E559" s="61" t="n">
        <v>45967.6180555556</v>
      </c>
      <c r="F559" s="61" t="n">
        <v>45967.65625</v>
      </c>
      <c r="G559" s="62" t="n">
        <v>0.0381944444452529</v>
      </c>
      <c r="H559" s="13" t="s">
        <v>248</v>
      </c>
      <c r="J559" s="13" t="s">
        <v>256</v>
      </c>
      <c r="K559" s="13" t="s">
        <v>430</v>
      </c>
      <c r="L559" s="13" t="s">
        <v>700</v>
      </c>
      <c r="M559" s="66" t="s">
        <v>258</v>
      </c>
      <c r="N559" s="66" t="s">
        <v>379</v>
      </c>
      <c r="O559" s="66" t="s">
        <v>399</v>
      </c>
      <c r="P559" s="0" t="s">
        <v>1608</v>
      </c>
      <c r="Q559" s="66" t="s">
        <v>995</v>
      </c>
    </row>
    <row r="560" customFormat="false" ht="14.25" hidden="false" customHeight="false" outlineLevel="0" collapsed="false">
      <c r="A560" s="13" t="s">
        <v>578</v>
      </c>
      <c r="B560" s="13" t="s">
        <v>578</v>
      </c>
      <c r="C560" s="13" t="s">
        <v>391</v>
      </c>
      <c r="D560" s="61" t="n">
        <v>45967.6180555556</v>
      </c>
      <c r="E560" s="61" t="n">
        <v>45967.6180555556</v>
      </c>
      <c r="F560" s="61" t="n">
        <v>45967.65625</v>
      </c>
      <c r="G560" s="62" t="n">
        <v>0.0381944444452529</v>
      </c>
      <c r="H560" s="13" t="s">
        <v>248</v>
      </c>
      <c r="J560" s="13" t="s">
        <v>256</v>
      </c>
      <c r="K560" s="13" t="s">
        <v>430</v>
      </c>
      <c r="L560" s="13" t="s">
        <v>700</v>
      </c>
      <c r="M560" s="66" t="s">
        <v>258</v>
      </c>
      <c r="N560" s="66" t="s">
        <v>379</v>
      </c>
      <c r="O560" s="66" t="s">
        <v>399</v>
      </c>
      <c r="P560" s="0" t="s">
        <v>1609</v>
      </c>
      <c r="Q560" s="66" t="s">
        <v>995</v>
      </c>
    </row>
    <row r="561" customFormat="false" ht="14.25" hidden="false" customHeight="false" outlineLevel="0" collapsed="false">
      <c r="A561" s="13" t="s">
        <v>579</v>
      </c>
      <c r="B561" s="13" t="s">
        <v>579</v>
      </c>
      <c r="C561" s="13" t="s">
        <v>396</v>
      </c>
      <c r="D561" s="61" t="n">
        <v>45967.6180555556</v>
      </c>
      <c r="E561" s="61" t="n">
        <v>45967.6180555556</v>
      </c>
      <c r="F561" s="61" t="n">
        <v>45967.65625</v>
      </c>
      <c r="G561" s="62" t="n">
        <v>0.0381944444452529</v>
      </c>
      <c r="H561" s="13" t="s">
        <v>248</v>
      </c>
      <c r="J561" s="13" t="s">
        <v>256</v>
      </c>
      <c r="K561" s="13" t="s">
        <v>430</v>
      </c>
      <c r="L561" s="13" t="s">
        <v>700</v>
      </c>
      <c r="M561" s="66" t="s">
        <v>258</v>
      </c>
      <c r="N561" s="66" t="s">
        <v>379</v>
      </c>
      <c r="O561" s="66" t="s">
        <v>399</v>
      </c>
      <c r="P561" s="0" t="s">
        <v>1610</v>
      </c>
      <c r="Q561" s="66" t="s">
        <v>995</v>
      </c>
    </row>
    <row r="562" customFormat="false" ht="14.25" hidden="false" customHeight="false" outlineLevel="0" collapsed="false">
      <c r="A562" s="13" t="s">
        <v>579</v>
      </c>
      <c r="B562" s="13" t="s">
        <v>579</v>
      </c>
      <c r="C562" s="13" t="s">
        <v>397</v>
      </c>
      <c r="D562" s="61" t="n">
        <v>45967.6180555556</v>
      </c>
      <c r="E562" s="61" t="n">
        <v>45967.6180555556</v>
      </c>
      <c r="F562" s="61" t="n">
        <v>45967.65625</v>
      </c>
      <c r="G562" s="62" t="n">
        <v>0.0381944444452529</v>
      </c>
      <c r="H562" s="13" t="s">
        <v>248</v>
      </c>
      <c r="J562" s="13" t="s">
        <v>256</v>
      </c>
      <c r="K562" s="13" t="s">
        <v>430</v>
      </c>
      <c r="L562" s="13" t="s">
        <v>700</v>
      </c>
      <c r="M562" s="66" t="s">
        <v>258</v>
      </c>
      <c r="N562" s="66" t="s">
        <v>379</v>
      </c>
      <c r="O562" s="66" t="s">
        <v>399</v>
      </c>
      <c r="P562" s="0" t="s">
        <v>1611</v>
      </c>
      <c r="Q562" s="66" t="s">
        <v>995</v>
      </c>
    </row>
    <row r="563" customFormat="false" ht="14.25" hidden="false" customHeight="false" outlineLevel="0" collapsed="false">
      <c r="A563" s="13" t="s">
        <v>579</v>
      </c>
      <c r="B563" s="13" t="s">
        <v>579</v>
      </c>
      <c r="C563" s="13" t="s">
        <v>394</v>
      </c>
      <c r="D563" s="61" t="n">
        <v>45967.6180555556</v>
      </c>
      <c r="E563" s="61" t="n">
        <v>45967.6180555556</v>
      </c>
      <c r="F563" s="61" t="n">
        <v>45967.65625</v>
      </c>
      <c r="G563" s="62" t="n">
        <v>0.0381944444452529</v>
      </c>
      <c r="H563" s="13" t="s">
        <v>248</v>
      </c>
      <c r="J563" s="13" t="s">
        <v>256</v>
      </c>
      <c r="K563" s="13" t="s">
        <v>430</v>
      </c>
      <c r="L563" s="13" t="s">
        <v>700</v>
      </c>
      <c r="M563" s="66" t="s">
        <v>258</v>
      </c>
      <c r="N563" s="66" t="s">
        <v>379</v>
      </c>
      <c r="O563" s="66" t="s">
        <v>399</v>
      </c>
      <c r="P563" s="0" t="s">
        <v>1612</v>
      </c>
      <c r="Q563" s="66" t="s">
        <v>995</v>
      </c>
    </row>
    <row r="564" customFormat="false" ht="14.25" hidden="false" customHeight="false" outlineLevel="0" collapsed="false">
      <c r="A564" s="13" t="s">
        <v>579</v>
      </c>
      <c r="B564" s="13" t="s">
        <v>579</v>
      </c>
      <c r="C564" s="13" t="s">
        <v>395</v>
      </c>
      <c r="D564" s="61" t="n">
        <v>45967.6180555556</v>
      </c>
      <c r="E564" s="61" t="n">
        <v>45967.6180555556</v>
      </c>
      <c r="F564" s="61" t="n">
        <v>45967.65625</v>
      </c>
      <c r="G564" s="62" t="n">
        <v>0.0381944444452529</v>
      </c>
      <c r="H564" s="13" t="s">
        <v>248</v>
      </c>
      <c r="J564" s="13" t="s">
        <v>256</v>
      </c>
      <c r="K564" s="13" t="s">
        <v>430</v>
      </c>
      <c r="L564" s="13" t="s">
        <v>700</v>
      </c>
      <c r="M564" s="66" t="s">
        <v>258</v>
      </c>
      <c r="N564" s="66" t="s">
        <v>379</v>
      </c>
      <c r="O564" s="66" t="s">
        <v>399</v>
      </c>
      <c r="P564" s="0" t="s">
        <v>1613</v>
      </c>
      <c r="Q564" s="66" t="s">
        <v>995</v>
      </c>
    </row>
    <row r="565" customFormat="false" ht="14.25" hidden="false" customHeight="false" outlineLevel="0" collapsed="false">
      <c r="A565" s="13" t="s">
        <v>579</v>
      </c>
      <c r="B565" s="13" t="s">
        <v>579</v>
      </c>
      <c r="C565" s="13" t="s">
        <v>391</v>
      </c>
      <c r="D565" s="61" t="n">
        <v>45967.6180555556</v>
      </c>
      <c r="E565" s="61" t="n">
        <v>45967.6180555556</v>
      </c>
      <c r="F565" s="61" t="n">
        <v>45967.65625</v>
      </c>
      <c r="G565" s="62" t="n">
        <v>0.0381944444452529</v>
      </c>
      <c r="H565" s="13" t="s">
        <v>248</v>
      </c>
      <c r="J565" s="13" t="s">
        <v>256</v>
      </c>
      <c r="K565" s="13" t="s">
        <v>430</v>
      </c>
      <c r="L565" s="13" t="s">
        <v>700</v>
      </c>
      <c r="M565" s="66" t="s">
        <v>258</v>
      </c>
      <c r="N565" s="66" t="s">
        <v>379</v>
      </c>
      <c r="O565" s="66" t="s">
        <v>399</v>
      </c>
      <c r="P565" s="0" t="s">
        <v>1614</v>
      </c>
      <c r="Q565" s="66" t="s">
        <v>995</v>
      </c>
    </row>
    <row r="566" customFormat="false" ht="14.25" hidden="false" customHeight="false" outlineLevel="0" collapsed="false">
      <c r="A566" s="13" t="s">
        <v>580</v>
      </c>
      <c r="B566" s="13" t="s">
        <v>580</v>
      </c>
      <c r="C566" s="13" t="s">
        <v>396</v>
      </c>
      <c r="D566" s="61" t="n">
        <v>45967.6180555556</v>
      </c>
      <c r="E566" s="61" t="n">
        <v>45967.6180555556</v>
      </c>
      <c r="F566" s="61" t="n">
        <v>45967.65625</v>
      </c>
      <c r="G566" s="62" t="n">
        <v>0.0381944444452529</v>
      </c>
      <c r="H566" s="13" t="s">
        <v>248</v>
      </c>
      <c r="J566" s="13" t="s">
        <v>256</v>
      </c>
      <c r="K566" s="13" t="s">
        <v>430</v>
      </c>
      <c r="L566" s="13" t="s">
        <v>700</v>
      </c>
      <c r="M566" s="66" t="s">
        <v>258</v>
      </c>
      <c r="N566" s="66" t="s">
        <v>379</v>
      </c>
      <c r="O566" s="66" t="s">
        <v>399</v>
      </c>
      <c r="P566" s="0" t="s">
        <v>1615</v>
      </c>
      <c r="Q566" s="66" t="s">
        <v>995</v>
      </c>
    </row>
    <row r="567" customFormat="false" ht="14.25" hidden="false" customHeight="false" outlineLevel="0" collapsed="false">
      <c r="A567" s="13" t="s">
        <v>580</v>
      </c>
      <c r="B567" s="13" t="s">
        <v>580</v>
      </c>
      <c r="C567" s="13" t="s">
        <v>397</v>
      </c>
      <c r="D567" s="61" t="n">
        <v>45967.6180555556</v>
      </c>
      <c r="E567" s="61" t="n">
        <v>45967.6180555556</v>
      </c>
      <c r="F567" s="61" t="n">
        <v>45967.65625</v>
      </c>
      <c r="G567" s="62" t="n">
        <v>0.0381944444452529</v>
      </c>
      <c r="H567" s="13" t="s">
        <v>248</v>
      </c>
      <c r="J567" s="13" t="s">
        <v>256</v>
      </c>
      <c r="K567" s="13" t="s">
        <v>430</v>
      </c>
      <c r="L567" s="13" t="s">
        <v>700</v>
      </c>
      <c r="M567" s="66" t="s">
        <v>258</v>
      </c>
      <c r="N567" s="66" t="s">
        <v>379</v>
      </c>
      <c r="O567" s="66" t="s">
        <v>399</v>
      </c>
      <c r="P567" s="0" t="s">
        <v>1616</v>
      </c>
      <c r="Q567" s="66" t="s">
        <v>995</v>
      </c>
    </row>
    <row r="568" customFormat="false" ht="14.25" hidden="false" customHeight="false" outlineLevel="0" collapsed="false">
      <c r="A568" s="13" t="s">
        <v>580</v>
      </c>
      <c r="B568" s="13" t="s">
        <v>580</v>
      </c>
      <c r="C568" s="13" t="s">
        <v>394</v>
      </c>
      <c r="D568" s="61" t="n">
        <v>45967.6180555556</v>
      </c>
      <c r="E568" s="61" t="n">
        <v>45967.6180555556</v>
      </c>
      <c r="F568" s="61" t="n">
        <v>45967.65625</v>
      </c>
      <c r="G568" s="62" t="n">
        <v>0.0381944444452529</v>
      </c>
      <c r="H568" s="13" t="s">
        <v>248</v>
      </c>
      <c r="J568" s="13" t="s">
        <v>256</v>
      </c>
      <c r="K568" s="13" t="s">
        <v>430</v>
      </c>
      <c r="L568" s="13" t="s">
        <v>700</v>
      </c>
      <c r="M568" s="66" t="s">
        <v>258</v>
      </c>
      <c r="N568" s="66" t="s">
        <v>379</v>
      </c>
      <c r="O568" s="66" t="s">
        <v>399</v>
      </c>
      <c r="P568" s="0" t="s">
        <v>1617</v>
      </c>
      <c r="Q568" s="66" t="s">
        <v>995</v>
      </c>
    </row>
    <row r="569" customFormat="false" ht="14.25" hidden="false" customHeight="false" outlineLevel="0" collapsed="false">
      <c r="A569" s="13" t="s">
        <v>580</v>
      </c>
      <c r="B569" s="13" t="s">
        <v>580</v>
      </c>
      <c r="C569" s="13" t="s">
        <v>395</v>
      </c>
      <c r="D569" s="61" t="n">
        <v>45967.6180555556</v>
      </c>
      <c r="E569" s="61" t="n">
        <v>45967.6180555556</v>
      </c>
      <c r="F569" s="61" t="n">
        <v>45967.65625</v>
      </c>
      <c r="G569" s="62" t="n">
        <v>0.0381944444452529</v>
      </c>
      <c r="H569" s="13" t="s">
        <v>248</v>
      </c>
      <c r="J569" s="13" t="s">
        <v>256</v>
      </c>
      <c r="K569" s="13" t="s">
        <v>430</v>
      </c>
      <c r="L569" s="13" t="s">
        <v>700</v>
      </c>
      <c r="M569" s="66" t="s">
        <v>258</v>
      </c>
      <c r="N569" s="66" t="s">
        <v>379</v>
      </c>
      <c r="O569" s="66" t="s">
        <v>399</v>
      </c>
      <c r="P569" s="0" t="s">
        <v>1618</v>
      </c>
      <c r="Q569" s="66" t="s">
        <v>995</v>
      </c>
    </row>
    <row r="570" customFormat="false" ht="14.25" hidden="false" customHeight="false" outlineLevel="0" collapsed="false">
      <c r="A570" s="13" t="s">
        <v>580</v>
      </c>
      <c r="B570" s="13" t="s">
        <v>580</v>
      </c>
      <c r="C570" s="13" t="s">
        <v>391</v>
      </c>
      <c r="D570" s="61" t="n">
        <v>45967.6180555556</v>
      </c>
      <c r="E570" s="61" t="n">
        <v>45967.6180555556</v>
      </c>
      <c r="F570" s="61" t="n">
        <v>45967.65625</v>
      </c>
      <c r="G570" s="62" t="n">
        <v>0.0381944444452529</v>
      </c>
      <c r="H570" s="13" t="s">
        <v>248</v>
      </c>
      <c r="J570" s="13" t="s">
        <v>256</v>
      </c>
      <c r="K570" s="13" t="s">
        <v>430</v>
      </c>
      <c r="L570" s="13" t="s">
        <v>700</v>
      </c>
      <c r="M570" s="66" t="s">
        <v>258</v>
      </c>
      <c r="N570" s="66" t="s">
        <v>379</v>
      </c>
      <c r="O570" s="66" t="s">
        <v>399</v>
      </c>
      <c r="P570" s="0" t="s">
        <v>1619</v>
      </c>
      <c r="Q570" s="66" t="s">
        <v>995</v>
      </c>
    </row>
    <row r="571" customFormat="false" ht="14.25" hidden="false" customHeight="false" outlineLevel="0" collapsed="false">
      <c r="A571" s="13" t="s">
        <v>805</v>
      </c>
      <c r="B571" s="13" t="s">
        <v>581</v>
      </c>
      <c r="C571" s="13" t="s">
        <v>598</v>
      </c>
      <c r="D571" s="61" t="n">
        <v>45967.6180555556</v>
      </c>
      <c r="E571" s="61" t="n">
        <v>45967.6180555556</v>
      </c>
      <c r="F571" s="61" t="n">
        <v>45967.7027777778</v>
      </c>
      <c r="G571" s="62" t="n">
        <v>0.0847222222218989</v>
      </c>
      <c r="H571" s="13" t="s">
        <v>248</v>
      </c>
      <c r="J571" s="13" t="s">
        <v>256</v>
      </c>
      <c r="K571" s="13" t="s">
        <v>430</v>
      </c>
      <c r="L571" s="13" t="s">
        <v>1000</v>
      </c>
      <c r="M571" s="66" t="s">
        <v>258</v>
      </c>
      <c r="N571" s="66" t="s">
        <v>379</v>
      </c>
      <c r="O571" s="66" t="s">
        <v>399</v>
      </c>
      <c r="P571" s="0" t="s">
        <v>1620</v>
      </c>
      <c r="Q571" s="66" t="s">
        <v>995</v>
      </c>
    </row>
    <row r="572" customFormat="false" ht="14.25" hidden="false" customHeight="false" outlineLevel="0" collapsed="false">
      <c r="A572" s="13" t="s">
        <v>807</v>
      </c>
      <c r="B572" s="13" t="s">
        <v>581</v>
      </c>
      <c r="C572" s="13" t="s">
        <v>591</v>
      </c>
      <c r="D572" s="61" t="n">
        <v>45967.6180555556</v>
      </c>
      <c r="E572" s="61" t="n">
        <v>45967.6180555556</v>
      </c>
      <c r="F572" s="61" t="n">
        <v>45967.7027777778</v>
      </c>
      <c r="G572" s="62" t="n">
        <v>0.0847222222218989</v>
      </c>
      <c r="H572" s="13" t="s">
        <v>248</v>
      </c>
      <c r="J572" s="13" t="s">
        <v>256</v>
      </c>
      <c r="K572" s="13" t="s">
        <v>430</v>
      </c>
      <c r="L572" s="13" t="s">
        <v>1000</v>
      </c>
      <c r="M572" s="66" t="s">
        <v>258</v>
      </c>
      <c r="N572" s="66" t="s">
        <v>379</v>
      </c>
      <c r="O572" s="66" t="s">
        <v>399</v>
      </c>
      <c r="P572" s="0" t="s">
        <v>1621</v>
      </c>
      <c r="Q572" s="66" t="s">
        <v>995</v>
      </c>
    </row>
    <row r="573" customFormat="false" ht="14.25" hidden="false" customHeight="false" outlineLevel="0" collapsed="false">
      <c r="A573" s="13" t="s">
        <v>807</v>
      </c>
      <c r="B573" s="13" t="s">
        <v>581</v>
      </c>
      <c r="C573" s="13" t="s">
        <v>588</v>
      </c>
      <c r="D573" s="61" t="n">
        <v>45967.6180555556</v>
      </c>
      <c r="E573" s="61" t="n">
        <v>45967.6180555556</v>
      </c>
      <c r="F573" s="61" t="n">
        <v>45967.7027777778</v>
      </c>
      <c r="G573" s="62" t="n">
        <v>0.0847222222218989</v>
      </c>
      <c r="H573" s="13" t="s">
        <v>248</v>
      </c>
      <c r="J573" s="13" t="s">
        <v>256</v>
      </c>
      <c r="K573" s="13" t="s">
        <v>430</v>
      </c>
      <c r="L573" s="13" t="s">
        <v>1000</v>
      </c>
      <c r="M573" s="66" t="s">
        <v>258</v>
      </c>
      <c r="N573" s="66" t="s">
        <v>379</v>
      </c>
      <c r="O573" s="66" t="s">
        <v>399</v>
      </c>
      <c r="P573" s="0" t="s">
        <v>1622</v>
      </c>
      <c r="Q573" s="66" t="s">
        <v>995</v>
      </c>
    </row>
    <row r="574" customFormat="false" ht="14.25" hidden="false" customHeight="false" outlineLevel="0" collapsed="false">
      <c r="A574" s="13" t="s">
        <v>807</v>
      </c>
      <c r="B574" s="13" t="s">
        <v>581</v>
      </c>
      <c r="C574" s="13" t="s">
        <v>585</v>
      </c>
      <c r="D574" s="61" t="n">
        <v>45967.6180555556</v>
      </c>
      <c r="E574" s="61" t="n">
        <v>45967.6180555556</v>
      </c>
      <c r="F574" s="61" t="n">
        <v>45967.7027777778</v>
      </c>
      <c r="G574" s="62" t="n">
        <v>0.0847222222218989</v>
      </c>
      <c r="H574" s="13" t="s">
        <v>248</v>
      </c>
      <c r="J574" s="13" t="s">
        <v>256</v>
      </c>
      <c r="K574" s="13" t="s">
        <v>430</v>
      </c>
      <c r="L574" s="13" t="s">
        <v>1000</v>
      </c>
      <c r="M574" s="66" t="s">
        <v>258</v>
      </c>
      <c r="N574" s="66" t="s">
        <v>379</v>
      </c>
      <c r="O574" s="66" t="s">
        <v>399</v>
      </c>
      <c r="P574" s="0" t="s">
        <v>1623</v>
      </c>
      <c r="Q574" s="66" t="s">
        <v>995</v>
      </c>
    </row>
    <row r="575" customFormat="false" ht="14.25" hidden="false" customHeight="false" outlineLevel="0" collapsed="false">
      <c r="A575" s="13" t="s">
        <v>807</v>
      </c>
      <c r="B575" s="13" t="s">
        <v>581</v>
      </c>
      <c r="C575" s="13" t="s">
        <v>589</v>
      </c>
      <c r="D575" s="61" t="n">
        <v>45967.6180555556</v>
      </c>
      <c r="E575" s="61" t="n">
        <v>45967.6180555556</v>
      </c>
      <c r="F575" s="61" t="n">
        <v>45967.7027777778</v>
      </c>
      <c r="G575" s="62" t="n">
        <v>0.0847222222218989</v>
      </c>
      <c r="H575" s="13" t="s">
        <v>248</v>
      </c>
      <c r="J575" s="13" t="s">
        <v>256</v>
      </c>
      <c r="K575" s="13" t="s">
        <v>430</v>
      </c>
      <c r="L575" s="13" t="s">
        <v>1000</v>
      </c>
      <c r="M575" s="66" t="s">
        <v>258</v>
      </c>
      <c r="N575" s="66" t="s">
        <v>379</v>
      </c>
      <c r="O575" s="66" t="s">
        <v>399</v>
      </c>
      <c r="P575" s="0" t="s">
        <v>1624</v>
      </c>
      <c r="Q575" s="66" t="s">
        <v>995</v>
      </c>
    </row>
    <row r="576" customFormat="false" ht="14.25" hidden="false" customHeight="false" outlineLevel="0" collapsed="false">
      <c r="A576" s="13" t="s">
        <v>807</v>
      </c>
      <c r="B576" s="13" t="s">
        <v>581</v>
      </c>
      <c r="C576" s="13" t="s">
        <v>587</v>
      </c>
      <c r="D576" s="61" t="n">
        <v>45967.6180555556</v>
      </c>
      <c r="E576" s="61" t="n">
        <v>45967.6180555556</v>
      </c>
      <c r="F576" s="61" t="n">
        <v>45967.7027777778</v>
      </c>
      <c r="G576" s="62" t="n">
        <v>0.0847222222218989</v>
      </c>
      <c r="H576" s="13" t="s">
        <v>248</v>
      </c>
      <c r="J576" s="13" t="s">
        <v>256</v>
      </c>
      <c r="K576" s="13" t="s">
        <v>430</v>
      </c>
      <c r="L576" s="13" t="s">
        <v>1000</v>
      </c>
      <c r="M576" s="66" t="s">
        <v>258</v>
      </c>
      <c r="N576" s="66" t="s">
        <v>379</v>
      </c>
      <c r="O576" s="66" t="s">
        <v>399</v>
      </c>
      <c r="P576" s="0" t="s">
        <v>1625</v>
      </c>
      <c r="Q576" s="66" t="s">
        <v>995</v>
      </c>
    </row>
    <row r="577" customFormat="false" ht="14.25" hidden="false" customHeight="false" outlineLevel="0" collapsed="false">
      <c r="A577" s="13" t="s">
        <v>807</v>
      </c>
      <c r="B577" s="13" t="s">
        <v>581</v>
      </c>
      <c r="C577" s="13" t="s">
        <v>1007</v>
      </c>
      <c r="D577" s="61" t="n">
        <v>45967.6180555556</v>
      </c>
      <c r="E577" s="61" t="n">
        <v>45967.6180555556</v>
      </c>
      <c r="F577" s="61" t="n">
        <v>45967.7027777778</v>
      </c>
      <c r="G577" s="62" t="n">
        <v>0.0847222222218989</v>
      </c>
      <c r="H577" s="13" t="s">
        <v>248</v>
      </c>
      <c r="J577" s="13" t="s">
        <v>256</v>
      </c>
      <c r="K577" s="13" t="s">
        <v>430</v>
      </c>
      <c r="L577" s="13" t="s">
        <v>1000</v>
      </c>
      <c r="M577" s="66" t="s">
        <v>258</v>
      </c>
      <c r="N577" s="66" t="s">
        <v>379</v>
      </c>
      <c r="O577" s="66" t="s">
        <v>399</v>
      </c>
      <c r="P577" s="0" t="s">
        <v>1626</v>
      </c>
      <c r="Q577" s="66" t="s">
        <v>995</v>
      </c>
    </row>
    <row r="578" customFormat="false" ht="14.25" hidden="false" customHeight="false" outlineLevel="0" collapsed="false">
      <c r="A578" s="13" t="s">
        <v>816</v>
      </c>
      <c r="B578" s="13" t="s">
        <v>581</v>
      </c>
      <c r="C578" s="13" t="s">
        <v>586</v>
      </c>
      <c r="D578" s="61" t="n">
        <v>45967.6180555556</v>
      </c>
      <c r="E578" s="61" t="n">
        <v>45967.6180555556</v>
      </c>
      <c r="F578" s="61" t="n">
        <v>45967.7027777778</v>
      </c>
      <c r="G578" s="62" t="n">
        <v>0.0847222222218989</v>
      </c>
      <c r="H578" s="13" t="s">
        <v>248</v>
      </c>
      <c r="J578" s="13" t="s">
        <v>256</v>
      </c>
      <c r="K578" s="13" t="s">
        <v>430</v>
      </c>
      <c r="L578" s="13" t="s">
        <v>1000</v>
      </c>
      <c r="M578" s="66" t="s">
        <v>258</v>
      </c>
      <c r="N578" s="66" t="s">
        <v>379</v>
      </c>
      <c r="O578" s="66" t="s">
        <v>399</v>
      </c>
      <c r="P578" s="0" t="s">
        <v>1627</v>
      </c>
      <c r="Q578" s="66" t="s">
        <v>995</v>
      </c>
    </row>
    <row r="579" customFormat="false" ht="14.25" hidden="false" customHeight="false" outlineLevel="0" collapsed="false">
      <c r="A579" s="13" t="s">
        <v>816</v>
      </c>
      <c r="B579" s="13" t="s">
        <v>581</v>
      </c>
      <c r="C579" s="13" t="s">
        <v>737</v>
      </c>
      <c r="D579" s="61" t="n">
        <v>45967.6180555556</v>
      </c>
      <c r="E579" s="61" t="n">
        <v>45967.6180555556</v>
      </c>
      <c r="F579" s="61" t="n">
        <v>45967.7027777778</v>
      </c>
      <c r="G579" s="62" t="n">
        <v>0.0847222222218989</v>
      </c>
      <c r="H579" s="13" t="s">
        <v>248</v>
      </c>
      <c r="J579" s="13" t="s">
        <v>256</v>
      </c>
      <c r="K579" s="13" t="s">
        <v>430</v>
      </c>
      <c r="L579" s="13" t="s">
        <v>1000</v>
      </c>
      <c r="M579" s="66" t="s">
        <v>258</v>
      </c>
      <c r="N579" s="66" t="s">
        <v>379</v>
      </c>
      <c r="O579" s="66" t="s">
        <v>399</v>
      </c>
      <c r="P579" s="0" t="s">
        <v>1628</v>
      </c>
      <c r="Q579" s="66" t="s">
        <v>995</v>
      </c>
    </row>
    <row r="580" customFormat="false" ht="14.25" hidden="false" customHeight="false" outlineLevel="0" collapsed="false">
      <c r="A580" s="13" t="s">
        <v>816</v>
      </c>
      <c r="B580" s="13" t="s">
        <v>581</v>
      </c>
      <c r="C580" s="13" t="s">
        <v>582</v>
      </c>
      <c r="D580" s="61" t="n">
        <v>45967.6180555556</v>
      </c>
      <c r="E580" s="61" t="n">
        <v>45967.6180555556</v>
      </c>
      <c r="F580" s="61" t="n">
        <v>45967.7027777778</v>
      </c>
      <c r="G580" s="62" t="n">
        <v>0.0847222222218989</v>
      </c>
      <c r="H580" s="13" t="s">
        <v>248</v>
      </c>
      <c r="J580" s="13" t="s">
        <v>256</v>
      </c>
      <c r="K580" s="13" t="s">
        <v>430</v>
      </c>
      <c r="L580" s="13" t="s">
        <v>1000</v>
      </c>
      <c r="M580" s="66" t="s">
        <v>258</v>
      </c>
      <c r="N580" s="66" t="s">
        <v>379</v>
      </c>
      <c r="O580" s="66" t="s">
        <v>399</v>
      </c>
      <c r="P580" s="0" t="s">
        <v>1629</v>
      </c>
      <c r="Q580" s="66" t="s">
        <v>995</v>
      </c>
    </row>
    <row r="581" customFormat="false" ht="14.25" hidden="false" customHeight="false" outlineLevel="0" collapsed="false">
      <c r="A581" s="13" t="s">
        <v>816</v>
      </c>
      <c r="B581" s="13" t="s">
        <v>581</v>
      </c>
      <c r="C581" s="13" t="s">
        <v>594</v>
      </c>
      <c r="D581" s="61" t="n">
        <v>45967.6180555556</v>
      </c>
      <c r="E581" s="61" t="n">
        <v>45967.6180555556</v>
      </c>
      <c r="F581" s="61" t="n">
        <v>45967.7027777778</v>
      </c>
      <c r="G581" s="62" t="n">
        <v>0.0847222222218989</v>
      </c>
      <c r="H581" s="13" t="s">
        <v>248</v>
      </c>
      <c r="J581" s="13" t="s">
        <v>256</v>
      </c>
      <c r="K581" s="13" t="s">
        <v>430</v>
      </c>
      <c r="L581" s="13" t="s">
        <v>1000</v>
      </c>
      <c r="M581" s="66" t="s">
        <v>258</v>
      </c>
      <c r="N581" s="66" t="s">
        <v>379</v>
      </c>
      <c r="O581" s="66" t="s">
        <v>399</v>
      </c>
      <c r="P581" s="0" t="s">
        <v>1630</v>
      </c>
      <c r="Q581" s="66" t="s">
        <v>995</v>
      </c>
    </row>
    <row r="582" customFormat="false" ht="14.25" hidden="false" customHeight="false" outlineLevel="0" collapsed="false">
      <c r="A582" s="13" t="s">
        <v>816</v>
      </c>
      <c r="B582" s="13" t="s">
        <v>581</v>
      </c>
      <c r="C582" s="13" t="s">
        <v>596</v>
      </c>
      <c r="D582" s="61" t="n">
        <v>45967.6180555556</v>
      </c>
      <c r="E582" s="61" t="n">
        <v>45967.6180555556</v>
      </c>
      <c r="F582" s="61" t="n">
        <v>45967.7027777778</v>
      </c>
      <c r="G582" s="62" t="n">
        <v>0.0847222222218989</v>
      </c>
      <c r="H582" s="13" t="s">
        <v>248</v>
      </c>
      <c r="J582" s="13" t="s">
        <v>256</v>
      </c>
      <c r="K582" s="13" t="s">
        <v>430</v>
      </c>
      <c r="L582" s="13" t="s">
        <v>1000</v>
      </c>
      <c r="M582" s="66" t="s">
        <v>258</v>
      </c>
      <c r="N582" s="66" t="s">
        <v>379</v>
      </c>
      <c r="O582" s="66" t="s">
        <v>399</v>
      </c>
      <c r="P582" s="0" t="s">
        <v>1631</v>
      </c>
      <c r="Q582" s="66" t="s">
        <v>995</v>
      </c>
    </row>
    <row r="583" customFormat="false" ht="14.25" hidden="false" customHeight="false" outlineLevel="0" collapsed="false">
      <c r="A583" s="13" t="s">
        <v>816</v>
      </c>
      <c r="B583" s="13" t="s">
        <v>581</v>
      </c>
      <c r="C583" s="13" t="s">
        <v>592</v>
      </c>
      <c r="D583" s="61" t="n">
        <v>45967.6180555556</v>
      </c>
      <c r="E583" s="61" t="n">
        <v>45967.6180555556</v>
      </c>
      <c r="F583" s="61" t="n">
        <v>45967.7027777778</v>
      </c>
      <c r="G583" s="62" t="n">
        <v>0.0847222222218989</v>
      </c>
      <c r="H583" s="13" t="s">
        <v>248</v>
      </c>
      <c r="J583" s="13" t="s">
        <v>256</v>
      </c>
      <c r="K583" s="13" t="s">
        <v>430</v>
      </c>
      <c r="L583" s="13" t="s">
        <v>1000</v>
      </c>
      <c r="M583" s="66" t="s">
        <v>258</v>
      </c>
      <c r="N583" s="66" t="s">
        <v>379</v>
      </c>
      <c r="O583" s="66" t="s">
        <v>399</v>
      </c>
      <c r="P583" s="0" t="s">
        <v>1632</v>
      </c>
      <c r="Q583" s="66" t="s">
        <v>995</v>
      </c>
    </row>
    <row r="584" customFormat="false" ht="14.25" hidden="false" customHeight="false" outlineLevel="0" collapsed="false">
      <c r="A584" s="13" t="s">
        <v>816</v>
      </c>
      <c r="B584" s="13" t="s">
        <v>581</v>
      </c>
      <c r="C584" s="13" t="s">
        <v>595</v>
      </c>
      <c r="D584" s="61" t="n">
        <v>45967.6180555556</v>
      </c>
      <c r="E584" s="61" t="n">
        <v>45967.6180555556</v>
      </c>
      <c r="F584" s="61" t="n">
        <v>45967.7027777778</v>
      </c>
      <c r="G584" s="62" t="n">
        <v>0.0847222222218989</v>
      </c>
      <c r="H584" s="13" t="s">
        <v>248</v>
      </c>
      <c r="J584" s="13" t="s">
        <v>256</v>
      </c>
      <c r="K584" s="13" t="s">
        <v>430</v>
      </c>
      <c r="L584" s="13" t="s">
        <v>1000</v>
      </c>
      <c r="M584" s="66" t="s">
        <v>258</v>
      </c>
      <c r="N584" s="66" t="s">
        <v>379</v>
      </c>
      <c r="O584" s="66" t="s">
        <v>399</v>
      </c>
      <c r="P584" s="0" t="s">
        <v>1633</v>
      </c>
      <c r="Q584" s="66" t="s">
        <v>995</v>
      </c>
    </row>
    <row r="585" customFormat="false" ht="14.25" hidden="false" customHeight="false" outlineLevel="0" collapsed="false">
      <c r="A585" s="13" t="s">
        <v>816</v>
      </c>
      <c r="B585" s="13" t="s">
        <v>581</v>
      </c>
      <c r="C585" s="13" t="s">
        <v>599</v>
      </c>
      <c r="D585" s="61" t="n">
        <v>45967.6180555556</v>
      </c>
      <c r="E585" s="61" t="n">
        <v>45967.6180555556</v>
      </c>
      <c r="F585" s="61" t="n">
        <v>45967.7027777778</v>
      </c>
      <c r="G585" s="62" t="n">
        <v>0.0847222222218989</v>
      </c>
      <c r="H585" s="13" t="s">
        <v>248</v>
      </c>
      <c r="J585" s="13" t="s">
        <v>256</v>
      </c>
      <c r="K585" s="13" t="s">
        <v>430</v>
      </c>
      <c r="L585" s="13" t="s">
        <v>1000</v>
      </c>
      <c r="M585" s="66" t="s">
        <v>258</v>
      </c>
      <c r="N585" s="66" t="s">
        <v>379</v>
      </c>
      <c r="O585" s="66" t="s">
        <v>399</v>
      </c>
      <c r="P585" s="0" t="s">
        <v>1634</v>
      </c>
      <c r="Q585" s="66" t="s">
        <v>995</v>
      </c>
    </row>
    <row r="586" customFormat="false" ht="14.25" hidden="false" customHeight="false" outlineLevel="0" collapsed="false">
      <c r="A586" s="13" t="s">
        <v>816</v>
      </c>
      <c r="B586" s="13" t="s">
        <v>581</v>
      </c>
      <c r="C586" s="13" t="s">
        <v>584</v>
      </c>
      <c r="D586" s="61" t="n">
        <v>45967.6180555556</v>
      </c>
      <c r="E586" s="61" t="n">
        <v>45967.6180555556</v>
      </c>
      <c r="F586" s="61" t="n">
        <v>45967.7027777778</v>
      </c>
      <c r="G586" s="62" t="n">
        <v>0.0847222222218989</v>
      </c>
      <c r="H586" s="13" t="s">
        <v>248</v>
      </c>
      <c r="J586" s="13" t="s">
        <v>256</v>
      </c>
      <c r="K586" s="13" t="s">
        <v>430</v>
      </c>
      <c r="L586" s="13" t="s">
        <v>1000</v>
      </c>
      <c r="M586" s="66" t="s">
        <v>258</v>
      </c>
      <c r="N586" s="66" t="s">
        <v>379</v>
      </c>
      <c r="O586" s="66" t="s">
        <v>399</v>
      </c>
      <c r="P586" s="0" t="s">
        <v>1635</v>
      </c>
      <c r="Q586" s="66" t="s">
        <v>995</v>
      </c>
    </row>
    <row r="587" customFormat="false" ht="14.25" hidden="false" customHeight="false" outlineLevel="0" collapsed="false">
      <c r="A587" s="13" t="s">
        <v>816</v>
      </c>
      <c r="B587" s="13" t="s">
        <v>581</v>
      </c>
      <c r="C587" s="13" t="s">
        <v>590</v>
      </c>
      <c r="D587" s="61" t="n">
        <v>45967.6180555556</v>
      </c>
      <c r="E587" s="61" t="n">
        <v>45967.6180555556</v>
      </c>
      <c r="F587" s="61" t="n">
        <v>45967.7027777778</v>
      </c>
      <c r="G587" s="62" t="n">
        <v>0.0847222222218989</v>
      </c>
      <c r="H587" s="13" t="s">
        <v>248</v>
      </c>
      <c r="J587" s="13" t="s">
        <v>256</v>
      </c>
      <c r="K587" s="13" t="s">
        <v>430</v>
      </c>
      <c r="L587" s="13" t="s">
        <v>1000</v>
      </c>
      <c r="M587" s="66" t="s">
        <v>258</v>
      </c>
      <c r="N587" s="66" t="s">
        <v>379</v>
      </c>
      <c r="O587" s="66" t="s">
        <v>399</v>
      </c>
      <c r="P587" s="0" t="s">
        <v>1636</v>
      </c>
      <c r="Q587" s="66" t="s">
        <v>995</v>
      </c>
    </row>
    <row r="588" customFormat="false" ht="14.25" hidden="false" customHeight="false" outlineLevel="0" collapsed="false">
      <c r="A588" s="13" t="s">
        <v>254</v>
      </c>
      <c r="B588" s="13" t="s">
        <v>254</v>
      </c>
      <c r="C588" s="13" t="s">
        <v>255</v>
      </c>
      <c r="D588" s="61" t="n">
        <v>45968.25</v>
      </c>
      <c r="E588" s="61" t="n">
        <v>45968.25</v>
      </c>
      <c r="F588" s="61" t="n">
        <v>45968.2854166667</v>
      </c>
      <c r="G588" s="62" t="n">
        <v>0.0354166666656965</v>
      </c>
      <c r="H588" s="13" t="s">
        <v>248</v>
      </c>
      <c r="J588" s="13" t="s">
        <v>256</v>
      </c>
      <c r="K588" s="13" t="s">
        <v>430</v>
      </c>
      <c r="L588" s="13" t="s">
        <v>482</v>
      </c>
      <c r="M588" s="66" t="s">
        <v>787</v>
      </c>
      <c r="N588" s="66" t="s">
        <v>379</v>
      </c>
      <c r="O588" s="66" t="s">
        <v>790</v>
      </c>
      <c r="P588" s="0" t="s">
        <v>1637</v>
      </c>
      <c r="Q588" s="66" t="s">
        <v>995</v>
      </c>
    </row>
    <row r="589" customFormat="false" ht="14.25" hidden="false" customHeight="false" outlineLevel="0" collapsed="false">
      <c r="A589" s="13" t="s">
        <v>307</v>
      </c>
      <c r="B589" s="13" t="s">
        <v>307</v>
      </c>
      <c r="C589" s="13" t="s">
        <v>255</v>
      </c>
      <c r="D589" s="61" t="n">
        <v>45968.25</v>
      </c>
      <c r="E589" s="61" t="n">
        <v>45968.25</v>
      </c>
      <c r="F589" s="61" t="n">
        <v>45968.2854166667</v>
      </c>
      <c r="G589" s="62" t="n">
        <v>0.0354166666656965</v>
      </c>
      <c r="H589" s="13" t="s">
        <v>248</v>
      </c>
      <c r="J589" s="13" t="s">
        <v>256</v>
      </c>
      <c r="K589" s="13" t="s">
        <v>430</v>
      </c>
      <c r="L589" s="13" t="s">
        <v>482</v>
      </c>
      <c r="M589" s="66" t="s">
        <v>787</v>
      </c>
      <c r="N589" s="66" t="s">
        <v>379</v>
      </c>
      <c r="O589" s="66" t="s">
        <v>790</v>
      </c>
      <c r="P589" s="0" t="s">
        <v>1638</v>
      </c>
      <c r="Q589" s="66" t="s">
        <v>995</v>
      </c>
    </row>
    <row r="590" customFormat="false" ht="14.25" hidden="false" customHeight="false" outlineLevel="0" collapsed="false">
      <c r="A590" s="13" t="s">
        <v>308</v>
      </c>
      <c r="B590" s="13" t="s">
        <v>308</v>
      </c>
      <c r="C590" s="13" t="s">
        <v>255</v>
      </c>
      <c r="D590" s="61" t="n">
        <v>45968.25</v>
      </c>
      <c r="E590" s="61" t="n">
        <v>45968.25</v>
      </c>
      <c r="F590" s="61" t="n">
        <v>45968.2854166667</v>
      </c>
      <c r="G590" s="62" t="n">
        <v>0.0354166666656965</v>
      </c>
      <c r="H590" s="13" t="s">
        <v>248</v>
      </c>
      <c r="J590" s="13" t="s">
        <v>256</v>
      </c>
      <c r="K590" s="13" t="s">
        <v>430</v>
      </c>
      <c r="L590" s="13" t="s">
        <v>482</v>
      </c>
      <c r="M590" s="66" t="s">
        <v>787</v>
      </c>
      <c r="N590" s="66" t="s">
        <v>379</v>
      </c>
      <c r="O590" s="66" t="s">
        <v>790</v>
      </c>
      <c r="P590" s="0" t="s">
        <v>1639</v>
      </c>
      <c r="Q590" s="66" t="s">
        <v>995</v>
      </c>
    </row>
    <row r="591" customFormat="false" ht="14.25" hidden="false" customHeight="false" outlineLevel="0" collapsed="false">
      <c r="A591" s="13" t="s">
        <v>309</v>
      </c>
      <c r="B591" s="13" t="s">
        <v>309</v>
      </c>
      <c r="C591" s="13" t="s">
        <v>255</v>
      </c>
      <c r="D591" s="61" t="n">
        <v>45968.25</v>
      </c>
      <c r="E591" s="61" t="n">
        <v>45968.25</v>
      </c>
      <c r="F591" s="61" t="n">
        <v>45968.2854166667</v>
      </c>
      <c r="G591" s="62" t="n">
        <v>0.0354166666656965</v>
      </c>
      <c r="H591" s="13" t="s">
        <v>248</v>
      </c>
      <c r="J591" s="13" t="s">
        <v>256</v>
      </c>
      <c r="K591" s="13" t="s">
        <v>430</v>
      </c>
      <c r="L591" s="13" t="s">
        <v>482</v>
      </c>
      <c r="M591" s="66" t="s">
        <v>787</v>
      </c>
      <c r="N591" s="66" t="s">
        <v>379</v>
      </c>
      <c r="O591" s="66" t="s">
        <v>790</v>
      </c>
      <c r="P591" s="0" t="s">
        <v>1640</v>
      </c>
      <c r="Q591" s="66" t="s">
        <v>995</v>
      </c>
    </row>
    <row r="592" customFormat="false" ht="14.25" hidden="false" customHeight="false" outlineLevel="0" collapsed="false">
      <c r="A592" s="13" t="s">
        <v>310</v>
      </c>
      <c r="B592" s="13" t="s">
        <v>310</v>
      </c>
      <c r="C592" s="13" t="s">
        <v>255</v>
      </c>
      <c r="D592" s="61" t="n">
        <v>45968.25</v>
      </c>
      <c r="E592" s="61" t="n">
        <v>45968.25</v>
      </c>
      <c r="F592" s="61" t="n">
        <v>45968.2854166667</v>
      </c>
      <c r="G592" s="62" t="n">
        <v>0.0354166666656965</v>
      </c>
      <c r="H592" s="13" t="s">
        <v>248</v>
      </c>
      <c r="J592" s="13" t="s">
        <v>256</v>
      </c>
      <c r="K592" s="13" t="s">
        <v>430</v>
      </c>
      <c r="L592" s="13" t="s">
        <v>482</v>
      </c>
      <c r="M592" s="66" t="s">
        <v>787</v>
      </c>
      <c r="N592" s="66" t="s">
        <v>379</v>
      </c>
      <c r="O592" s="66" t="s">
        <v>790</v>
      </c>
      <c r="P592" s="0" t="s">
        <v>1641</v>
      </c>
      <c r="Q592" s="66" t="s">
        <v>995</v>
      </c>
    </row>
    <row r="593" customFormat="false" ht="14.25" hidden="false" customHeight="false" outlineLevel="0" collapsed="false">
      <c r="A593" s="13" t="s">
        <v>254</v>
      </c>
      <c r="B593" s="13" t="s">
        <v>254</v>
      </c>
      <c r="C593" s="13" t="s">
        <v>255</v>
      </c>
      <c r="D593" s="61" t="n">
        <v>45968.3777777778</v>
      </c>
      <c r="E593" s="61" t="n">
        <v>45968.3777777778</v>
      </c>
      <c r="F593" s="61" t="n">
        <v>45968.3847222222</v>
      </c>
      <c r="G593" s="62" t="n">
        <v>0.00694444444525288</v>
      </c>
      <c r="H593" s="13" t="s">
        <v>248</v>
      </c>
      <c r="J593" s="13" t="s">
        <v>256</v>
      </c>
      <c r="K593" s="13" t="s">
        <v>430</v>
      </c>
      <c r="L593" s="13" t="s">
        <v>482</v>
      </c>
      <c r="M593" s="66" t="s">
        <v>787</v>
      </c>
      <c r="N593" s="66" t="s">
        <v>379</v>
      </c>
      <c r="O593" s="66" t="s">
        <v>790</v>
      </c>
      <c r="P593" s="0" t="s">
        <v>1642</v>
      </c>
      <c r="Q593" s="66" t="s">
        <v>995</v>
      </c>
    </row>
    <row r="594" customFormat="false" ht="14.25" hidden="false" customHeight="false" outlineLevel="0" collapsed="false">
      <c r="A594" s="13" t="s">
        <v>307</v>
      </c>
      <c r="B594" s="13" t="s">
        <v>307</v>
      </c>
      <c r="C594" s="13" t="s">
        <v>255</v>
      </c>
      <c r="D594" s="61" t="n">
        <v>45968.3777777778</v>
      </c>
      <c r="E594" s="61" t="n">
        <v>45968.3777777778</v>
      </c>
      <c r="F594" s="61" t="n">
        <v>45968.3847222222</v>
      </c>
      <c r="G594" s="62" t="n">
        <v>0.00694444444525288</v>
      </c>
      <c r="H594" s="13" t="s">
        <v>248</v>
      </c>
      <c r="J594" s="13" t="s">
        <v>256</v>
      </c>
      <c r="K594" s="13" t="s">
        <v>430</v>
      </c>
      <c r="L594" s="13" t="s">
        <v>482</v>
      </c>
      <c r="M594" s="66" t="s">
        <v>787</v>
      </c>
      <c r="N594" s="66" t="s">
        <v>379</v>
      </c>
      <c r="O594" s="66" t="s">
        <v>790</v>
      </c>
      <c r="P594" s="0" t="s">
        <v>1643</v>
      </c>
      <c r="Q594" s="66" t="s">
        <v>995</v>
      </c>
    </row>
    <row r="595" customFormat="false" ht="14.25" hidden="false" customHeight="false" outlineLevel="0" collapsed="false">
      <c r="A595" s="13" t="s">
        <v>308</v>
      </c>
      <c r="B595" s="13" t="s">
        <v>308</v>
      </c>
      <c r="C595" s="13" t="s">
        <v>255</v>
      </c>
      <c r="D595" s="61" t="n">
        <v>45968.3777777778</v>
      </c>
      <c r="E595" s="61" t="n">
        <v>45968.3777777778</v>
      </c>
      <c r="F595" s="61" t="n">
        <v>45968.3847222222</v>
      </c>
      <c r="G595" s="62" t="n">
        <v>0.00694444444525288</v>
      </c>
      <c r="H595" s="13" t="s">
        <v>248</v>
      </c>
      <c r="J595" s="13" t="s">
        <v>256</v>
      </c>
      <c r="K595" s="13" t="s">
        <v>430</v>
      </c>
      <c r="L595" s="13" t="s">
        <v>482</v>
      </c>
      <c r="M595" s="66" t="s">
        <v>787</v>
      </c>
      <c r="N595" s="66" t="s">
        <v>379</v>
      </c>
      <c r="O595" s="66" t="s">
        <v>790</v>
      </c>
      <c r="P595" s="0" t="s">
        <v>1644</v>
      </c>
      <c r="Q595" s="66" t="s">
        <v>995</v>
      </c>
    </row>
    <row r="596" customFormat="false" ht="14.25" hidden="false" customHeight="false" outlineLevel="0" collapsed="false">
      <c r="A596" s="13" t="s">
        <v>309</v>
      </c>
      <c r="B596" s="13" t="s">
        <v>309</v>
      </c>
      <c r="C596" s="13" t="s">
        <v>255</v>
      </c>
      <c r="D596" s="61" t="n">
        <v>45968.3777777778</v>
      </c>
      <c r="E596" s="61" t="n">
        <v>45968.3777777778</v>
      </c>
      <c r="F596" s="61" t="n">
        <v>45968.3847222222</v>
      </c>
      <c r="G596" s="62" t="n">
        <v>0.00694444444525288</v>
      </c>
      <c r="H596" s="13" t="s">
        <v>248</v>
      </c>
      <c r="J596" s="13" t="s">
        <v>256</v>
      </c>
      <c r="K596" s="13" t="s">
        <v>430</v>
      </c>
      <c r="L596" s="13" t="s">
        <v>482</v>
      </c>
      <c r="M596" s="66" t="s">
        <v>787</v>
      </c>
      <c r="N596" s="66" t="s">
        <v>379</v>
      </c>
      <c r="O596" s="66" t="s">
        <v>790</v>
      </c>
      <c r="P596" s="0" t="s">
        <v>1645</v>
      </c>
      <c r="Q596" s="66" t="s">
        <v>995</v>
      </c>
    </row>
    <row r="597" customFormat="false" ht="14.25" hidden="false" customHeight="false" outlineLevel="0" collapsed="false">
      <c r="A597" s="13" t="s">
        <v>310</v>
      </c>
      <c r="B597" s="13" t="s">
        <v>310</v>
      </c>
      <c r="C597" s="13" t="s">
        <v>255</v>
      </c>
      <c r="D597" s="61" t="n">
        <v>45968.3777777778</v>
      </c>
      <c r="E597" s="61" t="n">
        <v>45968.3777777778</v>
      </c>
      <c r="F597" s="61" t="n">
        <v>45968.3847222222</v>
      </c>
      <c r="G597" s="62" t="n">
        <v>0.00694444444525288</v>
      </c>
      <c r="H597" s="13" t="s">
        <v>248</v>
      </c>
      <c r="J597" s="13" t="s">
        <v>256</v>
      </c>
      <c r="K597" s="13" t="s">
        <v>430</v>
      </c>
      <c r="L597" s="13" t="s">
        <v>482</v>
      </c>
      <c r="M597" s="66" t="s">
        <v>787</v>
      </c>
      <c r="N597" s="66" t="s">
        <v>379</v>
      </c>
      <c r="O597" s="66" t="s">
        <v>790</v>
      </c>
      <c r="P597" s="0" t="s">
        <v>1646</v>
      </c>
      <c r="Q597" s="66" t="s">
        <v>995</v>
      </c>
    </row>
    <row r="598" customFormat="false" ht="14.25" hidden="false" customHeight="false" outlineLevel="0" collapsed="false">
      <c r="A598" s="13" t="s">
        <v>726</v>
      </c>
      <c r="B598" s="13" t="s">
        <v>726</v>
      </c>
      <c r="C598" s="13" t="s">
        <v>277</v>
      </c>
      <c r="D598" s="61" t="n">
        <v>45968.4409722222</v>
      </c>
      <c r="E598" s="61" t="n">
        <v>45968.4409722222</v>
      </c>
      <c r="F598" s="61" t="n">
        <v>45968.4479166667</v>
      </c>
      <c r="G598" s="62" t="n">
        <v>0.00694444444525288</v>
      </c>
      <c r="H598" s="13" t="s">
        <v>445</v>
      </c>
      <c r="I598" s="13" t="s">
        <v>263</v>
      </c>
      <c r="J598" s="13" t="s">
        <v>417</v>
      </c>
      <c r="K598" s="13" t="s">
        <v>1405</v>
      </c>
      <c r="L598" s="13" t="s">
        <v>420</v>
      </c>
      <c r="M598" s="66" t="s">
        <v>418</v>
      </c>
      <c r="N598" s="66" t="s">
        <v>625</v>
      </c>
      <c r="O598" s="66" t="s">
        <v>625</v>
      </c>
      <c r="P598" s="0" t="s">
        <v>1647</v>
      </c>
      <c r="Q598" s="66" t="s">
        <v>1407</v>
      </c>
    </row>
    <row r="599" customFormat="false" ht="14.25" hidden="false" customHeight="false" outlineLevel="0" collapsed="false">
      <c r="A599" s="13" t="s">
        <v>726</v>
      </c>
      <c r="B599" s="13" t="s">
        <v>726</v>
      </c>
      <c r="C599" s="13" t="s">
        <v>247</v>
      </c>
      <c r="D599" s="61" t="n">
        <v>45968.4409722222</v>
      </c>
      <c r="E599" s="61" t="n">
        <v>45968.4409722222</v>
      </c>
      <c r="F599" s="61" t="n">
        <v>45968.4479166667</v>
      </c>
      <c r="G599" s="62" t="n">
        <v>0.00694444444525288</v>
      </c>
      <c r="H599" s="13" t="s">
        <v>445</v>
      </c>
      <c r="I599" s="13" t="s">
        <v>263</v>
      </c>
      <c r="J599" s="13" t="s">
        <v>417</v>
      </c>
      <c r="K599" s="13" t="s">
        <v>1405</v>
      </c>
      <c r="L599" s="13" t="s">
        <v>420</v>
      </c>
      <c r="M599" s="66" t="s">
        <v>418</v>
      </c>
      <c r="N599" s="66" t="s">
        <v>625</v>
      </c>
      <c r="O599" s="66" t="s">
        <v>625</v>
      </c>
      <c r="P599" s="0" t="s">
        <v>1648</v>
      </c>
      <c r="Q599" s="66" t="s">
        <v>1407</v>
      </c>
    </row>
    <row r="600" customFormat="false" ht="14.25" hidden="false" customHeight="false" outlineLevel="0" collapsed="false">
      <c r="A600" s="13" t="s">
        <v>726</v>
      </c>
      <c r="B600" s="13" t="s">
        <v>726</v>
      </c>
      <c r="C600" s="13" t="s">
        <v>729</v>
      </c>
      <c r="D600" s="61" t="n">
        <v>45968.4409722222</v>
      </c>
      <c r="E600" s="61" t="n">
        <v>45968.4409722222</v>
      </c>
      <c r="F600" s="61" t="n">
        <v>45968.4479166667</v>
      </c>
      <c r="G600" s="62" t="n">
        <v>0.00694444444525288</v>
      </c>
      <c r="H600" s="13" t="s">
        <v>445</v>
      </c>
      <c r="I600" s="13" t="s">
        <v>263</v>
      </c>
      <c r="J600" s="13" t="s">
        <v>417</v>
      </c>
      <c r="K600" s="13" t="s">
        <v>1405</v>
      </c>
      <c r="L600" s="13" t="s">
        <v>420</v>
      </c>
      <c r="M600" s="66" t="s">
        <v>418</v>
      </c>
      <c r="N600" s="66" t="s">
        <v>625</v>
      </c>
      <c r="O600" s="66" t="s">
        <v>625</v>
      </c>
      <c r="P600" s="0" t="s">
        <v>1649</v>
      </c>
      <c r="Q600" s="66" t="s">
        <v>1407</v>
      </c>
    </row>
    <row r="601" customFormat="false" ht="14.25" hidden="false" customHeight="false" outlineLevel="0" collapsed="false">
      <c r="A601" s="13" t="s">
        <v>726</v>
      </c>
      <c r="B601" s="13" t="s">
        <v>726</v>
      </c>
      <c r="C601" s="13" t="s">
        <v>730</v>
      </c>
      <c r="D601" s="61" t="n">
        <v>45968.4409722222</v>
      </c>
      <c r="E601" s="61" t="n">
        <v>45968.4409722222</v>
      </c>
      <c r="F601" s="61" t="n">
        <v>45968.4479166667</v>
      </c>
      <c r="G601" s="62" t="n">
        <v>0.00694444444525288</v>
      </c>
      <c r="H601" s="13" t="s">
        <v>445</v>
      </c>
      <c r="I601" s="13" t="s">
        <v>263</v>
      </c>
      <c r="J601" s="13" t="s">
        <v>417</v>
      </c>
      <c r="K601" s="13" t="s">
        <v>1405</v>
      </c>
      <c r="L601" s="13" t="s">
        <v>420</v>
      </c>
      <c r="M601" s="66" t="s">
        <v>418</v>
      </c>
      <c r="N601" s="66" t="s">
        <v>625</v>
      </c>
      <c r="O601" s="66" t="s">
        <v>625</v>
      </c>
      <c r="P601" s="0" t="s">
        <v>1650</v>
      </c>
      <c r="Q601" s="66" t="s">
        <v>1407</v>
      </c>
    </row>
    <row r="602" customFormat="false" ht="14.25" hidden="false" customHeight="false" outlineLevel="0" collapsed="false">
      <c r="A602" s="13" t="s">
        <v>726</v>
      </c>
      <c r="B602" s="13" t="s">
        <v>726</v>
      </c>
      <c r="C602" s="13" t="s">
        <v>690</v>
      </c>
      <c r="D602" s="61" t="n">
        <v>45968.4409722222</v>
      </c>
      <c r="E602" s="61" t="n">
        <v>45968.4409722222</v>
      </c>
      <c r="F602" s="61" t="n">
        <v>45968.4479166667</v>
      </c>
      <c r="G602" s="62" t="n">
        <v>0.00694444444525288</v>
      </c>
      <c r="H602" s="13" t="s">
        <v>445</v>
      </c>
      <c r="I602" s="13" t="s">
        <v>263</v>
      </c>
      <c r="J602" s="13" t="s">
        <v>417</v>
      </c>
      <c r="K602" s="13" t="s">
        <v>1405</v>
      </c>
      <c r="L602" s="13" t="s">
        <v>420</v>
      </c>
      <c r="M602" s="66" t="s">
        <v>418</v>
      </c>
      <c r="N602" s="66" t="s">
        <v>625</v>
      </c>
      <c r="O602" s="66" t="s">
        <v>625</v>
      </c>
      <c r="P602" s="0" t="s">
        <v>1651</v>
      </c>
      <c r="Q602" s="66" t="s">
        <v>1407</v>
      </c>
    </row>
    <row r="603" customFormat="false" ht="14.25" hidden="false" customHeight="false" outlineLevel="0" collapsed="false">
      <c r="A603" s="13" t="s">
        <v>731</v>
      </c>
      <c r="B603" s="13" t="s">
        <v>731</v>
      </c>
      <c r="C603" s="13" t="s">
        <v>732</v>
      </c>
      <c r="D603" s="61" t="n">
        <v>45968.4409722222</v>
      </c>
      <c r="E603" s="61" t="n">
        <v>45968.4409722222</v>
      </c>
      <c r="F603" s="61" t="n">
        <v>45968.4479166667</v>
      </c>
      <c r="G603" s="62" t="n">
        <v>0.00694444444525288</v>
      </c>
      <c r="H603" s="13" t="s">
        <v>445</v>
      </c>
      <c r="I603" s="13" t="s">
        <v>263</v>
      </c>
      <c r="J603" s="13" t="s">
        <v>417</v>
      </c>
      <c r="K603" s="13" t="s">
        <v>1405</v>
      </c>
      <c r="L603" s="13" t="s">
        <v>420</v>
      </c>
      <c r="M603" s="66" t="s">
        <v>418</v>
      </c>
      <c r="N603" s="66" t="s">
        <v>625</v>
      </c>
      <c r="O603" s="66" t="s">
        <v>625</v>
      </c>
      <c r="P603" s="0" t="s">
        <v>1652</v>
      </c>
      <c r="Q603" s="66" t="s">
        <v>1407</v>
      </c>
    </row>
    <row r="604" customFormat="false" ht="14.25" hidden="false" customHeight="false" outlineLevel="0" collapsed="false">
      <c r="A604" s="13" t="s">
        <v>731</v>
      </c>
      <c r="B604" s="13" t="s">
        <v>731</v>
      </c>
      <c r="C604" s="13" t="s">
        <v>733</v>
      </c>
      <c r="D604" s="61" t="n">
        <v>45968.4409722222</v>
      </c>
      <c r="E604" s="61" t="n">
        <v>45968.4409722222</v>
      </c>
      <c r="F604" s="61" t="n">
        <v>45968.4479166667</v>
      </c>
      <c r="G604" s="62" t="n">
        <v>0.00694444444525288</v>
      </c>
      <c r="H604" s="13" t="s">
        <v>445</v>
      </c>
      <c r="I604" s="13" t="s">
        <v>263</v>
      </c>
      <c r="J604" s="13" t="s">
        <v>417</v>
      </c>
      <c r="K604" s="13" t="s">
        <v>1405</v>
      </c>
      <c r="L604" s="13" t="s">
        <v>420</v>
      </c>
      <c r="M604" s="66" t="s">
        <v>418</v>
      </c>
      <c r="N604" s="66" t="s">
        <v>625</v>
      </c>
      <c r="O604" s="66" t="s">
        <v>625</v>
      </c>
      <c r="P604" s="0" t="s">
        <v>1653</v>
      </c>
      <c r="Q604" s="66" t="s">
        <v>1407</v>
      </c>
    </row>
    <row r="605" customFormat="false" ht="14.25" hidden="false" customHeight="false" outlineLevel="0" collapsed="false">
      <c r="A605" s="13" t="s">
        <v>731</v>
      </c>
      <c r="B605" s="13" t="s">
        <v>731</v>
      </c>
      <c r="C605" s="13" t="s">
        <v>734</v>
      </c>
      <c r="D605" s="61" t="n">
        <v>45968.4409722222</v>
      </c>
      <c r="E605" s="61" t="n">
        <v>45968.4409722222</v>
      </c>
      <c r="F605" s="61" t="n">
        <v>45968.4479166667</v>
      </c>
      <c r="G605" s="62" t="n">
        <v>0.00694444444525288</v>
      </c>
      <c r="H605" s="13" t="s">
        <v>445</v>
      </c>
      <c r="I605" s="13" t="s">
        <v>263</v>
      </c>
      <c r="J605" s="13" t="s">
        <v>417</v>
      </c>
      <c r="K605" s="13" t="s">
        <v>1405</v>
      </c>
      <c r="L605" s="13" t="s">
        <v>420</v>
      </c>
      <c r="M605" s="66" t="s">
        <v>418</v>
      </c>
      <c r="N605" s="66" t="s">
        <v>625</v>
      </c>
      <c r="O605" s="66" t="s">
        <v>625</v>
      </c>
      <c r="P605" s="0" t="s">
        <v>1654</v>
      </c>
      <c r="Q605" s="66" t="s">
        <v>1407</v>
      </c>
    </row>
    <row r="606" customFormat="false" ht="14.25" hidden="false" customHeight="false" outlineLevel="0" collapsed="false">
      <c r="A606" s="13" t="s">
        <v>726</v>
      </c>
      <c r="B606" s="13" t="s">
        <v>726</v>
      </c>
      <c r="C606" s="13" t="s">
        <v>277</v>
      </c>
      <c r="D606" s="61" t="n">
        <v>45968.5118055556</v>
      </c>
      <c r="E606" s="61" t="n">
        <v>45968.5118055556</v>
      </c>
      <c r="F606" s="61" t="n">
        <v>45968.5451388889</v>
      </c>
      <c r="G606" s="62" t="n">
        <v>0.0333333333328483</v>
      </c>
      <c r="H606" s="13" t="s">
        <v>445</v>
      </c>
      <c r="I606" s="13" t="s">
        <v>263</v>
      </c>
      <c r="J606" s="13" t="s">
        <v>417</v>
      </c>
      <c r="K606" s="13" t="s">
        <v>1405</v>
      </c>
      <c r="L606" s="13" t="s">
        <v>420</v>
      </c>
      <c r="M606" s="66" t="s">
        <v>418</v>
      </c>
      <c r="N606" s="66" t="s">
        <v>625</v>
      </c>
      <c r="O606" s="66" t="s">
        <v>625</v>
      </c>
      <c r="P606" s="0" t="s">
        <v>1655</v>
      </c>
      <c r="Q606" s="66" t="s">
        <v>1407</v>
      </c>
    </row>
    <row r="607" customFormat="false" ht="14.25" hidden="false" customHeight="false" outlineLevel="0" collapsed="false">
      <c r="A607" s="13" t="s">
        <v>726</v>
      </c>
      <c r="B607" s="13" t="s">
        <v>726</v>
      </c>
      <c r="C607" s="13" t="s">
        <v>247</v>
      </c>
      <c r="D607" s="61" t="n">
        <v>45968.5118055556</v>
      </c>
      <c r="E607" s="61" t="n">
        <v>45968.5118055556</v>
      </c>
      <c r="F607" s="61" t="n">
        <v>45968.5451388889</v>
      </c>
      <c r="G607" s="62" t="n">
        <v>0.0333333333328483</v>
      </c>
      <c r="H607" s="13" t="s">
        <v>445</v>
      </c>
      <c r="I607" s="13" t="s">
        <v>263</v>
      </c>
      <c r="J607" s="13" t="s">
        <v>417</v>
      </c>
      <c r="K607" s="13" t="s">
        <v>1405</v>
      </c>
      <c r="L607" s="13" t="s">
        <v>420</v>
      </c>
      <c r="M607" s="66" t="s">
        <v>418</v>
      </c>
      <c r="N607" s="66" t="s">
        <v>625</v>
      </c>
      <c r="O607" s="66" t="s">
        <v>625</v>
      </c>
      <c r="P607" s="0" t="s">
        <v>1656</v>
      </c>
      <c r="Q607" s="66" t="s">
        <v>1407</v>
      </c>
    </row>
    <row r="608" customFormat="false" ht="14.25" hidden="false" customHeight="false" outlineLevel="0" collapsed="false">
      <c r="A608" s="13" t="s">
        <v>726</v>
      </c>
      <c r="B608" s="13" t="s">
        <v>726</v>
      </c>
      <c r="C608" s="13" t="s">
        <v>729</v>
      </c>
      <c r="D608" s="61" t="n">
        <v>45968.5118055556</v>
      </c>
      <c r="E608" s="61" t="n">
        <v>45968.5118055556</v>
      </c>
      <c r="F608" s="61" t="n">
        <v>45968.5451388889</v>
      </c>
      <c r="G608" s="62" t="n">
        <v>0.0333333333328483</v>
      </c>
      <c r="H608" s="13" t="s">
        <v>445</v>
      </c>
      <c r="I608" s="13" t="s">
        <v>263</v>
      </c>
      <c r="J608" s="13" t="s">
        <v>417</v>
      </c>
      <c r="K608" s="13" t="s">
        <v>1405</v>
      </c>
      <c r="L608" s="13" t="s">
        <v>420</v>
      </c>
      <c r="M608" s="66" t="s">
        <v>418</v>
      </c>
      <c r="N608" s="66" t="s">
        <v>625</v>
      </c>
      <c r="O608" s="66" t="s">
        <v>625</v>
      </c>
      <c r="P608" s="0" t="s">
        <v>1657</v>
      </c>
      <c r="Q608" s="66" t="s">
        <v>1407</v>
      </c>
    </row>
    <row r="609" customFormat="false" ht="14.25" hidden="false" customHeight="false" outlineLevel="0" collapsed="false">
      <c r="A609" s="13" t="s">
        <v>726</v>
      </c>
      <c r="B609" s="13" t="s">
        <v>726</v>
      </c>
      <c r="C609" s="13" t="s">
        <v>730</v>
      </c>
      <c r="D609" s="61" t="n">
        <v>45968.5118055556</v>
      </c>
      <c r="E609" s="61" t="n">
        <v>45968.5118055556</v>
      </c>
      <c r="F609" s="61" t="n">
        <v>45968.5451388889</v>
      </c>
      <c r="G609" s="62" t="n">
        <v>0.0333333333328483</v>
      </c>
      <c r="H609" s="13" t="s">
        <v>445</v>
      </c>
      <c r="I609" s="13" t="s">
        <v>263</v>
      </c>
      <c r="J609" s="13" t="s">
        <v>417</v>
      </c>
      <c r="K609" s="13" t="s">
        <v>1405</v>
      </c>
      <c r="L609" s="13" t="s">
        <v>420</v>
      </c>
      <c r="M609" s="66" t="s">
        <v>418</v>
      </c>
      <c r="N609" s="66" t="s">
        <v>625</v>
      </c>
      <c r="O609" s="66" t="s">
        <v>625</v>
      </c>
      <c r="P609" s="0" t="s">
        <v>1658</v>
      </c>
      <c r="Q609" s="66" t="s">
        <v>1407</v>
      </c>
    </row>
    <row r="610" customFormat="false" ht="14.25" hidden="false" customHeight="false" outlineLevel="0" collapsed="false">
      <c r="A610" s="13" t="s">
        <v>726</v>
      </c>
      <c r="B610" s="13" t="s">
        <v>726</v>
      </c>
      <c r="C610" s="13" t="s">
        <v>690</v>
      </c>
      <c r="D610" s="61" t="n">
        <v>45968.5118055556</v>
      </c>
      <c r="E610" s="61" t="n">
        <v>45968.5118055556</v>
      </c>
      <c r="F610" s="61" t="n">
        <v>45968.5451388889</v>
      </c>
      <c r="G610" s="62" t="n">
        <v>0.0333333333328483</v>
      </c>
      <c r="H610" s="13" t="s">
        <v>445</v>
      </c>
      <c r="I610" s="13" t="s">
        <v>263</v>
      </c>
      <c r="J610" s="13" t="s">
        <v>417</v>
      </c>
      <c r="K610" s="13" t="s">
        <v>1405</v>
      </c>
      <c r="L610" s="13" t="s">
        <v>420</v>
      </c>
      <c r="M610" s="66" t="s">
        <v>418</v>
      </c>
      <c r="N610" s="66" t="s">
        <v>625</v>
      </c>
      <c r="O610" s="66" t="s">
        <v>625</v>
      </c>
      <c r="P610" s="0" t="s">
        <v>1659</v>
      </c>
      <c r="Q610" s="66" t="s">
        <v>1407</v>
      </c>
    </row>
    <row r="611" customFormat="false" ht="14.25" hidden="false" customHeight="false" outlineLevel="0" collapsed="false">
      <c r="A611" s="13" t="s">
        <v>731</v>
      </c>
      <c r="B611" s="13" t="s">
        <v>731</v>
      </c>
      <c r="C611" s="13" t="s">
        <v>732</v>
      </c>
      <c r="D611" s="61" t="n">
        <v>45968.5118055556</v>
      </c>
      <c r="E611" s="61" t="n">
        <v>45968.5118055556</v>
      </c>
      <c r="F611" s="61" t="n">
        <v>45968.5451388889</v>
      </c>
      <c r="G611" s="62" t="n">
        <v>0.0333333333328483</v>
      </c>
      <c r="H611" s="13" t="s">
        <v>445</v>
      </c>
      <c r="I611" s="13" t="s">
        <v>263</v>
      </c>
      <c r="J611" s="13" t="s">
        <v>417</v>
      </c>
      <c r="K611" s="13" t="s">
        <v>1405</v>
      </c>
      <c r="L611" s="13" t="s">
        <v>420</v>
      </c>
      <c r="M611" s="66" t="s">
        <v>418</v>
      </c>
      <c r="N611" s="66" t="s">
        <v>625</v>
      </c>
      <c r="O611" s="66" t="s">
        <v>625</v>
      </c>
      <c r="P611" s="0" t="s">
        <v>1660</v>
      </c>
      <c r="Q611" s="66" t="s">
        <v>1407</v>
      </c>
    </row>
    <row r="612" customFormat="false" ht="14.25" hidden="false" customHeight="false" outlineLevel="0" collapsed="false">
      <c r="A612" s="13" t="s">
        <v>731</v>
      </c>
      <c r="B612" s="13" t="s">
        <v>731</v>
      </c>
      <c r="C612" s="13" t="s">
        <v>733</v>
      </c>
      <c r="D612" s="61" t="n">
        <v>45968.5118055556</v>
      </c>
      <c r="E612" s="61" t="n">
        <v>45968.5118055556</v>
      </c>
      <c r="F612" s="61" t="n">
        <v>45968.5451388889</v>
      </c>
      <c r="G612" s="62" t="n">
        <v>0.0333333333328483</v>
      </c>
      <c r="H612" s="13" t="s">
        <v>445</v>
      </c>
      <c r="I612" s="13" t="s">
        <v>263</v>
      </c>
      <c r="J612" s="13" t="s">
        <v>417</v>
      </c>
      <c r="K612" s="13" t="s">
        <v>1405</v>
      </c>
      <c r="L612" s="13" t="s">
        <v>420</v>
      </c>
      <c r="M612" s="66" t="s">
        <v>418</v>
      </c>
      <c r="N612" s="66" t="s">
        <v>625</v>
      </c>
      <c r="O612" s="66" t="s">
        <v>625</v>
      </c>
      <c r="P612" s="0" t="s">
        <v>1661</v>
      </c>
      <c r="Q612" s="66" t="s">
        <v>1407</v>
      </c>
    </row>
    <row r="613" customFormat="false" ht="14.25" hidden="false" customHeight="false" outlineLevel="0" collapsed="false">
      <c r="A613" s="13" t="s">
        <v>731</v>
      </c>
      <c r="B613" s="13" t="s">
        <v>731</v>
      </c>
      <c r="C613" s="13" t="s">
        <v>734</v>
      </c>
      <c r="D613" s="61" t="n">
        <v>45968.5118055556</v>
      </c>
      <c r="E613" s="61" t="n">
        <v>45968.5118055556</v>
      </c>
      <c r="F613" s="61" t="n">
        <v>45968.5451388889</v>
      </c>
      <c r="G613" s="62" t="n">
        <v>0.0333333333328483</v>
      </c>
      <c r="H613" s="13" t="s">
        <v>445</v>
      </c>
      <c r="I613" s="13" t="s">
        <v>263</v>
      </c>
      <c r="J613" s="13" t="s">
        <v>417</v>
      </c>
      <c r="K613" s="13" t="s">
        <v>1405</v>
      </c>
      <c r="L613" s="13" t="s">
        <v>420</v>
      </c>
      <c r="M613" s="66" t="s">
        <v>418</v>
      </c>
      <c r="N613" s="66" t="s">
        <v>625</v>
      </c>
      <c r="O613" s="66" t="s">
        <v>625</v>
      </c>
      <c r="P613" s="0" t="s">
        <v>1662</v>
      </c>
      <c r="Q613" s="66" t="s">
        <v>1407</v>
      </c>
    </row>
    <row r="614" customFormat="false" ht="82.05" hidden="false" customHeight="false" outlineLevel="0" collapsed="false">
      <c r="A614" s="13" t="s">
        <v>330</v>
      </c>
      <c r="B614" s="13" t="s">
        <v>330</v>
      </c>
      <c r="C614" s="13" t="s">
        <v>277</v>
      </c>
      <c r="D614" s="61" t="n">
        <v>45969.5069444444</v>
      </c>
      <c r="E614" s="61" t="n">
        <v>45969.5069444444</v>
      </c>
      <c r="F614" s="61" t="n">
        <v>45969.6083333333</v>
      </c>
      <c r="G614" s="62" t="n">
        <v>0.101388888884685</v>
      </c>
      <c r="H614" s="13" t="s">
        <v>313</v>
      </c>
      <c r="J614" s="13" t="s">
        <v>230</v>
      </c>
      <c r="K614" s="13" t="s">
        <v>230</v>
      </c>
      <c r="L614" s="68" t="s">
        <v>1663</v>
      </c>
      <c r="M614" s="66" t="s">
        <v>288</v>
      </c>
      <c r="N614" s="66" t="s">
        <v>315</v>
      </c>
      <c r="O614" s="67" t="s">
        <v>1664</v>
      </c>
      <c r="P614" s="0" t="s">
        <v>1665</v>
      </c>
      <c r="Q614" s="66" t="s">
        <v>1393</v>
      </c>
    </row>
    <row r="615" customFormat="false" ht="82.05" hidden="false" customHeight="false" outlineLevel="0" collapsed="false">
      <c r="A615" s="13" t="s">
        <v>330</v>
      </c>
      <c r="B615" s="13" t="s">
        <v>330</v>
      </c>
      <c r="C615" s="13" t="s">
        <v>280</v>
      </c>
      <c r="D615" s="61" t="n">
        <v>45969.5069444444</v>
      </c>
      <c r="E615" s="61" t="n">
        <v>45969.5069444444</v>
      </c>
      <c r="F615" s="61" t="n">
        <v>45969.6083333333</v>
      </c>
      <c r="G615" s="62" t="n">
        <v>0.101388888884685</v>
      </c>
      <c r="H615" s="13" t="s">
        <v>313</v>
      </c>
      <c r="J615" s="13" t="s">
        <v>230</v>
      </c>
      <c r="K615" s="13" t="s">
        <v>230</v>
      </c>
      <c r="L615" s="68" t="s">
        <v>1663</v>
      </c>
      <c r="M615" s="66" t="s">
        <v>288</v>
      </c>
      <c r="N615" s="66" t="s">
        <v>315</v>
      </c>
      <c r="O615" s="67" t="s">
        <v>1664</v>
      </c>
      <c r="P615" s="0" t="s">
        <v>1666</v>
      </c>
      <c r="Q615" s="66" t="s">
        <v>1393</v>
      </c>
    </row>
    <row r="616" customFormat="false" ht="82.05" hidden="false" customHeight="false" outlineLevel="0" collapsed="false">
      <c r="A616" s="13" t="s">
        <v>330</v>
      </c>
      <c r="B616" s="13" t="s">
        <v>330</v>
      </c>
      <c r="C616" s="13" t="s">
        <v>247</v>
      </c>
      <c r="D616" s="61" t="n">
        <v>45969.5069444444</v>
      </c>
      <c r="E616" s="61" t="n">
        <v>45969.5069444444</v>
      </c>
      <c r="F616" s="61" t="n">
        <v>45969.6083333333</v>
      </c>
      <c r="G616" s="62" t="n">
        <v>0.101388888884685</v>
      </c>
      <c r="H616" s="13" t="s">
        <v>313</v>
      </c>
      <c r="J616" s="13" t="s">
        <v>230</v>
      </c>
      <c r="K616" s="13" t="s">
        <v>230</v>
      </c>
      <c r="L616" s="68" t="s">
        <v>1663</v>
      </c>
      <c r="M616" s="66" t="s">
        <v>288</v>
      </c>
      <c r="N616" s="66" t="s">
        <v>315</v>
      </c>
      <c r="O616" s="67" t="s">
        <v>1664</v>
      </c>
      <c r="P616" s="0" t="s">
        <v>1667</v>
      </c>
      <c r="Q616" s="66" t="s">
        <v>1393</v>
      </c>
    </row>
    <row r="617" customFormat="false" ht="82.05" hidden="false" customHeight="false" outlineLevel="0" collapsed="false">
      <c r="A617" s="13" t="s">
        <v>330</v>
      </c>
      <c r="B617" s="13" t="s">
        <v>330</v>
      </c>
      <c r="C617" s="13" t="s">
        <v>255</v>
      </c>
      <c r="D617" s="61" t="n">
        <v>45969.5069444444</v>
      </c>
      <c r="E617" s="61" t="n">
        <v>45969.5069444444</v>
      </c>
      <c r="F617" s="61" t="n">
        <v>45969.6083333333</v>
      </c>
      <c r="G617" s="62" t="n">
        <v>0.101388888884685</v>
      </c>
      <c r="H617" s="13" t="s">
        <v>313</v>
      </c>
      <c r="J617" s="13" t="s">
        <v>230</v>
      </c>
      <c r="K617" s="13" t="s">
        <v>230</v>
      </c>
      <c r="L617" s="68" t="s">
        <v>1663</v>
      </c>
      <c r="M617" s="66" t="s">
        <v>288</v>
      </c>
      <c r="N617" s="66" t="s">
        <v>315</v>
      </c>
      <c r="O617" s="67" t="s">
        <v>1664</v>
      </c>
      <c r="P617" s="0" t="s">
        <v>1668</v>
      </c>
      <c r="Q617" s="66" t="s">
        <v>1393</v>
      </c>
    </row>
    <row r="618" customFormat="false" ht="82.05" hidden="false" customHeight="false" outlineLevel="0" collapsed="false">
      <c r="A618" s="13" t="s">
        <v>622</v>
      </c>
      <c r="B618" s="13" t="s">
        <v>622</v>
      </c>
      <c r="C618" s="13" t="s">
        <v>280</v>
      </c>
      <c r="D618" s="61" t="n">
        <v>45969.5069444444</v>
      </c>
      <c r="E618" s="61" t="n">
        <v>45969.5069444444</v>
      </c>
      <c r="F618" s="61" t="n">
        <v>45969.6083333333</v>
      </c>
      <c r="G618" s="62" t="n">
        <v>0.101388888884685</v>
      </c>
      <c r="H618" s="13" t="s">
        <v>313</v>
      </c>
      <c r="J618" s="13" t="s">
        <v>230</v>
      </c>
      <c r="K618" s="13" t="s">
        <v>230</v>
      </c>
      <c r="L618" s="68" t="s">
        <v>1663</v>
      </c>
      <c r="M618" s="66" t="s">
        <v>288</v>
      </c>
      <c r="N618" s="66" t="s">
        <v>315</v>
      </c>
      <c r="O618" s="67" t="s">
        <v>1664</v>
      </c>
      <c r="P618" s="0" t="s">
        <v>1669</v>
      </c>
      <c r="Q618" s="66" t="s">
        <v>1393</v>
      </c>
    </row>
    <row r="619" customFormat="false" ht="82.05" hidden="false" customHeight="false" outlineLevel="0" collapsed="false">
      <c r="A619" s="13" t="s">
        <v>622</v>
      </c>
      <c r="B619" s="13" t="s">
        <v>622</v>
      </c>
      <c r="C619" s="13" t="s">
        <v>247</v>
      </c>
      <c r="D619" s="61" t="n">
        <v>45969.5069444444</v>
      </c>
      <c r="E619" s="61" t="n">
        <v>45969.5069444444</v>
      </c>
      <c r="F619" s="61" t="n">
        <v>45969.6083333333</v>
      </c>
      <c r="G619" s="62" t="n">
        <v>0.101388888884685</v>
      </c>
      <c r="H619" s="13" t="s">
        <v>313</v>
      </c>
      <c r="J619" s="13" t="s">
        <v>230</v>
      </c>
      <c r="K619" s="13" t="s">
        <v>230</v>
      </c>
      <c r="L619" s="68" t="s">
        <v>1663</v>
      </c>
      <c r="M619" s="66" t="s">
        <v>288</v>
      </c>
      <c r="N619" s="66" t="s">
        <v>315</v>
      </c>
      <c r="O619" s="67" t="s">
        <v>1664</v>
      </c>
      <c r="P619" s="0" t="s">
        <v>1670</v>
      </c>
      <c r="Q619" s="66" t="s">
        <v>1393</v>
      </c>
    </row>
    <row r="620" customFormat="false" ht="82.05" hidden="false" customHeight="false" outlineLevel="0" collapsed="false">
      <c r="A620" s="13" t="s">
        <v>622</v>
      </c>
      <c r="B620" s="13" t="s">
        <v>622</v>
      </c>
      <c r="C620" s="13" t="s">
        <v>277</v>
      </c>
      <c r="D620" s="61" t="n">
        <v>45969.5069444444</v>
      </c>
      <c r="E620" s="61" t="n">
        <v>45969.5069444444</v>
      </c>
      <c r="F620" s="61" t="n">
        <v>45969.6083333333</v>
      </c>
      <c r="G620" s="62" t="n">
        <v>0.101388888884685</v>
      </c>
      <c r="H620" s="13" t="s">
        <v>313</v>
      </c>
      <c r="J620" s="13" t="s">
        <v>230</v>
      </c>
      <c r="K620" s="13" t="s">
        <v>230</v>
      </c>
      <c r="L620" s="68" t="s">
        <v>1663</v>
      </c>
      <c r="M620" s="66" t="s">
        <v>288</v>
      </c>
      <c r="N620" s="66" t="s">
        <v>315</v>
      </c>
      <c r="O620" s="67" t="s">
        <v>1664</v>
      </c>
      <c r="P620" s="0" t="s">
        <v>1671</v>
      </c>
      <c r="Q620" s="66" t="s">
        <v>1393</v>
      </c>
    </row>
    <row r="621" customFormat="false" ht="82.05" hidden="false" customHeight="false" outlineLevel="0" collapsed="false">
      <c r="A621" s="13" t="s">
        <v>622</v>
      </c>
      <c r="B621" s="13" t="s">
        <v>622</v>
      </c>
      <c r="C621" s="13" t="s">
        <v>255</v>
      </c>
      <c r="D621" s="61" t="n">
        <v>45969.5069444444</v>
      </c>
      <c r="E621" s="61" t="n">
        <v>45969.5069444444</v>
      </c>
      <c r="F621" s="61" t="n">
        <v>45969.6083333333</v>
      </c>
      <c r="G621" s="62" t="n">
        <v>0.101388888884685</v>
      </c>
      <c r="H621" s="13" t="s">
        <v>313</v>
      </c>
      <c r="J621" s="13" t="s">
        <v>230</v>
      </c>
      <c r="K621" s="13" t="s">
        <v>230</v>
      </c>
      <c r="L621" s="68" t="s">
        <v>1663</v>
      </c>
      <c r="M621" s="66" t="s">
        <v>288</v>
      </c>
      <c r="N621" s="66" t="s">
        <v>315</v>
      </c>
      <c r="O621" s="67" t="s">
        <v>1664</v>
      </c>
      <c r="P621" s="0" t="s">
        <v>1672</v>
      </c>
      <c r="Q621" s="66" t="s">
        <v>1393</v>
      </c>
    </row>
    <row r="622" customFormat="false" ht="82.05" hidden="false" customHeight="false" outlineLevel="0" collapsed="false">
      <c r="A622" s="13" t="s">
        <v>332</v>
      </c>
      <c r="B622" s="13" t="s">
        <v>332</v>
      </c>
      <c r="C622" s="13" t="s">
        <v>247</v>
      </c>
      <c r="D622" s="61" t="n">
        <v>45969.5069444444</v>
      </c>
      <c r="E622" s="61" t="n">
        <v>45969.5069444444</v>
      </c>
      <c r="F622" s="61" t="n">
        <v>45969.6083333333</v>
      </c>
      <c r="G622" s="62" t="n">
        <v>0.101388888884685</v>
      </c>
      <c r="H622" s="13" t="s">
        <v>313</v>
      </c>
      <c r="J622" s="13" t="s">
        <v>230</v>
      </c>
      <c r="K622" s="13" t="s">
        <v>230</v>
      </c>
      <c r="L622" s="68" t="s">
        <v>1663</v>
      </c>
      <c r="M622" s="66" t="s">
        <v>288</v>
      </c>
      <c r="N622" s="66" t="s">
        <v>315</v>
      </c>
      <c r="O622" s="67" t="s">
        <v>1664</v>
      </c>
      <c r="P622" s="0" t="s">
        <v>1673</v>
      </c>
      <c r="Q622" s="66" t="s">
        <v>1393</v>
      </c>
    </row>
    <row r="623" customFormat="false" ht="82.05" hidden="false" customHeight="false" outlineLevel="0" collapsed="false">
      <c r="A623" s="13" t="s">
        <v>332</v>
      </c>
      <c r="B623" s="13" t="s">
        <v>332</v>
      </c>
      <c r="C623" s="13" t="s">
        <v>277</v>
      </c>
      <c r="D623" s="61" t="n">
        <v>45969.5069444444</v>
      </c>
      <c r="E623" s="61" t="n">
        <v>45969.5069444444</v>
      </c>
      <c r="F623" s="61" t="n">
        <v>45969.6083333333</v>
      </c>
      <c r="G623" s="62" t="n">
        <v>0.101388888884685</v>
      </c>
      <c r="H623" s="13" t="s">
        <v>313</v>
      </c>
      <c r="J623" s="13" t="s">
        <v>230</v>
      </c>
      <c r="K623" s="13" t="s">
        <v>230</v>
      </c>
      <c r="L623" s="68" t="s">
        <v>1663</v>
      </c>
      <c r="M623" s="66" t="s">
        <v>288</v>
      </c>
      <c r="N623" s="66" t="s">
        <v>315</v>
      </c>
      <c r="O623" s="67" t="s">
        <v>1664</v>
      </c>
      <c r="P623" s="0" t="s">
        <v>1674</v>
      </c>
      <c r="Q623" s="66" t="s">
        <v>1393</v>
      </c>
    </row>
    <row r="624" customFormat="false" ht="14.25" hidden="false" customHeight="false" outlineLevel="0" collapsed="false">
      <c r="A624" s="13" t="s">
        <v>797</v>
      </c>
      <c r="B624" s="13" t="s">
        <v>797</v>
      </c>
      <c r="C624" s="13" t="s">
        <v>277</v>
      </c>
      <c r="D624" s="61" t="n">
        <v>45969.6763888889</v>
      </c>
      <c r="E624" s="61" t="n">
        <v>45969.6763888889</v>
      </c>
      <c r="F624" s="61" t="n">
        <v>45970.28125</v>
      </c>
      <c r="G624" s="62" t="n">
        <v>0.604861111110949</v>
      </c>
      <c r="H624" s="13" t="s">
        <v>248</v>
      </c>
      <c r="J624" s="13" t="s">
        <v>256</v>
      </c>
      <c r="K624" s="13" t="s">
        <v>430</v>
      </c>
      <c r="L624" s="13" t="s">
        <v>1675</v>
      </c>
      <c r="M624" s="66" t="s">
        <v>787</v>
      </c>
      <c r="N624" s="66" t="s">
        <v>379</v>
      </c>
      <c r="O624" s="66" t="s">
        <v>790</v>
      </c>
      <c r="P624" s="0" t="s">
        <v>1676</v>
      </c>
      <c r="Q624" s="66" t="s">
        <v>995</v>
      </c>
    </row>
    <row r="625" customFormat="false" ht="14.25" hidden="false" customHeight="false" outlineLevel="0" collapsed="false">
      <c r="A625" s="13" t="s">
        <v>797</v>
      </c>
      <c r="B625" s="13" t="s">
        <v>797</v>
      </c>
      <c r="C625" s="13" t="s">
        <v>247</v>
      </c>
      <c r="D625" s="61" t="n">
        <v>45969.6763888889</v>
      </c>
      <c r="E625" s="61" t="n">
        <v>45969.6763888889</v>
      </c>
      <c r="F625" s="61" t="n">
        <v>45970.28125</v>
      </c>
      <c r="G625" s="62" t="n">
        <v>0.604861111110949</v>
      </c>
      <c r="H625" s="13" t="s">
        <v>248</v>
      </c>
      <c r="J625" s="13" t="s">
        <v>256</v>
      </c>
      <c r="K625" s="13" t="s">
        <v>430</v>
      </c>
      <c r="L625" s="13" t="s">
        <v>1675</v>
      </c>
      <c r="M625" s="66" t="s">
        <v>787</v>
      </c>
      <c r="N625" s="66" t="s">
        <v>379</v>
      </c>
      <c r="O625" s="66" t="s">
        <v>790</v>
      </c>
      <c r="P625" s="0" t="s">
        <v>1677</v>
      </c>
      <c r="Q625" s="66" t="s">
        <v>995</v>
      </c>
    </row>
    <row r="626" customFormat="false" ht="14.25" hidden="false" customHeight="false" outlineLevel="0" collapsed="false">
      <c r="A626" s="13" t="s">
        <v>797</v>
      </c>
      <c r="B626" s="13" t="s">
        <v>797</v>
      </c>
      <c r="C626" s="13" t="s">
        <v>280</v>
      </c>
      <c r="D626" s="61" t="n">
        <v>45969.6763888889</v>
      </c>
      <c r="E626" s="61" t="n">
        <v>45969.6763888889</v>
      </c>
      <c r="F626" s="61" t="n">
        <v>45970.28125</v>
      </c>
      <c r="G626" s="62" t="n">
        <v>0.604861111110949</v>
      </c>
      <c r="H626" s="13" t="s">
        <v>248</v>
      </c>
      <c r="J626" s="13" t="s">
        <v>256</v>
      </c>
      <c r="K626" s="13" t="s">
        <v>430</v>
      </c>
      <c r="L626" s="13" t="s">
        <v>1675</v>
      </c>
      <c r="M626" s="66" t="s">
        <v>787</v>
      </c>
      <c r="N626" s="66" t="s">
        <v>379</v>
      </c>
      <c r="O626" s="66" t="s">
        <v>790</v>
      </c>
      <c r="P626" s="0" t="s">
        <v>1678</v>
      </c>
      <c r="Q626" s="66" t="s">
        <v>995</v>
      </c>
    </row>
    <row r="627" customFormat="false" ht="14.25" hidden="false" customHeight="false" outlineLevel="0" collapsed="false">
      <c r="A627" s="13" t="s">
        <v>797</v>
      </c>
      <c r="B627" s="13" t="s">
        <v>797</v>
      </c>
      <c r="C627" s="13" t="s">
        <v>279</v>
      </c>
      <c r="D627" s="61" t="n">
        <v>45969.6763888889</v>
      </c>
      <c r="E627" s="61" t="n">
        <v>45969.6763888889</v>
      </c>
      <c r="F627" s="61" t="n">
        <v>45970.28125</v>
      </c>
      <c r="G627" s="62" t="n">
        <v>0.604861111110949</v>
      </c>
      <c r="H627" s="13" t="s">
        <v>248</v>
      </c>
      <c r="J627" s="13" t="s">
        <v>256</v>
      </c>
      <c r="K627" s="13" t="s">
        <v>430</v>
      </c>
      <c r="L627" s="13" t="s">
        <v>1675</v>
      </c>
      <c r="M627" s="66" t="s">
        <v>787</v>
      </c>
      <c r="N627" s="66" t="s">
        <v>379</v>
      </c>
      <c r="O627" s="66" t="s">
        <v>790</v>
      </c>
      <c r="P627" s="0" t="s">
        <v>1679</v>
      </c>
      <c r="Q627" s="66" t="s">
        <v>995</v>
      </c>
    </row>
    <row r="628" customFormat="false" ht="14.25" hidden="false" customHeight="false" outlineLevel="0" collapsed="false">
      <c r="A628" s="13" t="s">
        <v>883</v>
      </c>
      <c r="B628" s="13" t="s">
        <v>883</v>
      </c>
      <c r="C628" s="13" t="s">
        <v>277</v>
      </c>
      <c r="D628" s="61" t="n">
        <v>45969.6763888889</v>
      </c>
      <c r="E628" s="61" t="n">
        <v>45969.6763888889</v>
      </c>
      <c r="F628" s="61" t="n">
        <v>45970.28125</v>
      </c>
      <c r="G628" s="62" t="n">
        <v>0.604861111110949</v>
      </c>
      <c r="H628" s="13" t="s">
        <v>248</v>
      </c>
      <c r="J628" s="13" t="s">
        <v>256</v>
      </c>
      <c r="K628" s="13" t="s">
        <v>430</v>
      </c>
      <c r="L628" s="13" t="s">
        <v>1675</v>
      </c>
      <c r="M628" s="66" t="s">
        <v>787</v>
      </c>
      <c r="N628" s="66" t="s">
        <v>379</v>
      </c>
      <c r="O628" s="66" t="s">
        <v>790</v>
      </c>
      <c r="P628" s="0" t="s">
        <v>1680</v>
      </c>
      <c r="Q628" s="66" t="s">
        <v>995</v>
      </c>
    </row>
    <row r="629" customFormat="false" ht="14.25" hidden="false" customHeight="false" outlineLevel="0" collapsed="false">
      <c r="A629" s="13" t="s">
        <v>883</v>
      </c>
      <c r="B629" s="13" t="s">
        <v>883</v>
      </c>
      <c r="C629" s="13" t="s">
        <v>247</v>
      </c>
      <c r="D629" s="61" t="n">
        <v>45969.6763888889</v>
      </c>
      <c r="E629" s="61" t="n">
        <v>45969.6763888889</v>
      </c>
      <c r="F629" s="61" t="n">
        <v>45970.28125</v>
      </c>
      <c r="G629" s="62" t="n">
        <v>0.604861111110949</v>
      </c>
      <c r="H629" s="13" t="s">
        <v>248</v>
      </c>
      <c r="J629" s="13" t="s">
        <v>256</v>
      </c>
      <c r="K629" s="13" t="s">
        <v>430</v>
      </c>
      <c r="L629" s="13" t="s">
        <v>1675</v>
      </c>
      <c r="M629" s="66" t="s">
        <v>787</v>
      </c>
      <c r="N629" s="66" t="s">
        <v>379</v>
      </c>
      <c r="O629" s="66" t="s">
        <v>790</v>
      </c>
      <c r="P629" s="0" t="s">
        <v>1681</v>
      </c>
      <c r="Q629" s="66" t="s">
        <v>995</v>
      </c>
    </row>
    <row r="630" customFormat="false" ht="14.25" hidden="false" customHeight="false" outlineLevel="0" collapsed="false">
      <c r="A630" s="13" t="s">
        <v>883</v>
      </c>
      <c r="B630" s="13" t="s">
        <v>883</v>
      </c>
      <c r="C630" s="13" t="s">
        <v>280</v>
      </c>
      <c r="D630" s="61" t="n">
        <v>45969.6763888889</v>
      </c>
      <c r="E630" s="61" t="n">
        <v>45969.6763888889</v>
      </c>
      <c r="F630" s="61" t="n">
        <v>45970.28125</v>
      </c>
      <c r="G630" s="62" t="n">
        <v>0.604861111110949</v>
      </c>
      <c r="H630" s="13" t="s">
        <v>248</v>
      </c>
      <c r="J630" s="13" t="s">
        <v>256</v>
      </c>
      <c r="K630" s="13" t="s">
        <v>430</v>
      </c>
      <c r="L630" s="13" t="s">
        <v>1675</v>
      </c>
      <c r="M630" s="66" t="s">
        <v>787</v>
      </c>
      <c r="N630" s="66" t="s">
        <v>379</v>
      </c>
      <c r="O630" s="66" t="s">
        <v>790</v>
      </c>
      <c r="P630" s="0" t="s">
        <v>1682</v>
      </c>
      <c r="Q630" s="66" t="s">
        <v>995</v>
      </c>
    </row>
    <row r="631" customFormat="false" ht="14.25" hidden="false" customHeight="false" outlineLevel="0" collapsed="false">
      <c r="A631" s="13" t="s">
        <v>883</v>
      </c>
      <c r="B631" s="13" t="s">
        <v>883</v>
      </c>
      <c r="C631" s="13" t="s">
        <v>279</v>
      </c>
      <c r="D631" s="61" t="n">
        <v>45969.6763888889</v>
      </c>
      <c r="E631" s="61" t="n">
        <v>45969.6763888889</v>
      </c>
      <c r="F631" s="61" t="n">
        <v>45970.28125</v>
      </c>
      <c r="G631" s="62" t="n">
        <v>0.604861111110949</v>
      </c>
      <c r="H631" s="13" t="s">
        <v>248</v>
      </c>
      <c r="J631" s="13" t="s">
        <v>256</v>
      </c>
      <c r="K631" s="13" t="s">
        <v>430</v>
      </c>
      <c r="L631" s="13" t="s">
        <v>1675</v>
      </c>
      <c r="M631" s="66" t="s">
        <v>787</v>
      </c>
      <c r="N631" s="66" t="s">
        <v>379</v>
      </c>
      <c r="O631" s="66" t="s">
        <v>790</v>
      </c>
      <c r="P631" s="0" t="s">
        <v>1683</v>
      </c>
      <c r="Q631" s="66" t="s">
        <v>995</v>
      </c>
    </row>
    <row r="632" customFormat="false" ht="14.25" hidden="false" customHeight="false" outlineLevel="0" collapsed="false">
      <c r="A632" s="13" t="s">
        <v>246</v>
      </c>
      <c r="B632" s="13" t="s">
        <v>246</v>
      </c>
      <c r="C632" s="13" t="s">
        <v>255</v>
      </c>
      <c r="D632" s="61" t="n">
        <v>45969.6763888889</v>
      </c>
      <c r="E632" s="61" t="n">
        <v>45969.6763888889</v>
      </c>
      <c r="F632" s="61" t="n">
        <v>45970.28125</v>
      </c>
      <c r="G632" s="62" t="n">
        <v>0.604861111110949</v>
      </c>
      <c r="H632" s="13" t="s">
        <v>248</v>
      </c>
      <c r="J632" s="13" t="s">
        <v>256</v>
      </c>
      <c r="K632" s="13" t="s">
        <v>430</v>
      </c>
      <c r="L632" s="13" t="s">
        <v>1675</v>
      </c>
      <c r="M632" s="66" t="s">
        <v>787</v>
      </c>
      <c r="N632" s="66" t="s">
        <v>379</v>
      </c>
      <c r="O632" s="66" t="s">
        <v>790</v>
      </c>
      <c r="P632" s="0" t="s">
        <v>1684</v>
      </c>
      <c r="Q632" s="66" t="s">
        <v>995</v>
      </c>
    </row>
    <row r="633" customFormat="false" ht="14.25" hidden="false" customHeight="false" outlineLevel="0" collapsed="false">
      <c r="A633" s="13" t="s">
        <v>246</v>
      </c>
      <c r="B633" s="13" t="s">
        <v>246</v>
      </c>
      <c r="C633" s="13" t="s">
        <v>247</v>
      </c>
      <c r="D633" s="61" t="n">
        <v>45969.6763888889</v>
      </c>
      <c r="E633" s="61" t="n">
        <v>45969.6763888889</v>
      </c>
      <c r="F633" s="61" t="n">
        <v>45970.28125</v>
      </c>
      <c r="G633" s="62" t="n">
        <v>0.604861111110949</v>
      </c>
      <c r="H633" s="13" t="s">
        <v>248</v>
      </c>
      <c r="J633" s="13" t="s">
        <v>256</v>
      </c>
      <c r="K633" s="13" t="s">
        <v>430</v>
      </c>
      <c r="L633" s="13" t="s">
        <v>1675</v>
      </c>
      <c r="M633" s="66" t="s">
        <v>787</v>
      </c>
      <c r="N633" s="66" t="s">
        <v>379</v>
      </c>
      <c r="O633" s="66" t="s">
        <v>790</v>
      </c>
      <c r="P633" s="0" t="s">
        <v>1685</v>
      </c>
      <c r="Q633" s="66" t="s">
        <v>995</v>
      </c>
    </row>
    <row r="634" customFormat="false" ht="14.25" hidden="false" customHeight="false" outlineLevel="0" collapsed="false">
      <c r="A634" s="13" t="s">
        <v>246</v>
      </c>
      <c r="B634" s="13" t="s">
        <v>246</v>
      </c>
      <c r="C634" s="13" t="s">
        <v>280</v>
      </c>
      <c r="D634" s="61" t="n">
        <v>45969.6763888889</v>
      </c>
      <c r="E634" s="61" t="n">
        <v>45969.6763888889</v>
      </c>
      <c r="F634" s="61" t="n">
        <v>45970.28125</v>
      </c>
      <c r="G634" s="62" t="n">
        <v>0.604861111110949</v>
      </c>
      <c r="H634" s="13" t="s">
        <v>248</v>
      </c>
      <c r="J634" s="13" t="s">
        <v>256</v>
      </c>
      <c r="K634" s="13" t="s">
        <v>430</v>
      </c>
      <c r="L634" s="13" t="s">
        <v>1675</v>
      </c>
      <c r="M634" s="66" t="s">
        <v>787</v>
      </c>
      <c r="N634" s="66" t="s">
        <v>379</v>
      </c>
      <c r="O634" s="66" t="s">
        <v>790</v>
      </c>
      <c r="P634" s="0" t="s">
        <v>1686</v>
      </c>
      <c r="Q634" s="66" t="s">
        <v>995</v>
      </c>
    </row>
    <row r="635" customFormat="false" ht="14.25" hidden="false" customHeight="false" outlineLevel="0" collapsed="false">
      <c r="A635" s="13" t="s">
        <v>246</v>
      </c>
      <c r="B635" s="13" t="s">
        <v>246</v>
      </c>
      <c r="C635" s="13" t="s">
        <v>279</v>
      </c>
      <c r="D635" s="61" t="n">
        <v>45969.6763888889</v>
      </c>
      <c r="E635" s="61" t="n">
        <v>45969.6763888889</v>
      </c>
      <c r="F635" s="61" t="n">
        <v>45970.28125</v>
      </c>
      <c r="G635" s="62" t="n">
        <v>0.604861111110949</v>
      </c>
      <c r="H635" s="13" t="s">
        <v>248</v>
      </c>
      <c r="J635" s="13" t="s">
        <v>256</v>
      </c>
      <c r="K635" s="13" t="s">
        <v>430</v>
      </c>
      <c r="L635" s="13" t="s">
        <v>1675</v>
      </c>
      <c r="M635" s="66" t="s">
        <v>787</v>
      </c>
      <c r="N635" s="66" t="s">
        <v>379</v>
      </c>
      <c r="O635" s="66" t="s">
        <v>790</v>
      </c>
      <c r="P635" s="0" t="s">
        <v>1687</v>
      </c>
      <c r="Q635" s="66" t="s">
        <v>995</v>
      </c>
    </row>
    <row r="636" customFormat="false" ht="14.25" hidden="false" customHeight="false" outlineLevel="0" collapsed="false">
      <c r="A636" s="13" t="s">
        <v>884</v>
      </c>
      <c r="B636" s="13" t="s">
        <v>884</v>
      </c>
      <c r="C636" s="13" t="s">
        <v>277</v>
      </c>
      <c r="D636" s="61" t="n">
        <v>45969.6763888889</v>
      </c>
      <c r="E636" s="61" t="n">
        <v>45969.6763888889</v>
      </c>
      <c r="F636" s="61" t="n">
        <v>45970.28125</v>
      </c>
      <c r="G636" s="62" t="n">
        <v>0.604861111110949</v>
      </c>
      <c r="H636" s="13" t="s">
        <v>248</v>
      </c>
      <c r="J636" s="13" t="s">
        <v>256</v>
      </c>
      <c r="K636" s="13" t="s">
        <v>430</v>
      </c>
      <c r="L636" s="13" t="s">
        <v>1675</v>
      </c>
      <c r="M636" s="66" t="s">
        <v>787</v>
      </c>
      <c r="N636" s="66" t="s">
        <v>379</v>
      </c>
      <c r="O636" s="66" t="s">
        <v>790</v>
      </c>
      <c r="P636" s="0" t="s">
        <v>1688</v>
      </c>
      <c r="Q636" s="66" t="s">
        <v>995</v>
      </c>
    </row>
    <row r="637" customFormat="false" ht="14.25" hidden="false" customHeight="false" outlineLevel="0" collapsed="false">
      <c r="A637" s="13" t="s">
        <v>884</v>
      </c>
      <c r="B637" s="13" t="s">
        <v>884</v>
      </c>
      <c r="C637" s="13" t="s">
        <v>247</v>
      </c>
      <c r="D637" s="61" t="n">
        <v>45969.6763888889</v>
      </c>
      <c r="E637" s="61" t="n">
        <v>45969.6763888889</v>
      </c>
      <c r="F637" s="61" t="n">
        <v>45970.28125</v>
      </c>
      <c r="G637" s="62" t="n">
        <v>0.604861111110949</v>
      </c>
      <c r="H637" s="13" t="s">
        <v>248</v>
      </c>
      <c r="J637" s="13" t="s">
        <v>256</v>
      </c>
      <c r="K637" s="13" t="s">
        <v>430</v>
      </c>
      <c r="L637" s="13" t="s">
        <v>1675</v>
      </c>
      <c r="M637" s="66" t="s">
        <v>787</v>
      </c>
      <c r="N637" s="66" t="s">
        <v>379</v>
      </c>
      <c r="O637" s="66" t="s">
        <v>790</v>
      </c>
      <c r="P637" s="0" t="s">
        <v>1689</v>
      </c>
      <c r="Q637" s="66" t="s">
        <v>995</v>
      </c>
    </row>
    <row r="638" customFormat="false" ht="14.25" hidden="false" customHeight="false" outlineLevel="0" collapsed="false">
      <c r="A638" s="13" t="s">
        <v>884</v>
      </c>
      <c r="B638" s="13" t="s">
        <v>884</v>
      </c>
      <c r="C638" s="13" t="s">
        <v>280</v>
      </c>
      <c r="D638" s="61" t="n">
        <v>45969.6763888889</v>
      </c>
      <c r="E638" s="61" t="n">
        <v>45969.6763888889</v>
      </c>
      <c r="F638" s="61" t="n">
        <v>45970.28125</v>
      </c>
      <c r="G638" s="62" t="n">
        <v>0.604861111110949</v>
      </c>
      <c r="H638" s="13" t="s">
        <v>248</v>
      </c>
      <c r="J638" s="13" t="s">
        <v>256</v>
      </c>
      <c r="K638" s="13" t="s">
        <v>430</v>
      </c>
      <c r="L638" s="13" t="s">
        <v>1675</v>
      </c>
      <c r="M638" s="66" t="s">
        <v>787</v>
      </c>
      <c r="N638" s="66" t="s">
        <v>379</v>
      </c>
      <c r="O638" s="66" t="s">
        <v>790</v>
      </c>
      <c r="P638" s="0" t="s">
        <v>1690</v>
      </c>
      <c r="Q638" s="66" t="s">
        <v>995</v>
      </c>
    </row>
    <row r="639" customFormat="false" ht="14.25" hidden="false" customHeight="false" outlineLevel="0" collapsed="false">
      <c r="A639" s="13" t="s">
        <v>884</v>
      </c>
      <c r="B639" s="13" t="s">
        <v>884</v>
      </c>
      <c r="C639" s="13" t="s">
        <v>279</v>
      </c>
      <c r="D639" s="61" t="n">
        <v>45969.6763888889</v>
      </c>
      <c r="E639" s="61" t="n">
        <v>45969.6763888889</v>
      </c>
      <c r="F639" s="61" t="n">
        <v>45970.28125</v>
      </c>
      <c r="G639" s="62" t="n">
        <v>0.604861111110949</v>
      </c>
      <c r="H639" s="13" t="s">
        <v>248</v>
      </c>
      <c r="J639" s="13" t="s">
        <v>256</v>
      </c>
      <c r="K639" s="13" t="s">
        <v>430</v>
      </c>
      <c r="L639" s="13" t="s">
        <v>1675</v>
      </c>
      <c r="M639" s="66" t="s">
        <v>787</v>
      </c>
      <c r="N639" s="66" t="s">
        <v>379</v>
      </c>
      <c r="O639" s="66" t="s">
        <v>790</v>
      </c>
      <c r="P639" s="0" t="s">
        <v>1691</v>
      </c>
      <c r="Q639" s="66" t="s">
        <v>995</v>
      </c>
    </row>
    <row r="640" customFormat="false" ht="14.25" hidden="false" customHeight="false" outlineLevel="0" collapsed="false">
      <c r="A640" s="13" t="s">
        <v>885</v>
      </c>
      <c r="B640" s="13" t="s">
        <v>885</v>
      </c>
      <c r="C640" s="13" t="s">
        <v>277</v>
      </c>
      <c r="D640" s="61" t="n">
        <v>45969.6763888889</v>
      </c>
      <c r="E640" s="61" t="n">
        <v>45969.6763888889</v>
      </c>
      <c r="F640" s="61" t="n">
        <v>45970.28125</v>
      </c>
      <c r="G640" s="62" t="n">
        <v>0.604861111110949</v>
      </c>
      <c r="H640" s="13" t="s">
        <v>248</v>
      </c>
      <c r="J640" s="13" t="s">
        <v>256</v>
      </c>
      <c r="K640" s="13" t="s">
        <v>430</v>
      </c>
      <c r="L640" s="13" t="s">
        <v>1675</v>
      </c>
      <c r="M640" s="66" t="s">
        <v>787</v>
      </c>
      <c r="N640" s="66" t="s">
        <v>379</v>
      </c>
      <c r="O640" s="66" t="s">
        <v>790</v>
      </c>
      <c r="P640" s="0" t="s">
        <v>1692</v>
      </c>
      <c r="Q640" s="66" t="s">
        <v>995</v>
      </c>
    </row>
    <row r="641" customFormat="false" ht="14.25" hidden="false" customHeight="false" outlineLevel="0" collapsed="false">
      <c r="A641" s="13" t="s">
        <v>885</v>
      </c>
      <c r="B641" s="13" t="s">
        <v>885</v>
      </c>
      <c r="C641" s="13" t="s">
        <v>247</v>
      </c>
      <c r="D641" s="61" t="n">
        <v>45969.6763888889</v>
      </c>
      <c r="E641" s="61" t="n">
        <v>45969.6763888889</v>
      </c>
      <c r="F641" s="61" t="n">
        <v>45970.28125</v>
      </c>
      <c r="G641" s="62" t="n">
        <v>0.604861111110949</v>
      </c>
      <c r="H641" s="13" t="s">
        <v>248</v>
      </c>
      <c r="J641" s="13" t="s">
        <v>256</v>
      </c>
      <c r="K641" s="13" t="s">
        <v>430</v>
      </c>
      <c r="L641" s="13" t="s">
        <v>1675</v>
      </c>
      <c r="M641" s="66" t="s">
        <v>787</v>
      </c>
      <c r="N641" s="66" t="s">
        <v>379</v>
      </c>
      <c r="O641" s="66" t="s">
        <v>790</v>
      </c>
      <c r="P641" s="0" t="s">
        <v>1693</v>
      </c>
      <c r="Q641" s="66" t="s">
        <v>995</v>
      </c>
    </row>
    <row r="642" customFormat="false" ht="14.25" hidden="false" customHeight="false" outlineLevel="0" collapsed="false">
      <c r="A642" s="13" t="s">
        <v>885</v>
      </c>
      <c r="B642" s="13" t="s">
        <v>885</v>
      </c>
      <c r="C642" s="13" t="s">
        <v>280</v>
      </c>
      <c r="D642" s="61" t="n">
        <v>45969.6763888889</v>
      </c>
      <c r="E642" s="61" t="n">
        <v>45969.6763888889</v>
      </c>
      <c r="F642" s="61" t="n">
        <v>45970.28125</v>
      </c>
      <c r="G642" s="62" t="n">
        <v>0.604861111110949</v>
      </c>
      <c r="H642" s="13" t="s">
        <v>248</v>
      </c>
      <c r="J642" s="13" t="s">
        <v>256</v>
      </c>
      <c r="K642" s="13" t="s">
        <v>430</v>
      </c>
      <c r="L642" s="13" t="s">
        <v>1675</v>
      </c>
      <c r="M642" s="66" t="s">
        <v>787</v>
      </c>
      <c r="N642" s="66" t="s">
        <v>379</v>
      </c>
      <c r="O642" s="66" t="s">
        <v>790</v>
      </c>
      <c r="P642" s="0" t="s">
        <v>1694</v>
      </c>
      <c r="Q642" s="66" t="s">
        <v>995</v>
      </c>
    </row>
    <row r="643" customFormat="false" ht="14.25" hidden="false" customHeight="false" outlineLevel="0" collapsed="false">
      <c r="A643" s="13" t="s">
        <v>885</v>
      </c>
      <c r="B643" s="13" t="s">
        <v>885</v>
      </c>
      <c r="C643" s="13" t="s">
        <v>255</v>
      </c>
      <c r="D643" s="61" t="n">
        <v>45969.6763888889</v>
      </c>
      <c r="E643" s="61" t="n">
        <v>45969.6763888889</v>
      </c>
      <c r="F643" s="61" t="n">
        <v>45970.28125</v>
      </c>
      <c r="G643" s="62" t="n">
        <v>0.604861111110949</v>
      </c>
      <c r="H643" s="13" t="s">
        <v>248</v>
      </c>
      <c r="J643" s="13" t="s">
        <v>256</v>
      </c>
      <c r="K643" s="13" t="s">
        <v>430</v>
      </c>
      <c r="L643" s="13" t="s">
        <v>1675</v>
      </c>
      <c r="M643" s="66" t="s">
        <v>787</v>
      </c>
      <c r="N643" s="66" t="s">
        <v>379</v>
      </c>
      <c r="O643" s="66" t="s">
        <v>790</v>
      </c>
      <c r="P643" s="0" t="s">
        <v>1695</v>
      </c>
      <c r="Q643" s="66" t="s">
        <v>995</v>
      </c>
    </row>
    <row r="644" customFormat="false" ht="14.25" hidden="false" customHeight="false" outlineLevel="0" collapsed="false">
      <c r="A644" s="13" t="s">
        <v>805</v>
      </c>
      <c r="B644" s="13" t="s">
        <v>581</v>
      </c>
      <c r="C644" s="13" t="s">
        <v>598</v>
      </c>
      <c r="D644" s="61" t="n">
        <v>45969.7256944444</v>
      </c>
      <c r="E644" s="61" t="n">
        <v>45969.7256944444</v>
      </c>
      <c r="F644" s="61" t="n">
        <v>45970.2604166667</v>
      </c>
      <c r="G644" s="62" t="n">
        <v>0.534722222218989</v>
      </c>
      <c r="H644" s="13" t="s">
        <v>248</v>
      </c>
      <c r="J644" s="13" t="s">
        <v>256</v>
      </c>
      <c r="K644" s="13" t="s">
        <v>430</v>
      </c>
      <c r="L644" s="13" t="s">
        <v>1000</v>
      </c>
      <c r="M644" s="66" t="s">
        <v>258</v>
      </c>
      <c r="N644" s="66" t="s">
        <v>379</v>
      </c>
      <c r="O644" s="66" t="s">
        <v>399</v>
      </c>
      <c r="P644" s="0" t="s">
        <v>1696</v>
      </c>
      <c r="Q644" s="66" t="s">
        <v>995</v>
      </c>
    </row>
    <row r="645" customFormat="false" ht="14.25" hidden="false" customHeight="false" outlineLevel="0" collapsed="false">
      <c r="A645" s="13" t="s">
        <v>807</v>
      </c>
      <c r="B645" s="13" t="s">
        <v>581</v>
      </c>
      <c r="C645" s="13" t="s">
        <v>591</v>
      </c>
      <c r="D645" s="61" t="n">
        <v>45969.7256944444</v>
      </c>
      <c r="E645" s="61" t="n">
        <v>45969.7256944444</v>
      </c>
      <c r="F645" s="61" t="n">
        <v>45970.2604166667</v>
      </c>
      <c r="G645" s="62" t="n">
        <v>0.534722222218989</v>
      </c>
      <c r="H645" s="13" t="s">
        <v>248</v>
      </c>
      <c r="J645" s="13" t="s">
        <v>256</v>
      </c>
      <c r="K645" s="13" t="s">
        <v>430</v>
      </c>
      <c r="L645" s="13" t="s">
        <v>1000</v>
      </c>
      <c r="M645" s="66" t="s">
        <v>258</v>
      </c>
      <c r="N645" s="66" t="s">
        <v>379</v>
      </c>
      <c r="O645" s="66" t="s">
        <v>399</v>
      </c>
      <c r="P645" s="0" t="s">
        <v>1697</v>
      </c>
      <c r="Q645" s="66" t="s">
        <v>995</v>
      </c>
    </row>
    <row r="646" customFormat="false" ht="14.25" hidden="false" customHeight="false" outlineLevel="0" collapsed="false">
      <c r="A646" s="13" t="s">
        <v>807</v>
      </c>
      <c r="B646" s="13" t="s">
        <v>581</v>
      </c>
      <c r="C646" s="13" t="s">
        <v>588</v>
      </c>
      <c r="D646" s="61" t="n">
        <v>45969.7256944444</v>
      </c>
      <c r="E646" s="61" t="n">
        <v>45969.7256944444</v>
      </c>
      <c r="F646" s="61" t="n">
        <v>45970.2604166667</v>
      </c>
      <c r="G646" s="62" t="n">
        <v>0.534722222218989</v>
      </c>
      <c r="H646" s="13" t="s">
        <v>248</v>
      </c>
      <c r="J646" s="13" t="s">
        <v>256</v>
      </c>
      <c r="K646" s="13" t="s">
        <v>430</v>
      </c>
      <c r="L646" s="13" t="s">
        <v>1000</v>
      </c>
      <c r="M646" s="66" t="s">
        <v>258</v>
      </c>
      <c r="N646" s="66" t="s">
        <v>379</v>
      </c>
      <c r="O646" s="66" t="s">
        <v>399</v>
      </c>
      <c r="P646" s="0" t="s">
        <v>1698</v>
      </c>
      <c r="Q646" s="66" t="s">
        <v>995</v>
      </c>
    </row>
    <row r="647" customFormat="false" ht="14.25" hidden="false" customHeight="false" outlineLevel="0" collapsed="false">
      <c r="A647" s="13" t="s">
        <v>807</v>
      </c>
      <c r="B647" s="13" t="s">
        <v>581</v>
      </c>
      <c r="C647" s="13" t="s">
        <v>585</v>
      </c>
      <c r="D647" s="61" t="n">
        <v>45969.7256944444</v>
      </c>
      <c r="E647" s="61" t="n">
        <v>45969.7256944444</v>
      </c>
      <c r="F647" s="61" t="n">
        <v>45970.2604166667</v>
      </c>
      <c r="G647" s="62" t="n">
        <v>0.534722222218989</v>
      </c>
      <c r="H647" s="13" t="s">
        <v>248</v>
      </c>
      <c r="J647" s="13" t="s">
        <v>256</v>
      </c>
      <c r="K647" s="13" t="s">
        <v>430</v>
      </c>
      <c r="L647" s="13" t="s">
        <v>1000</v>
      </c>
      <c r="M647" s="66" t="s">
        <v>258</v>
      </c>
      <c r="N647" s="66" t="s">
        <v>379</v>
      </c>
      <c r="O647" s="66" t="s">
        <v>399</v>
      </c>
      <c r="P647" s="0" t="s">
        <v>1699</v>
      </c>
      <c r="Q647" s="66" t="s">
        <v>995</v>
      </c>
    </row>
    <row r="648" customFormat="false" ht="14.25" hidden="false" customHeight="false" outlineLevel="0" collapsed="false">
      <c r="A648" s="13" t="s">
        <v>807</v>
      </c>
      <c r="B648" s="13" t="s">
        <v>581</v>
      </c>
      <c r="C648" s="13" t="s">
        <v>589</v>
      </c>
      <c r="D648" s="61" t="n">
        <v>45969.7256944444</v>
      </c>
      <c r="E648" s="61" t="n">
        <v>45969.7256944444</v>
      </c>
      <c r="F648" s="61" t="n">
        <v>45970.2604166667</v>
      </c>
      <c r="G648" s="62" t="n">
        <v>0.534722222218989</v>
      </c>
      <c r="H648" s="13" t="s">
        <v>248</v>
      </c>
      <c r="J648" s="13" t="s">
        <v>256</v>
      </c>
      <c r="K648" s="13" t="s">
        <v>430</v>
      </c>
      <c r="L648" s="13" t="s">
        <v>1000</v>
      </c>
      <c r="M648" s="66" t="s">
        <v>258</v>
      </c>
      <c r="N648" s="66" t="s">
        <v>379</v>
      </c>
      <c r="O648" s="66" t="s">
        <v>399</v>
      </c>
      <c r="P648" s="0" t="s">
        <v>1700</v>
      </c>
      <c r="Q648" s="66" t="s">
        <v>995</v>
      </c>
    </row>
    <row r="649" customFormat="false" ht="14.25" hidden="false" customHeight="false" outlineLevel="0" collapsed="false">
      <c r="A649" s="13" t="s">
        <v>807</v>
      </c>
      <c r="B649" s="13" t="s">
        <v>581</v>
      </c>
      <c r="C649" s="13" t="s">
        <v>587</v>
      </c>
      <c r="D649" s="61" t="n">
        <v>45969.7256944444</v>
      </c>
      <c r="E649" s="61" t="n">
        <v>45969.7256944444</v>
      </c>
      <c r="F649" s="61" t="n">
        <v>45970.2604166667</v>
      </c>
      <c r="G649" s="62" t="n">
        <v>0.534722222218989</v>
      </c>
      <c r="H649" s="13" t="s">
        <v>248</v>
      </c>
      <c r="J649" s="13" t="s">
        <v>256</v>
      </c>
      <c r="K649" s="13" t="s">
        <v>430</v>
      </c>
      <c r="L649" s="13" t="s">
        <v>1000</v>
      </c>
      <c r="M649" s="66" t="s">
        <v>258</v>
      </c>
      <c r="N649" s="66" t="s">
        <v>379</v>
      </c>
      <c r="O649" s="66" t="s">
        <v>399</v>
      </c>
      <c r="P649" s="0" t="s">
        <v>1701</v>
      </c>
      <c r="Q649" s="66" t="s">
        <v>995</v>
      </c>
    </row>
    <row r="650" customFormat="false" ht="14.25" hidden="false" customHeight="false" outlineLevel="0" collapsed="false">
      <c r="A650" s="13" t="s">
        <v>807</v>
      </c>
      <c r="B650" s="13" t="s">
        <v>581</v>
      </c>
      <c r="C650" s="13" t="s">
        <v>1007</v>
      </c>
      <c r="D650" s="61" t="n">
        <v>45969.7256944444</v>
      </c>
      <c r="E650" s="61" t="n">
        <v>45969.7256944444</v>
      </c>
      <c r="F650" s="61" t="n">
        <v>45970.2604166667</v>
      </c>
      <c r="G650" s="62" t="n">
        <v>0.534722222218989</v>
      </c>
      <c r="H650" s="13" t="s">
        <v>248</v>
      </c>
      <c r="J650" s="13" t="s">
        <v>256</v>
      </c>
      <c r="K650" s="13" t="s">
        <v>430</v>
      </c>
      <c r="L650" s="13" t="s">
        <v>1000</v>
      </c>
      <c r="M650" s="66" t="s">
        <v>258</v>
      </c>
      <c r="N650" s="66" t="s">
        <v>379</v>
      </c>
      <c r="O650" s="66" t="s">
        <v>399</v>
      </c>
      <c r="P650" s="0" t="s">
        <v>1702</v>
      </c>
      <c r="Q650" s="66" t="s">
        <v>995</v>
      </c>
    </row>
    <row r="651" customFormat="false" ht="14.25" hidden="false" customHeight="false" outlineLevel="0" collapsed="false">
      <c r="A651" s="13" t="s">
        <v>816</v>
      </c>
      <c r="B651" s="13" t="s">
        <v>581</v>
      </c>
      <c r="C651" s="13" t="s">
        <v>586</v>
      </c>
      <c r="D651" s="61" t="n">
        <v>45969.7256944444</v>
      </c>
      <c r="E651" s="61" t="n">
        <v>45969.7256944444</v>
      </c>
      <c r="F651" s="61" t="n">
        <v>45970.2604166667</v>
      </c>
      <c r="G651" s="62" t="n">
        <v>0.534722222218989</v>
      </c>
      <c r="H651" s="13" t="s">
        <v>248</v>
      </c>
      <c r="J651" s="13" t="s">
        <v>256</v>
      </c>
      <c r="K651" s="13" t="s">
        <v>430</v>
      </c>
      <c r="L651" s="13" t="s">
        <v>1000</v>
      </c>
      <c r="M651" s="66" t="s">
        <v>258</v>
      </c>
      <c r="N651" s="66" t="s">
        <v>379</v>
      </c>
      <c r="O651" s="66" t="s">
        <v>399</v>
      </c>
      <c r="P651" s="0" t="s">
        <v>1703</v>
      </c>
      <c r="Q651" s="66" t="s">
        <v>995</v>
      </c>
    </row>
    <row r="652" customFormat="false" ht="14.25" hidden="false" customHeight="false" outlineLevel="0" collapsed="false">
      <c r="A652" s="13" t="s">
        <v>816</v>
      </c>
      <c r="B652" s="13" t="s">
        <v>581</v>
      </c>
      <c r="C652" s="13" t="s">
        <v>737</v>
      </c>
      <c r="D652" s="61" t="n">
        <v>45969.7256944444</v>
      </c>
      <c r="E652" s="61" t="n">
        <v>45969.7256944444</v>
      </c>
      <c r="F652" s="61" t="n">
        <v>45970.2604166667</v>
      </c>
      <c r="G652" s="62" t="n">
        <v>0.534722222218989</v>
      </c>
      <c r="H652" s="13" t="s">
        <v>248</v>
      </c>
      <c r="J652" s="13" t="s">
        <v>256</v>
      </c>
      <c r="K652" s="13" t="s">
        <v>430</v>
      </c>
      <c r="L652" s="13" t="s">
        <v>1000</v>
      </c>
      <c r="M652" s="66" t="s">
        <v>258</v>
      </c>
      <c r="N652" s="66" t="s">
        <v>379</v>
      </c>
      <c r="O652" s="66" t="s">
        <v>399</v>
      </c>
      <c r="P652" s="0" t="s">
        <v>1704</v>
      </c>
      <c r="Q652" s="66" t="s">
        <v>995</v>
      </c>
    </row>
    <row r="653" customFormat="false" ht="14.25" hidden="false" customHeight="false" outlineLevel="0" collapsed="false">
      <c r="A653" s="13" t="s">
        <v>816</v>
      </c>
      <c r="B653" s="13" t="s">
        <v>581</v>
      </c>
      <c r="C653" s="13" t="s">
        <v>582</v>
      </c>
      <c r="D653" s="61" t="n">
        <v>45969.7256944444</v>
      </c>
      <c r="E653" s="61" t="n">
        <v>45969.7256944444</v>
      </c>
      <c r="F653" s="61" t="n">
        <v>45970.2604166667</v>
      </c>
      <c r="G653" s="62" t="n">
        <v>0.534722222218989</v>
      </c>
      <c r="H653" s="13" t="s">
        <v>248</v>
      </c>
      <c r="J653" s="13" t="s">
        <v>256</v>
      </c>
      <c r="K653" s="13" t="s">
        <v>430</v>
      </c>
      <c r="L653" s="13" t="s">
        <v>1000</v>
      </c>
      <c r="M653" s="66" t="s">
        <v>258</v>
      </c>
      <c r="N653" s="66" t="s">
        <v>379</v>
      </c>
      <c r="O653" s="66" t="s">
        <v>399</v>
      </c>
      <c r="P653" s="0" t="s">
        <v>1705</v>
      </c>
      <c r="Q653" s="66" t="s">
        <v>995</v>
      </c>
    </row>
    <row r="654" customFormat="false" ht="14.25" hidden="false" customHeight="false" outlineLevel="0" collapsed="false">
      <c r="A654" s="13" t="s">
        <v>816</v>
      </c>
      <c r="B654" s="13" t="s">
        <v>581</v>
      </c>
      <c r="C654" s="13" t="s">
        <v>594</v>
      </c>
      <c r="D654" s="61" t="n">
        <v>45969.7256944444</v>
      </c>
      <c r="E654" s="61" t="n">
        <v>45969.7256944444</v>
      </c>
      <c r="F654" s="61" t="n">
        <v>45970.2604166667</v>
      </c>
      <c r="G654" s="62" t="n">
        <v>0.534722222218989</v>
      </c>
      <c r="H654" s="13" t="s">
        <v>248</v>
      </c>
      <c r="J654" s="13" t="s">
        <v>256</v>
      </c>
      <c r="K654" s="13" t="s">
        <v>430</v>
      </c>
      <c r="L654" s="13" t="s">
        <v>1000</v>
      </c>
      <c r="M654" s="66" t="s">
        <v>258</v>
      </c>
      <c r="N654" s="66" t="s">
        <v>379</v>
      </c>
      <c r="O654" s="66" t="s">
        <v>399</v>
      </c>
      <c r="P654" s="0" t="s">
        <v>1706</v>
      </c>
      <c r="Q654" s="66" t="s">
        <v>995</v>
      </c>
    </row>
    <row r="655" customFormat="false" ht="14.25" hidden="false" customHeight="false" outlineLevel="0" collapsed="false">
      <c r="A655" s="13" t="s">
        <v>816</v>
      </c>
      <c r="B655" s="13" t="s">
        <v>581</v>
      </c>
      <c r="C655" s="13" t="s">
        <v>596</v>
      </c>
      <c r="D655" s="61" t="n">
        <v>45969.7256944444</v>
      </c>
      <c r="E655" s="61" t="n">
        <v>45969.7256944444</v>
      </c>
      <c r="F655" s="61" t="n">
        <v>45970.2604166667</v>
      </c>
      <c r="G655" s="62" t="n">
        <v>0.534722222218989</v>
      </c>
      <c r="H655" s="13" t="s">
        <v>248</v>
      </c>
      <c r="J655" s="13" t="s">
        <v>256</v>
      </c>
      <c r="K655" s="13" t="s">
        <v>430</v>
      </c>
      <c r="L655" s="13" t="s">
        <v>1000</v>
      </c>
      <c r="M655" s="66" t="s">
        <v>258</v>
      </c>
      <c r="N655" s="66" t="s">
        <v>379</v>
      </c>
      <c r="O655" s="66" t="s">
        <v>399</v>
      </c>
      <c r="P655" s="0" t="s">
        <v>1707</v>
      </c>
      <c r="Q655" s="66" t="s">
        <v>995</v>
      </c>
    </row>
    <row r="656" customFormat="false" ht="14.25" hidden="false" customHeight="false" outlineLevel="0" collapsed="false">
      <c r="A656" s="13" t="s">
        <v>816</v>
      </c>
      <c r="B656" s="13" t="s">
        <v>581</v>
      </c>
      <c r="C656" s="13" t="s">
        <v>592</v>
      </c>
      <c r="D656" s="61" t="n">
        <v>45969.7256944444</v>
      </c>
      <c r="E656" s="61" t="n">
        <v>45969.7256944444</v>
      </c>
      <c r="F656" s="61" t="n">
        <v>45970.2604166667</v>
      </c>
      <c r="G656" s="62" t="n">
        <v>0.534722222218989</v>
      </c>
      <c r="H656" s="13" t="s">
        <v>248</v>
      </c>
      <c r="J656" s="13" t="s">
        <v>256</v>
      </c>
      <c r="K656" s="13" t="s">
        <v>430</v>
      </c>
      <c r="L656" s="13" t="s">
        <v>1000</v>
      </c>
      <c r="M656" s="66" t="s">
        <v>258</v>
      </c>
      <c r="N656" s="66" t="s">
        <v>379</v>
      </c>
      <c r="O656" s="66" t="s">
        <v>399</v>
      </c>
      <c r="P656" s="0" t="s">
        <v>1708</v>
      </c>
      <c r="Q656" s="66" t="s">
        <v>995</v>
      </c>
    </row>
    <row r="657" customFormat="false" ht="14.25" hidden="false" customHeight="false" outlineLevel="0" collapsed="false">
      <c r="A657" s="13" t="s">
        <v>816</v>
      </c>
      <c r="B657" s="13" t="s">
        <v>581</v>
      </c>
      <c r="C657" s="13" t="s">
        <v>595</v>
      </c>
      <c r="D657" s="61" t="n">
        <v>45969.7256944444</v>
      </c>
      <c r="E657" s="61" t="n">
        <v>45969.7256944444</v>
      </c>
      <c r="F657" s="61" t="n">
        <v>45970.2604166667</v>
      </c>
      <c r="G657" s="62" t="n">
        <v>0.534722222218989</v>
      </c>
      <c r="H657" s="13" t="s">
        <v>248</v>
      </c>
      <c r="J657" s="13" t="s">
        <v>256</v>
      </c>
      <c r="K657" s="13" t="s">
        <v>430</v>
      </c>
      <c r="L657" s="13" t="s">
        <v>1000</v>
      </c>
      <c r="M657" s="66" t="s">
        <v>258</v>
      </c>
      <c r="N657" s="66" t="s">
        <v>379</v>
      </c>
      <c r="O657" s="66" t="s">
        <v>399</v>
      </c>
      <c r="P657" s="0" t="s">
        <v>1709</v>
      </c>
      <c r="Q657" s="66" t="s">
        <v>995</v>
      </c>
    </row>
    <row r="658" customFormat="false" ht="14.25" hidden="false" customHeight="false" outlineLevel="0" collapsed="false">
      <c r="A658" s="13" t="s">
        <v>816</v>
      </c>
      <c r="B658" s="13" t="s">
        <v>581</v>
      </c>
      <c r="C658" s="13" t="s">
        <v>599</v>
      </c>
      <c r="D658" s="61" t="n">
        <v>45969.7256944444</v>
      </c>
      <c r="E658" s="61" t="n">
        <v>45969.7256944444</v>
      </c>
      <c r="F658" s="61" t="n">
        <v>45970.2604166667</v>
      </c>
      <c r="G658" s="62" t="n">
        <v>0.534722222218989</v>
      </c>
      <c r="H658" s="13" t="s">
        <v>248</v>
      </c>
      <c r="J658" s="13" t="s">
        <v>256</v>
      </c>
      <c r="K658" s="13" t="s">
        <v>430</v>
      </c>
      <c r="L658" s="13" t="s">
        <v>1000</v>
      </c>
      <c r="M658" s="66" t="s">
        <v>258</v>
      </c>
      <c r="N658" s="66" t="s">
        <v>379</v>
      </c>
      <c r="O658" s="66" t="s">
        <v>399</v>
      </c>
      <c r="P658" s="0" t="s">
        <v>1710</v>
      </c>
      <c r="Q658" s="66" t="s">
        <v>995</v>
      </c>
    </row>
    <row r="659" customFormat="false" ht="14.25" hidden="false" customHeight="false" outlineLevel="0" collapsed="false">
      <c r="A659" s="13" t="s">
        <v>816</v>
      </c>
      <c r="B659" s="13" t="s">
        <v>581</v>
      </c>
      <c r="C659" s="13" t="s">
        <v>584</v>
      </c>
      <c r="D659" s="61" t="n">
        <v>45969.7256944444</v>
      </c>
      <c r="E659" s="61" t="n">
        <v>45969.7256944444</v>
      </c>
      <c r="F659" s="61" t="n">
        <v>45970.2604166667</v>
      </c>
      <c r="G659" s="62" t="n">
        <v>0.534722222218989</v>
      </c>
      <c r="H659" s="13" t="s">
        <v>248</v>
      </c>
      <c r="J659" s="13" t="s">
        <v>256</v>
      </c>
      <c r="K659" s="13" t="s">
        <v>430</v>
      </c>
      <c r="L659" s="13" t="s">
        <v>1000</v>
      </c>
      <c r="M659" s="66" t="s">
        <v>258</v>
      </c>
      <c r="N659" s="66" t="s">
        <v>379</v>
      </c>
      <c r="O659" s="66" t="s">
        <v>399</v>
      </c>
      <c r="P659" s="0" t="s">
        <v>1711</v>
      </c>
      <c r="Q659" s="66" t="s">
        <v>995</v>
      </c>
    </row>
    <row r="660" customFormat="false" ht="14.25" hidden="false" customHeight="false" outlineLevel="0" collapsed="false">
      <c r="A660" s="13" t="s">
        <v>816</v>
      </c>
      <c r="B660" s="13" t="s">
        <v>581</v>
      </c>
      <c r="C660" s="13" t="s">
        <v>590</v>
      </c>
      <c r="D660" s="61" t="n">
        <v>45969.7256944444</v>
      </c>
      <c r="E660" s="61" t="n">
        <v>45969.7256944444</v>
      </c>
      <c r="F660" s="61" t="n">
        <v>45970.2604166667</v>
      </c>
      <c r="G660" s="62" t="n">
        <v>0.534722222218989</v>
      </c>
      <c r="H660" s="13" t="s">
        <v>248</v>
      </c>
      <c r="J660" s="13" t="s">
        <v>256</v>
      </c>
      <c r="K660" s="13" t="s">
        <v>430</v>
      </c>
      <c r="L660" s="13" t="s">
        <v>1000</v>
      </c>
      <c r="M660" s="66" t="s">
        <v>258</v>
      </c>
      <c r="N660" s="66" t="s">
        <v>379</v>
      </c>
      <c r="O660" s="66" t="s">
        <v>399</v>
      </c>
      <c r="P660" s="0" t="s">
        <v>1712</v>
      </c>
      <c r="Q660" s="66" t="s">
        <v>995</v>
      </c>
    </row>
    <row r="661" customFormat="false" ht="14.25" hidden="false" customHeight="false" outlineLevel="0" collapsed="false">
      <c r="A661" s="13" t="s">
        <v>766</v>
      </c>
      <c r="B661" s="13" t="s">
        <v>766</v>
      </c>
      <c r="C661" s="13" t="s">
        <v>280</v>
      </c>
      <c r="D661" s="61" t="n">
        <v>45970.25</v>
      </c>
      <c r="E661" s="61" t="n">
        <v>45970.25</v>
      </c>
      <c r="F661" s="61" t="n">
        <v>45970.375</v>
      </c>
      <c r="G661" s="62" t="n">
        <v>0.125</v>
      </c>
      <c r="H661" s="13" t="s">
        <v>445</v>
      </c>
      <c r="I661" s="13" t="s">
        <v>263</v>
      </c>
      <c r="J661" s="13" t="s">
        <v>264</v>
      </c>
      <c r="K661" s="13" t="s">
        <v>456</v>
      </c>
      <c r="L661" s="13" t="s">
        <v>788</v>
      </c>
      <c r="M661" s="66" t="s">
        <v>266</v>
      </c>
      <c r="N661" s="66" t="s">
        <v>252</v>
      </c>
      <c r="O661" s="66" t="s">
        <v>1713</v>
      </c>
      <c r="P661" s="0" t="s">
        <v>1714</v>
      </c>
      <c r="Q661" s="66" t="s">
        <v>1430</v>
      </c>
    </row>
    <row r="662" customFormat="false" ht="14.25" hidden="false" customHeight="false" outlineLevel="0" collapsed="false">
      <c r="A662" s="13" t="s">
        <v>766</v>
      </c>
      <c r="B662" s="13" t="s">
        <v>766</v>
      </c>
      <c r="C662" s="13" t="s">
        <v>279</v>
      </c>
      <c r="D662" s="61" t="n">
        <v>45970.25</v>
      </c>
      <c r="E662" s="61" t="n">
        <v>45970.25</v>
      </c>
      <c r="F662" s="61" t="n">
        <v>45970.375</v>
      </c>
      <c r="G662" s="62" t="n">
        <v>0.125</v>
      </c>
      <c r="H662" s="13" t="s">
        <v>445</v>
      </c>
      <c r="I662" s="13" t="s">
        <v>263</v>
      </c>
      <c r="J662" s="13" t="s">
        <v>264</v>
      </c>
      <c r="K662" s="13" t="s">
        <v>456</v>
      </c>
      <c r="L662" s="13" t="s">
        <v>788</v>
      </c>
      <c r="M662" s="66" t="s">
        <v>266</v>
      </c>
      <c r="N662" s="66" t="s">
        <v>252</v>
      </c>
      <c r="O662" s="66" t="s">
        <v>1713</v>
      </c>
      <c r="P662" s="0" t="s">
        <v>1715</v>
      </c>
      <c r="Q662" s="66" t="s">
        <v>1430</v>
      </c>
    </row>
    <row r="663" customFormat="false" ht="14.25" hidden="false" customHeight="false" outlineLevel="0" collapsed="false">
      <c r="A663" s="13" t="s">
        <v>766</v>
      </c>
      <c r="B663" s="13" t="s">
        <v>766</v>
      </c>
      <c r="C663" s="13" t="s">
        <v>690</v>
      </c>
      <c r="D663" s="61" t="n">
        <v>45970.25</v>
      </c>
      <c r="E663" s="61" t="n">
        <v>45970.25</v>
      </c>
      <c r="F663" s="61" t="n">
        <v>45970.375</v>
      </c>
      <c r="G663" s="62" t="n">
        <v>0.125</v>
      </c>
      <c r="H663" s="13" t="s">
        <v>445</v>
      </c>
      <c r="I663" s="13" t="s">
        <v>263</v>
      </c>
      <c r="J663" s="13" t="s">
        <v>264</v>
      </c>
      <c r="K663" s="13" t="s">
        <v>456</v>
      </c>
      <c r="L663" s="13" t="s">
        <v>788</v>
      </c>
      <c r="M663" s="66" t="s">
        <v>266</v>
      </c>
      <c r="N663" s="66" t="s">
        <v>252</v>
      </c>
      <c r="O663" s="66" t="s">
        <v>1713</v>
      </c>
      <c r="P663" s="0" t="s">
        <v>1716</v>
      </c>
      <c r="Q663" s="66" t="s">
        <v>1430</v>
      </c>
    </row>
    <row r="664" customFormat="false" ht="14.25" hidden="false" customHeight="false" outlineLevel="0" collapsed="false">
      <c r="A664" s="13" t="s">
        <v>766</v>
      </c>
      <c r="B664" s="13" t="s">
        <v>766</v>
      </c>
      <c r="C664" s="13" t="s">
        <v>767</v>
      </c>
      <c r="D664" s="61" t="n">
        <v>45970.25</v>
      </c>
      <c r="E664" s="61" t="n">
        <v>45970.25</v>
      </c>
      <c r="F664" s="61" t="n">
        <v>45970.375</v>
      </c>
      <c r="G664" s="62" t="n">
        <v>0.125</v>
      </c>
      <c r="H664" s="13" t="s">
        <v>445</v>
      </c>
      <c r="I664" s="13" t="s">
        <v>263</v>
      </c>
      <c r="J664" s="13" t="s">
        <v>264</v>
      </c>
      <c r="K664" s="13" t="s">
        <v>456</v>
      </c>
      <c r="L664" s="13" t="s">
        <v>788</v>
      </c>
      <c r="M664" s="66" t="s">
        <v>266</v>
      </c>
      <c r="N664" s="66" t="s">
        <v>252</v>
      </c>
      <c r="O664" s="66" t="s">
        <v>1713</v>
      </c>
      <c r="P664" s="0" t="s">
        <v>1717</v>
      </c>
      <c r="Q664" s="66" t="s">
        <v>1430</v>
      </c>
    </row>
    <row r="665" customFormat="false" ht="14.25" hidden="false" customHeight="false" outlineLevel="0" collapsed="false">
      <c r="A665" s="13" t="s">
        <v>766</v>
      </c>
      <c r="B665" s="13" t="s">
        <v>766</v>
      </c>
      <c r="C665" s="13" t="s">
        <v>768</v>
      </c>
      <c r="D665" s="61" t="n">
        <v>45970.25</v>
      </c>
      <c r="E665" s="61" t="n">
        <v>45970.25</v>
      </c>
      <c r="F665" s="61" t="n">
        <v>45970.375</v>
      </c>
      <c r="G665" s="62" t="n">
        <v>0.125</v>
      </c>
      <c r="H665" s="13" t="s">
        <v>445</v>
      </c>
      <c r="I665" s="13" t="s">
        <v>263</v>
      </c>
      <c r="J665" s="13" t="s">
        <v>264</v>
      </c>
      <c r="K665" s="13" t="s">
        <v>456</v>
      </c>
      <c r="L665" s="13" t="s">
        <v>788</v>
      </c>
      <c r="M665" s="66" t="s">
        <v>266</v>
      </c>
      <c r="N665" s="66" t="s">
        <v>252</v>
      </c>
      <c r="O665" s="66" t="s">
        <v>1713</v>
      </c>
      <c r="P665" s="0" t="s">
        <v>1718</v>
      </c>
      <c r="Q665" s="66" t="s">
        <v>1430</v>
      </c>
    </row>
    <row r="666" customFormat="false" ht="14.25" hidden="false" customHeight="false" outlineLevel="0" collapsed="false">
      <c r="A666" s="13" t="s">
        <v>698</v>
      </c>
      <c r="B666" s="13" t="s">
        <v>698</v>
      </c>
      <c r="C666" s="13" t="s">
        <v>247</v>
      </c>
      <c r="D666" s="61" t="n">
        <v>45970.2534722222</v>
      </c>
      <c r="E666" s="61" t="n">
        <v>45970.2534722222</v>
      </c>
      <c r="F666" s="61" t="n">
        <v>45971.5590277778</v>
      </c>
      <c r="G666" s="62" t="n">
        <v>1.30555555556202</v>
      </c>
      <c r="H666" s="13" t="s">
        <v>248</v>
      </c>
      <c r="J666" s="13" t="s">
        <v>230</v>
      </c>
      <c r="K666" s="13" t="s">
        <v>230</v>
      </c>
      <c r="L666" s="13" t="s">
        <v>1719</v>
      </c>
      <c r="M666" s="66" t="s">
        <v>288</v>
      </c>
      <c r="N666" s="66" t="s">
        <v>289</v>
      </c>
      <c r="O666" s="66" t="s">
        <v>1720</v>
      </c>
      <c r="P666" s="0" t="s">
        <v>1721</v>
      </c>
      <c r="Q666" s="66" t="s">
        <v>1722</v>
      </c>
    </row>
    <row r="667" customFormat="false" ht="14.25" hidden="false" customHeight="false" outlineLevel="0" collapsed="false">
      <c r="A667" s="13" t="s">
        <v>698</v>
      </c>
      <c r="B667" s="13" t="s">
        <v>698</v>
      </c>
      <c r="C667" s="13" t="s">
        <v>277</v>
      </c>
      <c r="D667" s="61" t="n">
        <v>45970.2534722222</v>
      </c>
      <c r="E667" s="61" t="n">
        <v>45970.2534722222</v>
      </c>
      <c r="F667" s="61" t="n">
        <v>45971.5590277778</v>
      </c>
      <c r="G667" s="62" t="n">
        <v>1.30555555556202</v>
      </c>
      <c r="H667" s="13" t="s">
        <v>248</v>
      </c>
      <c r="J667" s="13" t="s">
        <v>230</v>
      </c>
      <c r="K667" s="13" t="s">
        <v>230</v>
      </c>
      <c r="L667" s="13" t="s">
        <v>1719</v>
      </c>
      <c r="M667" s="66" t="s">
        <v>288</v>
      </c>
      <c r="N667" s="66" t="s">
        <v>289</v>
      </c>
      <c r="O667" s="66" t="s">
        <v>1720</v>
      </c>
      <c r="P667" s="0" t="s">
        <v>1723</v>
      </c>
      <c r="Q667" s="66" t="s">
        <v>1722</v>
      </c>
    </row>
    <row r="668" customFormat="false" ht="14.25" hidden="false" customHeight="false" outlineLevel="0" collapsed="false">
      <c r="A668" s="13" t="s">
        <v>698</v>
      </c>
      <c r="B668" s="13" t="s">
        <v>698</v>
      </c>
      <c r="C668" s="13" t="s">
        <v>279</v>
      </c>
      <c r="D668" s="61" t="n">
        <v>45970.2534722222</v>
      </c>
      <c r="E668" s="61" t="n">
        <v>45970.2534722222</v>
      </c>
      <c r="F668" s="61" t="n">
        <v>45971.5590277778</v>
      </c>
      <c r="G668" s="62" t="n">
        <v>1.30555555556202</v>
      </c>
      <c r="H668" s="13" t="s">
        <v>248</v>
      </c>
      <c r="J668" s="13" t="s">
        <v>230</v>
      </c>
      <c r="K668" s="13" t="s">
        <v>230</v>
      </c>
      <c r="L668" s="13" t="s">
        <v>1719</v>
      </c>
      <c r="M668" s="66" t="s">
        <v>288</v>
      </c>
      <c r="N668" s="66" t="s">
        <v>289</v>
      </c>
      <c r="O668" s="66" t="s">
        <v>1720</v>
      </c>
      <c r="P668" s="0" t="s">
        <v>1724</v>
      </c>
      <c r="Q668" s="66" t="s">
        <v>1722</v>
      </c>
    </row>
    <row r="669" customFormat="false" ht="14.25" hidden="false" customHeight="false" outlineLevel="0" collapsed="false">
      <c r="A669" s="13" t="s">
        <v>698</v>
      </c>
      <c r="B669" s="13" t="s">
        <v>698</v>
      </c>
      <c r="C669" s="13" t="s">
        <v>280</v>
      </c>
      <c r="D669" s="61" t="n">
        <v>45970.2534722222</v>
      </c>
      <c r="E669" s="61" t="n">
        <v>45970.2534722222</v>
      </c>
      <c r="F669" s="61" t="n">
        <v>45971.5590277778</v>
      </c>
      <c r="G669" s="62" t="n">
        <v>1.30555555556202</v>
      </c>
      <c r="H669" s="13" t="s">
        <v>248</v>
      </c>
      <c r="J669" s="13" t="s">
        <v>230</v>
      </c>
      <c r="K669" s="13" t="s">
        <v>230</v>
      </c>
      <c r="L669" s="13" t="s">
        <v>1719</v>
      </c>
      <c r="M669" s="66" t="s">
        <v>288</v>
      </c>
      <c r="N669" s="66" t="s">
        <v>289</v>
      </c>
      <c r="O669" s="66" t="s">
        <v>1720</v>
      </c>
      <c r="P669" s="0" t="s">
        <v>1725</v>
      </c>
      <c r="Q669" s="66" t="s">
        <v>1722</v>
      </c>
    </row>
    <row r="670" customFormat="false" ht="14.25" hidden="false" customHeight="false" outlineLevel="0" collapsed="false">
      <c r="A670" s="13" t="s">
        <v>1155</v>
      </c>
      <c r="B670" s="13" t="s">
        <v>643</v>
      </c>
      <c r="C670" s="13" t="s">
        <v>644</v>
      </c>
      <c r="D670" s="61" t="n">
        <v>45970.6944444444</v>
      </c>
      <c r="E670" s="61" t="n">
        <v>45970.6944444444</v>
      </c>
      <c r="F670" s="61" t="n">
        <v>45970.7215277778</v>
      </c>
      <c r="G670" s="62" t="n">
        <v>0.0270833333343035</v>
      </c>
      <c r="H670" s="13" t="s">
        <v>445</v>
      </c>
      <c r="I670" s="13" t="s">
        <v>263</v>
      </c>
      <c r="J670" s="13" t="s">
        <v>264</v>
      </c>
      <c r="K670" s="13" t="s">
        <v>456</v>
      </c>
      <c r="L670" s="13" t="s">
        <v>1726</v>
      </c>
      <c r="M670" s="66" t="s">
        <v>266</v>
      </c>
      <c r="N670" s="66" t="s">
        <v>252</v>
      </c>
      <c r="O670" s="66" t="s">
        <v>1727</v>
      </c>
      <c r="P670" s="0" t="s">
        <v>1728</v>
      </c>
      <c r="Q670" s="66" t="s">
        <v>1430</v>
      </c>
    </row>
    <row r="671" customFormat="false" ht="14.25" hidden="false" customHeight="false" outlineLevel="0" collapsed="false">
      <c r="A671" s="13" t="s">
        <v>1155</v>
      </c>
      <c r="B671" s="13" t="s">
        <v>643</v>
      </c>
      <c r="C671" s="13" t="s">
        <v>647</v>
      </c>
      <c r="D671" s="61" t="n">
        <v>45970.6944444444</v>
      </c>
      <c r="E671" s="61" t="n">
        <v>45970.6944444444</v>
      </c>
      <c r="F671" s="61" t="n">
        <v>45970.7215277778</v>
      </c>
      <c r="G671" s="62" t="n">
        <v>0.0270833333343035</v>
      </c>
      <c r="H671" s="13" t="s">
        <v>445</v>
      </c>
      <c r="I671" s="13" t="s">
        <v>263</v>
      </c>
      <c r="J671" s="13" t="s">
        <v>264</v>
      </c>
      <c r="K671" s="13" t="s">
        <v>456</v>
      </c>
      <c r="L671" s="13" t="s">
        <v>1726</v>
      </c>
      <c r="M671" s="66" t="s">
        <v>266</v>
      </c>
      <c r="N671" s="66" t="s">
        <v>252</v>
      </c>
      <c r="O671" s="66" t="s">
        <v>1727</v>
      </c>
      <c r="P671" s="0" t="s">
        <v>1729</v>
      </c>
      <c r="Q671" s="66" t="s">
        <v>1430</v>
      </c>
    </row>
    <row r="672" customFormat="false" ht="14.25" hidden="false" customHeight="false" outlineLevel="0" collapsed="false">
      <c r="A672" s="13" t="s">
        <v>1155</v>
      </c>
      <c r="B672" s="13" t="s">
        <v>643</v>
      </c>
      <c r="C672" s="13" t="s">
        <v>648</v>
      </c>
      <c r="D672" s="61" t="n">
        <v>45970.6944444444</v>
      </c>
      <c r="E672" s="61" t="n">
        <v>45970.6944444444</v>
      </c>
      <c r="F672" s="61" t="n">
        <v>45970.7215277778</v>
      </c>
      <c r="G672" s="62" t="n">
        <v>0.0270833333343035</v>
      </c>
      <c r="H672" s="13" t="s">
        <v>445</v>
      </c>
      <c r="I672" s="13" t="s">
        <v>263</v>
      </c>
      <c r="J672" s="13" t="s">
        <v>264</v>
      </c>
      <c r="K672" s="13" t="s">
        <v>456</v>
      </c>
      <c r="L672" s="13" t="s">
        <v>1726</v>
      </c>
      <c r="M672" s="66" t="s">
        <v>266</v>
      </c>
      <c r="N672" s="66" t="s">
        <v>252</v>
      </c>
      <c r="O672" s="66" t="s">
        <v>1727</v>
      </c>
      <c r="P672" s="0" t="s">
        <v>1730</v>
      </c>
      <c r="Q672" s="66" t="s">
        <v>1430</v>
      </c>
    </row>
    <row r="673" customFormat="false" ht="14.25" hidden="false" customHeight="false" outlineLevel="0" collapsed="false">
      <c r="A673" s="13" t="s">
        <v>1155</v>
      </c>
      <c r="B673" s="13" t="s">
        <v>643</v>
      </c>
      <c r="C673" s="13" t="s">
        <v>649</v>
      </c>
      <c r="D673" s="61" t="n">
        <v>45970.6944444444</v>
      </c>
      <c r="E673" s="61" t="n">
        <v>45970.6944444444</v>
      </c>
      <c r="F673" s="61" t="n">
        <v>45970.7215277778</v>
      </c>
      <c r="G673" s="62" t="n">
        <v>0.0270833333343035</v>
      </c>
      <c r="H673" s="13" t="s">
        <v>445</v>
      </c>
      <c r="I673" s="13" t="s">
        <v>263</v>
      </c>
      <c r="J673" s="13" t="s">
        <v>264</v>
      </c>
      <c r="K673" s="13" t="s">
        <v>456</v>
      </c>
      <c r="L673" s="13" t="s">
        <v>1726</v>
      </c>
      <c r="M673" s="66" t="s">
        <v>266</v>
      </c>
      <c r="N673" s="66" t="s">
        <v>252</v>
      </c>
      <c r="O673" s="66" t="s">
        <v>1727</v>
      </c>
      <c r="P673" s="0" t="s">
        <v>1731</v>
      </c>
      <c r="Q673" s="66" t="s">
        <v>1430</v>
      </c>
    </row>
    <row r="674" customFormat="false" ht="82.05" hidden="false" customHeight="false" outlineLevel="0" collapsed="false">
      <c r="A674" s="13" t="s">
        <v>1475</v>
      </c>
      <c r="B674" s="13" t="s">
        <v>333</v>
      </c>
      <c r="C674" s="13" t="s">
        <v>337</v>
      </c>
      <c r="D674" s="61" t="n">
        <v>45970.9826388889</v>
      </c>
      <c r="E674" s="61" t="n">
        <v>45970.9826388889</v>
      </c>
      <c r="F674" s="61" t="n">
        <v>45988.7395833333</v>
      </c>
      <c r="G674" s="62" t="n">
        <v>17.7569444444453</v>
      </c>
      <c r="H674" s="13" t="s">
        <v>286</v>
      </c>
      <c r="J674" s="13" t="s">
        <v>230</v>
      </c>
      <c r="K674" s="13" t="s">
        <v>230</v>
      </c>
      <c r="L674" s="13" t="s">
        <v>987</v>
      </c>
      <c r="M674" s="66" t="s">
        <v>288</v>
      </c>
      <c r="N674" s="66" t="s">
        <v>289</v>
      </c>
      <c r="O674" s="67" t="s">
        <v>1732</v>
      </c>
      <c r="P674" s="0" t="s">
        <v>1733</v>
      </c>
      <c r="Q674" s="66" t="s">
        <v>1734</v>
      </c>
    </row>
    <row r="675" customFormat="false" ht="82.05" hidden="false" customHeight="false" outlineLevel="0" collapsed="false">
      <c r="A675" s="13" t="s">
        <v>1475</v>
      </c>
      <c r="B675" s="13" t="s">
        <v>333</v>
      </c>
      <c r="C675" s="13" t="s">
        <v>338</v>
      </c>
      <c r="D675" s="61" t="n">
        <v>45970.9826388889</v>
      </c>
      <c r="E675" s="61" t="n">
        <v>45970.9826388889</v>
      </c>
      <c r="F675" s="61" t="n">
        <v>45988.7395833333</v>
      </c>
      <c r="G675" s="62" t="n">
        <v>17.7569444444453</v>
      </c>
      <c r="H675" s="13" t="s">
        <v>286</v>
      </c>
      <c r="J675" s="13" t="s">
        <v>230</v>
      </c>
      <c r="K675" s="13" t="s">
        <v>230</v>
      </c>
      <c r="L675" s="13" t="s">
        <v>987</v>
      </c>
      <c r="M675" s="66" t="s">
        <v>288</v>
      </c>
      <c r="N675" s="66" t="s">
        <v>289</v>
      </c>
      <c r="O675" s="67" t="s">
        <v>1732</v>
      </c>
      <c r="P675" s="0" t="s">
        <v>1735</v>
      </c>
      <c r="Q675" s="66" t="s">
        <v>1734</v>
      </c>
    </row>
    <row r="676" customFormat="false" ht="82.05" hidden="false" customHeight="false" outlineLevel="0" collapsed="false">
      <c r="A676" s="13" t="s">
        <v>1475</v>
      </c>
      <c r="B676" s="13" t="s">
        <v>333</v>
      </c>
      <c r="C676" s="13" t="s">
        <v>339</v>
      </c>
      <c r="D676" s="61" t="n">
        <v>45970.9826388889</v>
      </c>
      <c r="E676" s="61" t="n">
        <v>45970.9826388889</v>
      </c>
      <c r="F676" s="61" t="n">
        <v>45988.7395833333</v>
      </c>
      <c r="G676" s="62" t="n">
        <v>17.7569444444453</v>
      </c>
      <c r="H676" s="13" t="s">
        <v>286</v>
      </c>
      <c r="J676" s="13" t="s">
        <v>230</v>
      </c>
      <c r="K676" s="13" t="s">
        <v>230</v>
      </c>
      <c r="L676" s="13" t="s">
        <v>987</v>
      </c>
      <c r="M676" s="66" t="s">
        <v>288</v>
      </c>
      <c r="N676" s="66" t="s">
        <v>289</v>
      </c>
      <c r="O676" s="67" t="s">
        <v>1732</v>
      </c>
      <c r="P676" s="0" t="s">
        <v>1736</v>
      </c>
      <c r="Q676" s="66" t="s">
        <v>1734</v>
      </c>
    </row>
    <row r="677" customFormat="false" ht="82.05" hidden="false" customHeight="false" outlineLevel="0" collapsed="false">
      <c r="A677" s="13" t="s">
        <v>1475</v>
      </c>
      <c r="B677" s="13" t="s">
        <v>333</v>
      </c>
      <c r="C677" s="13" t="s">
        <v>340</v>
      </c>
      <c r="D677" s="61" t="n">
        <v>45970.9826388889</v>
      </c>
      <c r="E677" s="61" t="n">
        <v>45970.9826388889</v>
      </c>
      <c r="F677" s="61" t="n">
        <v>45988.7395833333</v>
      </c>
      <c r="G677" s="62" t="n">
        <v>17.7569444444453</v>
      </c>
      <c r="H677" s="13" t="s">
        <v>286</v>
      </c>
      <c r="J677" s="13" t="s">
        <v>230</v>
      </c>
      <c r="K677" s="13" t="s">
        <v>230</v>
      </c>
      <c r="L677" s="13" t="s">
        <v>987</v>
      </c>
      <c r="M677" s="66" t="s">
        <v>288</v>
      </c>
      <c r="N677" s="66" t="s">
        <v>289</v>
      </c>
      <c r="O677" s="67" t="s">
        <v>1732</v>
      </c>
      <c r="P677" s="0" t="s">
        <v>1737</v>
      </c>
      <c r="Q677" s="66" t="s">
        <v>1734</v>
      </c>
    </row>
    <row r="678" customFormat="false" ht="82.05" hidden="false" customHeight="false" outlineLevel="0" collapsed="false">
      <c r="A678" s="13" t="s">
        <v>1475</v>
      </c>
      <c r="B678" s="13" t="s">
        <v>333</v>
      </c>
      <c r="C678" s="13" t="s">
        <v>341</v>
      </c>
      <c r="D678" s="61" t="n">
        <v>45970.9826388889</v>
      </c>
      <c r="E678" s="61" t="n">
        <v>45970.9826388889</v>
      </c>
      <c r="F678" s="61" t="n">
        <v>45988.7395833333</v>
      </c>
      <c r="G678" s="62" t="n">
        <v>17.7569444444453</v>
      </c>
      <c r="H678" s="13" t="s">
        <v>286</v>
      </c>
      <c r="J678" s="13" t="s">
        <v>230</v>
      </c>
      <c r="K678" s="13" t="s">
        <v>230</v>
      </c>
      <c r="L678" s="13" t="s">
        <v>987</v>
      </c>
      <c r="M678" s="66" t="s">
        <v>288</v>
      </c>
      <c r="N678" s="66" t="s">
        <v>289</v>
      </c>
      <c r="O678" s="67" t="s">
        <v>1732</v>
      </c>
      <c r="P678" s="0" t="s">
        <v>1738</v>
      </c>
      <c r="Q678" s="66" t="s">
        <v>1734</v>
      </c>
    </row>
    <row r="679" customFormat="false" ht="82.05" hidden="false" customHeight="false" outlineLevel="0" collapsed="false">
      <c r="A679" s="13" t="s">
        <v>1475</v>
      </c>
      <c r="B679" s="13" t="s">
        <v>333</v>
      </c>
      <c r="C679" s="13" t="s">
        <v>342</v>
      </c>
      <c r="D679" s="61" t="n">
        <v>45970.9826388889</v>
      </c>
      <c r="E679" s="61" t="n">
        <v>45970.9826388889</v>
      </c>
      <c r="F679" s="61" t="n">
        <v>45988.7395833333</v>
      </c>
      <c r="G679" s="62" t="n">
        <v>17.7569444444453</v>
      </c>
      <c r="H679" s="13" t="s">
        <v>286</v>
      </c>
      <c r="J679" s="13" t="s">
        <v>230</v>
      </c>
      <c r="K679" s="13" t="s">
        <v>230</v>
      </c>
      <c r="L679" s="13" t="s">
        <v>987</v>
      </c>
      <c r="M679" s="66" t="s">
        <v>288</v>
      </c>
      <c r="N679" s="66" t="s">
        <v>289</v>
      </c>
      <c r="O679" s="67" t="s">
        <v>1732</v>
      </c>
      <c r="P679" s="0" t="s">
        <v>1739</v>
      </c>
      <c r="Q679" s="66" t="s">
        <v>1734</v>
      </c>
    </row>
    <row r="680" customFormat="false" ht="82.05" hidden="false" customHeight="false" outlineLevel="0" collapsed="false">
      <c r="A680" s="13" t="s">
        <v>1475</v>
      </c>
      <c r="B680" s="13" t="s">
        <v>333</v>
      </c>
      <c r="C680" s="13" t="s">
        <v>343</v>
      </c>
      <c r="D680" s="61" t="n">
        <v>45970.9826388889</v>
      </c>
      <c r="E680" s="61" t="n">
        <v>45970.9826388889</v>
      </c>
      <c r="F680" s="61" t="n">
        <v>45988.7395833333</v>
      </c>
      <c r="G680" s="62" t="n">
        <v>17.7569444444453</v>
      </c>
      <c r="H680" s="13" t="s">
        <v>286</v>
      </c>
      <c r="J680" s="13" t="s">
        <v>230</v>
      </c>
      <c r="K680" s="13" t="s">
        <v>230</v>
      </c>
      <c r="L680" s="13" t="s">
        <v>987</v>
      </c>
      <c r="M680" s="66" t="s">
        <v>288</v>
      </c>
      <c r="N680" s="66" t="s">
        <v>289</v>
      </c>
      <c r="O680" s="67" t="s">
        <v>1732</v>
      </c>
      <c r="P680" s="0" t="s">
        <v>1740</v>
      </c>
      <c r="Q680" s="66" t="s">
        <v>1734</v>
      </c>
    </row>
    <row r="681" customFormat="false" ht="82.05" hidden="false" customHeight="false" outlineLevel="0" collapsed="false">
      <c r="A681" s="13" t="s">
        <v>1486</v>
      </c>
      <c r="B681" s="13" t="s">
        <v>333</v>
      </c>
      <c r="C681" s="13" t="s">
        <v>344</v>
      </c>
      <c r="D681" s="61" t="n">
        <v>45970.9826388889</v>
      </c>
      <c r="E681" s="61" t="n">
        <v>45970.9826388889</v>
      </c>
      <c r="F681" s="61" t="n">
        <v>45989.6354166667</v>
      </c>
      <c r="G681" s="62" t="n">
        <v>18.6527777777737</v>
      </c>
      <c r="H681" s="13" t="s">
        <v>286</v>
      </c>
      <c r="J681" s="13" t="s">
        <v>230</v>
      </c>
      <c r="K681" s="13" t="s">
        <v>230</v>
      </c>
      <c r="L681" s="13" t="s">
        <v>987</v>
      </c>
      <c r="M681" s="66" t="s">
        <v>288</v>
      </c>
      <c r="N681" s="66" t="s">
        <v>289</v>
      </c>
      <c r="O681" s="67" t="s">
        <v>1732</v>
      </c>
      <c r="P681" s="0" t="s">
        <v>1741</v>
      </c>
      <c r="Q681" s="66" t="s">
        <v>1734</v>
      </c>
    </row>
    <row r="682" customFormat="false" ht="82.05" hidden="false" customHeight="false" outlineLevel="0" collapsed="false">
      <c r="A682" s="13" t="s">
        <v>1486</v>
      </c>
      <c r="B682" s="13" t="s">
        <v>333</v>
      </c>
      <c r="C682" s="13" t="s">
        <v>345</v>
      </c>
      <c r="D682" s="61" t="n">
        <v>45970.9826388889</v>
      </c>
      <c r="E682" s="61" t="n">
        <v>45970.9826388889</v>
      </c>
      <c r="F682" s="61" t="n">
        <v>45989.6354166667</v>
      </c>
      <c r="G682" s="62" t="n">
        <v>18.6527777777737</v>
      </c>
      <c r="H682" s="13" t="s">
        <v>286</v>
      </c>
      <c r="J682" s="13" t="s">
        <v>230</v>
      </c>
      <c r="K682" s="13" t="s">
        <v>230</v>
      </c>
      <c r="L682" s="13" t="s">
        <v>987</v>
      </c>
      <c r="M682" s="66" t="s">
        <v>288</v>
      </c>
      <c r="N682" s="66" t="s">
        <v>289</v>
      </c>
      <c r="O682" s="67" t="s">
        <v>1732</v>
      </c>
      <c r="P682" s="0" t="s">
        <v>1742</v>
      </c>
      <c r="Q682" s="66" t="s">
        <v>1734</v>
      </c>
    </row>
    <row r="683" customFormat="false" ht="82.05" hidden="false" customHeight="false" outlineLevel="0" collapsed="false">
      <c r="A683" s="13" t="s">
        <v>1486</v>
      </c>
      <c r="B683" s="13" t="s">
        <v>333</v>
      </c>
      <c r="C683" s="13" t="s">
        <v>346</v>
      </c>
      <c r="D683" s="61" t="n">
        <v>45970.9826388889</v>
      </c>
      <c r="E683" s="61" t="n">
        <v>45970.9826388889</v>
      </c>
      <c r="F683" s="61" t="n">
        <v>45989.6354166667</v>
      </c>
      <c r="G683" s="62" t="n">
        <v>18.6527777777737</v>
      </c>
      <c r="H683" s="13" t="s">
        <v>286</v>
      </c>
      <c r="J683" s="13" t="s">
        <v>230</v>
      </c>
      <c r="K683" s="13" t="s">
        <v>230</v>
      </c>
      <c r="L683" s="13" t="s">
        <v>987</v>
      </c>
      <c r="M683" s="66" t="s">
        <v>288</v>
      </c>
      <c r="N683" s="66" t="s">
        <v>289</v>
      </c>
      <c r="O683" s="67" t="s">
        <v>1732</v>
      </c>
      <c r="P683" s="0" t="s">
        <v>1743</v>
      </c>
      <c r="Q683" s="66" t="s">
        <v>1734</v>
      </c>
    </row>
    <row r="684" customFormat="false" ht="82.05" hidden="false" customHeight="false" outlineLevel="0" collapsed="false">
      <c r="A684" s="13" t="s">
        <v>1486</v>
      </c>
      <c r="B684" s="13" t="s">
        <v>333</v>
      </c>
      <c r="C684" s="13" t="s">
        <v>347</v>
      </c>
      <c r="D684" s="61" t="n">
        <v>45970.9826388889</v>
      </c>
      <c r="E684" s="61" t="n">
        <v>45970.9826388889</v>
      </c>
      <c r="F684" s="61" t="n">
        <v>45989.6354166667</v>
      </c>
      <c r="G684" s="62" t="n">
        <v>18.6527777777737</v>
      </c>
      <c r="H684" s="13" t="s">
        <v>286</v>
      </c>
      <c r="J684" s="13" t="s">
        <v>230</v>
      </c>
      <c r="K684" s="13" t="s">
        <v>230</v>
      </c>
      <c r="L684" s="13" t="s">
        <v>987</v>
      </c>
      <c r="M684" s="66" t="s">
        <v>288</v>
      </c>
      <c r="N684" s="66" t="s">
        <v>289</v>
      </c>
      <c r="O684" s="67" t="s">
        <v>1732</v>
      </c>
      <c r="P684" s="0" t="s">
        <v>1744</v>
      </c>
      <c r="Q684" s="66" t="s">
        <v>1734</v>
      </c>
    </row>
    <row r="685" customFormat="false" ht="82.05" hidden="false" customHeight="false" outlineLevel="0" collapsed="false">
      <c r="A685" s="13" t="s">
        <v>1486</v>
      </c>
      <c r="B685" s="13" t="s">
        <v>333</v>
      </c>
      <c r="C685" s="13" t="s">
        <v>348</v>
      </c>
      <c r="D685" s="61" t="n">
        <v>45970.9826388889</v>
      </c>
      <c r="E685" s="61" t="n">
        <v>45970.9826388889</v>
      </c>
      <c r="F685" s="61" t="n">
        <v>45989.6354166667</v>
      </c>
      <c r="G685" s="62" t="n">
        <v>18.6527777777737</v>
      </c>
      <c r="H685" s="13" t="s">
        <v>286</v>
      </c>
      <c r="J685" s="13" t="s">
        <v>230</v>
      </c>
      <c r="K685" s="13" t="s">
        <v>230</v>
      </c>
      <c r="L685" s="13" t="s">
        <v>987</v>
      </c>
      <c r="M685" s="66" t="s">
        <v>288</v>
      </c>
      <c r="N685" s="66" t="s">
        <v>289</v>
      </c>
      <c r="O685" s="67" t="s">
        <v>1732</v>
      </c>
      <c r="P685" s="0" t="s">
        <v>1745</v>
      </c>
      <c r="Q685" s="66" t="s">
        <v>1734</v>
      </c>
    </row>
    <row r="686" customFormat="false" ht="82.05" hidden="false" customHeight="false" outlineLevel="0" collapsed="false">
      <c r="A686" s="13" t="s">
        <v>1492</v>
      </c>
      <c r="B686" s="13" t="s">
        <v>333</v>
      </c>
      <c r="C686" s="13" t="s">
        <v>349</v>
      </c>
      <c r="D686" s="61" t="n">
        <v>45970.9826388889</v>
      </c>
      <c r="E686" s="61" t="n">
        <v>45970.9826388889</v>
      </c>
      <c r="F686" s="61" t="n">
        <v>45991.9999884259</v>
      </c>
      <c r="G686" s="62" t="n">
        <v>21.0173495370327</v>
      </c>
      <c r="H686" s="13" t="s">
        <v>286</v>
      </c>
      <c r="J686" s="13" t="s">
        <v>230</v>
      </c>
      <c r="K686" s="13" t="s">
        <v>230</v>
      </c>
      <c r="L686" s="13" t="s">
        <v>987</v>
      </c>
      <c r="M686" s="66" t="s">
        <v>288</v>
      </c>
      <c r="N686" s="66" t="s">
        <v>289</v>
      </c>
      <c r="O686" s="67" t="s">
        <v>1732</v>
      </c>
      <c r="P686" s="0" t="s">
        <v>1746</v>
      </c>
      <c r="Q686" s="66" t="s">
        <v>1734</v>
      </c>
    </row>
    <row r="687" customFormat="false" ht="82.05" hidden="false" customHeight="false" outlineLevel="0" collapsed="false">
      <c r="A687" s="13" t="s">
        <v>1492</v>
      </c>
      <c r="B687" s="13" t="s">
        <v>333</v>
      </c>
      <c r="C687" s="13" t="s">
        <v>350</v>
      </c>
      <c r="D687" s="61" t="n">
        <v>45970.9826388889</v>
      </c>
      <c r="E687" s="61" t="n">
        <v>45970.9826388889</v>
      </c>
      <c r="F687" s="61" t="n">
        <v>45991.9999884259</v>
      </c>
      <c r="G687" s="62" t="n">
        <v>21.0173495370327</v>
      </c>
      <c r="H687" s="13" t="s">
        <v>286</v>
      </c>
      <c r="J687" s="13" t="s">
        <v>230</v>
      </c>
      <c r="K687" s="13" t="s">
        <v>230</v>
      </c>
      <c r="L687" s="13" t="s">
        <v>987</v>
      </c>
      <c r="M687" s="66" t="s">
        <v>288</v>
      </c>
      <c r="N687" s="66" t="s">
        <v>289</v>
      </c>
      <c r="O687" s="67" t="s">
        <v>1732</v>
      </c>
      <c r="P687" s="0" t="s">
        <v>1747</v>
      </c>
      <c r="Q687" s="66" t="s">
        <v>1734</v>
      </c>
    </row>
    <row r="688" customFormat="false" ht="82.05" hidden="false" customHeight="false" outlineLevel="0" collapsed="false">
      <c r="A688" s="13" t="s">
        <v>1492</v>
      </c>
      <c r="B688" s="13" t="s">
        <v>333</v>
      </c>
      <c r="C688" s="13" t="s">
        <v>351</v>
      </c>
      <c r="D688" s="61" t="n">
        <v>45970.9826388889</v>
      </c>
      <c r="E688" s="61" t="n">
        <v>45970.9826388889</v>
      </c>
      <c r="F688" s="61" t="n">
        <v>45991.9999884259</v>
      </c>
      <c r="G688" s="62" t="n">
        <v>21.0173495370327</v>
      </c>
      <c r="H688" s="13" t="s">
        <v>286</v>
      </c>
      <c r="J688" s="13" t="s">
        <v>230</v>
      </c>
      <c r="K688" s="13" t="s">
        <v>230</v>
      </c>
      <c r="L688" s="13" t="s">
        <v>987</v>
      </c>
      <c r="M688" s="66" t="s">
        <v>288</v>
      </c>
      <c r="N688" s="66" t="s">
        <v>289</v>
      </c>
      <c r="O688" s="67" t="s">
        <v>1732</v>
      </c>
      <c r="P688" s="0" t="s">
        <v>1748</v>
      </c>
      <c r="Q688" s="66" t="s">
        <v>1734</v>
      </c>
    </row>
    <row r="689" customFormat="false" ht="82.05" hidden="false" customHeight="false" outlineLevel="0" collapsed="false">
      <c r="A689" s="13" t="s">
        <v>1492</v>
      </c>
      <c r="B689" s="13" t="s">
        <v>333</v>
      </c>
      <c r="C689" s="13" t="s">
        <v>352</v>
      </c>
      <c r="D689" s="61" t="n">
        <v>45970.9826388889</v>
      </c>
      <c r="E689" s="61" t="n">
        <v>45970.9826388889</v>
      </c>
      <c r="F689" s="61" t="n">
        <v>45991.9999884259</v>
      </c>
      <c r="G689" s="62" t="n">
        <v>21.0173495370327</v>
      </c>
      <c r="H689" s="13" t="s">
        <v>286</v>
      </c>
      <c r="J689" s="13" t="s">
        <v>230</v>
      </c>
      <c r="K689" s="13" t="s">
        <v>230</v>
      </c>
      <c r="L689" s="13" t="s">
        <v>987</v>
      </c>
      <c r="M689" s="66" t="s">
        <v>288</v>
      </c>
      <c r="N689" s="66" t="s">
        <v>289</v>
      </c>
      <c r="O689" s="67" t="s">
        <v>1732</v>
      </c>
      <c r="P689" s="0" t="s">
        <v>1749</v>
      </c>
      <c r="Q689" s="66" t="s">
        <v>1734</v>
      </c>
    </row>
    <row r="690" customFormat="false" ht="82.05" hidden="false" customHeight="false" outlineLevel="0" collapsed="false">
      <c r="A690" s="13" t="s">
        <v>1492</v>
      </c>
      <c r="B690" s="13" t="s">
        <v>333</v>
      </c>
      <c r="C690" s="13" t="s">
        <v>353</v>
      </c>
      <c r="D690" s="61" t="n">
        <v>45970.9826388889</v>
      </c>
      <c r="E690" s="61" t="n">
        <v>45970.9826388889</v>
      </c>
      <c r="F690" s="61" t="n">
        <v>45991.9999884259</v>
      </c>
      <c r="G690" s="62" t="n">
        <v>21.0173495370327</v>
      </c>
      <c r="H690" s="13" t="s">
        <v>286</v>
      </c>
      <c r="J690" s="13" t="s">
        <v>230</v>
      </c>
      <c r="K690" s="13" t="s">
        <v>230</v>
      </c>
      <c r="L690" s="13" t="s">
        <v>987</v>
      </c>
      <c r="M690" s="66" t="s">
        <v>288</v>
      </c>
      <c r="N690" s="66" t="s">
        <v>289</v>
      </c>
      <c r="O690" s="67" t="s">
        <v>1732</v>
      </c>
      <c r="P690" s="0" t="s">
        <v>1750</v>
      </c>
      <c r="Q690" s="66" t="s">
        <v>1734</v>
      </c>
    </row>
    <row r="691" customFormat="false" ht="82.05" hidden="false" customHeight="false" outlineLevel="0" collapsed="false">
      <c r="A691" s="13" t="s">
        <v>1492</v>
      </c>
      <c r="B691" s="13" t="s">
        <v>333</v>
      </c>
      <c r="C691" s="13" t="s">
        <v>354</v>
      </c>
      <c r="D691" s="61" t="n">
        <v>45970.9826388889</v>
      </c>
      <c r="E691" s="61" t="n">
        <v>45970.9826388889</v>
      </c>
      <c r="F691" s="61" t="n">
        <v>45991.9999884259</v>
      </c>
      <c r="G691" s="62" t="n">
        <v>21.0173495370327</v>
      </c>
      <c r="H691" s="13" t="s">
        <v>286</v>
      </c>
      <c r="J691" s="13" t="s">
        <v>230</v>
      </c>
      <c r="K691" s="13" t="s">
        <v>230</v>
      </c>
      <c r="L691" s="13" t="s">
        <v>987</v>
      </c>
      <c r="M691" s="66" t="s">
        <v>288</v>
      </c>
      <c r="N691" s="66" t="s">
        <v>289</v>
      </c>
      <c r="O691" s="67" t="s">
        <v>1732</v>
      </c>
      <c r="P691" s="0" t="s">
        <v>1751</v>
      </c>
      <c r="Q691" s="66" t="s">
        <v>1734</v>
      </c>
    </row>
    <row r="692" customFormat="false" ht="82.05" hidden="false" customHeight="false" outlineLevel="0" collapsed="false">
      <c r="A692" s="13" t="s">
        <v>1499</v>
      </c>
      <c r="B692" s="13" t="s">
        <v>333</v>
      </c>
      <c r="C692" s="13" t="s">
        <v>355</v>
      </c>
      <c r="D692" s="61" t="n">
        <v>45970.9826388889</v>
      </c>
      <c r="E692" s="61" t="n">
        <v>45970.9826388889</v>
      </c>
      <c r="F692" s="61" t="n">
        <v>45973.3333333333</v>
      </c>
      <c r="G692" s="62" t="n">
        <v>2.35069444444525</v>
      </c>
      <c r="H692" s="13" t="s">
        <v>286</v>
      </c>
      <c r="J692" s="13" t="s">
        <v>230</v>
      </c>
      <c r="K692" s="13" t="s">
        <v>230</v>
      </c>
      <c r="L692" s="13" t="s">
        <v>987</v>
      </c>
      <c r="M692" s="66" t="s">
        <v>288</v>
      </c>
      <c r="N692" s="66" t="s">
        <v>289</v>
      </c>
      <c r="O692" s="67" t="s">
        <v>1732</v>
      </c>
      <c r="P692" s="0" t="s">
        <v>1752</v>
      </c>
      <c r="Q692" s="66" t="s">
        <v>1734</v>
      </c>
    </row>
    <row r="693" customFormat="false" ht="82.05" hidden="false" customHeight="false" outlineLevel="0" collapsed="false">
      <c r="A693" s="13" t="s">
        <v>1499</v>
      </c>
      <c r="B693" s="13" t="s">
        <v>333</v>
      </c>
      <c r="C693" s="13" t="s">
        <v>356</v>
      </c>
      <c r="D693" s="61" t="n">
        <v>45970.9826388889</v>
      </c>
      <c r="E693" s="61" t="n">
        <v>45970.9826388889</v>
      </c>
      <c r="F693" s="61" t="n">
        <v>45973.3333333333</v>
      </c>
      <c r="G693" s="62" t="n">
        <v>2.35069444444525</v>
      </c>
      <c r="H693" s="13" t="s">
        <v>286</v>
      </c>
      <c r="J693" s="13" t="s">
        <v>230</v>
      </c>
      <c r="K693" s="13" t="s">
        <v>230</v>
      </c>
      <c r="L693" s="13" t="s">
        <v>987</v>
      </c>
      <c r="M693" s="66" t="s">
        <v>288</v>
      </c>
      <c r="N693" s="66" t="s">
        <v>289</v>
      </c>
      <c r="O693" s="67" t="s">
        <v>1732</v>
      </c>
      <c r="P693" s="0" t="s">
        <v>1753</v>
      </c>
      <c r="Q693" s="66" t="s">
        <v>1734</v>
      </c>
    </row>
    <row r="694" customFormat="false" ht="82.05" hidden="false" customHeight="false" outlineLevel="0" collapsed="false">
      <c r="A694" s="13" t="s">
        <v>1499</v>
      </c>
      <c r="B694" s="13" t="s">
        <v>333</v>
      </c>
      <c r="C694" s="13" t="s">
        <v>357</v>
      </c>
      <c r="D694" s="61" t="n">
        <v>45970.9826388889</v>
      </c>
      <c r="E694" s="61" t="n">
        <v>45970.9826388889</v>
      </c>
      <c r="F694" s="61" t="n">
        <v>45973.3333333333</v>
      </c>
      <c r="G694" s="62" t="n">
        <v>2.35069444444525</v>
      </c>
      <c r="H694" s="13" t="s">
        <v>286</v>
      </c>
      <c r="J694" s="13" t="s">
        <v>230</v>
      </c>
      <c r="K694" s="13" t="s">
        <v>230</v>
      </c>
      <c r="L694" s="13" t="s">
        <v>987</v>
      </c>
      <c r="M694" s="66" t="s">
        <v>288</v>
      </c>
      <c r="N694" s="66" t="s">
        <v>289</v>
      </c>
      <c r="O694" s="67" t="s">
        <v>1732</v>
      </c>
      <c r="P694" s="0" t="s">
        <v>1754</v>
      </c>
      <c r="Q694" s="66" t="s">
        <v>1734</v>
      </c>
    </row>
    <row r="695" customFormat="false" ht="82.05" hidden="false" customHeight="false" outlineLevel="0" collapsed="false">
      <c r="A695" s="13" t="s">
        <v>1499</v>
      </c>
      <c r="B695" s="13" t="s">
        <v>333</v>
      </c>
      <c r="C695" s="13" t="s">
        <v>358</v>
      </c>
      <c r="D695" s="61" t="n">
        <v>45970.9826388889</v>
      </c>
      <c r="E695" s="61" t="n">
        <v>45970.9826388889</v>
      </c>
      <c r="F695" s="61" t="n">
        <v>45973.3333333333</v>
      </c>
      <c r="G695" s="62" t="n">
        <v>2.35069444444525</v>
      </c>
      <c r="H695" s="13" t="s">
        <v>286</v>
      </c>
      <c r="J695" s="13" t="s">
        <v>230</v>
      </c>
      <c r="K695" s="13" t="s">
        <v>230</v>
      </c>
      <c r="L695" s="13" t="s">
        <v>987</v>
      </c>
      <c r="M695" s="66" t="s">
        <v>288</v>
      </c>
      <c r="N695" s="66" t="s">
        <v>289</v>
      </c>
      <c r="O695" s="67" t="s">
        <v>1732</v>
      </c>
      <c r="P695" s="0" t="s">
        <v>1755</v>
      </c>
      <c r="Q695" s="66" t="s">
        <v>1734</v>
      </c>
    </row>
    <row r="696" customFormat="false" ht="82.05" hidden="false" customHeight="false" outlineLevel="0" collapsed="false">
      <c r="A696" s="13" t="s">
        <v>1499</v>
      </c>
      <c r="B696" s="13" t="s">
        <v>333</v>
      </c>
      <c r="C696" s="13" t="s">
        <v>359</v>
      </c>
      <c r="D696" s="61" t="n">
        <v>45970.9826388889</v>
      </c>
      <c r="E696" s="61" t="n">
        <v>45970.9826388889</v>
      </c>
      <c r="F696" s="61" t="n">
        <v>45973.3333333333</v>
      </c>
      <c r="G696" s="62" t="n">
        <v>2.35069444444525</v>
      </c>
      <c r="H696" s="13" t="s">
        <v>286</v>
      </c>
      <c r="J696" s="13" t="s">
        <v>230</v>
      </c>
      <c r="K696" s="13" t="s">
        <v>230</v>
      </c>
      <c r="L696" s="13" t="s">
        <v>987</v>
      </c>
      <c r="M696" s="66" t="s">
        <v>288</v>
      </c>
      <c r="N696" s="66" t="s">
        <v>289</v>
      </c>
      <c r="O696" s="67" t="s">
        <v>1732</v>
      </c>
      <c r="P696" s="0" t="s">
        <v>1756</v>
      </c>
      <c r="Q696" s="66" t="s">
        <v>1734</v>
      </c>
    </row>
    <row r="697" customFormat="false" ht="82.05" hidden="false" customHeight="false" outlineLevel="0" collapsed="false">
      <c r="A697" s="13" t="s">
        <v>1499</v>
      </c>
      <c r="B697" s="13" t="s">
        <v>333</v>
      </c>
      <c r="C697" s="13" t="s">
        <v>360</v>
      </c>
      <c r="D697" s="61" t="n">
        <v>45970.9826388889</v>
      </c>
      <c r="E697" s="61" t="n">
        <v>45970.9826388889</v>
      </c>
      <c r="F697" s="61" t="n">
        <v>45973.3333333333</v>
      </c>
      <c r="G697" s="62" t="n">
        <v>2.35069444444525</v>
      </c>
      <c r="H697" s="13" t="s">
        <v>286</v>
      </c>
      <c r="J697" s="13" t="s">
        <v>230</v>
      </c>
      <c r="K697" s="13" t="s">
        <v>230</v>
      </c>
      <c r="L697" s="13" t="s">
        <v>987</v>
      </c>
      <c r="M697" s="66" t="s">
        <v>288</v>
      </c>
      <c r="N697" s="66" t="s">
        <v>289</v>
      </c>
      <c r="O697" s="67" t="s">
        <v>1732</v>
      </c>
      <c r="P697" s="0" t="s">
        <v>1757</v>
      </c>
      <c r="Q697" s="66" t="s">
        <v>1734</v>
      </c>
    </row>
    <row r="698" customFormat="false" ht="82.05" hidden="false" customHeight="false" outlineLevel="0" collapsed="false">
      <c r="A698" s="13" t="s">
        <v>1506</v>
      </c>
      <c r="B698" s="13" t="s">
        <v>333</v>
      </c>
      <c r="C698" s="13" t="s">
        <v>361</v>
      </c>
      <c r="D698" s="61" t="n">
        <v>45970.9826388889</v>
      </c>
      <c r="E698" s="61" t="n">
        <v>45970.9826388889</v>
      </c>
      <c r="F698" s="61" t="n">
        <v>45973.3333333333</v>
      </c>
      <c r="G698" s="62" t="n">
        <v>2.35069444444525</v>
      </c>
      <c r="H698" s="13" t="s">
        <v>286</v>
      </c>
      <c r="J698" s="13" t="s">
        <v>230</v>
      </c>
      <c r="K698" s="13" t="s">
        <v>230</v>
      </c>
      <c r="L698" s="13" t="s">
        <v>987</v>
      </c>
      <c r="M698" s="66" t="s">
        <v>288</v>
      </c>
      <c r="N698" s="66" t="s">
        <v>289</v>
      </c>
      <c r="O698" s="67" t="s">
        <v>1732</v>
      </c>
      <c r="P698" s="0" t="s">
        <v>1758</v>
      </c>
      <c r="Q698" s="66" t="s">
        <v>1734</v>
      </c>
    </row>
    <row r="699" customFormat="false" ht="82.05" hidden="false" customHeight="false" outlineLevel="0" collapsed="false">
      <c r="A699" s="13" t="s">
        <v>1506</v>
      </c>
      <c r="B699" s="13" t="s">
        <v>333</v>
      </c>
      <c r="C699" s="13" t="s">
        <v>362</v>
      </c>
      <c r="D699" s="61" t="n">
        <v>45970.9826388889</v>
      </c>
      <c r="E699" s="61" t="n">
        <v>45970.9826388889</v>
      </c>
      <c r="F699" s="61" t="n">
        <v>45973.3333333333</v>
      </c>
      <c r="G699" s="62" t="n">
        <v>2.35069444444525</v>
      </c>
      <c r="H699" s="13" t="s">
        <v>286</v>
      </c>
      <c r="J699" s="13" t="s">
        <v>230</v>
      </c>
      <c r="K699" s="13" t="s">
        <v>230</v>
      </c>
      <c r="L699" s="13" t="s">
        <v>987</v>
      </c>
      <c r="M699" s="66" t="s">
        <v>288</v>
      </c>
      <c r="N699" s="66" t="s">
        <v>289</v>
      </c>
      <c r="O699" s="67" t="s">
        <v>1732</v>
      </c>
      <c r="P699" s="0" t="s">
        <v>1759</v>
      </c>
      <c r="Q699" s="66" t="s">
        <v>1734</v>
      </c>
    </row>
    <row r="700" customFormat="false" ht="82.05" hidden="false" customHeight="false" outlineLevel="0" collapsed="false">
      <c r="A700" s="13" t="s">
        <v>1506</v>
      </c>
      <c r="B700" s="13" t="s">
        <v>333</v>
      </c>
      <c r="C700" s="13" t="s">
        <v>363</v>
      </c>
      <c r="D700" s="61" t="n">
        <v>45970.9826388889</v>
      </c>
      <c r="E700" s="61" t="n">
        <v>45970.9826388889</v>
      </c>
      <c r="F700" s="61" t="n">
        <v>45973.3333333333</v>
      </c>
      <c r="G700" s="62" t="n">
        <v>2.35069444444525</v>
      </c>
      <c r="H700" s="13" t="s">
        <v>286</v>
      </c>
      <c r="J700" s="13" t="s">
        <v>230</v>
      </c>
      <c r="K700" s="13" t="s">
        <v>230</v>
      </c>
      <c r="L700" s="13" t="s">
        <v>987</v>
      </c>
      <c r="M700" s="66" t="s">
        <v>288</v>
      </c>
      <c r="N700" s="66" t="s">
        <v>289</v>
      </c>
      <c r="O700" s="67" t="s">
        <v>1732</v>
      </c>
      <c r="P700" s="0" t="s">
        <v>1760</v>
      </c>
      <c r="Q700" s="66" t="s">
        <v>1734</v>
      </c>
    </row>
    <row r="701" customFormat="false" ht="82.05" hidden="false" customHeight="false" outlineLevel="0" collapsed="false">
      <c r="A701" s="13" t="s">
        <v>1510</v>
      </c>
      <c r="B701" s="13" t="s">
        <v>333</v>
      </c>
      <c r="C701" s="13" t="s">
        <v>364</v>
      </c>
      <c r="D701" s="61" t="n">
        <v>45970.9826388889</v>
      </c>
      <c r="E701" s="61" t="n">
        <v>45970.9826388889</v>
      </c>
      <c r="F701" s="61" t="n">
        <v>45973.3333333333</v>
      </c>
      <c r="G701" s="62" t="n">
        <v>2.35069444444525</v>
      </c>
      <c r="H701" s="13" t="s">
        <v>286</v>
      </c>
      <c r="J701" s="13" t="s">
        <v>230</v>
      </c>
      <c r="K701" s="13" t="s">
        <v>230</v>
      </c>
      <c r="L701" s="13" t="s">
        <v>987</v>
      </c>
      <c r="M701" s="66" t="s">
        <v>288</v>
      </c>
      <c r="N701" s="66" t="s">
        <v>289</v>
      </c>
      <c r="O701" s="67" t="s">
        <v>1732</v>
      </c>
      <c r="P701" s="0" t="s">
        <v>1761</v>
      </c>
      <c r="Q701" s="66" t="s">
        <v>1734</v>
      </c>
    </row>
    <row r="702" customFormat="false" ht="82.05" hidden="false" customHeight="false" outlineLevel="0" collapsed="false">
      <c r="A702" s="13" t="s">
        <v>1510</v>
      </c>
      <c r="B702" s="13" t="s">
        <v>333</v>
      </c>
      <c r="C702" s="13" t="s">
        <v>365</v>
      </c>
      <c r="D702" s="61" t="n">
        <v>45970.9826388889</v>
      </c>
      <c r="E702" s="61" t="n">
        <v>45970.9826388889</v>
      </c>
      <c r="F702" s="61" t="n">
        <v>45973.3333333333</v>
      </c>
      <c r="G702" s="62" t="n">
        <v>2.35069444444525</v>
      </c>
      <c r="H702" s="13" t="s">
        <v>286</v>
      </c>
      <c r="J702" s="13" t="s">
        <v>230</v>
      </c>
      <c r="K702" s="13" t="s">
        <v>230</v>
      </c>
      <c r="L702" s="13" t="s">
        <v>987</v>
      </c>
      <c r="M702" s="66" t="s">
        <v>288</v>
      </c>
      <c r="N702" s="66" t="s">
        <v>289</v>
      </c>
      <c r="O702" s="67" t="s">
        <v>1732</v>
      </c>
      <c r="P702" s="0" t="s">
        <v>1762</v>
      </c>
      <c r="Q702" s="66" t="s">
        <v>1734</v>
      </c>
    </row>
    <row r="703" customFormat="false" ht="82.05" hidden="false" customHeight="false" outlineLevel="0" collapsed="false">
      <c r="A703" s="13" t="s">
        <v>1510</v>
      </c>
      <c r="B703" s="13" t="s">
        <v>333</v>
      </c>
      <c r="C703" s="13" t="s">
        <v>366</v>
      </c>
      <c r="D703" s="61" t="n">
        <v>45970.9826388889</v>
      </c>
      <c r="E703" s="61" t="n">
        <v>45970.9826388889</v>
      </c>
      <c r="F703" s="61" t="n">
        <v>45973.3333333333</v>
      </c>
      <c r="G703" s="62" t="n">
        <v>2.35069444444525</v>
      </c>
      <c r="H703" s="13" t="s">
        <v>286</v>
      </c>
      <c r="J703" s="13" t="s">
        <v>230</v>
      </c>
      <c r="K703" s="13" t="s">
        <v>230</v>
      </c>
      <c r="L703" s="13" t="s">
        <v>987</v>
      </c>
      <c r="M703" s="66" t="s">
        <v>288</v>
      </c>
      <c r="N703" s="66" t="s">
        <v>289</v>
      </c>
      <c r="O703" s="67" t="s">
        <v>1732</v>
      </c>
      <c r="P703" s="0" t="s">
        <v>1763</v>
      </c>
      <c r="Q703" s="66" t="s">
        <v>1734</v>
      </c>
    </row>
    <row r="704" customFormat="false" ht="82.05" hidden="false" customHeight="false" outlineLevel="0" collapsed="false">
      <c r="A704" s="13" t="s">
        <v>1514</v>
      </c>
      <c r="B704" s="13" t="s">
        <v>333</v>
      </c>
      <c r="C704" s="13" t="s">
        <v>367</v>
      </c>
      <c r="D704" s="61" t="n">
        <v>45970.9826388889</v>
      </c>
      <c r="E704" s="61" t="n">
        <v>45970.9826388889</v>
      </c>
      <c r="F704" s="61" t="n">
        <v>45991.9999884259</v>
      </c>
      <c r="G704" s="62" t="n">
        <v>21.0173495370327</v>
      </c>
      <c r="H704" s="13" t="s">
        <v>286</v>
      </c>
      <c r="J704" s="13" t="s">
        <v>230</v>
      </c>
      <c r="K704" s="13" t="s">
        <v>230</v>
      </c>
      <c r="L704" s="13" t="s">
        <v>987</v>
      </c>
      <c r="M704" s="66" t="s">
        <v>288</v>
      </c>
      <c r="N704" s="66" t="s">
        <v>289</v>
      </c>
      <c r="O704" s="67" t="s">
        <v>1732</v>
      </c>
      <c r="P704" s="0" t="s">
        <v>1764</v>
      </c>
      <c r="Q704" s="66" t="s">
        <v>1734</v>
      </c>
    </row>
    <row r="705" customFormat="false" ht="82.05" hidden="false" customHeight="false" outlineLevel="0" collapsed="false">
      <c r="A705" s="13" t="s">
        <v>1514</v>
      </c>
      <c r="B705" s="13" t="s">
        <v>333</v>
      </c>
      <c r="C705" s="13" t="s">
        <v>368</v>
      </c>
      <c r="D705" s="61" t="n">
        <v>45970.9826388889</v>
      </c>
      <c r="E705" s="61" t="n">
        <v>45970.9826388889</v>
      </c>
      <c r="F705" s="61" t="n">
        <v>45991.9999884259</v>
      </c>
      <c r="G705" s="62" t="n">
        <v>21.0173495370327</v>
      </c>
      <c r="H705" s="13" t="s">
        <v>286</v>
      </c>
      <c r="J705" s="13" t="s">
        <v>230</v>
      </c>
      <c r="K705" s="13" t="s">
        <v>230</v>
      </c>
      <c r="L705" s="13" t="s">
        <v>987</v>
      </c>
      <c r="M705" s="66" t="s">
        <v>288</v>
      </c>
      <c r="N705" s="66" t="s">
        <v>289</v>
      </c>
      <c r="O705" s="67" t="s">
        <v>1732</v>
      </c>
      <c r="P705" s="0" t="s">
        <v>1765</v>
      </c>
      <c r="Q705" s="66" t="s">
        <v>1734</v>
      </c>
    </row>
    <row r="706" customFormat="false" ht="82.05" hidden="false" customHeight="false" outlineLevel="0" collapsed="false">
      <c r="A706" s="13" t="s">
        <v>1514</v>
      </c>
      <c r="B706" s="13" t="s">
        <v>333</v>
      </c>
      <c r="C706" s="13" t="s">
        <v>369</v>
      </c>
      <c r="D706" s="61" t="n">
        <v>45970.9826388889</v>
      </c>
      <c r="E706" s="61" t="n">
        <v>45970.9826388889</v>
      </c>
      <c r="F706" s="61" t="n">
        <v>45991.9999884259</v>
      </c>
      <c r="G706" s="62" t="n">
        <v>21.0173495370327</v>
      </c>
      <c r="H706" s="13" t="s">
        <v>286</v>
      </c>
      <c r="J706" s="13" t="s">
        <v>230</v>
      </c>
      <c r="K706" s="13" t="s">
        <v>230</v>
      </c>
      <c r="L706" s="13" t="s">
        <v>987</v>
      </c>
      <c r="M706" s="66" t="s">
        <v>288</v>
      </c>
      <c r="N706" s="66" t="s">
        <v>289</v>
      </c>
      <c r="O706" s="67" t="s">
        <v>1732</v>
      </c>
      <c r="P706" s="0" t="s">
        <v>1766</v>
      </c>
      <c r="Q706" s="66" t="s">
        <v>1734</v>
      </c>
    </row>
    <row r="707" customFormat="false" ht="82.05" hidden="false" customHeight="false" outlineLevel="0" collapsed="false">
      <c r="A707" s="13" t="s">
        <v>1514</v>
      </c>
      <c r="B707" s="13" t="s">
        <v>333</v>
      </c>
      <c r="C707" s="13" t="s">
        <v>370</v>
      </c>
      <c r="D707" s="61" t="n">
        <v>45970.9826388889</v>
      </c>
      <c r="E707" s="61" t="n">
        <v>45970.9826388889</v>
      </c>
      <c r="F707" s="61" t="n">
        <v>45991.9999884259</v>
      </c>
      <c r="G707" s="62" t="n">
        <v>21.0173495370327</v>
      </c>
      <c r="H707" s="13" t="s">
        <v>286</v>
      </c>
      <c r="J707" s="13" t="s">
        <v>230</v>
      </c>
      <c r="K707" s="13" t="s">
        <v>230</v>
      </c>
      <c r="L707" s="13" t="s">
        <v>987</v>
      </c>
      <c r="M707" s="66" t="s">
        <v>288</v>
      </c>
      <c r="N707" s="66" t="s">
        <v>289</v>
      </c>
      <c r="O707" s="67" t="s">
        <v>1732</v>
      </c>
      <c r="P707" s="0" t="s">
        <v>1767</v>
      </c>
      <c r="Q707" s="66" t="s">
        <v>1734</v>
      </c>
    </row>
    <row r="708" customFormat="false" ht="82.05" hidden="false" customHeight="false" outlineLevel="0" collapsed="false">
      <c r="A708" s="13" t="s">
        <v>1514</v>
      </c>
      <c r="B708" s="13" t="s">
        <v>333</v>
      </c>
      <c r="C708" s="13" t="s">
        <v>371</v>
      </c>
      <c r="D708" s="61" t="n">
        <v>45970.9826388889</v>
      </c>
      <c r="E708" s="61" t="n">
        <v>45970.9826388889</v>
      </c>
      <c r="F708" s="61" t="n">
        <v>45991.9999884259</v>
      </c>
      <c r="G708" s="62" t="n">
        <v>21.0173495370327</v>
      </c>
      <c r="H708" s="13" t="s">
        <v>286</v>
      </c>
      <c r="J708" s="13" t="s">
        <v>230</v>
      </c>
      <c r="K708" s="13" t="s">
        <v>230</v>
      </c>
      <c r="L708" s="13" t="s">
        <v>987</v>
      </c>
      <c r="M708" s="66" t="s">
        <v>288</v>
      </c>
      <c r="N708" s="66" t="s">
        <v>289</v>
      </c>
      <c r="O708" s="67" t="s">
        <v>1732</v>
      </c>
      <c r="P708" s="0" t="s">
        <v>1768</v>
      </c>
      <c r="Q708" s="66" t="s">
        <v>1734</v>
      </c>
    </row>
    <row r="709" customFormat="false" ht="82.05" hidden="false" customHeight="false" outlineLevel="0" collapsed="false">
      <c r="A709" s="13" t="s">
        <v>1514</v>
      </c>
      <c r="B709" s="13" t="s">
        <v>333</v>
      </c>
      <c r="C709" s="13" t="s">
        <v>372</v>
      </c>
      <c r="D709" s="61" t="n">
        <v>45970.9826388889</v>
      </c>
      <c r="E709" s="61" t="n">
        <v>45970.9826388889</v>
      </c>
      <c r="F709" s="61" t="n">
        <v>45991.9999884259</v>
      </c>
      <c r="G709" s="62" t="n">
        <v>21.0173495370327</v>
      </c>
      <c r="H709" s="13" t="s">
        <v>286</v>
      </c>
      <c r="J709" s="13" t="s">
        <v>230</v>
      </c>
      <c r="K709" s="13" t="s">
        <v>230</v>
      </c>
      <c r="L709" s="13" t="s">
        <v>987</v>
      </c>
      <c r="M709" s="66" t="s">
        <v>288</v>
      </c>
      <c r="N709" s="66" t="s">
        <v>289</v>
      </c>
      <c r="O709" s="67" t="s">
        <v>1732</v>
      </c>
      <c r="P709" s="0" t="s">
        <v>1769</v>
      </c>
      <c r="Q709" s="66" t="s">
        <v>1734</v>
      </c>
    </row>
    <row r="710" customFormat="false" ht="82.05" hidden="false" customHeight="false" outlineLevel="0" collapsed="false">
      <c r="A710" s="13" t="s">
        <v>1521</v>
      </c>
      <c r="B710" s="13" t="s">
        <v>333</v>
      </c>
      <c r="C710" s="13" t="s">
        <v>373</v>
      </c>
      <c r="D710" s="61" t="n">
        <v>45970.9826388889</v>
      </c>
      <c r="E710" s="61" t="n">
        <v>45970.9826388889</v>
      </c>
      <c r="F710" s="61" t="n">
        <v>45973.3333333333</v>
      </c>
      <c r="G710" s="62" t="n">
        <v>2.35069444444525</v>
      </c>
      <c r="H710" s="13" t="s">
        <v>286</v>
      </c>
      <c r="J710" s="13" t="s">
        <v>230</v>
      </c>
      <c r="K710" s="13" t="s">
        <v>230</v>
      </c>
      <c r="L710" s="13" t="s">
        <v>987</v>
      </c>
      <c r="M710" s="66" t="s">
        <v>288</v>
      </c>
      <c r="N710" s="66" t="s">
        <v>289</v>
      </c>
      <c r="O710" s="67" t="s">
        <v>1732</v>
      </c>
      <c r="P710" s="0" t="s">
        <v>1770</v>
      </c>
      <c r="Q710" s="66" t="s">
        <v>1734</v>
      </c>
    </row>
    <row r="711" customFormat="false" ht="82.05" hidden="false" customHeight="false" outlineLevel="0" collapsed="false">
      <c r="A711" s="13" t="s">
        <v>1521</v>
      </c>
      <c r="B711" s="13" t="s">
        <v>333</v>
      </c>
      <c r="C711" s="13" t="s">
        <v>374</v>
      </c>
      <c r="D711" s="61" t="n">
        <v>45970.9826388889</v>
      </c>
      <c r="E711" s="61" t="n">
        <v>45970.9826388889</v>
      </c>
      <c r="F711" s="61" t="n">
        <v>45973.3333333333</v>
      </c>
      <c r="G711" s="62" t="n">
        <v>2.35069444444525</v>
      </c>
      <c r="H711" s="13" t="s">
        <v>286</v>
      </c>
      <c r="J711" s="13" t="s">
        <v>230</v>
      </c>
      <c r="K711" s="13" t="s">
        <v>230</v>
      </c>
      <c r="L711" s="13" t="s">
        <v>987</v>
      </c>
      <c r="M711" s="66" t="s">
        <v>288</v>
      </c>
      <c r="N711" s="66" t="s">
        <v>289</v>
      </c>
      <c r="O711" s="67" t="s">
        <v>1732</v>
      </c>
      <c r="P711" s="0" t="s">
        <v>1771</v>
      </c>
      <c r="Q711" s="66" t="s">
        <v>1734</v>
      </c>
    </row>
    <row r="712" customFormat="false" ht="82.05" hidden="false" customHeight="false" outlineLevel="0" collapsed="false">
      <c r="A712" s="13" t="s">
        <v>1521</v>
      </c>
      <c r="B712" s="13" t="s">
        <v>333</v>
      </c>
      <c r="C712" s="13" t="s">
        <v>375</v>
      </c>
      <c r="D712" s="61" t="n">
        <v>45970.9826388889</v>
      </c>
      <c r="E712" s="61" t="n">
        <v>45970.9826388889</v>
      </c>
      <c r="F712" s="61" t="n">
        <v>45973.3333333333</v>
      </c>
      <c r="G712" s="62" t="n">
        <v>2.35069444444525</v>
      </c>
      <c r="H712" s="13" t="s">
        <v>286</v>
      </c>
      <c r="J712" s="13" t="s">
        <v>230</v>
      </c>
      <c r="K712" s="13" t="s">
        <v>230</v>
      </c>
      <c r="L712" s="13" t="s">
        <v>987</v>
      </c>
      <c r="M712" s="66" t="s">
        <v>288</v>
      </c>
      <c r="N712" s="66" t="s">
        <v>289</v>
      </c>
      <c r="O712" s="67" t="s">
        <v>1732</v>
      </c>
      <c r="P712" s="0" t="s">
        <v>1772</v>
      </c>
      <c r="Q712" s="66" t="s">
        <v>1734</v>
      </c>
    </row>
    <row r="713" customFormat="false" ht="82.05" hidden="false" customHeight="false" outlineLevel="0" collapsed="false">
      <c r="A713" s="13" t="s">
        <v>1475</v>
      </c>
      <c r="B713" s="13" t="s">
        <v>333</v>
      </c>
      <c r="C713" s="13" t="s">
        <v>334</v>
      </c>
      <c r="D713" s="61" t="n">
        <v>45970.9826388889</v>
      </c>
      <c r="E713" s="61" t="n">
        <v>45970.9826388889</v>
      </c>
      <c r="F713" s="61" t="n">
        <v>45988.7395833333</v>
      </c>
      <c r="G713" s="62" t="n">
        <v>17.7569444444453</v>
      </c>
      <c r="H713" s="13" t="s">
        <v>286</v>
      </c>
      <c r="J713" s="13" t="s">
        <v>230</v>
      </c>
      <c r="K713" s="13" t="s">
        <v>230</v>
      </c>
      <c r="L713" s="13" t="s">
        <v>987</v>
      </c>
      <c r="M713" s="66" t="s">
        <v>288</v>
      </c>
      <c r="N713" s="66" t="s">
        <v>289</v>
      </c>
      <c r="O713" s="67" t="s">
        <v>1732</v>
      </c>
      <c r="P713" s="0" t="s">
        <v>1773</v>
      </c>
      <c r="Q713" s="66" t="s">
        <v>1734</v>
      </c>
    </row>
    <row r="714" customFormat="false" ht="82.05" hidden="false" customHeight="false" outlineLevel="0" collapsed="false">
      <c r="A714" s="13" t="s">
        <v>1475</v>
      </c>
      <c r="B714" s="13" t="s">
        <v>333</v>
      </c>
      <c r="C714" s="13" t="s">
        <v>336</v>
      </c>
      <c r="D714" s="61" t="n">
        <v>45970.9826388889</v>
      </c>
      <c r="E714" s="61" t="n">
        <v>45970.9826388889</v>
      </c>
      <c r="F714" s="61" t="n">
        <v>45988.7395833333</v>
      </c>
      <c r="G714" s="62" t="n">
        <v>17.7569444444453</v>
      </c>
      <c r="H714" s="13" t="s">
        <v>286</v>
      </c>
      <c r="J714" s="13" t="s">
        <v>230</v>
      </c>
      <c r="K714" s="13" t="s">
        <v>230</v>
      </c>
      <c r="L714" s="13" t="s">
        <v>987</v>
      </c>
      <c r="M714" s="66" t="s">
        <v>288</v>
      </c>
      <c r="N714" s="66" t="s">
        <v>289</v>
      </c>
      <c r="O714" s="67" t="s">
        <v>1732</v>
      </c>
      <c r="P714" s="0" t="s">
        <v>1774</v>
      </c>
      <c r="Q714" s="66" t="s">
        <v>1734</v>
      </c>
    </row>
    <row r="715" customFormat="false" ht="14.25" hidden="false" customHeight="false" outlineLevel="0" collapsed="false">
      <c r="A715" s="13" t="s">
        <v>805</v>
      </c>
      <c r="B715" s="13" t="s">
        <v>581</v>
      </c>
      <c r="C715" s="13" t="s">
        <v>598</v>
      </c>
      <c r="D715" s="61" t="n">
        <v>45971.2555555556</v>
      </c>
      <c r="E715" s="61" t="n">
        <v>45971.2555555556</v>
      </c>
      <c r="F715" s="61" t="n">
        <v>45971.3854166667</v>
      </c>
      <c r="G715" s="62" t="n">
        <v>0.129861111105129</v>
      </c>
      <c r="H715" s="13" t="s">
        <v>248</v>
      </c>
      <c r="J715" s="13" t="s">
        <v>256</v>
      </c>
      <c r="K715" s="13" t="s">
        <v>430</v>
      </c>
      <c r="L715" s="13" t="s">
        <v>1000</v>
      </c>
      <c r="M715" s="66" t="s">
        <v>258</v>
      </c>
      <c r="N715" s="66" t="s">
        <v>379</v>
      </c>
      <c r="O715" s="66" t="s">
        <v>399</v>
      </c>
      <c r="P715" s="0" t="s">
        <v>1775</v>
      </c>
      <c r="Q715" s="66" t="s">
        <v>995</v>
      </c>
    </row>
    <row r="716" customFormat="false" ht="14.25" hidden="false" customHeight="false" outlineLevel="0" collapsed="false">
      <c r="A716" s="13" t="s">
        <v>807</v>
      </c>
      <c r="B716" s="13" t="s">
        <v>581</v>
      </c>
      <c r="C716" s="13" t="s">
        <v>591</v>
      </c>
      <c r="D716" s="61" t="n">
        <v>45971.2555555556</v>
      </c>
      <c r="E716" s="61" t="n">
        <v>45971.2555555556</v>
      </c>
      <c r="F716" s="61" t="n">
        <v>45971.3854166667</v>
      </c>
      <c r="G716" s="62" t="n">
        <v>0.129861111105129</v>
      </c>
      <c r="H716" s="13" t="s">
        <v>248</v>
      </c>
      <c r="J716" s="13" t="s">
        <v>256</v>
      </c>
      <c r="K716" s="13" t="s">
        <v>430</v>
      </c>
      <c r="L716" s="13" t="s">
        <v>1000</v>
      </c>
      <c r="M716" s="66" t="s">
        <v>258</v>
      </c>
      <c r="N716" s="66" t="s">
        <v>379</v>
      </c>
      <c r="O716" s="66" t="s">
        <v>399</v>
      </c>
      <c r="P716" s="0" t="s">
        <v>1776</v>
      </c>
      <c r="Q716" s="66" t="s">
        <v>995</v>
      </c>
    </row>
    <row r="717" customFormat="false" ht="14.25" hidden="false" customHeight="false" outlineLevel="0" collapsed="false">
      <c r="A717" s="13" t="s">
        <v>807</v>
      </c>
      <c r="B717" s="13" t="s">
        <v>581</v>
      </c>
      <c r="C717" s="13" t="s">
        <v>588</v>
      </c>
      <c r="D717" s="61" t="n">
        <v>45971.2555555556</v>
      </c>
      <c r="E717" s="61" t="n">
        <v>45971.2555555556</v>
      </c>
      <c r="F717" s="61" t="n">
        <v>45971.3854166667</v>
      </c>
      <c r="G717" s="62" t="n">
        <v>0.129861111105129</v>
      </c>
      <c r="H717" s="13" t="s">
        <v>248</v>
      </c>
      <c r="J717" s="13" t="s">
        <v>256</v>
      </c>
      <c r="K717" s="13" t="s">
        <v>430</v>
      </c>
      <c r="L717" s="13" t="s">
        <v>1000</v>
      </c>
      <c r="M717" s="66" t="s">
        <v>258</v>
      </c>
      <c r="N717" s="66" t="s">
        <v>379</v>
      </c>
      <c r="O717" s="66" t="s">
        <v>399</v>
      </c>
      <c r="P717" s="0" t="s">
        <v>1777</v>
      </c>
      <c r="Q717" s="66" t="s">
        <v>995</v>
      </c>
    </row>
    <row r="718" customFormat="false" ht="14.25" hidden="false" customHeight="false" outlineLevel="0" collapsed="false">
      <c r="A718" s="13" t="s">
        <v>807</v>
      </c>
      <c r="B718" s="13" t="s">
        <v>581</v>
      </c>
      <c r="C718" s="13" t="s">
        <v>585</v>
      </c>
      <c r="D718" s="61" t="n">
        <v>45971.2555555556</v>
      </c>
      <c r="E718" s="61" t="n">
        <v>45971.2555555556</v>
      </c>
      <c r="F718" s="61" t="n">
        <v>45971.3854166667</v>
      </c>
      <c r="G718" s="62" t="n">
        <v>0.129861111105129</v>
      </c>
      <c r="H718" s="13" t="s">
        <v>248</v>
      </c>
      <c r="J718" s="13" t="s">
        <v>256</v>
      </c>
      <c r="K718" s="13" t="s">
        <v>430</v>
      </c>
      <c r="L718" s="13" t="s">
        <v>1000</v>
      </c>
      <c r="M718" s="66" t="s">
        <v>258</v>
      </c>
      <c r="N718" s="66" t="s">
        <v>379</v>
      </c>
      <c r="O718" s="66" t="s">
        <v>399</v>
      </c>
      <c r="P718" s="0" t="s">
        <v>1778</v>
      </c>
      <c r="Q718" s="66" t="s">
        <v>995</v>
      </c>
    </row>
    <row r="719" customFormat="false" ht="14.25" hidden="false" customHeight="false" outlineLevel="0" collapsed="false">
      <c r="A719" s="13" t="s">
        <v>807</v>
      </c>
      <c r="B719" s="13" t="s">
        <v>581</v>
      </c>
      <c r="C719" s="13" t="s">
        <v>589</v>
      </c>
      <c r="D719" s="61" t="n">
        <v>45971.2555555556</v>
      </c>
      <c r="E719" s="61" t="n">
        <v>45971.2555555556</v>
      </c>
      <c r="F719" s="61" t="n">
        <v>45971.3854166667</v>
      </c>
      <c r="G719" s="62" t="n">
        <v>0.129861111105129</v>
      </c>
      <c r="H719" s="13" t="s">
        <v>248</v>
      </c>
      <c r="J719" s="13" t="s">
        <v>256</v>
      </c>
      <c r="K719" s="13" t="s">
        <v>430</v>
      </c>
      <c r="L719" s="13" t="s">
        <v>1000</v>
      </c>
      <c r="M719" s="66" t="s">
        <v>258</v>
      </c>
      <c r="N719" s="66" t="s">
        <v>379</v>
      </c>
      <c r="O719" s="66" t="s">
        <v>399</v>
      </c>
      <c r="P719" s="0" t="s">
        <v>1779</v>
      </c>
      <c r="Q719" s="66" t="s">
        <v>995</v>
      </c>
    </row>
    <row r="720" customFormat="false" ht="14.25" hidden="false" customHeight="false" outlineLevel="0" collapsed="false">
      <c r="A720" s="13" t="s">
        <v>807</v>
      </c>
      <c r="B720" s="13" t="s">
        <v>581</v>
      </c>
      <c r="C720" s="13" t="s">
        <v>587</v>
      </c>
      <c r="D720" s="61" t="n">
        <v>45971.2555555556</v>
      </c>
      <c r="E720" s="61" t="n">
        <v>45971.2555555556</v>
      </c>
      <c r="F720" s="61" t="n">
        <v>45971.3854166667</v>
      </c>
      <c r="G720" s="62" t="n">
        <v>0.129861111105129</v>
      </c>
      <c r="H720" s="13" t="s">
        <v>248</v>
      </c>
      <c r="J720" s="13" t="s">
        <v>256</v>
      </c>
      <c r="K720" s="13" t="s">
        <v>430</v>
      </c>
      <c r="L720" s="13" t="s">
        <v>1000</v>
      </c>
      <c r="M720" s="66" t="s">
        <v>258</v>
      </c>
      <c r="N720" s="66" t="s">
        <v>379</v>
      </c>
      <c r="O720" s="66" t="s">
        <v>399</v>
      </c>
      <c r="P720" s="0" t="s">
        <v>1780</v>
      </c>
      <c r="Q720" s="66" t="s">
        <v>995</v>
      </c>
    </row>
    <row r="721" customFormat="false" ht="14.25" hidden="false" customHeight="false" outlineLevel="0" collapsed="false">
      <c r="A721" s="13" t="s">
        <v>807</v>
      </c>
      <c r="B721" s="13" t="s">
        <v>581</v>
      </c>
      <c r="C721" s="13" t="s">
        <v>1007</v>
      </c>
      <c r="D721" s="61" t="n">
        <v>45971.2555555556</v>
      </c>
      <c r="E721" s="61" t="n">
        <v>45971.2555555556</v>
      </c>
      <c r="F721" s="61" t="n">
        <v>45971.3854166667</v>
      </c>
      <c r="G721" s="62" t="n">
        <v>0.129861111105129</v>
      </c>
      <c r="H721" s="13" t="s">
        <v>248</v>
      </c>
      <c r="J721" s="13" t="s">
        <v>256</v>
      </c>
      <c r="K721" s="13" t="s">
        <v>430</v>
      </c>
      <c r="L721" s="13" t="s">
        <v>1000</v>
      </c>
      <c r="M721" s="66" t="s">
        <v>258</v>
      </c>
      <c r="N721" s="66" t="s">
        <v>379</v>
      </c>
      <c r="O721" s="66" t="s">
        <v>399</v>
      </c>
      <c r="P721" s="0" t="s">
        <v>1781</v>
      </c>
      <c r="Q721" s="66" t="s">
        <v>995</v>
      </c>
    </row>
    <row r="722" customFormat="false" ht="14.25" hidden="false" customHeight="false" outlineLevel="0" collapsed="false">
      <c r="A722" s="13" t="s">
        <v>816</v>
      </c>
      <c r="B722" s="13" t="s">
        <v>581</v>
      </c>
      <c r="C722" s="13" t="s">
        <v>586</v>
      </c>
      <c r="D722" s="61" t="n">
        <v>45971.2555555556</v>
      </c>
      <c r="E722" s="61" t="n">
        <v>45971.2555555556</v>
      </c>
      <c r="F722" s="61" t="n">
        <v>45971.3854166667</v>
      </c>
      <c r="G722" s="62" t="n">
        <v>0.129861111105129</v>
      </c>
      <c r="H722" s="13" t="s">
        <v>248</v>
      </c>
      <c r="J722" s="13" t="s">
        <v>256</v>
      </c>
      <c r="K722" s="13" t="s">
        <v>430</v>
      </c>
      <c r="L722" s="13" t="s">
        <v>1000</v>
      </c>
      <c r="M722" s="66" t="s">
        <v>258</v>
      </c>
      <c r="N722" s="66" t="s">
        <v>379</v>
      </c>
      <c r="O722" s="66" t="s">
        <v>399</v>
      </c>
      <c r="P722" s="0" t="s">
        <v>1782</v>
      </c>
      <c r="Q722" s="66" t="s">
        <v>995</v>
      </c>
    </row>
    <row r="723" customFormat="false" ht="14.25" hidden="false" customHeight="false" outlineLevel="0" collapsed="false">
      <c r="A723" s="13" t="s">
        <v>816</v>
      </c>
      <c r="B723" s="13" t="s">
        <v>581</v>
      </c>
      <c r="C723" s="13" t="s">
        <v>737</v>
      </c>
      <c r="D723" s="61" t="n">
        <v>45971.2555555556</v>
      </c>
      <c r="E723" s="61" t="n">
        <v>45971.2555555556</v>
      </c>
      <c r="F723" s="61" t="n">
        <v>45971.3854166667</v>
      </c>
      <c r="G723" s="62" t="n">
        <v>0.129861111105129</v>
      </c>
      <c r="H723" s="13" t="s">
        <v>248</v>
      </c>
      <c r="J723" s="13" t="s">
        <v>256</v>
      </c>
      <c r="K723" s="13" t="s">
        <v>430</v>
      </c>
      <c r="L723" s="13" t="s">
        <v>1000</v>
      </c>
      <c r="M723" s="66" t="s">
        <v>258</v>
      </c>
      <c r="N723" s="66" t="s">
        <v>379</v>
      </c>
      <c r="O723" s="66" t="s">
        <v>399</v>
      </c>
      <c r="P723" s="0" t="s">
        <v>1783</v>
      </c>
      <c r="Q723" s="66" t="s">
        <v>995</v>
      </c>
    </row>
    <row r="724" customFormat="false" ht="14.25" hidden="false" customHeight="false" outlineLevel="0" collapsed="false">
      <c r="A724" s="13" t="s">
        <v>816</v>
      </c>
      <c r="B724" s="13" t="s">
        <v>581</v>
      </c>
      <c r="C724" s="13" t="s">
        <v>582</v>
      </c>
      <c r="D724" s="61" t="n">
        <v>45971.2555555556</v>
      </c>
      <c r="E724" s="61" t="n">
        <v>45971.2555555556</v>
      </c>
      <c r="F724" s="61" t="n">
        <v>45971.3854166667</v>
      </c>
      <c r="G724" s="62" t="n">
        <v>0.129861111105129</v>
      </c>
      <c r="H724" s="13" t="s">
        <v>248</v>
      </c>
      <c r="J724" s="13" t="s">
        <v>256</v>
      </c>
      <c r="K724" s="13" t="s">
        <v>430</v>
      </c>
      <c r="L724" s="13" t="s">
        <v>1000</v>
      </c>
      <c r="M724" s="66" t="s">
        <v>258</v>
      </c>
      <c r="N724" s="66" t="s">
        <v>379</v>
      </c>
      <c r="O724" s="66" t="s">
        <v>399</v>
      </c>
      <c r="P724" s="0" t="s">
        <v>1784</v>
      </c>
      <c r="Q724" s="66" t="s">
        <v>995</v>
      </c>
    </row>
    <row r="725" customFormat="false" ht="14.25" hidden="false" customHeight="false" outlineLevel="0" collapsed="false">
      <c r="A725" s="13" t="s">
        <v>816</v>
      </c>
      <c r="B725" s="13" t="s">
        <v>581</v>
      </c>
      <c r="C725" s="13" t="s">
        <v>594</v>
      </c>
      <c r="D725" s="61" t="n">
        <v>45971.2555555556</v>
      </c>
      <c r="E725" s="61" t="n">
        <v>45971.2555555556</v>
      </c>
      <c r="F725" s="61" t="n">
        <v>45971.3854166667</v>
      </c>
      <c r="G725" s="62" t="n">
        <v>0.129861111105129</v>
      </c>
      <c r="H725" s="13" t="s">
        <v>248</v>
      </c>
      <c r="J725" s="13" t="s">
        <v>256</v>
      </c>
      <c r="K725" s="13" t="s">
        <v>430</v>
      </c>
      <c r="L725" s="13" t="s">
        <v>1000</v>
      </c>
      <c r="M725" s="66" t="s">
        <v>258</v>
      </c>
      <c r="N725" s="66" t="s">
        <v>379</v>
      </c>
      <c r="O725" s="66" t="s">
        <v>399</v>
      </c>
      <c r="P725" s="0" t="s">
        <v>1785</v>
      </c>
      <c r="Q725" s="66" t="s">
        <v>995</v>
      </c>
    </row>
    <row r="726" customFormat="false" ht="14.25" hidden="false" customHeight="false" outlineLevel="0" collapsed="false">
      <c r="A726" s="13" t="s">
        <v>816</v>
      </c>
      <c r="B726" s="13" t="s">
        <v>581</v>
      </c>
      <c r="C726" s="13" t="s">
        <v>596</v>
      </c>
      <c r="D726" s="61" t="n">
        <v>45971.2555555556</v>
      </c>
      <c r="E726" s="61" t="n">
        <v>45971.2555555556</v>
      </c>
      <c r="F726" s="61" t="n">
        <v>45971.3854166667</v>
      </c>
      <c r="G726" s="62" t="n">
        <v>0.129861111105129</v>
      </c>
      <c r="H726" s="13" t="s">
        <v>248</v>
      </c>
      <c r="J726" s="13" t="s">
        <v>256</v>
      </c>
      <c r="K726" s="13" t="s">
        <v>430</v>
      </c>
      <c r="L726" s="13" t="s">
        <v>1000</v>
      </c>
      <c r="M726" s="66" t="s">
        <v>258</v>
      </c>
      <c r="N726" s="66" t="s">
        <v>379</v>
      </c>
      <c r="O726" s="66" t="s">
        <v>399</v>
      </c>
      <c r="P726" s="0" t="s">
        <v>1786</v>
      </c>
      <c r="Q726" s="66" t="s">
        <v>995</v>
      </c>
    </row>
    <row r="727" customFormat="false" ht="14.25" hidden="false" customHeight="false" outlineLevel="0" collapsed="false">
      <c r="A727" s="13" t="s">
        <v>816</v>
      </c>
      <c r="B727" s="13" t="s">
        <v>581</v>
      </c>
      <c r="C727" s="13" t="s">
        <v>592</v>
      </c>
      <c r="D727" s="61" t="n">
        <v>45971.2555555556</v>
      </c>
      <c r="E727" s="61" t="n">
        <v>45971.2555555556</v>
      </c>
      <c r="F727" s="61" t="n">
        <v>45971.3854166667</v>
      </c>
      <c r="G727" s="62" t="n">
        <v>0.129861111105129</v>
      </c>
      <c r="H727" s="13" t="s">
        <v>248</v>
      </c>
      <c r="J727" s="13" t="s">
        <v>256</v>
      </c>
      <c r="K727" s="13" t="s">
        <v>430</v>
      </c>
      <c r="L727" s="13" t="s">
        <v>1000</v>
      </c>
      <c r="M727" s="66" t="s">
        <v>258</v>
      </c>
      <c r="N727" s="66" t="s">
        <v>379</v>
      </c>
      <c r="O727" s="66" t="s">
        <v>399</v>
      </c>
      <c r="P727" s="0" t="s">
        <v>1787</v>
      </c>
      <c r="Q727" s="66" t="s">
        <v>995</v>
      </c>
    </row>
    <row r="728" customFormat="false" ht="14.25" hidden="false" customHeight="false" outlineLevel="0" collapsed="false">
      <c r="A728" s="13" t="s">
        <v>816</v>
      </c>
      <c r="B728" s="13" t="s">
        <v>581</v>
      </c>
      <c r="C728" s="13" t="s">
        <v>595</v>
      </c>
      <c r="D728" s="61" t="n">
        <v>45971.2555555556</v>
      </c>
      <c r="E728" s="61" t="n">
        <v>45971.2555555556</v>
      </c>
      <c r="F728" s="61" t="n">
        <v>45971.3854166667</v>
      </c>
      <c r="G728" s="62" t="n">
        <v>0.129861111105129</v>
      </c>
      <c r="H728" s="13" t="s">
        <v>248</v>
      </c>
      <c r="J728" s="13" t="s">
        <v>256</v>
      </c>
      <c r="K728" s="13" t="s">
        <v>430</v>
      </c>
      <c r="L728" s="13" t="s">
        <v>1000</v>
      </c>
      <c r="M728" s="66" t="s">
        <v>258</v>
      </c>
      <c r="N728" s="66" t="s">
        <v>379</v>
      </c>
      <c r="O728" s="66" t="s">
        <v>399</v>
      </c>
      <c r="P728" s="0" t="s">
        <v>1788</v>
      </c>
      <c r="Q728" s="66" t="s">
        <v>995</v>
      </c>
    </row>
    <row r="729" customFormat="false" ht="14.25" hidden="false" customHeight="false" outlineLevel="0" collapsed="false">
      <c r="A729" s="13" t="s">
        <v>816</v>
      </c>
      <c r="B729" s="13" t="s">
        <v>581</v>
      </c>
      <c r="C729" s="13" t="s">
        <v>599</v>
      </c>
      <c r="D729" s="61" t="n">
        <v>45971.2555555556</v>
      </c>
      <c r="E729" s="61" t="n">
        <v>45971.2555555556</v>
      </c>
      <c r="F729" s="61" t="n">
        <v>45971.3854166667</v>
      </c>
      <c r="G729" s="62" t="n">
        <v>0.129861111105129</v>
      </c>
      <c r="H729" s="13" t="s">
        <v>248</v>
      </c>
      <c r="J729" s="13" t="s">
        <v>256</v>
      </c>
      <c r="K729" s="13" t="s">
        <v>430</v>
      </c>
      <c r="L729" s="13" t="s">
        <v>1000</v>
      </c>
      <c r="M729" s="66" t="s">
        <v>258</v>
      </c>
      <c r="N729" s="66" t="s">
        <v>379</v>
      </c>
      <c r="O729" s="66" t="s">
        <v>399</v>
      </c>
      <c r="P729" s="0" t="s">
        <v>1789</v>
      </c>
      <c r="Q729" s="66" t="s">
        <v>995</v>
      </c>
    </row>
    <row r="730" customFormat="false" ht="14.25" hidden="false" customHeight="false" outlineLevel="0" collapsed="false">
      <c r="A730" s="13" t="s">
        <v>816</v>
      </c>
      <c r="B730" s="13" t="s">
        <v>581</v>
      </c>
      <c r="C730" s="13" t="s">
        <v>584</v>
      </c>
      <c r="D730" s="61" t="n">
        <v>45971.2555555556</v>
      </c>
      <c r="E730" s="61" t="n">
        <v>45971.2555555556</v>
      </c>
      <c r="F730" s="61" t="n">
        <v>45971.3854166667</v>
      </c>
      <c r="G730" s="62" t="n">
        <v>0.129861111105129</v>
      </c>
      <c r="H730" s="13" t="s">
        <v>248</v>
      </c>
      <c r="J730" s="13" t="s">
        <v>256</v>
      </c>
      <c r="K730" s="13" t="s">
        <v>430</v>
      </c>
      <c r="L730" s="13" t="s">
        <v>1000</v>
      </c>
      <c r="M730" s="66" t="s">
        <v>258</v>
      </c>
      <c r="N730" s="66" t="s">
        <v>379</v>
      </c>
      <c r="O730" s="66" t="s">
        <v>399</v>
      </c>
      <c r="P730" s="0" t="s">
        <v>1790</v>
      </c>
      <c r="Q730" s="66" t="s">
        <v>995</v>
      </c>
    </row>
    <row r="731" customFormat="false" ht="14.25" hidden="false" customHeight="false" outlineLevel="0" collapsed="false">
      <c r="A731" s="13" t="s">
        <v>816</v>
      </c>
      <c r="B731" s="13" t="s">
        <v>581</v>
      </c>
      <c r="C731" s="13" t="s">
        <v>590</v>
      </c>
      <c r="D731" s="61" t="n">
        <v>45971.2555555556</v>
      </c>
      <c r="E731" s="61" t="n">
        <v>45971.2555555556</v>
      </c>
      <c r="F731" s="61" t="n">
        <v>45971.3854166667</v>
      </c>
      <c r="G731" s="62" t="n">
        <v>0.129861111105129</v>
      </c>
      <c r="H731" s="13" t="s">
        <v>248</v>
      </c>
      <c r="J731" s="13" t="s">
        <v>256</v>
      </c>
      <c r="K731" s="13" t="s">
        <v>430</v>
      </c>
      <c r="L731" s="13" t="s">
        <v>1000</v>
      </c>
      <c r="M731" s="66" t="s">
        <v>258</v>
      </c>
      <c r="N731" s="66" t="s">
        <v>379</v>
      </c>
      <c r="O731" s="66" t="s">
        <v>399</v>
      </c>
      <c r="P731" s="0" t="s">
        <v>1791</v>
      </c>
      <c r="Q731" s="66" t="s">
        <v>995</v>
      </c>
    </row>
    <row r="732" customFormat="false" ht="14.25" hidden="false" customHeight="false" outlineLevel="0" collapsed="false">
      <c r="A732" s="13" t="s">
        <v>814</v>
      </c>
      <c r="B732" s="13" t="s">
        <v>542</v>
      </c>
      <c r="C732" s="13" t="s">
        <v>543</v>
      </c>
      <c r="D732" s="61" t="n">
        <v>45971.2590277778</v>
      </c>
      <c r="E732" s="61" t="n">
        <v>45971.2590277778</v>
      </c>
      <c r="F732" s="61" t="n">
        <v>45971.3194444444</v>
      </c>
      <c r="G732" s="62" t="n">
        <v>0.0604166666671517</v>
      </c>
      <c r="H732" s="13" t="s">
        <v>248</v>
      </c>
      <c r="J732" s="13" t="s">
        <v>256</v>
      </c>
      <c r="K732" s="13" t="s">
        <v>430</v>
      </c>
      <c r="L732" s="13" t="s">
        <v>700</v>
      </c>
      <c r="M732" s="66" t="s">
        <v>258</v>
      </c>
      <c r="N732" s="66" t="s">
        <v>379</v>
      </c>
      <c r="O732" s="66" t="s">
        <v>399</v>
      </c>
      <c r="P732" s="0" t="s">
        <v>1792</v>
      </c>
      <c r="Q732" s="66" t="s">
        <v>995</v>
      </c>
    </row>
    <row r="733" customFormat="false" ht="14.25" hidden="false" customHeight="false" outlineLevel="0" collapsed="false">
      <c r="A733" s="13" t="s">
        <v>814</v>
      </c>
      <c r="B733" s="13" t="s">
        <v>542</v>
      </c>
      <c r="C733" s="13" t="s">
        <v>545</v>
      </c>
      <c r="D733" s="61" t="n">
        <v>45971.2590277778</v>
      </c>
      <c r="E733" s="61" t="n">
        <v>45971.2590277778</v>
      </c>
      <c r="F733" s="61" t="n">
        <v>45971.3194444444</v>
      </c>
      <c r="G733" s="62" t="n">
        <v>0.0604166666671517</v>
      </c>
      <c r="H733" s="13" t="s">
        <v>248</v>
      </c>
      <c r="J733" s="13" t="s">
        <v>256</v>
      </c>
      <c r="K733" s="13" t="s">
        <v>430</v>
      </c>
      <c r="L733" s="13" t="s">
        <v>700</v>
      </c>
      <c r="M733" s="66" t="s">
        <v>258</v>
      </c>
      <c r="N733" s="66" t="s">
        <v>379</v>
      </c>
      <c r="O733" s="66" t="s">
        <v>399</v>
      </c>
      <c r="P733" s="0" t="s">
        <v>1793</v>
      </c>
      <c r="Q733" s="66" t="s">
        <v>995</v>
      </c>
    </row>
    <row r="734" customFormat="false" ht="14.25" hidden="false" customHeight="false" outlineLevel="0" collapsed="false">
      <c r="A734" s="13" t="s">
        <v>814</v>
      </c>
      <c r="B734" s="13" t="s">
        <v>542</v>
      </c>
      <c r="C734" s="13" t="s">
        <v>546</v>
      </c>
      <c r="D734" s="61" t="n">
        <v>45971.2590277778</v>
      </c>
      <c r="E734" s="61" t="n">
        <v>45971.2590277778</v>
      </c>
      <c r="F734" s="61" t="n">
        <v>45971.3194444444</v>
      </c>
      <c r="G734" s="62" t="n">
        <v>0.0604166666671517</v>
      </c>
      <c r="H734" s="13" t="s">
        <v>248</v>
      </c>
      <c r="J734" s="13" t="s">
        <v>256</v>
      </c>
      <c r="K734" s="13" t="s">
        <v>430</v>
      </c>
      <c r="L734" s="13" t="s">
        <v>700</v>
      </c>
      <c r="M734" s="66" t="s">
        <v>258</v>
      </c>
      <c r="N734" s="66" t="s">
        <v>379</v>
      </c>
      <c r="O734" s="66" t="s">
        <v>399</v>
      </c>
      <c r="P734" s="0" t="s">
        <v>1794</v>
      </c>
      <c r="Q734" s="66" t="s">
        <v>995</v>
      </c>
    </row>
    <row r="735" customFormat="false" ht="14.25" hidden="false" customHeight="false" outlineLevel="0" collapsed="false">
      <c r="A735" s="13" t="s">
        <v>814</v>
      </c>
      <c r="B735" s="13" t="s">
        <v>542</v>
      </c>
      <c r="C735" s="13" t="s">
        <v>547</v>
      </c>
      <c r="D735" s="61" t="n">
        <v>45971.2590277778</v>
      </c>
      <c r="E735" s="61" t="n">
        <v>45971.2590277778</v>
      </c>
      <c r="F735" s="61" t="n">
        <v>45971.3194444444</v>
      </c>
      <c r="G735" s="62" t="n">
        <v>0.0604166666671517</v>
      </c>
      <c r="H735" s="13" t="s">
        <v>248</v>
      </c>
      <c r="J735" s="13" t="s">
        <v>256</v>
      </c>
      <c r="K735" s="13" t="s">
        <v>430</v>
      </c>
      <c r="L735" s="13" t="s">
        <v>700</v>
      </c>
      <c r="M735" s="66" t="s">
        <v>258</v>
      </c>
      <c r="N735" s="66" t="s">
        <v>379</v>
      </c>
      <c r="O735" s="66" t="s">
        <v>399</v>
      </c>
      <c r="P735" s="0" t="s">
        <v>1795</v>
      </c>
      <c r="Q735" s="66" t="s">
        <v>995</v>
      </c>
    </row>
    <row r="736" customFormat="false" ht="14.25" hidden="false" customHeight="false" outlineLevel="0" collapsed="false">
      <c r="A736" s="13" t="s">
        <v>814</v>
      </c>
      <c r="B736" s="13" t="s">
        <v>542</v>
      </c>
      <c r="C736" s="13" t="s">
        <v>548</v>
      </c>
      <c r="D736" s="61" t="n">
        <v>45971.2590277778</v>
      </c>
      <c r="E736" s="61" t="n">
        <v>45971.2590277778</v>
      </c>
      <c r="F736" s="61" t="n">
        <v>45971.3194444444</v>
      </c>
      <c r="G736" s="62" t="n">
        <v>0.0604166666671517</v>
      </c>
      <c r="H736" s="13" t="s">
        <v>248</v>
      </c>
      <c r="J736" s="13" t="s">
        <v>256</v>
      </c>
      <c r="K736" s="13" t="s">
        <v>430</v>
      </c>
      <c r="L736" s="13" t="s">
        <v>700</v>
      </c>
      <c r="M736" s="66" t="s">
        <v>258</v>
      </c>
      <c r="N736" s="66" t="s">
        <v>379</v>
      </c>
      <c r="O736" s="66" t="s">
        <v>399</v>
      </c>
      <c r="P736" s="0" t="s">
        <v>1796</v>
      </c>
      <c r="Q736" s="66" t="s">
        <v>995</v>
      </c>
    </row>
    <row r="737" customFormat="false" ht="14.25" hidden="false" customHeight="false" outlineLevel="0" collapsed="false">
      <c r="A737" s="13" t="s">
        <v>814</v>
      </c>
      <c r="B737" s="13" t="s">
        <v>542</v>
      </c>
      <c r="C737" s="13" t="s">
        <v>549</v>
      </c>
      <c r="D737" s="61" t="n">
        <v>45971.2590277778</v>
      </c>
      <c r="E737" s="61" t="n">
        <v>45971.2590277778</v>
      </c>
      <c r="F737" s="61" t="n">
        <v>45971.3194444444</v>
      </c>
      <c r="G737" s="62" t="n">
        <v>0.0604166666671517</v>
      </c>
      <c r="H737" s="13" t="s">
        <v>248</v>
      </c>
      <c r="J737" s="13" t="s">
        <v>256</v>
      </c>
      <c r="K737" s="13" t="s">
        <v>430</v>
      </c>
      <c r="L737" s="13" t="s">
        <v>700</v>
      </c>
      <c r="M737" s="66" t="s">
        <v>258</v>
      </c>
      <c r="N737" s="66" t="s">
        <v>379</v>
      </c>
      <c r="O737" s="66" t="s">
        <v>399</v>
      </c>
      <c r="P737" s="0" t="s">
        <v>1797</v>
      </c>
      <c r="Q737" s="66" t="s">
        <v>995</v>
      </c>
    </row>
    <row r="738" customFormat="false" ht="14.25" hidden="false" customHeight="false" outlineLevel="0" collapsed="false">
      <c r="A738" s="13" t="s">
        <v>814</v>
      </c>
      <c r="B738" s="13" t="s">
        <v>542</v>
      </c>
      <c r="C738" s="13" t="s">
        <v>550</v>
      </c>
      <c r="D738" s="61" t="n">
        <v>45971.2590277778</v>
      </c>
      <c r="E738" s="61" t="n">
        <v>45971.2590277778</v>
      </c>
      <c r="F738" s="61" t="n">
        <v>45971.3194444444</v>
      </c>
      <c r="G738" s="62" t="n">
        <v>0.0604166666671517</v>
      </c>
      <c r="H738" s="13" t="s">
        <v>248</v>
      </c>
      <c r="J738" s="13" t="s">
        <v>256</v>
      </c>
      <c r="K738" s="13" t="s">
        <v>430</v>
      </c>
      <c r="L738" s="13" t="s">
        <v>700</v>
      </c>
      <c r="M738" s="66" t="s">
        <v>258</v>
      </c>
      <c r="N738" s="66" t="s">
        <v>379</v>
      </c>
      <c r="O738" s="66" t="s">
        <v>399</v>
      </c>
      <c r="P738" s="0" t="s">
        <v>1798</v>
      </c>
      <c r="Q738" s="66" t="s">
        <v>995</v>
      </c>
    </row>
    <row r="739" customFormat="false" ht="14.25" hidden="false" customHeight="false" outlineLevel="0" collapsed="false">
      <c r="A739" s="13" t="s">
        <v>814</v>
      </c>
      <c r="B739" s="13" t="s">
        <v>542</v>
      </c>
      <c r="C739" s="13" t="s">
        <v>551</v>
      </c>
      <c r="D739" s="61" t="n">
        <v>45971.2590277778</v>
      </c>
      <c r="E739" s="61" t="n">
        <v>45971.2590277778</v>
      </c>
      <c r="F739" s="61" t="n">
        <v>45971.3194444444</v>
      </c>
      <c r="G739" s="62" t="n">
        <v>0.0604166666671517</v>
      </c>
      <c r="H739" s="13" t="s">
        <v>248</v>
      </c>
      <c r="J739" s="13" t="s">
        <v>256</v>
      </c>
      <c r="K739" s="13" t="s">
        <v>430</v>
      </c>
      <c r="L739" s="13" t="s">
        <v>700</v>
      </c>
      <c r="M739" s="66" t="s">
        <v>258</v>
      </c>
      <c r="N739" s="66" t="s">
        <v>379</v>
      </c>
      <c r="O739" s="66" t="s">
        <v>399</v>
      </c>
      <c r="P739" s="0" t="s">
        <v>1799</v>
      </c>
      <c r="Q739" s="66" t="s">
        <v>995</v>
      </c>
    </row>
    <row r="740" customFormat="false" ht="14.25" hidden="false" customHeight="false" outlineLevel="0" collapsed="false">
      <c r="A740" s="13" t="s">
        <v>815</v>
      </c>
      <c r="B740" s="13" t="s">
        <v>542</v>
      </c>
      <c r="C740" s="13" t="s">
        <v>552</v>
      </c>
      <c r="D740" s="61" t="n">
        <v>45971.2590277778</v>
      </c>
      <c r="E740" s="61" t="n">
        <v>45971.2590277778</v>
      </c>
      <c r="F740" s="61" t="n">
        <v>45971.3194444444</v>
      </c>
      <c r="G740" s="62" t="n">
        <v>0.0604166666671517</v>
      </c>
      <c r="H740" s="13" t="s">
        <v>248</v>
      </c>
      <c r="J740" s="13" t="s">
        <v>256</v>
      </c>
      <c r="K740" s="13" t="s">
        <v>430</v>
      </c>
      <c r="L740" s="13" t="s">
        <v>700</v>
      </c>
      <c r="M740" s="66" t="s">
        <v>258</v>
      </c>
      <c r="N740" s="66" t="s">
        <v>379</v>
      </c>
      <c r="O740" s="66" t="s">
        <v>399</v>
      </c>
      <c r="P740" s="0" t="s">
        <v>1800</v>
      </c>
      <c r="Q740" s="66" t="s">
        <v>995</v>
      </c>
    </row>
    <row r="741" customFormat="false" ht="14.25" hidden="false" customHeight="false" outlineLevel="0" collapsed="false">
      <c r="A741" s="13" t="s">
        <v>815</v>
      </c>
      <c r="B741" s="13" t="s">
        <v>542</v>
      </c>
      <c r="C741" s="13" t="s">
        <v>553</v>
      </c>
      <c r="D741" s="61" t="n">
        <v>45971.2590277778</v>
      </c>
      <c r="E741" s="61" t="n">
        <v>45971.2590277778</v>
      </c>
      <c r="F741" s="61" t="n">
        <v>45971.3194444444</v>
      </c>
      <c r="G741" s="62" t="n">
        <v>0.0604166666671517</v>
      </c>
      <c r="H741" s="13" t="s">
        <v>248</v>
      </c>
      <c r="J741" s="13" t="s">
        <v>256</v>
      </c>
      <c r="K741" s="13" t="s">
        <v>430</v>
      </c>
      <c r="L741" s="13" t="s">
        <v>700</v>
      </c>
      <c r="M741" s="66" t="s">
        <v>258</v>
      </c>
      <c r="N741" s="66" t="s">
        <v>379</v>
      </c>
      <c r="O741" s="66" t="s">
        <v>399</v>
      </c>
      <c r="P741" s="0" t="s">
        <v>1801</v>
      </c>
      <c r="Q741" s="66" t="s">
        <v>995</v>
      </c>
    </row>
    <row r="742" customFormat="false" ht="14.25" hidden="false" customHeight="false" outlineLevel="0" collapsed="false">
      <c r="A742" s="13" t="s">
        <v>815</v>
      </c>
      <c r="B742" s="13" t="s">
        <v>542</v>
      </c>
      <c r="C742" s="13" t="s">
        <v>554</v>
      </c>
      <c r="D742" s="61" t="n">
        <v>45971.2590277778</v>
      </c>
      <c r="E742" s="61" t="n">
        <v>45971.2590277778</v>
      </c>
      <c r="F742" s="61" t="n">
        <v>45971.3194444444</v>
      </c>
      <c r="G742" s="62" t="n">
        <v>0.0604166666671517</v>
      </c>
      <c r="H742" s="13" t="s">
        <v>248</v>
      </c>
      <c r="J742" s="13" t="s">
        <v>256</v>
      </c>
      <c r="K742" s="13" t="s">
        <v>430</v>
      </c>
      <c r="L742" s="13" t="s">
        <v>700</v>
      </c>
      <c r="M742" s="66" t="s">
        <v>258</v>
      </c>
      <c r="N742" s="66" t="s">
        <v>379</v>
      </c>
      <c r="O742" s="66" t="s">
        <v>399</v>
      </c>
      <c r="P742" s="0" t="s">
        <v>1802</v>
      </c>
      <c r="Q742" s="66" t="s">
        <v>995</v>
      </c>
    </row>
    <row r="743" customFormat="false" ht="14.25" hidden="false" customHeight="false" outlineLevel="0" collapsed="false">
      <c r="A743" s="13" t="s">
        <v>815</v>
      </c>
      <c r="B743" s="13" t="s">
        <v>542</v>
      </c>
      <c r="C743" s="13" t="s">
        <v>555</v>
      </c>
      <c r="D743" s="61" t="n">
        <v>45971.2590277778</v>
      </c>
      <c r="E743" s="61" t="n">
        <v>45971.2590277778</v>
      </c>
      <c r="F743" s="61" t="n">
        <v>45971.3194444444</v>
      </c>
      <c r="G743" s="62" t="n">
        <v>0.0604166666671517</v>
      </c>
      <c r="H743" s="13" t="s">
        <v>248</v>
      </c>
      <c r="J743" s="13" t="s">
        <v>256</v>
      </c>
      <c r="K743" s="13" t="s">
        <v>430</v>
      </c>
      <c r="L743" s="13" t="s">
        <v>700</v>
      </c>
      <c r="M743" s="66" t="s">
        <v>258</v>
      </c>
      <c r="N743" s="66" t="s">
        <v>379</v>
      </c>
      <c r="O743" s="66" t="s">
        <v>399</v>
      </c>
      <c r="P743" s="0" t="s">
        <v>1803</v>
      </c>
      <c r="Q743" s="66" t="s">
        <v>995</v>
      </c>
    </row>
    <row r="744" customFormat="false" ht="14.25" hidden="false" customHeight="false" outlineLevel="0" collapsed="false">
      <c r="A744" s="13" t="s">
        <v>815</v>
      </c>
      <c r="B744" s="13" t="s">
        <v>542</v>
      </c>
      <c r="C744" s="13" t="s">
        <v>556</v>
      </c>
      <c r="D744" s="61" t="n">
        <v>45971.2590277778</v>
      </c>
      <c r="E744" s="61" t="n">
        <v>45971.2590277778</v>
      </c>
      <c r="F744" s="61" t="n">
        <v>45971.3194444444</v>
      </c>
      <c r="G744" s="62" t="n">
        <v>0.0604166666671517</v>
      </c>
      <c r="H744" s="13" t="s">
        <v>248</v>
      </c>
      <c r="J744" s="13" t="s">
        <v>256</v>
      </c>
      <c r="K744" s="13" t="s">
        <v>430</v>
      </c>
      <c r="L744" s="13" t="s">
        <v>700</v>
      </c>
      <c r="M744" s="66" t="s">
        <v>258</v>
      </c>
      <c r="N744" s="66" t="s">
        <v>379</v>
      </c>
      <c r="O744" s="66" t="s">
        <v>399</v>
      </c>
      <c r="P744" s="0" t="s">
        <v>1804</v>
      </c>
      <c r="Q744" s="66" t="s">
        <v>995</v>
      </c>
    </row>
    <row r="745" customFormat="false" ht="14.25" hidden="false" customHeight="false" outlineLevel="0" collapsed="false">
      <c r="A745" s="13" t="s">
        <v>815</v>
      </c>
      <c r="B745" s="13" t="s">
        <v>542</v>
      </c>
      <c r="C745" s="13" t="s">
        <v>557</v>
      </c>
      <c r="D745" s="61" t="n">
        <v>45971.2590277778</v>
      </c>
      <c r="E745" s="61" t="n">
        <v>45971.2590277778</v>
      </c>
      <c r="F745" s="61" t="n">
        <v>45971.3194444444</v>
      </c>
      <c r="G745" s="62" t="n">
        <v>0.0604166666671517</v>
      </c>
      <c r="H745" s="13" t="s">
        <v>248</v>
      </c>
      <c r="J745" s="13" t="s">
        <v>256</v>
      </c>
      <c r="K745" s="13" t="s">
        <v>430</v>
      </c>
      <c r="L745" s="13" t="s">
        <v>700</v>
      </c>
      <c r="M745" s="66" t="s">
        <v>258</v>
      </c>
      <c r="N745" s="66" t="s">
        <v>379</v>
      </c>
      <c r="O745" s="66" t="s">
        <v>399</v>
      </c>
      <c r="P745" s="0" t="s">
        <v>1805</v>
      </c>
      <c r="Q745" s="66" t="s">
        <v>995</v>
      </c>
    </row>
    <row r="746" customFormat="false" ht="14.25" hidden="false" customHeight="false" outlineLevel="0" collapsed="false">
      <c r="A746" s="13" t="s">
        <v>815</v>
      </c>
      <c r="B746" s="13" t="s">
        <v>542</v>
      </c>
      <c r="C746" s="13" t="s">
        <v>558</v>
      </c>
      <c r="D746" s="61" t="n">
        <v>45971.2590277778</v>
      </c>
      <c r="E746" s="61" t="n">
        <v>45971.2590277778</v>
      </c>
      <c r="F746" s="61" t="n">
        <v>45971.3194444444</v>
      </c>
      <c r="G746" s="62" t="n">
        <v>0.0604166666671517</v>
      </c>
      <c r="H746" s="13" t="s">
        <v>248</v>
      </c>
      <c r="J746" s="13" t="s">
        <v>256</v>
      </c>
      <c r="K746" s="13" t="s">
        <v>430</v>
      </c>
      <c r="L746" s="13" t="s">
        <v>700</v>
      </c>
      <c r="M746" s="66" t="s">
        <v>258</v>
      </c>
      <c r="N746" s="66" t="s">
        <v>379</v>
      </c>
      <c r="O746" s="66" t="s">
        <v>399</v>
      </c>
      <c r="P746" s="0" t="s">
        <v>1806</v>
      </c>
      <c r="Q746" s="66" t="s">
        <v>995</v>
      </c>
    </row>
    <row r="747" customFormat="false" ht="14.25" hidden="false" customHeight="false" outlineLevel="0" collapsed="false">
      <c r="A747" s="13" t="s">
        <v>828</v>
      </c>
      <c r="B747" s="13" t="s">
        <v>542</v>
      </c>
      <c r="C747" s="13" t="s">
        <v>559</v>
      </c>
      <c r="D747" s="61" t="n">
        <v>45971.2590277778</v>
      </c>
      <c r="E747" s="61" t="n">
        <v>45971.2590277778</v>
      </c>
      <c r="F747" s="61" t="n">
        <v>45971.3194444444</v>
      </c>
      <c r="G747" s="62" t="n">
        <v>0.0604166666671517</v>
      </c>
      <c r="H747" s="13" t="s">
        <v>248</v>
      </c>
      <c r="J747" s="13" t="s">
        <v>256</v>
      </c>
      <c r="K747" s="13" t="s">
        <v>430</v>
      </c>
      <c r="L747" s="13" t="s">
        <v>700</v>
      </c>
      <c r="M747" s="66" t="s">
        <v>258</v>
      </c>
      <c r="N747" s="66" t="s">
        <v>379</v>
      </c>
      <c r="O747" s="66" t="s">
        <v>399</v>
      </c>
      <c r="P747" s="0" t="s">
        <v>1807</v>
      </c>
      <c r="Q747" s="66" t="s">
        <v>995</v>
      </c>
    </row>
    <row r="748" customFormat="false" ht="14.25" hidden="false" customHeight="false" outlineLevel="0" collapsed="false">
      <c r="A748" s="13" t="s">
        <v>828</v>
      </c>
      <c r="B748" s="13" t="s">
        <v>542</v>
      </c>
      <c r="C748" s="13" t="s">
        <v>560</v>
      </c>
      <c r="D748" s="61" t="n">
        <v>45971.2590277778</v>
      </c>
      <c r="E748" s="61" t="n">
        <v>45971.2590277778</v>
      </c>
      <c r="F748" s="61" t="n">
        <v>45971.3194444444</v>
      </c>
      <c r="G748" s="62" t="n">
        <v>0.0604166666671517</v>
      </c>
      <c r="H748" s="13" t="s">
        <v>248</v>
      </c>
      <c r="J748" s="13" t="s">
        <v>256</v>
      </c>
      <c r="K748" s="13" t="s">
        <v>430</v>
      </c>
      <c r="L748" s="13" t="s">
        <v>700</v>
      </c>
      <c r="M748" s="66" t="s">
        <v>258</v>
      </c>
      <c r="N748" s="66" t="s">
        <v>379</v>
      </c>
      <c r="O748" s="66" t="s">
        <v>399</v>
      </c>
      <c r="P748" s="0" t="s">
        <v>1808</v>
      </c>
      <c r="Q748" s="66" t="s">
        <v>995</v>
      </c>
    </row>
    <row r="749" customFormat="false" ht="14.25" hidden="false" customHeight="false" outlineLevel="0" collapsed="false">
      <c r="A749" s="13" t="s">
        <v>828</v>
      </c>
      <c r="B749" s="13" t="s">
        <v>542</v>
      </c>
      <c r="C749" s="13" t="s">
        <v>561</v>
      </c>
      <c r="D749" s="61" t="n">
        <v>45971.2590277778</v>
      </c>
      <c r="E749" s="61" t="n">
        <v>45971.2590277778</v>
      </c>
      <c r="F749" s="61" t="n">
        <v>45971.3194444444</v>
      </c>
      <c r="G749" s="62" t="n">
        <v>0.0604166666671517</v>
      </c>
      <c r="H749" s="13" t="s">
        <v>248</v>
      </c>
      <c r="J749" s="13" t="s">
        <v>256</v>
      </c>
      <c r="K749" s="13" t="s">
        <v>430</v>
      </c>
      <c r="L749" s="13" t="s">
        <v>700</v>
      </c>
      <c r="M749" s="66" t="s">
        <v>258</v>
      </c>
      <c r="N749" s="66" t="s">
        <v>379</v>
      </c>
      <c r="O749" s="66" t="s">
        <v>399</v>
      </c>
      <c r="P749" s="0" t="s">
        <v>1809</v>
      </c>
      <c r="Q749" s="66" t="s">
        <v>995</v>
      </c>
    </row>
    <row r="750" customFormat="false" ht="14.25" hidden="false" customHeight="false" outlineLevel="0" collapsed="false">
      <c r="A750" s="13" t="s">
        <v>828</v>
      </c>
      <c r="B750" s="13" t="s">
        <v>542</v>
      </c>
      <c r="C750" s="13" t="s">
        <v>562</v>
      </c>
      <c r="D750" s="61" t="n">
        <v>45971.2590277778</v>
      </c>
      <c r="E750" s="61" t="n">
        <v>45971.2590277778</v>
      </c>
      <c r="F750" s="61" t="n">
        <v>45971.3194444444</v>
      </c>
      <c r="G750" s="62" t="n">
        <v>0.0604166666671517</v>
      </c>
      <c r="H750" s="13" t="s">
        <v>248</v>
      </c>
      <c r="J750" s="13" t="s">
        <v>256</v>
      </c>
      <c r="K750" s="13" t="s">
        <v>430</v>
      </c>
      <c r="L750" s="13" t="s">
        <v>700</v>
      </c>
      <c r="M750" s="66" t="s">
        <v>258</v>
      </c>
      <c r="N750" s="66" t="s">
        <v>379</v>
      </c>
      <c r="O750" s="66" t="s">
        <v>399</v>
      </c>
      <c r="P750" s="0" t="s">
        <v>1810</v>
      </c>
      <c r="Q750" s="66" t="s">
        <v>995</v>
      </c>
    </row>
    <row r="751" customFormat="false" ht="14.25" hidden="false" customHeight="false" outlineLevel="0" collapsed="false">
      <c r="A751" s="13" t="s">
        <v>828</v>
      </c>
      <c r="B751" s="13" t="s">
        <v>542</v>
      </c>
      <c r="C751" s="13" t="s">
        <v>563</v>
      </c>
      <c r="D751" s="61" t="n">
        <v>45971.2590277778</v>
      </c>
      <c r="E751" s="61" t="n">
        <v>45971.2590277778</v>
      </c>
      <c r="F751" s="61" t="n">
        <v>45971.3194444444</v>
      </c>
      <c r="G751" s="62" t="n">
        <v>0.0604166666671517</v>
      </c>
      <c r="H751" s="13" t="s">
        <v>248</v>
      </c>
      <c r="J751" s="13" t="s">
        <v>256</v>
      </c>
      <c r="K751" s="13" t="s">
        <v>430</v>
      </c>
      <c r="L751" s="13" t="s">
        <v>700</v>
      </c>
      <c r="M751" s="66" t="s">
        <v>258</v>
      </c>
      <c r="N751" s="66" t="s">
        <v>379</v>
      </c>
      <c r="O751" s="66" t="s">
        <v>399</v>
      </c>
      <c r="P751" s="0" t="s">
        <v>1811</v>
      </c>
      <c r="Q751" s="66" t="s">
        <v>995</v>
      </c>
    </row>
    <row r="752" customFormat="false" ht="14.25" hidden="false" customHeight="false" outlineLevel="0" collapsed="false">
      <c r="A752" s="13" t="s">
        <v>829</v>
      </c>
      <c r="B752" s="13" t="s">
        <v>542</v>
      </c>
      <c r="C752" s="13" t="s">
        <v>564</v>
      </c>
      <c r="D752" s="61" t="n">
        <v>45971.2590277778</v>
      </c>
      <c r="E752" s="61" t="n">
        <v>45971.2590277778</v>
      </c>
      <c r="F752" s="61" t="n">
        <v>45971.3194444444</v>
      </c>
      <c r="G752" s="62" t="n">
        <v>0.0604166666671517</v>
      </c>
      <c r="H752" s="13" t="s">
        <v>248</v>
      </c>
      <c r="J752" s="13" t="s">
        <v>256</v>
      </c>
      <c r="K752" s="13" t="s">
        <v>430</v>
      </c>
      <c r="L752" s="13" t="s">
        <v>700</v>
      </c>
      <c r="M752" s="66" t="s">
        <v>258</v>
      </c>
      <c r="N752" s="66" t="s">
        <v>379</v>
      </c>
      <c r="O752" s="66" t="s">
        <v>399</v>
      </c>
      <c r="P752" s="0" t="s">
        <v>1812</v>
      </c>
      <c r="Q752" s="66" t="s">
        <v>995</v>
      </c>
    </row>
    <row r="753" customFormat="false" ht="14.25" hidden="false" customHeight="false" outlineLevel="0" collapsed="false">
      <c r="A753" s="13" t="s">
        <v>829</v>
      </c>
      <c r="B753" s="13" t="s">
        <v>542</v>
      </c>
      <c r="C753" s="13" t="s">
        <v>565</v>
      </c>
      <c r="D753" s="61" t="n">
        <v>45971.2590277778</v>
      </c>
      <c r="E753" s="61" t="n">
        <v>45971.2590277778</v>
      </c>
      <c r="F753" s="61" t="n">
        <v>45971.3194444444</v>
      </c>
      <c r="G753" s="62" t="n">
        <v>0.0604166666671517</v>
      </c>
      <c r="H753" s="13" t="s">
        <v>248</v>
      </c>
      <c r="J753" s="13" t="s">
        <v>256</v>
      </c>
      <c r="K753" s="13" t="s">
        <v>430</v>
      </c>
      <c r="L753" s="13" t="s">
        <v>700</v>
      </c>
      <c r="M753" s="66" t="s">
        <v>258</v>
      </c>
      <c r="N753" s="66" t="s">
        <v>379</v>
      </c>
      <c r="O753" s="66" t="s">
        <v>399</v>
      </c>
      <c r="P753" s="0" t="s">
        <v>1813</v>
      </c>
      <c r="Q753" s="66" t="s">
        <v>995</v>
      </c>
    </row>
    <row r="754" customFormat="false" ht="14.25" hidden="false" customHeight="false" outlineLevel="0" collapsed="false">
      <c r="A754" s="13" t="s">
        <v>829</v>
      </c>
      <c r="B754" s="13" t="s">
        <v>542</v>
      </c>
      <c r="C754" s="13" t="s">
        <v>566</v>
      </c>
      <c r="D754" s="61" t="n">
        <v>45971.2590277778</v>
      </c>
      <c r="E754" s="61" t="n">
        <v>45971.2590277778</v>
      </c>
      <c r="F754" s="61" t="n">
        <v>45971.3194444444</v>
      </c>
      <c r="G754" s="62" t="n">
        <v>0.0604166666671517</v>
      </c>
      <c r="H754" s="13" t="s">
        <v>248</v>
      </c>
      <c r="J754" s="13" t="s">
        <v>256</v>
      </c>
      <c r="K754" s="13" t="s">
        <v>430</v>
      </c>
      <c r="L754" s="13" t="s">
        <v>700</v>
      </c>
      <c r="M754" s="66" t="s">
        <v>258</v>
      </c>
      <c r="N754" s="66" t="s">
        <v>379</v>
      </c>
      <c r="O754" s="66" t="s">
        <v>399</v>
      </c>
      <c r="P754" s="0" t="s">
        <v>1814</v>
      </c>
      <c r="Q754" s="66" t="s">
        <v>995</v>
      </c>
    </row>
    <row r="755" customFormat="false" ht="14.25" hidden="false" customHeight="false" outlineLevel="0" collapsed="false">
      <c r="A755" s="13" t="s">
        <v>829</v>
      </c>
      <c r="B755" s="13" t="s">
        <v>542</v>
      </c>
      <c r="C755" s="13" t="s">
        <v>567</v>
      </c>
      <c r="D755" s="61" t="n">
        <v>45971.2590277778</v>
      </c>
      <c r="E755" s="61" t="n">
        <v>45971.2590277778</v>
      </c>
      <c r="F755" s="61" t="n">
        <v>45971.3194444444</v>
      </c>
      <c r="G755" s="62" t="n">
        <v>0.0604166666671517</v>
      </c>
      <c r="H755" s="13" t="s">
        <v>248</v>
      </c>
      <c r="J755" s="13" t="s">
        <v>256</v>
      </c>
      <c r="K755" s="13" t="s">
        <v>430</v>
      </c>
      <c r="L755" s="13" t="s">
        <v>700</v>
      </c>
      <c r="M755" s="66" t="s">
        <v>258</v>
      </c>
      <c r="N755" s="66" t="s">
        <v>379</v>
      </c>
      <c r="O755" s="66" t="s">
        <v>399</v>
      </c>
      <c r="P755" s="0" t="s">
        <v>1815</v>
      </c>
      <c r="Q755" s="66" t="s">
        <v>995</v>
      </c>
    </row>
    <row r="756" customFormat="false" ht="14.25" hidden="false" customHeight="false" outlineLevel="0" collapsed="false">
      <c r="A756" s="13" t="s">
        <v>830</v>
      </c>
      <c r="B756" s="13" t="s">
        <v>542</v>
      </c>
      <c r="C756" s="13" t="s">
        <v>568</v>
      </c>
      <c r="D756" s="61" t="n">
        <v>45971.2590277778</v>
      </c>
      <c r="E756" s="61" t="n">
        <v>45971.2590277778</v>
      </c>
      <c r="F756" s="61" t="n">
        <v>45971.3194444444</v>
      </c>
      <c r="G756" s="62" t="n">
        <v>0.0604166666671517</v>
      </c>
      <c r="H756" s="13" t="s">
        <v>248</v>
      </c>
      <c r="J756" s="13" t="s">
        <v>256</v>
      </c>
      <c r="K756" s="13" t="s">
        <v>430</v>
      </c>
      <c r="L756" s="13" t="s">
        <v>700</v>
      </c>
      <c r="M756" s="66" t="s">
        <v>258</v>
      </c>
      <c r="N756" s="66" t="s">
        <v>379</v>
      </c>
      <c r="O756" s="66" t="s">
        <v>399</v>
      </c>
      <c r="P756" s="0" t="s">
        <v>1816</v>
      </c>
      <c r="Q756" s="66" t="s">
        <v>995</v>
      </c>
    </row>
    <row r="757" customFormat="false" ht="14.25" hidden="false" customHeight="false" outlineLevel="0" collapsed="false">
      <c r="A757" s="13" t="s">
        <v>830</v>
      </c>
      <c r="B757" s="13" t="s">
        <v>542</v>
      </c>
      <c r="C757" s="13" t="s">
        <v>569</v>
      </c>
      <c r="D757" s="61" t="n">
        <v>45971.2590277778</v>
      </c>
      <c r="E757" s="61" t="n">
        <v>45971.2590277778</v>
      </c>
      <c r="F757" s="61" t="n">
        <v>45971.3194444444</v>
      </c>
      <c r="G757" s="62" t="n">
        <v>0.0604166666671517</v>
      </c>
      <c r="H757" s="13" t="s">
        <v>248</v>
      </c>
      <c r="J757" s="13" t="s">
        <v>256</v>
      </c>
      <c r="K757" s="13" t="s">
        <v>430</v>
      </c>
      <c r="L757" s="13" t="s">
        <v>700</v>
      </c>
      <c r="M757" s="66" t="s">
        <v>258</v>
      </c>
      <c r="N757" s="66" t="s">
        <v>379</v>
      </c>
      <c r="O757" s="66" t="s">
        <v>399</v>
      </c>
      <c r="P757" s="0" t="s">
        <v>1817</v>
      </c>
      <c r="Q757" s="66" t="s">
        <v>995</v>
      </c>
    </row>
    <row r="758" customFormat="false" ht="14.25" hidden="false" customHeight="false" outlineLevel="0" collapsed="false">
      <c r="A758" s="13" t="s">
        <v>830</v>
      </c>
      <c r="B758" s="13" t="s">
        <v>542</v>
      </c>
      <c r="C758" s="13" t="s">
        <v>570</v>
      </c>
      <c r="D758" s="61" t="n">
        <v>45971.2590277778</v>
      </c>
      <c r="E758" s="61" t="n">
        <v>45971.2590277778</v>
      </c>
      <c r="F758" s="61" t="n">
        <v>45971.3194444444</v>
      </c>
      <c r="G758" s="62" t="n">
        <v>0.0604166666671517</v>
      </c>
      <c r="H758" s="13" t="s">
        <v>248</v>
      </c>
      <c r="J758" s="13" t="s">
        <v>256</v>
      </c>
      <c r="K758" s="13" t="s">
        <v>430</v>
      </c>
      <c r="L758" s="13" t="s">
        <v>700</v>
      </c>
      <c r="M758" s="66" t="s">
        <v>258</v>
      </c>
      <c r="N758" s="66" t="s">
        <v>379</v>
      </c>
      <c r="O758" s="66" t="s">
        <v>399</v>
      </c>
      <c r="P758" s="0" t="s">
        <v>1818</v>
      </c>
      <c r="Q758" s="66" t="s">
        <v>995</v>
      </c>
    </row>
    <row r="759" customFormat="false" ht="14.25" hidden="false" customHeight="false" outlineLevel="0" collapsed="false">
      <c r="A759" s="13" t="s">
        <v>830</v>
      </c>
      <c r="B759" s="13" t="s">
        <v>542</v>
      </c>
      <c r="C759" s="13" t="s">
        <v>571</v>
      </c>
      <c r="D759" s="61" t="n">
        <v>45971.2590277778</v>
      </c>
      <c r="E759" s="61" t="n">
        <v>45971.2590277778</v>
      </c>
      <c r="F759" s="61" t="n">
        <v>45971.3194444444</v>
      </c>
      <c r="G759" s="62" t="n">
        <v>0.0604166666671517</v>
      </c>
      <c r="H759" s="13" t="s">
        <v>248</v>
      </c>
      <c r="J759" s="13" t="s">
        <v>256</v>
      </c>
      <c r="K759" s="13" t="s">
        <v>430</v>
      </c>
      <c r="L759" s="13" t="s">
        <v>700</v>
      </c>
      <c r="M759" s="66" t="s">
        <v>258</v>
      </c>
      <c r="N759" s="66" t="s">
        <v>379</v>
      </c>
      <c r="O759" s="66" t="s">
        <v>399</v>
      </c>
      <c r="P759" s="0" t="s">
        <v>1819</v>
      </c>
      <c r="Q759" s="66" t="s">
        <v>995</v>
      </c>
    </row>
    <row r="760" customFormat="false" ht="14.25" hidden="false" customHeight="false" outlineLevel="0" collapsed="false">
      <c r="A760" s="13" t="s">
        <v>830</v>
      </c>
      <c r="B760" s="13" t="s">
        <v>542</v>
      </c>
      <c r="C760" s="13" t="s">
        <v>572</v>
      </c>
      <c r="D760" s="61" t="n">
        <v>45971.2590277778</v>
      </c>
      <c r="E760" s="61" t="n">
        <v>45971.2590277778</v>
      </c>
      <c r="F760" s="61" t="n">
        <v>45971.3194444444</v>
      </c>
      <c r="G760" s="62" t="n">
        <v>0.0604166666671517</v>
      </c>
      <c r="H760" s="13" t="s">
        <v>248</v>
      </c>
      <c r="J760" s="13" t="s">
        <v>256</v>
      </c>
      <c r="K760" s="13" t="s">
        <v>430</v>
      </c>
      <c r="L760" s="13" t="s">
        <v>700</v>
      </c>
      <c r="M760" s="66" t="s">
        <v>258</v>
      </c>
      <c r="N760" s="66" t="s">
        <v>379</v>
      </c>
      <c r="O760" s="66" t="s">
        <v>399</v>
      </c>
      <c r="P760" s="0" t="s">
        <v>1820</v>
      </c>
      <c r="Q760" s="66" t="s">
        <v>995</v>
      </c>
    </row>
    <row r="761" customFormat="false" ht="14.25" hidden="false" customHeight="false" outlineLevel="0" collapsed="false">
      <c r="A761" s="13" t="s">
        <v>878</v>
      </c>
      <c r="B761" s="13" t="s">
        <v>504</v>
      </c>
      <c r="C761" s="13" t="s">
        <v>1334</v>
      </c>
      <c r="D761" s="61" t="n">
        <v>45971.2621875</v>
      </c>
      <c r="E761" s="61" t="n">
        <v>45971.2621875</v>
      </c>
      <c r="F761" s="61" t="n">
        <v>45971.266087963</v>
      </c>
      <c r="G761" s="62" t="n">
        <v>0.00390046296524815</v>
      </c>
      <c r="H761" s="13" t="s">
        <v>248</v>
      </c>
      <c r="J761" s="13" t="s">
        <v>249</v>
      </c>
      <c r="K761" s="13" t="s">
        <v>439</v>
      </c>
      <c r="L761" s="13" t="s">
        <v>1251</v>
      </c>
      <c r="M761" s="66" t="s">
        <v>251</v>
      </c>
      <c r="N761" s="66" t="s">
        <v>625</v>
      </c>
      <c r="P761" s="0" t="s">
        <v>1821</v>
      </c>
      <c r="Q761" s="66" t="s">
        <v>1253</v>
      </c>
    </row>
    <row r="762" customFormat="false" ht="14.25" hidden="false" customHeight="false" outlineLevel="0" collapsed="false">
      <c r="A762" s="13" t="s">
        <v>878</v>
      </c>
      <c r="B762" s="13" t="s">
        <v>504</v>
      </c>
      <c r="C762" s="13" t="s">
        <v>1250</v>
      </c>
      <c r="D762" s="61" t="n">
        <v>45971.2621875</v>
      </c>
      <c r="E762" s="61" t="n">
        <v>45971.2621875</v>
      </c>
      <c r="F762" s="61" t="n">
        <v>45971.2656944444</v>
      </c>
      <c r="G762" s="62" t="n">
        <v>0.00350694444932742</v>
      </c>
      <c r="H762" s="13" t="s">
        <v>248</v>
      </c>
      <c r="J762" s="13" t="s">
        <v>249</v>
      </c>
      <c r="K762" s="13" t="s">
        <v>439</v>
      </c>
      <c r="L762" s="13" t="s">
        <v>1251</v>
      </c>
      <c r="M762" s="66" t="s">
        <v>251</v>
      </c>
      <c r="N762" s="66" t="s">
        <v>625</v>
      </c>
      <c r="P762" s="0" t="s">
        <v>1822</v>
      </c>
      <c r="Q762" s="66" t="s">
        <v>1253</v>
      </c>
    </row>
    <row r="763" customFormat="false" ht="14.25" hidden="false" customHeight="false" outlineLevel="0" collapsed="false">
      <c r="A763" s="13" t="s">
        <v>878</v>
      </c>
      <c r="B763" s="13" t="s">
        <v>504</v>
      </c>
      <c r="C763" s="13" t="s">
        <v>1436</v>
      </c>
      <c r="D763" s="61" t="n">
        <v>45971.2621875</v>
      </c>
      <c r="E763" s="61" t="n">
        <v>45971.2621875</v>
      </c>
      <c r="F763" s="61" t="n">
        <v>45971.2660648148</v>
      </c>
      <c r="G763" s="62" t="n">
        <v>0.00387731481896481</v>
      </c>
      <c r="H763" s="13" t="s">
        <v>248</v>
      </c>
      <c r="J763" s="13" t="s">
        <v>249</v>
      </c>
      <c r="K763" s="13" t="s">
        <v>439</v>
      </c>
      <c r="L763" s="13" t="s">
        <v>1251</v>
      </c>
      <c r="M763" s="66" t="s">
        <v>251</v>
      </c>
      <c r="N763" s="66" t="s">
        <v>625</v>
      </c>
      <c r="P763" s="0" t="s">
        <v>1823</v>
      </c>
      <c r="Q763" s="66" t="s">
        <v>1253</v>
      </c>
    </row>
    <row r="764" customFormat="false" ht="14.25" hidden="false" customHeight="false" outlineLevel="0" collapsed="false">
      <c r="A764" s="13" t="s">
        <v>878</v>
      </c>
      <c r="B764" s="13" t="s">
        <v>504</v>
      </c>
      <c r="C764" s="13" t="s">
        <v>1332</v>
      </c>
      <c r="D764" s="61" t="n">
        <v>45971.2621875</v>
      </c>
      <c r="E764" s="61" t="n">
        <v>45971.2621875</v>
      </c>
      <c r="F764" s="61" t="n">
        <v>45971.2660648148</v>
      </c>
      <c r="G764" s="62" t="n">
        <v>0.00387731481896481</v>
      </c>
      <c r="H764" s="13" t="s">
        <v>248</v>
      </c>
      <c r="J764" s="13" t="s">
        <v>249</v>
      </c>
      <c r="K764" s="13" t="s">
        <v>439</v>
      </c>
      <c r="L764" s="13" t="s">
        <v>1251</v>
      </c>
      <c r="M764" s="66" t="s">
        <v>251</v>
      </c>
      <c r="N764" s="66" t="s">
        <v>625</v>
      </c>
      <c r="P764" s="0" t="s">
        <v>1824</v>
      </c>
      <c r="Q764" s="66" t="s">
        <v>1253</v>
      </c>
    </row>
    <row r="765" customFormat="false" ht="14.25" hidden="false" customHeight="false" outlineLevel="0" collapsed="false">
      <c r="A765" s="13" t="s">
        <v>878</v>
      </c>
      <c r="B765" s="13" t="s">
        <v>504</v>
      </c>
      <c r="C765" s="13" t="s">
        <v>1565</v>
      </c>
      <c r="D765" s="61" t="n">
        <v>45971.2621875</v>
      </c>
      <c r="E765" s="61" t="n">
        <v>45971.2621875</v>
      </c>
      <c r="F765" s="61" t="n">
        <v>45971.2661342593</v>
      </c>
      <c r="G765" s="62" t="n">
        <v>0.0039467592650908</v>
      </c>
      <c r="H765" s="13" t="s">
        <v>248</v>
      </c>
      <c r="J765" s="13" t="s">
        <v>249</v>
      </c>
      <c r="K765" s="13" t="s">
        <v>439</v>
      </c>
      <c r="L765" s="13" t="s">
        <v>1251</v>
      </c>
      <c r="M765" s="66" t="s">
        <v>251</v>
      </c>
      <c r="N765" s="66" t="s">
        <v>625</v>
      </c>
      <c r="P765" s="0" t="s">
        <v>1825</v>
      </c>
      <c r="Q765" s="66" t="s">
        <v>1253</v>
      </c>
    </row>
    <row r="766" customFormat="false" ht="14.25" hidden="false" customHeight="false" outlineLevel="0" collapsed="false">
      <c r="A766" s="13" t="s">
        <v>878</v>
      </c>
      <c r="B766" s="13" t="s">
        <v>504</v>
      </c>
      <c r="C766" s="13" t="s">
        <v>1563</v>
      </c>
      <c r="D766" s="61" t="n">
        <v>45971.2621875</v>
      </c>
      <c r="E766" s="61" t="n">
        <v>45971.2621875</v>
      </c>
      <c r="F766" s="61" t="n">
        <v>45971.2660648148</v>
      </c>
      <c r="G766" s="62" t="n">
        <v>0.00387731481896481</v>
      </c>
      <c r="H766" s="13" t="s">
        <v>248</v>
      </c>
      <c r="J766" s="13" t="s">
        <v>249</v>
      </c>
      <c r="K766" s="13" t="s">
        <v>439</v>
      </c>
      <c r="L766" s="13" t="s">
        <v>1251</v>
      </c>
      <c r="M766" s="66" t="s">
        <v>251</v>
      </c>
      <c r="N766" s="66" t="s">
        <v>625</v>
      </c>
      <c r="P766" s="0" t="s">
        <v>1826</v>
      </c>
      <c r="Q766" s="66" t="s">
        <v>1253</v>
      </c>
    </row>
    <row r="767" customFormat="false" ht="14.25" hidden="false" customHeight="false" outlineLevel="0" collapsed="false">
      <c r="A767" s="13" t="s">
        <v>878</v>
      </c>
      <c r="B767" s="13" t="s">
        <v>504</v>
      </c>
      <c r="C767" s="13" t="s">
        <v>519</v>
      </c>
      <c r="D767" s="61" t="n">
        <v>45971.2621875</v>
      </c>
      <c r="E767" s="61" t="n">
        <v>45971.2621875</v>
      </c>
      <c r="F767" s="61" t="n">
        <v>45971.2661111111</v>
      </c>
      <c r="G767" s="62" t="n">
        <v>0.0039236111115315</v>
      </c>
      <c r="H767" s="13" t="s">
        <v>248</v>
      </c>
      <c r="J767" s="13" t="s">
        <v>249</v>
      </c>
      <c r="K767" s="13" t="s">
        <v>439</v>
      </c>
      <c r="L767" s="13" t="s">
        <v>1251</v>
      </c>
      <c r="M767" s="66" t="s">
        <v>251</v>
      </c>
      <c r="N767" s="66" t="s">
        <v>625</v>
      </c>
      <c r="P767" s="0" t="s">
        <v>1827</v>
      </c>
      <c r="Q767" s="66" t="s">
        <v>1253</v>
      </c>
    </row>
    <row r="768" customFormat="false" ht="14.25" hidden="false" customHeight="false" outlineLevel="0" collapsed="false">
      <c r="A768" s="13" t="s">
        <v>578</v>
      </c>
      <c r="B768" s="13" t="s">
        <v>578</v>
      </c>
      <c r="C768" s="13" t="s">
        <v>396</v>
      </c>
      <c r="D768" s="61" t="n">
        <v>45971.2638888889</v>
      </c>
      <c r="E768" s="61" t="n">
        <v>45971.2638888889</v>
      </c>
      <c r="F768" s="61" t="n">
        <v>45971.3229166667</v>
      </c>
      <c r="G768" s="62" t="n">
        <v>0.0590277777737356</v>
      </c>
      <c r="H768" s="13" t="s">
        <v>248</v>
      </c>
      <c r="J768" s="13" t="s">
        <v>256</v>
      </c>
      <c r="K768" s="13" t="s">
        <v>430</v>
      </c>
      <c r="L768" s="13" t="s">
        <v>700</v>
      </c>
      <c r="M768" s="66" t="s">
        <v>258</v>
      </c>
      <c r="N768" s="66" t="s">
        <v>379</v>
      </c>
      <c r="O768" s="66" t="s">
        <v>399</v>
      </c>
      <c r="P768" s="0" t="s">
        <v>1828</v>
      </c>
      <c r="Q768" s="66" t="s">
        <v>995</v>
      </c>
    </row>
    <row r="769" customFormat="false" ht="14.25" hidden="false" customHeight="false" outlineLevel="0" collapsed="false">
      <c r="A769" s="13" t="s">
        <v>578</v>
      </c>
      <c r="B769" s="13" t="s">
        <v>578</v>
      </c>
      <c r="C769" s="13" t="s">
        <v>397</v>
      </c>
      <c r="D769" s="61" t="n">
        <v>45971.2638888889</v>
      </c>
      <c r="E769" s="61" t="n">
        <v>45971.2638888889</v>
      </c>
      <c r="F769" s="61" t="n">
        <v>45971.3229166667</v>
      </c>
      <c r="G769" s="62" t="n">
        <v>0.0590277777737356</v>
      </c>
      <c r="H769" s="13" t="s">
        <v>248</v>
      </c>
      <c r="J769" s="13" t="s">
        <v>256</v>
      </c>
      <c r="K769" s="13" t="s">
        <v>430</v>
      </c>
      <c r="L769" s="13" t="s">
        <v>700</v>
      </c>
      <c r="M769" s="66" t="s">
        <v>258</v>
      </c>
      <c r="N769" s="66" t="s">
        <v>379</v>
      </c>
      <c r="O769" s="66" t="s">
        <v>399</v>
      </c>
      <c r="P769" s="0" t="s">
        <v>1829</v>
      </c>
      <c r="Q769" s="66" t="s">
        <v>995</v>
      </c>
    </row>
    <row r="770" customFormat="false" ht="14.25" hidden="false" customHeight="false" outlineLevel="0" collapsed="false">
      <c r="A770" s="13" t="s">
        <v>578</v>
      </c>
      <c r="B770" s="13" t="s">
        <v>578</v>
      </c>
      <c r="C770" s="13" t="s">
        <v>394</v>
      </c>
      <c r="D770" s="61" t="n">
        <v>45971.2638888889</v>
      </c>
      <c r="E770" s="61" t="n">
        <v>45971.2638888889</v>
      </c>
      <c r="F770" s="61" t="n">
        <v>45971.3229166667</v>
      </c>
      <c r="G770" s="62" t="n">
        <v>0.0590277777737356</v>
      </c>
      <c r="H770" s="13" t="s">
        <v>248</v>
      </c>
      <c r="J770" s="13" t="s">
        <v>256</v>
      </c>
      <c r="K770" s="13" t="s">
        <v>430</v>
      </c>
      <c r="L770" s="13" t="s">
        <v>700</v>
      </c>
      <c r="M770" s="66" t="s">
        <v>258</v>
      </c>
      <c r="N770" s="66" t="s">
        <v>379</v>
      </c>
      <c r="O770" s="66" t="s">
        <v>399</v>
      </c>
      <c r="P770" s="0" t="s">
        <v>1830</v>
      </c>
      <c r="Q770" s="66" t="s">
        <v>995</v>
      </c>
    </row>
    <row r="771" customFormat="false" ht="14.25" hidden="false" customHeight="false" outlineLevel="0" collapsed="false">
      <c r="A771" s="13" t="s">
        <v>578</v>
      </c>
      <c r="B771" s="13" t="s">
        <v>578</v>
      </c>
      <c r="C771" s="13" t="s">
        <v>395</v>
      </c>
      <c r="D771" s="61" t="n">
        <v>45971.2638888889</v>
      </c>
      <c r="E771" s="61" t="n">
        <v>45971.2638888889</v>
      </c>
      <c r="F771" s="61" t="n">
        <v>45971.3229166667</v>
      </c>
      <c r="G771" s="62" t="n">
        <v>0.0590277777737356</v>
      </c>
      <c r="H771" s="13" t="s">
        <v>248</v>
      </c>
      <c r="J771" s="13" t="s">
        <v>256</v>
      </c>
      <c r="K771" s="13" t="s">
        <v>430</v>
      </c>
      <c r="L771" s="13" t="s">
        <v>700</v>
      </c>
      <c r="M771" s="66" t="s">
        <v>258</v>
      </c>
      <c r="N771" s="66" t="s">
        <v>379</v>
      </c>
      <c r="O771" s="66" t="s">
        <v>399</v>
      </c>
      <c r="P771" s="0" t="s">
        <v>1831</v>
      </c>
      <c r="Q771" s="66" t="s">
        <v>995</v>
      </c>
    </row>
    <row r="772" customFormat="false" ht="14.25" hidden="false" customHeight="false" outlineLevel="0" collapsed="false">
      <c r="A772" s="13" t="s">
        <v>578</v>
      </c>
      <c r="B772" s="13" t="s">
        <v>578</v>
      </c>
      <c r="C772" s="13" t="s">
        <v>391</v>
      </c>
      <c r="D772" s="61" t="n">
        <v>45971.2638888889</v>
      </c>
      <c r="E772" s="61" t="n">
        <v>45971.2638888889</v>
      </c>
      <c r="F772" s="61" t="n">
        <v>45971.3229166667</v>
      </c>
      <c r="G772" s="62" t="n">
        <v>0.0590277777737356</v>
      </c>
      <c r="H772" s="13" t="s">
        <v>248</v>
      </c>
      <c r="J772" s="13" t="s">
        <v>256</v>
      </c>
      <c r="K772" s="13" t="s">
        <v>430</v>
      </c>
      <c r="L772" s="13" t="s">
        <v>700</v>
      </c>
      <c r="M772" s="66" t="s">
        <v>258</v>
      </c>
      <c r="N772" s="66" t="s">
        <v>379</v>
      </c>
      <c r="O772" s="66" t="s">
        <v>399</v>
      </c>
      <c r="P772" s="0" t="s">
        <v>1832</v>
      </c>
      <c r="Q772" s="66" t="s">
        <v>995</v>
      </c>
    </row>
    <row r="773" customFormat="false" ht="14.25" hidden="false" customHeight="false" outlineLevel="0" collapsed="false">
      <c r="A773" s="13" t="s">
        <v>579</v>
      </c>
      <c r="B773" s="13" t="s">
        <v>579</v>
      </c>
      <c r="C773" s="13" t="s">
        <v>396</v>
      </c>
      <c r="D773" s="61" t="n">
        <v>45971.2638888889</v>
      </c>
      <c r="E773" s="61" t="n">
        <v>45971.2638888889</v>
      </c>
      <c r="F773" s="61" t="n">
        <v>45971.3229166667</v>
      </c>
      <c r="G773" s="62" t="n">
        <v>0.0590277777737356</v>
      </c>
      <c r="H773" s="13" t="s">
        <v>248</v>
      </c>
      <c r="J773" s="13" t="s">
        <v>256</v>
      </c>
      <c r="K773" s="13" t="s">
        <v>430</v>
      </c>
      <c r="L773" s="13" t="s">
        <v>700</v>
      </c>
      <c r="M773" s="66" t="s">
        <v>258</v>
      </c>
      <c r="N773" s="66" t="s">
        <v>379</v>
      </c>
      <c r="O773" s="66" t="s">
        <v>399</v>
      </c>
      <c r="P773" s="0" t="s">
        <v>1833</v>
      </c>
      <c r="Q773" s="66" t="s">
        <v>995</v>
      </c>
    </row>
    <row r="774" customFormat="false" ht="14.25" hidden="false" customHeight="false" outlineLevel="0" collapsed="false">
      <c r="A774" s="13" t="s">
        <v>579</v>
      </c>
      <c r="B774" s="13" t="s">
        <v>579</v>
      </c>
      <c r="C774" s="13" t="s">
        <v>397</v>
      </c>
      <c r="D774" s="61" t="n">
        <v>45971.2638888889</v>
      </c>
      <c r="E774" s="61" t="n">
        <v>45971.2638888889</v>
      </c>
      <c r="F774" s="61" t="n">
        <v>45971.3229166667</v>
      </c>
      <c r="G774" s="62" t="n">
        <v>0.0590277777737356</v>
      </c>
      <c r="H774" s="13" t="s">
        <v>248</v>
      </c>
      <c r="J774" s="13" t="s">
        <v>256</v>
      </c>
      <c r="K774" s="13" t="s">
        <v>430</v>
      </c>
      <c r="L774" s="13" t="s">
        <v>700</v>
      </c>
      <c r="M774" s="66" t="s">
        <v>258</v>
      </c>
      <c r="N774" s="66" t="s">
        <v>379</v>
      </c>
      <c r="O774" s="66" t="s">
        <v>399</v>
      </c>
      <c r="P774" s="0" t="s">
        <v>1834</v>
      </c>
      <c r="Q774" s="66" t="s">
        <v>995</v>
      </c>
    </row>
    <row r="775" customFormat="false" ht="14.25" hidden="false" customHeight="false" outlineLevel="0" collapsed="false">
      <c r="A775" s="13" t="s">
        <v>579</v>
      </c>
      <c r="B775" s="13" t="s">
        <v>579</v>
      </c>
      <c r="C775" s="13" t="s">
        <v>394</v>
      </c>
      <c r="D775" s="61" t="n">
        <v>45971.2638888889</v>
      </c>
      <c r="E775" s="61" t="n">
        <v>45971.2638888889</v>
      </c>
      <c r="F775" s="61" t="n">
        <v>45971.3229166667</v>
      </c>
      <c r="G775" s="62" t="n">
        <v>0.0590277777737356</v>
      </c>
      <c r="H775" s="13" t="s">
        <v>248</v>
      </c>
      <c r="J775" s="13" t="s">
        <v>256</v>
      </c>
      <c r="K775" s="13" t="s">
        <v>430</v>
      </c>
      <c r="L775" s="13" t="s">
        <v>700</v>
      </c>
      <c r="M775" s="66" t="s">
        <v>258</v>
      </c>
      <c r="N775" s="66" t="s">
        <v>379</v>
      </c>
      <c r="O775" s="66" t="s">
        <v>399</v>
      </c>
      <c r="P775" s="0" t="s">
        <v>1835</v>
      </c>
      <c r="Q775" s="66" t="s">
        <v>995</v>
      </c>
    </row>
    <row r="776" customFormat="false" ht="14.25" hidden="false" customHeight="false" outlineLevel="0" collapsed="false">
      <c r="A776" s="13" t="s">
        <v>579</v>
      </c>
      <c r="B776" s="13" t="s">
        <v>579</v>
      </c>
      <c r="C776" s="13" t="s">
        <v>395</v>
      </c>
      <c r="D776" s="61" t="n">
        <v>45971.2638888889</v>
      </c>
      <c r="E776" s="61" t="n">
        <v>45971.2638888889</v>
      </c>
      <c r="F776" s="61" t="n">
        <v>45971.3229166667</v>
      </c>
      <c r="G776" s="62" t="n">
        <v>0.0590277777737356</v>
      </c>
      <c r="H776" s="13" t="s">
        <v>248</v>
      </c>
      <c r="J776" s="13" t="s">
        <v>256</v>
      </c>
      <c r="K776" s="13" t="s">
        <v>430</v>
      </c>
      <c r="L776" s="13" t="s">
        <v>700</v>
      </c>
      <c r="M776" s="66" t="s">
        <v>258</v>
      </c>
      <c r="N776" s="66" t="s">
        <v>379</v>
      </c>
      <c r="O776" s="66" t="s">
        <v>399</v>
      </c>
      <c r="P776" s="0" t="s">
        <v>1836</v>
      </c>
      <c r="Q776" s="66" t="s">
        <v>995</v>
      </c>
    </row>
    <row r="777" customFormat="false" ht="14.25" hidden="false" customHeight="false" outlineLevel="0" collapsed="false">
      <c r="A777" s="13" t="s">
        <v>579</v>
      </c>
      <c r="B777" s="13" t="s">
        <v>579</v>
      </c>
      <c r="C777" s="13" t="s">
        <v>391</v>
      </c>
      <c r="D777" s="61" t="n">
        <v>45971.2638888889</v>
      </c>
      <c r="E777" s="61" t="n">
        <v>45971.2638888889</v>
      </c>
      <c r="F777" s="61" t="n">
        <v>45971.3229166667</v>
      </c>
      <c r="G777" s="62" t="n">
        <v>0.0590277777737356</v>
      </c>
      <c r="H777" s="13" t="s">
        <v>248</v>
      </c>
      <c r="J777" s="13" t="s">
        <v>256</v>
      </c>
      <c r="K777" s="13" t="s">
        <v>430</v>
      </c>
      <c r="L777" s="13" t="s">
        <v>700</v>
      </c>
      <c r="M777" s="66" t="s">
        <v>258</v>
      </c>
      <c r="N777" s="66" t="s">
        <v>379</v>
      </c>
      <c r="O777" s="66" t="s">
        <v>399</v>
      </c>
      <c r="P777" s="0" t="s">
        <v>1837</v>
      </c>
      <c r="Q777" s="66" t="s">
        <v>995</v>
      </c>
    </row>
    <row r="778" customFormat="false" ht="14.25" hidden="false" customHeight="false" outlineLevel="0" collapsed="false">
      <c r="A778" s="13" t="s">
        <v>580</v>
      </c>
      <c r="B778" s="13" t="s">
        <v>580</v>
      </c>
      <c r="C778" s="13" t="s">
        <v>396</v>
      </c>
      <c r="D778" s="61" t="n">
        <v>45971.2638888889</v>
      </c>
      <c r="E778" s="61" t="n">
        <v>45971.2638888889</v>
      </c>
      <c r="F778" s="61" t="n">
        <v>45971.3229166667</v>
      </c>
      <c r="G778" s="62" t="n">
        <v>0.0590277777737356</v>
      </c>
      <c r="H778" s="13" t="s">
        <v>248</v>
      </c>
      <c r="J778" s="13" t="s">
        <v>256</v>
      </c>
      <c r="K778" s="13" t="s">
        <v>430</v>
      </c>
      <c r="L778" s="13" t="s">
        <v>700</v>
      </c>
      <c r="M778" s="66" t="s">
        <v>258</v>
      </c>
      <c r="N778" s="66" t="s">
        <v>379</v>
      </c>
      <c r="O778" s="66" t="s">
        <v>399</v>
      </c>
      <c r="P778" s="0" t="s">
        <v>1838</v>
      </c>
      <c r="Q778" s="66" t="s">
        <v>995</v>
      </c>
    </row>
    <row r="779" customFormat="false" ht="14.25" hidden="false" customHeight="false" outlineLevel="0" collapsed="false">
      <c r="A779" s="13" t="s">
        <v>580</v>
      </c>
      <c r="B779" s="13" t="s">
        <v>580</v>
      </c>
      <c r="C779" s="13" t="s">
        <v>397</v>
      </c>
      <c r="D779" s="61" t="n">
        <v>45971.2638888889</v>
      </c>
      <c r="E779" s="61" t="n">
        <v>45971.2638888889</v>
      </c>
      <c r="F779" s="61" t="n">
        <v>45971.3229166667</v>
      </c>
      <c r="G779" s="62" t="n">
        <v>0.0590277777737356</v>
      </c>
      <c r="H779" s="13" t="s">
        <v>248</v>
      </c>
      <c r="J779" s="13" t="s">
        <v>256</v>
      </c>
      <c r="K779" s="13" t="s">
        <v>430</v>
      </c>
      <c r="L779" s="13" t="s">
        <v>700</v>
      </c>
      <c r="M779" s="66" t="s">
        <v>258</v>
      </c>
      <c r="N779" s="66" t="s">
        <v>379</v>
      </c>
      <c r="O779" s="66" t="s">
        <v>399</v>
      </c>
      <c r="P779" s="0" t="s">
        <v>1839</v>
      </c>
      <c r="Q779" s="66" t="s">
        <v>995</v>
      </c>
    </row>
    <row r="780" customFormat="false" ht="14.25" hidden="false" customHeight="false" outlineLevel="0" collapsed="false">
      <c r="A780" s="13" t="s">
        <v>580</v>
      </c>
      <c r="B780" s="13" t="s">
        <v>580</v>
      </c>
      <c r="C780" s="13" t="s">
        <v>394</v>
      </c>
      <c r="D780" s="61" t="n">
        <v>45971.2638888889</v>
      </c>
      <c r="E780" s="61" t="n">
        <v>45971.2638888889</v>
      </c>
      <c r="F780" s="61" t="n">
        <v>45971.3229166667</v>
      </c>
      <c r="G780" s="62" t="n">
        <v>0.0590277777737356</v>
      </c>
      <c r="H780" s="13" t="s">
        <v>248</v>
      </c>
      <c r="J780" s="13" t="s">
        <v>256</v>
      </c>
      <c r="K780" s="13" t="s">
        <v>430</v>
      </c>
      <c r="L780" s="13" t="s">
        <v>700</v>
      </c>
      <c r="M780" s="66" t="s">
        <v>258</v>
      </c>
      <c r="N780" s="66" t="s">
        <v>379</v>
      </c>
      <c r="O780" s="66" t="s">
        <v>399</v>
      </c>
      <c r="P780" s="0" t="s">
        <v>1840</v>
      </c>
      <c r="Q780" s="66" t="s">
        <v>995</v>
      </c>
    </row>
    <row r="781" customFormat="false" ht="14.25" hidden="false" customHeight="false" outlineLevel="0" collapsed="false">
      <c r="A781" s="13" t="s">
        <v>580</v>
      </c>
      <c r="B781" s="13" t="s">
        <v>580</v>
      </c>
      <c r="C781" s="13" t="s">
        <v>395</v>
      </c>
      <c r="D781" s="61" t="n">
        <v>45971.2638888889</v>
      </c>
      <c r="E781" s="61" t="n">
        <v>45971.2638888889</v>
      </c>
      <c r="F781" s="61" t="n">
        <v>45971.3229166667</v>
      </c>
      <c r="G781" s="62" t="n">
        <v>0.0590277777737356</v>
      </c>
      <c r="H781" s="13" t="s">
        <v>248</v>
      </c>
      <c r="J781" s="13" t="s">
        <v>256</v>
      </c>
      <c r="K781" s="13" t="s">
        <v>430</v>
      </c>
      <c r="L781" s="13" t="s">
        <v>700</v>
      </c>
      <c r="M781" s="66" t="s">
        <v>258</v>
      </c>
      <c r="N781" s="66" t="s">
        <v>379</v>
      </c>
      <c r="O781" s="66" t="s">
        <v>399</v>
      </c>
      <c r="P781" s="0" t="s">
        <v>1841</v>
      </c>
      <c r="Q781" s="66" t="s">
        <v>995</v>
      </c>
    </row>
    <row r="782" customFormat="false" ht="14.25" hidden="false" customHeight="false" outlineLevel="0" collapsed="false">
      <c r="A782" s="13" t="s">
        <v>580</v>
      </c>
      <c r="B782" s="13" t="s">
        <v>580</v>
      </c>
      <c r="C782" s="13" t="s">
        <v>391</v>
      </c>
      <c r="D782" s="61" t="n">
        <v>45971.2638888889</v>
      </c>
      <c r="E782" s="61" t="n">
        <v>45971.2638888889</v>
      </c>
      <c r="F782" s="61" t="n">
        <v>45971.3229166667</v>
      </c>
      <c r="G782" s="62" t="n">
        <v>0.0590277777737356</v>
      </c>
      <c r="H782" s="13" t="s">
        <v>248</v>
      </c>
      <c r="J782" s="13" t="s">
        <v>256</v>
      </c>
      <c r="K782" s="13" t="s">
        <v>430</v>
      </c>
      <c r="L782" s="13" t="s">
        <v>700</v>
      </c>
      <c r="M782" s="66" t="s">
        <v>258</v>
      </c>
      <c r="N782" s="66" t="s">
        <v>379</v>
      </c>
      <c r="O782" s="66" t="s">
        <v>399</v>
      </c>
      <c r="P782" s="0" t="s">
        <v>1842</v>
      </c>
      <c r="Q782" s="66" t="s">
        <v>995</v>
      </c>
    </row>
    <row r="783" customFormat="false" ht="14.25" hidden="false" customHeight="false" outlineLevel="0" collapsed="false">
      <c r="A783" s="13" t="s">
        <v>579</v>
      </c>
      <c r="B783" s="13" t="s">
        <v>579</v>
      </c>
      <c r="C783" s="13" t="s">
        <v>397</v>
      </c>
      <c r="D783" s="61" t="n">
        <v>45972.25</v>
      </c>
      <c r="E783" s="61" t="n">
        <v>45972.25</v>
      </c>
      <c r="F783" s="61" t="n">
        <v>45974.6388888889</v>
      </c>
      <c r="G783" s="62" t="n">
        <v>2.38888888889051</v>
      </c>
      <c r="H783" s="13" t="s">
        <v>445</v>
      </c>
      <c r="I783" s="13" t="s">
        <v>263</v>
      </c>
      <c r="J783" s="13" t="s">
        <v>264</v>
      </c>
      <c r="K783" s="13" t="s">
        <v>456</v>
      </c>
      <c r="L783" s="13" t="s">
        <v>1843</v>
      </c>
      <c r="M783" s="66" t="s">
        <v>266</v>
      </c>
      <c r="N783" s="66" t="s">
        <v>252</v>
      </c>
      <c r="O783" s="66" t="s">
        <v>1844</v>
      </c>
      <c r="P783" s="0" t="s">
        <v>1845</v>
      </c>
      <c r="Q783" s="66" t="s">
        <v>1430</v>
      </c>
    </row>
    <row r="784" customFormat="false" ht="14.25" hidden="false" customHeight="false" outlineLevel="0" collapsed="false">
      <c r="A784" s="13" t="s">
        <v>579</v>
      </c>
      <c r="B784" s="13" t="s">
        <v>579</v>
      </c>
      <c r="C784" s="13" t="s">
        <v>394</v>
      </c>
      <c r="D784" s="61" t="n">
        <v>45972.25</v>
      </c>
      <c r="E784" s="61" t="n">
        <v>45972.25</v>
      </c>
      <c r="F784" s="61" t="n">
        <v>45974.6388888889</v>
      </c>
      <c r="G784" s="62" t="n">
        <v>2.38888888889051</v>
      </c>
      <c r="H784" s="13" t="s">
        <v>445</v>
      </c>
      <c r="I784" s="13" t="s">
        <v>263</v>
      </c>
      <c r="J784" s="13" t="s">
        <v>264</v>
      </c>
      <c r="K784" s="13" t="s">
        <v>456</v>
      </c>
      <c r="L784" s="13" t="s">
        <v>1843</v>
      </c>
      <c r="M784" s="66" t="s">
        <v>266</v>
      </c>
      <c r="N784" s="66" t="s">
        <v>252</v>
      </c>
      <c r="O784" s="66" t="s">
        <v>1844</v>
      </c>
      <c r="P784" s="0" t="s">
        <v>1846</v>
      </c>
      <c r="Q784" s="66" t="s">
        <v>1430</v>
      </c>
    </row>
    <row r="785" customFormat="false" ht="14.25" hidden="false" customHeight="false" outlineLevel="0" collapsed="false">
      <c r="A785" s="13" t="s">
        <v>579</v>
      </c>
      <c r="B785" s="13" t="s">
        <v>579</v>
      </c>
      <c r="C785" s="13" t="s">
        <v>395</v>
      </c>
      <c r="D785" s="61" t="n">
        <v>45972.25</v>
      </c>
      <c r="E785" s="61" t="n">
        <v>45972.25</v>
      </c>
      <c r="F785" s="61" t="n">
        <v>45974.6388888889</v>
      </c>
      <c r="G785" s="62" t="n">
        <v>2.38888888889051</v>
      </c>
      <c r="H785" s="13" t="s">
        <v>445</v>
      </c>
      <c r="I785" s="13" t="s">
        <v>263</v>
      </c>
      <c r="J785" s="13" t="s">
        <v>264</v>
      </c>
      <c r="K785" s="13" t="s">
        <v>456</v>
      </c>
      <c r="L785" s="13" t="s">
        <v>1843</v>
      </c>
      <c r="M785" s="66" t="s">
        <v>266</v>
      </c>
      <c r="N785" s="66" t="s">
        <v>252</v>
      </c>
      <c r="O785" s="66" t="s">
        <v>1844</v>
      </c>
      <c r="P785" s="0" t="s">
        <v>1847</v>
      </c>
      <c r="Q785" s="66" t="s">
        <v>1430</v>
      </c>
    </row>
    <row r="786" customFormat="false" ht="14.25" hidden="false" customHeight="false" outlineLevel="0" collapsed="false">
      <c r="A786" s="13" t="s">
        <v>579</v>
      </c>
      <c r="B786" s="13" t="s">
        <v>579</v>
      </c>
      <c r="C786" s="13" t="s">
        <v>396</v>
      </c>
      <c r="D786" s="61" t="n">
        <v>45972.25</v>
      </c>
      <c r="E786" s="61" t="n">
        <v>45972.25</v>
      </c>
      <c r="F786" s="61" t="n">
        <v>45974.6388888889</v>
      </c>
      <c r="G786" s="62" t="n">
        <v>2.38888888889051</v>
      </c>
      <c r="H786" s="13" t="s">
        <v>445</v>
      </c>
      <c r="I786" s="13" t="s">
        <v>263</v>
      </c>
      <c r="J786" s="13" t="s">
        <v>264</v>
      </c>
      <c r="K786" s="13" t="s">
        <v>456</v>
      </c>
      <c r="L786" s="13" t="s">
        <v>1843</v>
      </c>
      <c r="M786" s="66" t="s">
        <v>266</v>
      </c>
      <c r="N786" s="66" t="s">
        <v>252</v>
      </c>
      <c r="O786" s="66" t="s">
        <v>1844</v>
      </c>
      <c r="P786" s="0" t="s">
        <v>1848</v>
      </c>
      <c r="Q786" s="66" t="s">
        <v>1430</v>
      </c>
    </row>
    <row r="787" customFormat="false" ht="14.25" hidden="false" customHeight="false" outlineLevel="0" collapsed="false">
      <c r="A787" s="13" t="s">
        <v>579</v>
      </c>
      <c r="B787" s="13" t="s">
        <v>579</v>
      </c>
      <c r="C787" s="13" t="s">
        <v>391</v>
      </c>
      <c r="D787" s="61" t="n">
        <v>45972.25</v>
      </c>
      <c r="E787" s="61" t="n">
        <v>45972.25</v>
      </c>
      <c r="F787" s="61" t="n">
        <v>45974.6388888889</v>
      </c>
      <c r="G787" s="62" t="n">
        <v>2.38888888889051</v>
      </c>
      <c r="H787" s="13" t="s">
        <v>445</v>
      </c>
      <c r="I787" s="13" t="s">
        <v>263</v>
      </c>
      <c r="J787" s="13" t="s">
        <v>264</v>
      </c>
      <c r="K787" s="13" t="s">
        <v>456</v>
      </c>
      <c r="L787" s="13" t="s">
        <v>1843</v>
      </c>
      <c r="M787" s="66" t="s">
        <v>266</v>
      </c>
      <c r="N787" s="66" t="s">
        <v>252</v>
      </c>
      <c r="O787" s="66" t="s">
        <v>1844</v>
      </c>
      <c r="P787" s="0" t="s">
        <v>1849</v>
      </c>
      <c r="Q787" s="66" t="s">
        <v>1430</v>
      </c>
    </row>
    <row r="788" customFormat="false" ht="14.25" hidden="false" customHeight="false" outlineLevel="0" collapsed="false">
      <c r="A788" s="13" t="s">
        <v>698</v>
      </c>
      <c r="B788" s="13" t="s">
        <v>698</v>
      </c>
      <c r="C788" s="13" t="s">
        <v>247</v>
      </c>
      <c r="D788" s="61" t="n">
        <v>45972.2534722222</v>
      </c>
      <c r="E788" s="61" t="n">
        <v>45972.2534722222</v>
      </c>
      <c r="F788" s="61" t="n">
        <v>45972.3298611111</v>
      </c>
      <c r="G788" s="62" t="n">
        <v>0.0763888888905058</v>
      </c>
      <c r="H788" s="13" t="s">
        <v>248</v>
      </c>
      <c r="J788" s="13" t="s">
        <v>230</v>
      </c>
      <c r="K788" s="13" t="s">
        <v>230</v>
      </c>
      <c r="L788" s="13" t="s">
        <v>1850</v>
      </c>
      <c r="M788" s="66" t="s">
        <v>258</v>
      </c>
      <c r="N788" s="66" t="s">
        <v>379</v>
      </c>
      <c r="O788" s="66" t="s">
        <v>399</v>
      </c>
      <c r="P788" s="0" t="s">
        <v>1851</v>
      </c>
      <c r="Q788" s="66" t="s">
        <v>1722</v>
      </c>
    </row>
    <row r="789" customFormat="false" ht="14.25" hidden="false" customHeight="false" outlineLevel="0" collapsed="false">
      <c r="A789" s="13" t="s">
        <v>698</v>
      </c>
      <c r="B789" s="13" t="s">
        <v>698</v>
      </c>
      <c r="C789" s="13" t="s">
        <v>277</v>
      </c>
      <c r="D789" s="61" t="n">
        <v>45972.2534722222</v>
      </c>
      <c r="E789" s="61" t="n">
        <v>45972.2534722222</v>
      </c>
      <c r="F789" s="61" t="n">
        <v>45972.3298611111</v>
      </c>
      <c r="G789" s="62" t="n">
        <v>0.0763888888905058</v>
      </c>
      <c r="H789" s="13" t="s">
        <v>248</v>
      </c>
      <c r="J789" s="13" t="s">
        <v>230</v>
      </c>
      <c r="K789" s="13" t="s">
        <v>230</v>
      </c>
      <c r="L789" s="13" t="s">
        <v>1850</v>
      </c>
      <c r="M789" s="66" t="s">
        <v>258</v>
      </c>
      <c r="N789" s="66" t="s">
        <v>379</v>
      </c>
      <c r="O789" s="66" t="s">
        <v>399</v>
      </c>
      <c r="P789" s="0" t="s">
        <v>1852</v>
      </c>
      <c r="Q789" s="66" t="s">
        <v>1722</v>
      </c>
    </row>
    <row r="790" customFormat="false" ht="14.25" hidden="false" customHeight="false" outlineLevel="0" collapsed="false">
      <c r="A790" s="13" t="s">
        <v>698</v>
      </c>
      <c r="B790" s="13" t="s">
        <v>698</v>
      </c>
      <c r="C790" s="13" t="s">
        <v>279</v>
      </c>
      <c r="D790" s="61" t="n">
        <v>45972.2534722222</v>
      </c>
      <c r="E790" s="61" t="n">
        <v>45972.2534722222</v>
      </c>
      <c r="F790" s="61" t="n">
        <v>45972.3298611111</v>
      </c>
      <c r="G790" s="62" t="n">
        <v>0.0763888888905058</v>
      </c>
      <c r="H790" s="13" t="s">
        <v>248</v>
      </c>
      <c r="J790" s="13" t="s">
        <v>230</v>
      </c>
      <c r="K790" s="13" t="s">
        <v>230</v>
      </c>
      <c r="L790" s="13" t="s">
        <v>1850</v>
      </c>
      <c r="M790" s="66" t="s">
        <v>258</v>
      </c>
      <c r="N790" s="66" t="s">
        <v>379</v>
      </c>
      <c r="O790" s="66" t="s">
        <v>399</v>
      </c>
      <c r="P790" s="0" t="s">
        <v>1853</v>
      </c>
      <c r="Q790" s="66" t="s">
        <v>1722</v>
      </c>
    </row>
    <row r="791" customFormat="false" ht="14.25" hidden="false" customHeight="false" outlineLevel="0" collapsed="false">
      <c r="A791" s="13" t="s">
        <v>698</v>
      </c>
      <c r="B791" s="13" t="s">
        <v>698</v>
      </c>
      <c r="C791" s="13" t="s">
        <v>280</v>
      </c>
      <c r="D791" s="61" t="n">
        <v>45972.2534722222</v>
      </c>
      <c r="E791" s="61" t="n">
        <v>45972.2534722222</v>
      </c>
      <c r="F791" s="61" t="n">
        <v>45972.3298611111</v>
      </c>
      <c r="G791" s="62" t="n">
        <v>0.0763888888905058</v>
      </c>
      <c r="H791" s="13" t="s">
        <v>248</v>
      </c>
      <c r="J791" s="13" t="s">
        <v>230</v>
      </c>
      <c r="K791" s="13" t="s">
        <v>230</v>
      </c>
      <c r="L791" s="13" t="s">
        <v>1850</v>
      </c>
      <c r="M791" s="66" t="s">
        <v>258</v>
      </c>
      <c r="N791" s="66" t="s">
        <v>379</v>
      </c>
      <c r="O791" s="66" t="s">
        <v>399</v>
      </c>
      <c r="P791" s="0" t="s">
        <v>1854</v>
      </c>
      <c r="Q791" s="66" t="s">
        <v>1722</v>
      </c>
    </row>
    <row r="792" customFormat="false" ht="14.25" hidden="false" customHeight="false" outlineLevel="0" collapsed="false">
      <c r="A792" s="13" t="s">
        <v>878</v>
      </c>
      <c r="B792" s="13" t="s">
        <v>504</v>
      </c>
      <c r="C792" s="13" t="s">
        <v>1250</v>
      </c>
      <c r="D792" s="61" t="n">
        <v>45972.254537037</v>
      </c>
      <c r="E792" s="61" t="n">
        <v>45972.254537037</v>
      </c>
      <c r="F792" s="61" t="n">
        <v>45972.2614930556</v>
      </c>
      <c r="G792" s="62" t="n">
        <v>0.00695601852203254</v>
      </c>
      <c r="H792" s="13" t="s">
        <v>248</v>
      </c>
      <c r="J792" s="13" t="s">
        <v>249</v>
      </c>
      <c r="K792" s="13" t="s">
        <v>439</v>
      </c>
      <c r="L792" s="13" t="s">
        <v>1251</v>
      </c>
      <c r="M792" s="66" t="s">
        <v>251</v>
      </c>
      <c r="N792" s="66" t="s">
        <v>625</v>
      </c>
      <c r="P792" s="0" t="s">
        <v>1855</v>
      </c>
      <c r="Q792" s="66" t="s">
        <v>1253</v>
      </c>
    </row>
    <row r="793" customFormat="false" ht="14.25" hidden="false" customHeight="false" outlineLevel="0" collapsed="false">
      <c r="A793" s="13" t="s">
        <v>878</v>
      </c>
      <c r="B793" s="13" t="s">
        <v>504</v>
      </c>
      <c r="C793" s="13" t="s">
        <v>1334</v>
      </c>
      <c r="D793" s="61" t="n">
        <v>45972.2546527778</v>
      </c>
      <c r="E793" s="61" t="n">
        <v>45972.2546527778</v>
      </c>
      <c r="F793" s="61" t="n">
        <v>45972.2616782407</v>
      </c>
      <c r="G793" s="62" t="n">
        <v>0.00702546296088258</v>
      </c>
      <c r="H793" s="13" t="s">
        <v>248</v>
      </c>
      <c r="J793" s="13" t="s">
        <v>249</v>
      </c>
      <c r="K793" s="13" t="s">
        <v>439</v>
      </c>
      <c r="L793" s="13" t="s">
        <v>1251</v>
      </c>
      <c r="M793" s="66" t="s">
        <v>251</v>
      </c>
      <c r="N793" s="66" t="s">
        <v>625</v>
      </c>
      <c r="P793" s="0" t="s">
        <v>1856</v>
      </c>
      <c r="Q793" s="66" t="s">
        <v>1253</v>
      </c>
    </row>
    <row r="794" customFormat="false" ht="14.25" hidden="false" customHeight="false" outlineLevel="0" collapsed="false">
      <c r="A794" s="13" t="s">
        <v>878</v>
      </c>
      <c r="B794" s="13" t="s">
        <v>504</v>
      </c>
      <c r="C794" s="13" t="s">
        <v>1332</v>
      </c>
      <c r="D794" s="61" t="n">
        <v>45972.2546875</v>
      </c>
      <c r="E794" s="61" t="n">
        <v>45972.2546875</v>
      </c>
      <c r="F794" s="61" t="n">
        <v>45972.2617013889</v>
      </c>
      <c r="G794" s="62" t="n">
        <v>0.00701388889137888</v>
      </c>
      <c r="H794" s="13" t="s">
        <v>248</v>
      </c>
      <c r="J794" s="13" t="s">
        <v>249</v>
      </c>
      <c r="K794" s="13" t="s">
        <v>439</v>
      </c>
      <c r="L794" s="13" t="s">
        <v>1251</v>
      </c>
      <c r="M794" s="66" t="s">
        <v>251</v>
      </c>
      <c r="N794" s="66" t="s">
        <v>625</v>
      </c>
      <c r="P794" s="0" t="s">
        <v>1857</v>
      </c>
      <c r="Q794" s="66" t="s">
        <v>1253</v>
      </c>
    </row>
    <row r="795" customFormat="false" ht="14.25" hidden="false" customHeight="false" outlineLevel="0" collapsed="false">
      <c r="A795" s="13" t="s">
        <v>878</v>
      </c>
      <c r="B795" s="13" t="s">
        <v>504</v>
      </c>
      <c r="C795" s="13" t="s">
        <v>1563</v>
      </c>
      <c r="D795" s="61" t="n">
        <v>45972.2547685185</v>
      </c>
      <c r="E795" s="61" t="n">
        <v>45972.2547685185</v>
      </c>
      <c r="F795" s="61" t="n">
        <v>45972.261712963</v>
      </c>
      <c r="G795" s="62" t="n">
        <v>0.00694444444525288</v>
      </c>
      <c r="H795" s="13" t="s">
        <v>248</v>
      </c>
      <c r="J795" s="13" t="s">
        <v>249</v>
      </c>
      <c r="K795" s="13" t="s">
        <v>439</v>
      </c>
      <c r="L795" s="13" t="s">
        <v>1251</v>
      </c>
      <c r="M795" s="66" t="s">
        <v>251</v>
      </c>
      <c r="N795" s="66" t="s">
        <v>625</v>
      </c>
      <c r="P795" s="0" t="s">
        <v>1858</v>
      </c>
      <c r="Q795" s="66" t="s">
        <v>1253</v>
      </c>
    </row>
    <row r="796" customFormat="false" ht="14.25" hidden="false" customHeight="false" outlineLevel="0" collapsed="false">
      <c r="A796" s="13" t="s">
        <v>878</v>
      </c>
      <c r="B796" s="13" t="s">
        <v>504</v>
      </c>
      <c r="C796" s="13" t="s">
        <v>1565</v>
      </c>
      <c r="D796" s="61" t="n">
        <v>45972.254837963</v>
      </c>
      <c r="E796" s="61" t="n">
        <v>45972.254837963</v>
      </c>
      <c r="F796" s="61" t="n">
        <v>45972.261875</v>
      </c>
      <c r="G796" s="62" t="n">
        <v>0.00703703703038627</v>
      </c>
      <c r="H796" s="13" t="s">
        <v>248</v>
      </c>
      <c r="J796" s="13" t="s">
        <v>249</v>
      </c>
      <c r="K796" s="13" t="s">
        <v>439</v>
      </c>
      <c r="L796" s="13" t="s">
        <v>1251</v>
      </c>
      <c r="M796" s="66" t="s">
        <v>251</v>
      </c>
      <c r="N796" s="66" t="s">
        <v>625</v>
      </c>
      <c r="P796" s="0" t="s">
        <v>1859</v>
      </c>
      <c r="Q796" s="66" t="s">
        <v>1253</v>
      </c>
    </row>
    <row r="797" customFormat="false" ht="14.25" hidden="false" customHeight="false" outlineLevel="0" collapsed="false">
      <c r="A797" s="13" t="s">
        <v>805</v>
      </c>
      <c r="B797" s="13" t="s">
        <v>581</v>
      </c>
      <c r="C797" s="13" t="s">
        <v>598</v>
      </c>
      <c r="D797" s="61" t="n">
        <v>45972.3055555556</v>
      </c>
      <c r="E797" s="61" t="n">
        <v>45972.3055555556</v>
      </c>
      <c r="F797" s="61" t="n">
        <v>45972.70625</v>
      </c>
      <c r="G797" s="62" t="n">
        <v>0.400694444448163</v>
      </c>
      <c r="H797" s="13" t="s">
        <v>313</v>
      </c>
      <c r="J797" s="13" t="s">
        <v>230</v>
      </c>
      <c r="K797" s="13" t="s">
        <v>230</v>
      </c>
      <c r="L797" s="13" t="s">
        <v>1860</v>
      </c>
      <c r="M797" s="66" t="s">
        <v>288</v>
      </c>
      <c r="N797" s="66" t="s">
        <v>315</v>
      </c>
      <c r="O797" s="66" t="s">
        <v>1861</v>
      </c>
      <c r="P797" s="0" t="s">
        <v>1862</v>
      </c>
      <c r="Q797" s="66" t="s">
        <v>1393</v>
      </c>
    </row>
    <row r="798" customFormat="false" ht="14.25" hidden="false" customHeight="false" outlineLevel="0" collapsed="false">
      <c r="A798" s="13" t="s">
        <v>807</v>
      </c>
      <c r="B798" s="13" t="s">
        <v>581</v>
      </c>
      <c r="C798" s="13" t="s">
        <v>591</v>
      </c>
      <c r="D798" s="61" t="n">
        <v>45972.3055555556</v>
      </c>
      <c r="E798" s="61" t="n">
        <v>45972.3055555556</v>
      </c>
      <c r="F798" s="61" t="n">
        <v>45972.70625</v>
      </c>
      <c r="G798" s="62" t="n">
        <v>0.400694444448163</v>
      </c>
      <c r="H798" s="13" t="s">
        <v>313</v>
      </c>
      <c r="J798" s="13" t="s">
        <v>230</v>
      </c>
      <c r="K798" s="13" t="s">
        <v>230</v>
      </c>
      <c r="L798" s="13" t="s">
        <v>1860</v>
      </c>
      <c r="M798" s="66" t="s">
        <v>288</v>
      </c>
      <c r="N798" s="66" t="s">
        <v>315</v>
      </c>
      <c r="O798" s="66" t="s">
        <v>1861</v>
      </c>
      <c r="P798" s="0" t="s">
        <v>1863</v>
      </c>
      <c r="Q798" s="66" t="s">
        <v>1393</v>
      </c>
    </row>
    <row r="799" customFormat="false" ht="14.25" hidden="false" customHeight="false" outlineLevel="0" collapsed="false">
      <c r="A799" s="13" t="s">
        <v>807</v>
      </c>
      <c r="B799" s="13" t="s">
        <v>581</v>
      </c>
      <c r="C799" s="13" t="s">
        <v>588</v>
      </c>
      <c r="D799" s="61" t="n">
        <v>45972.3055555556</v>
      </c>
      <c r="E799" s="61" t="n">
        <v>45972.3055555556</v>
      </c>
      <c r="F799" s="61" t="n">
        <v>45972.70625</v>
      </c>
      <c r="G799" s="62" t="n">
        <v>0.400694444448163</v>
      </c>
      <c r="H799" s="13" t="s">
        <v>313</v>
      </c>
      <c r="J799" s="13" t="s">
        <v>230</v>
      </c>
      <c r="K799" s="13" t="s">
        <v>230</v>
      </c>
      <c r="L799" s="13" t="s">
        <v>1860</v>
      </c>
      <c r="M799" s="66" t="s">
        <v>288</v>
      </c>
      <c r="N799" s="66" t="s">
        <v>315</v>
      </c>
      <c r="O799" s="66" t="s">
        <v>1861</v>
      </c>
      <c r="P799" s="0" t="s">
        <v>1864</v>
      </c>
      <c r="Q799" s="66" t="s">
        <v>1393</v>
      </c>
    </row>
    <row r="800" customFormat="false" ht="14.25" hidden="false" customHeight="false" outlineLevel="0" collapsed="false">
      <c r="A800" s="13" t="s">
        <v>807</v>
      </c>
      <c r="B800" s="13" t="s">
        <v>581</v>
      </c>
      <c r="C800" s="13" t="s">
        <v>585</v>
      </c>
      <c r="D800" s="61" t="n">
        <v>45972.3055555556</v>
      </c>
      <c r="E800" s="61" t="n">
        <v>45972.3055555556</v>
      </c>
      <c r="F800" s="61" t="n">
        <v>45972.70625</v>
      </c>
      <c r="G800" s="62" t="n">
        <v>0.400694444448163</v>
      </c>
      <c r="H800" s="13" t="s">
        <v>313</v>
      </c>
      <c r="J800" s="13" t="s">
        <v>230</v>
      </c>
      <c r="K800" s="13" t="s">
        <v>230</v>
      </c>
      <c r="L800" s="13" t="s">
        <v>1860</v>
      </c>
      <c r="M800" s="66" t="s">
        <v>288</v>
      </c>
      <c r="N800" s="66" t="s">
        <v>315</v>
      </c>
      <c r="O800" s="66" t="s">
        <v>1861</v>
      </c>
      <c r="P800" s="0" t="s">
        <v>1865</v>
      </c>
      <c r="Q800" s="66" t="s">
        <v>1393</v>
      </c>
    </row>
    <row r="801" customFormat="false" ht="14.25" hidden="false" customHeight="false" outlineLevel="0" collapsed="false">
      <c r="A801" s="13" t="s">
        <v>807</v>
      </c>
      <c r="B801" s="13" t="s">
        <v>581</v>
      </c>
      <c r="C801" s="13" t="s">
        <v>589</v>
      </c>
      <c r="D801" s="61" t="n">
        <v>45972.3055555556</v>
      </c>
      <c r="E801" s="61" t="n">
        <v>45972.3055555556</v>
      </c>
      <c r="F801" s="61" t="n">
        <v>45972.70625</v>
      </c>
      <c r="G801" s="62" t="n">
        <v>0.400694444448163</v>
      </c>
      <c r="H801" s="13" t="s">
        <v>313</v>
      </c>
      <c r="J801" s="13" t="s">
        <v>230</v>
      </c>
      <c r="K801" s="13" t="s">
        <v>230</v>
      </c>
      <c r="L801" s="13" t="s">
        <v>1860</v>
      </c>
      <c r="M801" s="66" t="s">
        <v>288</v>
      </c>
      <c r="N801" s="66" t="s">
        <v>315</v>
      </c>
      <c r="O801" s="66" t="s">
        <v>1861</v>
      </c>
      <c r="P801" s="0" t="s">
        <v>1866</v>
      </c>
      <c r="Q801" s="66" t="s">
        <v>1393</v>
      </c>
    </row>
    <row r="802" customFormat="false" ht="14.25" hidden="false" customHeight="false" outlineLevel="0" collapsed="false">
      <c r="A802" s="13" t="s">
        <v>807</v>
      </c>
      <c r="B802" s="13" t="s">
        <v>581</v>
      </c>
      <c r="C802" s="13" t="s">
        <v>587</v>
      </c>
      <c r="D802" s="61" t="n">
        <v>45972.3055555556</v>
      </c>
      <c r="E802" s="61" t="n">
        <v>45972.3055555556</v>
      </c>
      <c r="F802" s="61" t="n">
        <v>45972.70625</v>
      </c>
      <c r="G802" s="62" t="n">
        <v>0.400694444448163</v>
      </c>
      <c r="H802" s="13" t="s">
        <v>313</v>
      </c>
      <c r="J802" s="13" t="s">
        <v>230</v>
      </c>
      <c r="K802" s="13" t="s">
        <v>230</v>
      </c>
      <c r="L802" s="13" t="s">
        <v>1860</v>
      </c>
      <c r="M802" s="66" t="s">
        <v>288</v>
      </c>
      <c r="N802" s="66" t="s">
        <v>315</v>
      </c>
      <c r="O802" s="66" t="s">
        <v>1861</v>
      </c>
      <c r="P802" s="0" t="s">
        <v>1867</v>
      </c>
      <c r="Q802" s="66" t="s">
        <v>1393</v>
      </c>
    </row>
    <row r="803" customFormat="false" ht="14.25" hidden="false" customHeight="false" outlineLevel="0" collapsed="false">
      <c r="A803" s="13" t="s">
        <v>807</v>
      </c>
      <c r="B803" s="13" t="s">
        <v>581</v>
      </c>
      <c r="C803" s="13" t="s">
        <v>1007</v>
      </c>
      <c r="D803" s="61" t="n">
        <v>45972.3055555556</v>
      </c>
      <c r="E803" s="61" t="n">
        <v>45972.3055555556</v>
      </c>
      <c r="F803" s="61" t="n">
        <v>45972.70625</v>
      </c>
      <c r="G803" s="62" t="n">
        <v>0.400694444448163</v>
      </c>
      <c r="H803" s="13" t="s">
        <v>313</v>
      </c>
      <c r="J803" s="13" t="s">
        <v>230</v>
      </c>
      <c r="K803" s="13" t="s">
        <v>230</v>
      </c>
      <c r="L803" s="13" t="s">
        <v>1860</v>
      </c>
      <c r="M803" s="66" t="s">
        <v>288</v>
      </c>
      <c r="N803" s="66" t="s">
        <v>315</v>
      </c>
      <c r="O803" s="66" t="s">
        <v>1861</v>
      </c>
      <c r="P803" s="0" t="s">
        <v>1868</v>
      </c>
      <c r="Q803" s="66" t="s">
        <v>1393</v>
      </c>
    </row>
    <row r="804" customFormat="false" ht="14.25" hidden="false" customHeight="false" outlineLevel="0" collapsed="false">
      <c r="A804" s="13" t="s">
        <v>1155</v>
      </c>
      <c r="B804" s="13" t="s">
        <v>643</v>
      </c>
      <c r="C804" s="13" t="s">
        <v>644</v>
      </c>
      <c r="D804" s="61" t="n">
        <v>45972.4708333333</v>
      </c>
      <c r="E804" s="61" t="n">
        <v>45972.4708333333</v>
      </c>
      <c r="F804" s="61" t="n">
        <v>45972.6909722222</v>
      </c>
      <c r="G804" s="62" t="n">
        <v>0.22013888888614</v>
      </c>
      <c r="H804" s="13" t="s">
        <v>445</v>
      </c>
      <c r="I804" s="13" t="s">
        <v>263</v>
      </c>
      <c r="J804" s="13" t="s">
        <v>264</v>
      </c>
      <c r="K804" s="13" t="s">
        <v>456</v>
      </c>
      <c r="L804" s="13" t="s">
        <v>1869</v>
      </c>
      <c r="M804" s="66" t="s">
        <v>266</v>
      </c>
      <c r="N804" s="66" t="s">
        <v>252</v>
      </c>
      <c r="O804" s="66" t="s">
        <v>1870</v>
      </c>
      <c r="P804" s="0" t="s">
        <v>1871</v>
      </c>
      <c r="Q804" s="66" t="s">
        <v>1430</v>
      </c>
    </row>
    <row r="805" customFormat="false" ht="14.25" hidden="false" customHeight="false" outlineLevel="0" collapsed="false">
      <c r="A805" s="13" t="s">
        <v>1155</v>
      </c>
      <c r="B805" s="13" t="s">
        <v>643</v>
      </c>
      <c r="C805" s="13" t="s">
        <v>647</v>
      </c>
      <c r="D805" s="61" t="n">
        <v>45972.4708333333</v>
      </c>
      <c r="E805" s="61" t="n">
        <v>45972.4708333333</v>
      </c>
      <c r="F805" s="61" t="n">
        <v>45972.6909722222</v>
      </c>
      <c r="G805" s="62" t="n">
        <v>0.22013888888614</v>
      </c>
      <c r="H805" s="13" t="s">
        <v>445</v>
      </c>
      <c r="I805" s="13" t="s">
        <v>263</v>
      </c>
      <c r="J805" s="13" t="s">
        <v>264</v>
      </c>
      <c r="K805" s="13" t="s">
        <v>456</v>
      </c>
      <c r="L805" s="13" t="s">
        <v>1869</v>
      </c>
      <c r="M805" s="66" t="s">
        <v>266</v>
      </c>
      <c r="N805" s="66" t="s">
        <v>252</v>
      </c>
      <c r="O805" s="66" t="s">
        <v>1870</v>
      </c>
      <c r="P805" s="0" t="s">
        <v>1872</v>
      </c>
      <c r="Q805" s="66" t="s">
        <v>1430</v>
      </c>
    </row>
    <row r="806" customFormat="false" ht="14.25" hidden="false" customHeight="false" outlineLevel="0" collapsed="false">
      <c r="A806" s="13" t="s">
        <v>1155</v>
      </c>
      <c r="B806" s="13" t="s">
        <v>643</v>
      </c>
      <c r="C806" s="13" t="s">
        <v>648</v>
      </c>
      <c r="D806" s="61" t="n">
        <v>45972.4708333333</v>
      </c>
      <c r="E806" s="61" t="n">
        <v>45972.4708333333</v>
      </c>
      <c r="F806" s="61" t="n">
        <v>45972.6909722222</v>
      </c>
      <c r="G806" s="62" t="n">
        <v>0.22013888888614</v>
      </c>
      <c r="H806" s="13" t="s">
        <v>445</v>
      </c>
      <c r="I806" s="13" t="s">
        <v>263</v>
      </c>
      <c r="J806" s="13" t="s">
        <v>264</v>
      </c>
      <c r="K806" s="13" t="s">
        <v>456</v>
      </c>
      <c r="L806" s="13" t="s">
        <v>1869</v>
      </c>
      <c r="M806" s="66" t="s">
        <v>266</v>
      </c>
      <c r="N806" s="66" t="s">
        <v>252</v>
      </c>
      <c r="O806" s="66" t="s">
        <v>1870</v>
      </c>
      <c r="P806" s="0" t="s">
        <v>1873</v>
      </c>
      <c r="Q806" s="66" t="s">
        <v>1430</v>
      </c>
    </row>
    <row r="807" customFormat="false" ht="14.25" hidden="false" customHeight="false" outlineLevel="0" collapsed="false">
      <c r="A807" s="13" t="s">
        <v>1155</v>
      </c>
      <c r="B807" s="13" t="s">
        <v>643</v>
      </c>
      <c r="C807" s="13" t="s">
        <v>649</v>
      </c>
      <c r="D807" s="61" t="n">
        <v>45972.4708333333</v>
      </c>
      <c r="E807" s="61" t="n">
        <v>45972.4708333333</v>
      </c>
      <c r="F807" s="61" t="n">
        <v>45972.6909722222</v>
      </c>
      <c r="G807" s="62" t="n">
        <v>0.22013888888614</v>
      </c>
      <c r="H807" s="13" t="s">
        <v>445</v>
      </c>
      <c r="I807" s="13" t="s">
        <v>263</v>
      </c>
      <c r="J807" s="13" t="s">
        <v>264</v>
      </c>
      <c r="K807" s="13" t="s">
        <v>456</v>
      </c>
      <c r="L807" s="13" t="s">
        <v>1869</v>
      </c>
      <c r="M807" s="66" t="s">
        <v>266</v>
      </c>
      <c r="N807" s="66" t="s">
        <v>252</v>
      </c>
      <c r="O807" s="66" t="s">
        <v>1870</v>
      </c>
      <c r="P807" s="0" t="s">
        <v>1874</v>
      </c>
      <c r="Q807" s="66" t="s">
        <v>1430</v>
      </c>
    </row>
    <row r="808" customFormat="false" ht="14.25" hidden="false" customHeight="false" outlineLevel="0" collapsed="false">
      <c r="A808" s="13" t="s">
        <v>805</v>
      </c>
      <c r="B808" s="13" t="s">
        <v>581</v>
      </c>
      <c r="C808" s="13" t="s">
        <v>598</v>
      </c>
      <c r="D808" s="61" t="n">
        <v>45972.6118055556</v>
      </c>
      <c r="E808" s="61" t="n">
        <v>45972.6118055556</v>
      </c>
      <c r="F808" s="61" t="n">
        <v>45973.2465277778</v>
      </c>
      <c r="G808" s="62" t="n">
        <v>0.634722222224809</v>
      </c>
      <c r="H808" s="13" t="s">
        <v>445</v>
      </c>
      <c r="I808" s="13" t="s">
        <v>263</v>
      </c>
      <c r="J808" s="13" t="s">
        <v>264</v>
      </c>
      <c r="K808" s="13" t="s">
        <v>456</v>
      </c>
      <c r="L808" s="13" t="s">
        <v>1875</v>
      </c>
      <c r="M808" s="66" t="s">
        <v>266</v>
      </c>
      <c r="N808" s="66" t="s">
        <v>1876</v>
      </c>
      <c r="O808" s="66" t="s">
        <v>1877</v>
      </c>
      <c r="P808" s="0" t="s">
        <v>1878</v>
      </c>
      <c r="Q808" s="66" t="s">
        <v>1430</v>
      </c>
    </row>
    <row r="809" customFormat="false" ht="14.25" hidden="false" customHeight="false" outlineLevel="0" collapsed="false">
      <c r="A809" s="13" t="s">
        <v>807</v>
      </c>
      <c r="B809" s="13" t="s">
        <v>581</v>
      </c>
      <c r="C809" s="13" t="s">
        <v>591</v>
      </c>
      <c r="D809" s="61" t="n">
        <v>45972.6118055556</v>
      </c>
      <c r="E809" s="61" t="n">
        <v>45972.6118055556</v>
      </c>
      <c r="F809" s="61" t="n">
        <v>45973.2465277778</v>
      </c>
      <c r="G809" s="62" t="n">
        <v>0.634722222224809</v>
      </c>
      <c r="H809" s="13" t="s">
        <v>445</v>
      </c>
      <c r="I809" s="13" t="s">
        <v>263</v>
      </c>
      <c r="J809" s="13" t="s">
        <v>264</v>
      </c>
      <c r="K809" s="13" t="s">
        <v>456</v>
      </c>
      <c r="L809" s="13" t="s">
        <v>1875</v>
      </c>
      <c r="M809" s="66" t="s">
        <v>266</v>
      </c>
      <c r="N809" s="66" t="s">
        <v>1876</v>
      </c>
      <c r="O809" s="66" t="s">
        <v>1877</v>
      </c>
      <c r="P809" s="0" t="s">
        <v>1879</v>
      </c>
      <c r="Q809" s="66" t="s">
        <v>1430</v>
      </c>
    </row>
    <row r="810" customFormat="false" ht="14.25" hidden="false" customHeight="false" outlineLevel="0" collapsed="false">
      <c r="A810" s="13" t="s">
        <v>807</v>
      </c>
      <c r="B810" s="13" t="s">
        <v>581</v>
      </c>
      <c r="C810" s="13" t="s">
        <v>588</v>
      </c>
      <c r="D810" s="61" t="n">
        <v>45972.6118055556</v>
      </c>
      <c r="E810" s="61" t="n">
        <v>45972.6118055556</v>
      </c>
      <c r="F810" s="61" t="n">
        <v>45973.2465277778</v>
      </c>
      <c r="G810" s="62" t="n">
        <v>0.634722222224809</v>
      </c>
      <c r="H810" s="13" t="s">
        <v>445</v>
      </c>
      <c r="I810" s="13" t="s">
        <v>263</v>
      </c>
      <c r="J810" s="13" t="s">
        <v>264</v>
      </c>
      <c r="K810" s="13" t="s">
        <v>456</v>
      </c>
      <c r="L810" s="13" t="s">
        <v>1875</v>
      </c>
      <c r="M810" s="66" t="s">
        <v>266</v>
      </c>
      <c r="N810" s="66" t="s">
        <v>1876</v>
      </c>
      <c r="O810" s="66" t="s">
        <v>1877</v>
      </c>
      <c r="P810" s="0" t="s">
        <v>1880</v>
      </c>
      <c r="Q810" s="66" t="s">
        <v>1430</v>
      </c>
    </row>
    <row r="811" customFormat="false" ht="14.25" hidden="false" customHeight="false" outlineLevel="0" collapsed="false">
      <c r="A811" s="13" t="s">
        <v>807</v>
      </c>
      <c r="B811" s="13" t="s">
        <v>581</v>
      </c>
      <c r="C811" s="13" t="s">
        <v>585</v>
      </c>
      <c r="D811" s="61" t="n">
        <v>45972.6118055556</v>
      </c>
      <c r="E811" s="61" t="n">
        <v>45972.6118055556</v>
      </c>
      <c r="F811" s="61" t="n">
        <v>45973.2465277778</v>
      </c>
      <c r="G811" s="62" t="n">
        <v>0.634722222224809</v>
      </c>
      <c r="H811" s="13" t="s">
        <v>445</v>
      </c>
      <c r="I811" s="13" t="s">
        <v>263</v>
      </c>
      <c r="J811" s="13" t="s">
        <v>264</v>
      </c>
      <c r="K811" s="13" t="s">
        <v>456</v>
      </c>
      <c r="L811" s="13" t="s">
        <v>1875</v>
      </c>
      <c r="M811" s="66" t="s">
        <v>266</v>
      </c>
      <c r="N811" s="66" t="s">
        <v>1876</v>
      </c>
      <c r="O811" s="66" t="s">
        <v>1877</v>
      </c>
      <c r="P811" s="0" t="s">
        <v>1881</v>
      </c>
      <c r="Q811" s="66" t="s">
        <v>1430</v>
      </c>
    </row>
    <row r="812" customFormat="false" ht="14.25" hidden="false" customHeight="false" outlineLevel="0" collapsed="false">
      <c r="A812" s="13" t="s">
        <v>807</v>
      </c>
      <c r="B812" s="13" t="s">
        <v>581</v>
      </c>
      <c r="C812" s="13" t="s">
        <v>589</v>
      </c>
      <c r="D812" s="61" t="n">
        <v>45972.6118055556</v>
      </c>
      <c r="E812" s="61" t="n">
        <v>45972.6118055556</v>
      </c>
      <c r="F812" s="61" t="n">
        <v>45973.2465277778</v>
      </c>
      <c r="G812" s="62" t="n">
        <v>0.634722222224809</v>
      </c>
      <c r="H812" s="13" t="s">
        <v>445</v>
      </c>
      <c r="I812" s="13" t="s">
        <v>263</v>
      </c>
      <c r="J812" s="13" t="s">
        <v>264</v>
      </c>
      <c r="K812" s="13" t="s">
        <v>456</v>
      </c>
      <c r="L812" s="13" t="s">
        <v>1875</v>
      </c>
      <c r="M812" s="66" t="s">
        <v>266</v>
      </c>
      <c r="N812" s="66" t="s">
        <v>1876</v>
      </c>
      <c r="O812" s="66" t="s">
        <v>1877</v>
      </c>
      <c r="P812" s="0" t="s">
        <v>1882</v>
      </c>
      <c r="Q812" s="66" t="s">
        <v>1430</v>
      </c>
    </row>
    <row r="813" customFormat="false" ht="14.25" hidden="false" customHeight="false" outlineLevel="0" collapsed="false">
      <c r="A813" s="13" t="s">
        <v>807</v>
      </c>
      <c r="B813" s="13" t="s">
        <v>581</v>
      </c>
      <c r="C813" s="13" t="s">
        <v>587</v>
      </c>
      <c r="D813" s="61" t="n">
        <v>45972.6118055556</v>
      </c>
      <c r="E813" s="61" t="n">
        <v>45972.6118055556</v>
      </c>
      <c r="F813" s="61" t="n">
        <v>45973.2465277778</v>
      </c>
      <c r="G813" s="62" t="n">
        <v>0.634722222224809</v>
      </c>
      <c r="H813" s="13" t="s">
        <v>445</v>
      </c>
      <c r="I813" s="13" t="s">
        <v>263</v>
      </c>
      <c r="J813" s="13" t="s">
        <v>264</v>
      </c>
      <c r="K813" s="13" t="s">
        <v>456</v>
      </c>
      <c r="L813" s="13" t="s">
        <v>1875</v>
      </c>
      <c r="M813" s="66" t="s">
        <v>266</v>
      </c>
      <c r="N813" s="66" t="s">
        <v>1876</v>
      </c>
      <c r="O813" s="66" t="s">
        <v>1877</v>
      </c>
      <c r="P813" s="0" t="s">
        <v>1883</v>
      </c>
      <c r="Q813" s="66" t="s">
        <v>1430</v>
      </c>
    </row>
    <row r="814" customFormat="false" ht="14.25" hidden="false" customHeight="false" outlineLevel="0" collapsed="false">
      <c r="A814" s="13" t="s">
        <v>807</v>
      </c>
      <c r="B814" s="13" t="s">
        <v>581</v>
      </c>
      <c r="C814" s="13" t="s">
        <v>1007</v>
      </c>
      <c r="D814" s="61" t="n">
        <v>45972.6118055556</v>
      </c>
      <c r="E814" s="61" t="n">
        <v>45972.6118055556</v>
      </c>
      <c r="F814" s="61" t="n">
        <v>45973.2465277778</v>
      </c>
      <c r="G814" s="62" t="n">
        <v>0.634722222224809</v>
      </c>
      <c r="H814" s="13" t="s">
        <v>445</v>
      </c>
      <c r="I814" s="13" t="s">
        <v>263</v>
      </c>
      <c r="J814" s="13" t="s">
        <v>264</v>
      </c>
      <c r="K814" s="13" t="s">
        <v>456</v>
      </c>
      <c r="L814" s="13" t="s">
        <v>1875</v>
      </c>
      <c r="M814" s="66" t="s">
        <v>266</v>
      </c>
      <c r="N814" s="66" t="s">
        <v>1876</v>
      </c>
      <c r="O814" s="66" t="s">
        <v>1877</v>
      </c>
      <c r="P814" s="0" t="s">
        <v>1884</v>
      </c>
      <c r="Q814" s="66" t="s">
        <v>1430</v>
      </c>
    </row>
    <row r="815" customFormat="false" ht="14.25" hidden="false" customHeight="false" outlineLevel="0" collapsed="false">
      <c r="A815" s="13" t="s">
        <v>816</v>
      </c>
      <c r="B815" s="13" t="s">
        <v>581</v>
      </c>
      <c r="C815" s="13" t="s">
        <v>586</v>
      </c>
      <c r="D815" s="61" t="n">
        <v>45972.6118055556</v>
      </c>
      <c r="E815" s="61" t="n">
        <v>45972.6118055556</v>
      </c>
      <c r="F815" s="61" t="n">
        <v>45973.2465277778</v>
      </c>
      <c r="G815" s="62" t="n">
        <v>0.634722222224809</v>
      </c>
      <c r="H815" s="13" t="s">
        <v>445</v>
      </c>
      <c r="I815" s="13" t="s">
        <v>263</v>
      </c>
      <c r="J815" s="13" t="s">
        <v>264</v>
      </c>
      <c r="K815" s="13" t="s">
        <v>456</v>
      </c>
      <c r="L815" s="13" t="s">
        <v>1875</v>
      </c>
      <c r="M815" s="66" t="s">
        <v>266</v>
      </c>
      <c r="N815" s="66" t="s">
        <v>1876</v>
      </c>
      <c r="O815" s="66" t="s">
        <v>1877</v>
      </c>
      <c r="P815" s="0" t="s">
        <v>1885</v>
      </c>
      <c r="Q815" s="66" t="s">
        <v>1430</v>
      </c>
    </row>
    <row r="816" customFormat="false" ht="14.25" hidden="false" customHeight="false" outlineLevel="0" collapsed="false">
      <c r="A816" s="13" t="s">
        <v>816</v>
      </c>
      <c r="B816" s="13" t="s">
        <v>581</v>
      </c>
      <c r="C816" s="13" t="s">
        <v>737</v>
      </c>
      <c r="D816" s="61" t="n">
        <v>45972.6118055556</v>
      </c>
      <c r="E816" s="61" t="n">
        <v>45972.6118055556</v>
      </c>
      <c r="F816" s="61" t="n">
        <v>45973.2465277778</v>
      </c>
      <c r="G816" s="62" t="n">
        <v>0.634722222224809</v>
      </c>
      <c r="H816" s="13" t="s">
        <v>445</v>
      </c>
      <c r="I816" s="13" t="s">
        <v>263</v>
      </c>
      <c r="J816" s="13" t="s">
        <v>264</v>
      </c>
      <c r="K816" s="13" t="s">
        <v>456</v>
      </c>
      <c r="L816" s="13" t="s">
        <v>1875</v>
      </c>
      <c r="M816" s="66" t="s">
        <v>266</v>
      </c>
      <c r="N816" s="66" t="s">
        <v>1876</v>
      </c>
      <c r="O816" s="66" t="s">
        <v>1877</v>
      </c>
      <c r="P816" s="0" t="s">
        <v>1886</v>
      </c>
      <c r="Q816" s="66" t="s">
        <v>1430</v>
      </c>
    </row>
    <row r="817" customFormat="false" ht="14.25" hidden="false" customHeight="false" outlineLevel="0" collapsed="false">
      <c r="A817" s="13" t="s">
        <v>816</v>
      </c>
      <c r="B817" s="13" t="s">
        <v>581</v>
      </c>
      <c r="C817" s="13" t="s">
        <v>582</v>
      </c>
      <c r="D817" s="61" t="n">
        <v>45972.6118055556</v>
      </c>
      <c r="E817" s="61" t="n">
        <v>45972.6118055556</v>
      </c>
      <c r="F817" s="61" t="n">
        <v>45973.2465277778</v>
      </c>
      <c r="G817" s="62" t="n">
        <v>0.634722222224809</v>
      </c>
      <c r="H817" s="13" t="s">
        <v>445</v>
      </c>
      <c r="I817" s="13" t="s">
        <v>263</v>
      </c>
      <c r="J817" s="13" t="s">
        <v>264</v>
      </c>
      <c r="K817" s="13" t="s">
        <v>456</v>
      </c>
      <c r="L817" s="13" t="s">
        <v>1875</v>
      </c>
      <c r="M817" s="66" t="s">
        <v>266</v>
      </c>
      <c r="N817" s="66" t="s">
        <v>1876</v>
      </c>
      <c r="O817" s="66" t="s">
        <v>1877</v>
      </c>
      <c r="P817" s="0" t="s">
        <v>1887</v>
      </c>
      <c r="Q817" s="66" t="s">
        <v>1430</v>
      </c>
    </row>
    <row r="818" customFormat="false" ht="14.25" hidden="false" customHeight="false" outlineLevel="0" collapsed="false">
      <c r="A818" s="13" t="s">
        <v>816</v>
      </c>
      <c r="B818" s="13" t="s">
        <v>581</v>
      </c>
      <c r="C818" s="13" t="s">
        <v>594</v>
      </c>
      <c r="D818" s="61" t="n">
        <v>45972.6118055556</v>
      </c>
      <c r="E818" s="61" t="n">
        <v>45972.6118055556</v>
      </c>
      <c r="F818" s="61" t="n">
        <v>45973.2465277778</v>
      </c>
      <c r="G818" s="62" t="n">
        <v>0.634722222224809</v>
      </c>
      <c r="H818" s="13" t="s">
        <v>445</v>
      </c>
      <c r="I818" s="13" t="s">
        <v>263</v>
      </c>
      <c r="J818" s="13" t="s">
        <v>264</v>
      </c>
      <c r="K818" s="13" t="s">
        <v>456</v>
      </c>
      <c r="L818" s="13" t="s">
        <v>1875</v>
      </c>
      <c r="M818" s="66" t="s">
        <v>266</v>
      </c>
      <c r="N818" s="66" t="s">
        <v>1876</v>
      </c>
      <c r="O818" s="66" t="s">
        <v>1877</v>
      </c>
      <c r="P818" s="0" t="s">
        <v>1888</v>
      </c>
      <c r="Q818" s="66" t="s">
        <v>1430</v>
      </c>
    </row>
    <row r="819" customFormat="false" ht="14.25" hidden="false" customHeight="false" outlineLevel="0" collapsed="false">
      <c r="A819" s="13" t="s">
        <v>816</v>
      </c>
      <c r="B819" s="13" t="s">
        <v>581</v>
      </c>
      <c r="C819" s="13" t="s">
        <v>596</v>
      </c>
      <c r="D819" s="61" t="n">
        <v>45972.6118055556</v>
      </c>
      <c r="E819" s="61" t="n">
        <v>45972.6118055556</v>
      </c>
      <c r="F819" s="61" t="n">
        <v>45973.2465277778</v>
      </c>
      <c r="G819" s="62" t="n">
        <v>0.634722222224809</v>
      </c>
      <c r="H819" s="13" t="s">
        <v>445</v>
      </c>
      <c r="I819" s="13" t="s">
        <v>263</v>
      </c>
      <c r="J819" s="13" t="s">
        <v>264</v>
      </c>
      <c r="K819" s="13" t="s">
        <v>456</v>
      </c>
      <c r="L819" s="13" t="s">
        <v>1875</v>
      </c>
      <c r="M819" s="66" t="s">
        <v>266</v>
      </c>
      <c r="N819" s="66" t="s">
        <v>1876</v>
      </c>
      <c r="O819" s="66" t="s">
        <v>1877</v>
      </c>
      <c r="P819" s="0" t="s">
        <v>1889</v>
      </c>
      <c r="Q819" s="66" t="s">
        <v>1430</v>
      </c>
    </row>
    <row r="820" customFormat="false" ht="14.25" hidden="false" customHeight="false" outlineLevel="0" collapsed="false">
      <c r="A820" s="13" t="s">
        <v>816</v>
      </c>
      <c r="B820" s="13" t="s">
        <v>581</v>
      </c>
      <c r="C820" s="13" t="s">
        <v>592</v>
      </c>
      <c r="D820" s="61" t="n">
        <v>45972.6118055556</v>
      </c>
      <c r="E820" s="61" t="n">
        <v>45972.6118055556</v>
      </c>
      <c r="F820" s="61" t="n">
        <v>45973.2465277778</v>
      </c>
      <c r="G820" s="62" t="n">
        <v>0.634722222224809</v>
      </c>
      <c r="H820" s="13" t="s">
        <v>445</v>
      </c>
      <c r="I820" s="13" t="s">
        <v>263</v>
      </c>
      <c r="J820" s="13" t="s">
        <v>264</v>
      </c>
      <c r="K820" s="13" t="s">
        <v>456</v>
      </c>
      <c r="L820" s="13" t="s">
        <v>1875</v>
      </c>
      <c r="M820" s="66" t="s">
        <v>266</v>
      </c>
      <c r="N820" s="66" t="s">
        <v>1876</v>
      </c>
      <c r="O820" s="66" t="s">
        <v>1877</v>
      </c>
      <c r="P820" s="0" t="s">
        <v>1890</v>
      </c>
      <c r="Q820" s="66" t="s">
        <v>1430</v>
      </c>
    </row>
    <row r="821" customFormat="false" ht="14.25" hidden="false" customHeight="false" outlineLevel="0" collapsed="false">
      <c r="A821" s="13" t="s">
        <v>816</v>
      </c>
      <c r="B821" s="13" t="s">
        <v>581</v>
      </c>
      <c r="C821" s="13" t="s">
        <v>595</v>
      </c>
      <c r="D821" s="61" t="n">
        <v>45972.6118055556</v>
      </c>
      <c r="E821" s="61" t="n">
        <v>45972.6118055556</v>
      </c>
      <c r="F821" s="61" t="n">
        <v>45973.2465277778</v>
      </c>
      <c r="G821" s="62" t="n">
        <v>0.634722222224809</v>
      </c>
      <c r="H821" s="13" t="s">
        <v>445</v>
      </c>
      <c r="I821" s="13" t="s">
        <v>263</v>
      </c>
      <c r="J821" s="13" t="s">
        <v>264</v>
      </c>
      <c r="K821" s="13" t="s">
        <v>456</v>
      </c>
      <c r="L821" s="13" t="s">
        <v>1875</v>
      </c>
      <c r="M821" s="66" t="s">
        <v>266</v>
      </c>
      <c r="N821" s="66" t="s">
        <v>1876</v>
      </c>
      <c r="O821" s="66" t="s">
        <v>1877</v>
      </c>
      <c r="P821" s="0" t="s">
        <v>1891</v>
      </c>
      <c r="Q821" s="66" t="s">
        <v>1430</v>
      </c>
    </row>
    <row r="822" customFormat="false" ht="14.25" hidden="false" customHeight="false" outlineLevel="0" collapsed="false">
      <c r="A822" s="13" t="s">
        <v>816</v>
      </c>
      <c r="B822" s="13" t="s">
        <v>581</v>
      </c>
      <c r="C822" s="13" t="s">
        <v>599</v>
      </c>
      <c r="D822" s="61" t="n">
        <v>45972.6118055556</v>
      </c>
      <c r="E822" s="61" t="n">
        <v>45972.6118055556</v>
      </c>
      <c r="F822" s="61" t="n">
        <v>45973.2465277778</v>
      </c>
      <c r="G822" s="62" t="n">
        <v>0.634722222224809</v>
      </c>
      <c r="H822" s="13" t="s">
        <v>445</v>
      </c>
      <c r="I822" s="13" t="s">
        <v>263</v>
      </c>
      <c r="J822" s="13" t="s">
        <v>264</v>
      </c>
      <c r="K822" s="13" t="s">
        <v>456</v>
      </c>
      <c r="L822" s="13" t="s">
        <v>1875</v>
      </c>
      <c r="M822" s="66" t="s">
        <v>266</v>
      </c>
      <c r="N822" s="66" t="s">
        <v>1876</v>
      </c>
      <c r="O822" s="66" t="s">
        <v>1877</v>
      </c>
      <c r="P822" s="0" t="s">
        <v>1892</v>
      </c>
      <c r="Q822" s="66" t="s">
        <v>1430</v>
      </c>
    </row>
    <row r="823" customFormat="false" ht="14.25" hidden="false" customHeight="false" outlineLevel="0" collapsed="false">
      <c r="A823" s="13" t="s">
        <v>816</v>
      </c>
      <c r="B823" s="13" t="s">
        <v>581</v>
      </c>
      <c r="C823" s="13" t="s">
        <v>584</v>
      </c>
      <c r="D823" s="61" t="n">
        <v>45972.6118055556</v>
      </c>
      <c r="E823" s="61" t="n">
        <v>45972.6118055556</v>
      </c>
      <c r="F823" s="61" t="n">
        <v>45973.2465277778</v>
      </c>
      <c r="G823" s="62" t="n">
        <v>0.634722222224809</v>
      </c>
      <c r="H823" s="13" t="s">
        <v>445</v>
      </c>
      <c r="I823" s="13" t="s">
        <v>263</v>
      </c>
      <c r="J823" s="13" t="s">
        <v>264</v>
      </c>
      <c r="K823" s="13" t="s">
        <v>456</v>
      </c>
      <c r="L823" s="13" t="s">
        <v>1875</v>
      </c>
      <c r="M823" s="66" t="s">
        <v>266</v>
      </c>
      <c r="N823" s="66" t="s">
        <v>1876</v>
      </c>
      <c r="O823" s="66" t="s">
        <v>1877</v>
      </c>
      <c r="P823" s="0" t="s">
        <v>1893</v>
      </c>
      <c r="Q823" s="66" t="s">
        <v>1430</v>
      </c>
    </row>
    <row r="824" customFormat="false" ht="14.25" hidden="false" customHeight="false" outlineLevel="0" collapsed="false">
      <c r="A824" s="13" t="s">
        <v>816</v>
      </c>
      <c r="B824" s="13" t="s">
        <v>581</v>
      </c>
      <c r="C824" s="13" t="s">
        <v>590</v>
      </c>
      <c r="D824" s="61" t="n">
        <v>45972.6118055556</v>
      </c>
      <c r="E824" s="61" t="n">
        <v>45972.6118055556</v>
      </c>
      <c r="F824" s="61" t="n">
        <v>45973.2465277778</v>
      </c>
      <c r="G824" s="62" t="n">
        <v>0.634722222224809</v>
      </c>
      <c r="H824" s="13" t="s">
        <v>445</v>
      </c>
      <c r="I824" s="13" t="s">
        <v>263</v>
      </c>
      <c r="J824" s="13" t="s">
        <v>264</v>
      </c>
      <c r="K824" s="13" t="s">
        <v>456</v>
      </c>
      <c r="L824" s="13" t="s">
        <v>1875</v>
      </c>
      <c r="M824" s="66" t="s">
        <v>266</v>
      </c>
      <c r="N824" s="66" t="s">
        <v>1876</v>
      </c>
      <c r="O824" s="66" t="s">
        <v>1877</v>
      </c>
      <c r="P824" s="0" t="s">
        <v>1894</v>
      </c>
      <c r="Q824" s="66" t="s">
        <v>1430</v>
      </c>
    </row>
    <row r="825" customFormat="false" ht="14.25" hidden="false" customHeight="false" outlineLevel="0" collapsed="false">
      <c r="A825" s="13" t="s">
        <v>1895</v>
      </c>
      <c r="B825" s="13" t="s">
        <v>531</v>
      </c>
      <c r="C825" s="13" t="s">
        <v>1896</v>
      </c>
      <c r="D825" s="61" t="n">
        <v>45972.6118055556</v>
      </c>
      <c r="E825" s="61" t="n">
        <v>45972.6118055556</v>
      </c>
      <c r="F825" s="61" t="n">
        <v>45973.2465277778</v>
      </c>
      <c r="G825" s="62" t="n">
        <v>0.634722222224809</v>
      </c>
      <c r="H825" s="13" t="s">
        <v>445</v>
      </c>
      <c r="I825" s="13" t="s">
        <v>263</v>
      </c>
      <c r="J825" s="13" t="s">
        <v>264</v>
      </c>
      <c r="K825" s="13" t="s">
        <v>456</v>
      </c>
      <c r="L825" s="13" t="s">
        <v>1897</v>
      </c>
      <c r="M825" s="66" t="s">
        <v>266</v>
      </c>
      <c r="N825" s="66" t="s">
        <v>1876</v>
      </c>
      <c r="O825" s="66" t="s">
        <v>1877</v>
      </c>
      <c r="P825" s="0" t="s">
        <v>1898</v>
      </c>
      <c r="Q825" s="66" t="s">
        <v>1430</v>
      </c>
    </row>
    <row r="826" customFormat="false" ht="14.25" hidden="false" customHeight="false" outlineLevel="0" collapsed="false">
      <c r="A826" s="13" t="s">
        <v>1899</v>
      </c>
      <c r="B826" s="13" t="s">
        <v>531</v>
      </c>
      <c r="C826" s="13" t="s">
        <v>1900</v>
      </c>
      <c r="D826" s="61" t="n">
        <v>45972.6118055556</v>
      </c>
      <c r="E826" s="61" t="n">
        <v>45972.6118055556</v>
      </c>
      <c r="F826" s="61" t="n">
        <v>45973.2465277778</v>
      </c>
      <c r="G826" s="62" t="n">
        <v>0.634722222224809</v>
      </c>
      <c r="H826" s="13" t="s">
        <v>445</v>
      </c>
      <c r="I826" s="13" t="s">
        <v>263</v>
      </c>
      <c r="J826" s="13" t="s">
        <v>264</v>
      </c>
      <c r="K826" s="13" t="s">
        <v>456</v>
      </c>
      <c r="L826" s="13" t="s">
        <v>1897</v>
      </c>
      <c r="M826" s="66" t="s">
        <v>266</v>
      </c>
      <c r="N826" s="66" t="s">
        <v>1876</v>
      </c>
      <c r="O826" s="66" t="s">
        <v>1877</v>
      </c>
      <c r="P826" s="0" t="s">
        <v>1901</v>
      </c>
      <c r="Q826" s="66" t="s">
        <v>1430</v>
      </c>
    </row>
    <row r="827" customFormat="false" ht="14.25" hidden="false" customHeight="false" outlineLevel="0" collapsed="false">
      <c r="A827" s="13" t="s">
        <v>1899</v>
      </c>
      <c r="B827" s="13" t="s">
        <v>531</v>
      </c>
      <c r="C827" s="13" t="s">
        <v>1902</v>
      </c>
      <c r="D827" s="61" t="n">
        <v>45972.6118055556</v>
      </c>
      <c r="E827" s="61" t="n">
        <v>45972.6118055556</v>
      </c>
      <c r="F827" s="61" t="n">
        <v>45973.2465277778</v>
      </c>
      <c r="G827" s="62" t="n">
        <v>0.634722222224809</v>
      </c>
      <c r="H827" s="13" t="s">
        <v>445</v>
      </c>
      <c r="I827" s="13" t="s">
        <v>263</v>
      </c>
      <c r="J827" s="13" t="s">
        <v>264</v>
      </c>
      <c r="K827" s="13" t="s">
        <v>456</v>
      </c>
      <c r="L827" s="13" t="s">
        <v>1897</v>
      </c>
      <c r="M827" s="66" t="s">
        <v>266</v>
      </c>
      <c r="N827" s="66" t="s">
        <v>1876</v>
      </c>
      <c r="O827" s="66" t="s">
        <v>1877</v>
      </c>
      <c r="P827" s="0" t="s">
        <v>1903</v>
      </c>
      <c r="Q827" s="66" t="s">
        <v>1430</v>
      </c>
    </row>
    <row r="828" customFormat="false" ht="14.25" hidden="false" customHeight="false" outlineLevel="0" collapsed="false">
      <c r="A828" s="13" t="s">
        <v>1895</v>
      </c>
      <c r="B828" s="13" t="s">
        <v>531</v>
      </c>
      <c r="C828" s="13" t="s">
        <v>1904</v>
      </c>
      <c r="D828" s="61" t="n">
        <v>45972.6118055556</v>
      </c>
      <c r="E828" s="61" t="n">
        <v>45972.6118055556</v>
      </c>
      <c r="F828" s="61" t="n">
        <v>45973.2465277778</v>
      </c>
      <c r="G828" s="62" t="n">
        <v>0.634722222224809</v>
      </c>
      <c r="H828" s="13" t="s">
        <v>445</v>
      </c>
      <c r="I828" s="13" t="s">
        <v>263</v>
      </c>
      <c r="J828" s="13" t="s">
        <v>264</v>
      </c>
      <c r="K828" s="13" t="s">
        <v>456</v>
      </c>
      <c r="L828" s="13" t="s">
        <v>1897</v>
      </c>
      <c r="M828" s="66" t="s">
        <v>266</v>
      </c>
      <c r="N828" s="66" t="s">
        <v>1876</v>
      </c>
      <c r="O828" s="66" t="s">
        <v>1877</v>
      </c>
      <c r="P828" s="0" t="s">
        <v>1905</v>
      </c>
      <c r="Q828" s="66" t="s">
        <v>1430</v>
      </c>
    </row>
    <row r="829" customFormat="false" ht="14.25" hidden="false" customHeight="false" outlineLevel="0" collapsed="false">
      <c r="A829" s="13" t="s">
        <v>254</v>
      </c>
      <c r="B829" s="13" t="s">
        <v>254</v>
      </c>
      <c r="C829" s="13" t="s">
        <v>255</v>
      </c>
      <c r="D829" s="61" t="n">
        <v>45972.7423611111</v>
      </c>
      <c r="E829" s="61" t="n">
        <v>45972.7423611111</v>
      </c>
      <c r="F829" s="61" t="n">
        <v>45972.7638888889</v>
      </c>
      <c r="G829" s="62" t="n">
        <v>0.0215277777824667</v>
      </c>
      <c r="H829" s="13" t="s">
        <v>248</v>
      </c>
      <c r="J829" s="13" t="s">
        <v>256</v>
      </c>
      <c r="K829" s="13" t="s">
        <v>430</v>
      </c>
      <c r="L829" s="13" t="s">
        <v>1906</v>
      </c>
      <c r="M829" s="66" t="s">
        <v>258</v>
      </c>
      <c r="N829" s="66" t="s">
        <v>379</v>
      </c>
      <c r="O829" s="66" t="s">
        <v>399</v>
      </c>
      <c r="P829" s="0" t="s">
        <v>1907</v>
      </c>
      <c r="Q829" s="66" t="s">
        <v>995</v>
      </c>
    </row>
    <row r="830" customFormat="false" ht="14.25" hidden="false" customHeight="false" outlineLevel="0" collapsed="false">
      <c r="A830" s="13" t="s">
        <v>307</v>
      </c>
      <c r="B830" s="13" t="s">
        <v>307</v>
      </c>
      <c r="C830" s="13" t="s">
        <v>255</v>
      </c>
      <c r="D830" s="61" t="n">
        <v>45972.7423611111</v>
      </c>
      <c r="E830" s="61" t="n">
        <v>45972.7423611111</v>
      </c>
      <c r="F830" s="61" t="n">
        <v>45972.7638888889</v>
      </c>
      <c r="G830" s="62" t="n">
        <v>0.0215277777824667</v>
      </c>
      <c r="H830" s="13" t="s">
        <v>248</v>
      </c>
      <c r="J830" s="13" t="s">
        <v>256</v>
      </c>
      <c r="K830" s="13" t="s">
        <v>430</v>
      </c>
      <c r="L830" s="13" t="s">
        <v>1906</v>
      </c>
      <c r="M830" s="66" t="s">
        <v>258</v>
      </c>
      <c r="N830" s="66" t="s">
        <v>379</v>
      </c>
      <c r="O830" s="66" t="s">
        <v>399</v>
      </c>
      <c r="P830" s="0" t="s">
        <v>1908</v>
      </c>
      <c r="Q830" s="66" t="s">
        <v>995</v>
      </c>
    </row>
    <row r="831" customFormat="false" ht="14.25" hidden="false" customHeight="false" outlineLevel="0" collapsed="false">
      <c r="A831" s="13" t="s">
        <v>308</v>
      </c>
      <c r="B831" s="13" t="s">
        <v>308</v>
      </c>
      <c r="C831" s="13" t="s">
        <v>255</v>
      </c>
      <c r="D831" s="61" t="n">
        <v>45972.7423611111</v>
      </c>
      <c r="E831" s="61" t="n">
        <v>45972.7423611111</v>
      </c>
      <c r="F831" s="61" t="n">
        <v>45972.7638888889</v>
      </c>
      <c r="G831" s="62" t="n">
        <v>0.0215277777824667</v>
      </c>
      <c r="H831" s="13" t="s">
        <v>248</v>
      </c>
      <c r="J831" s="13" t="s">
        <v>256</v>
      </c>
      <c r="K831" s="13" t="s">
        <v>430</v>
      </c>
      <c r="L831" s="13" t="s">
        <v>1906</v>
      </c>
      <c r="M831" s="66" t="s">
        <v>258</v>
      </c>
      <c r="N831" s="66" t="s">
        <v>379</v>
      </c>
      <c r="O831" s="66" t="s">
        <v>399</v>
      </c>
      <c r="P831" s="0" t="s">
        <v>1909</v>
      </c>
      <c r="Q831" s="66" t="s">
        <v>995</v>
      </c>
    </row>
    <row r="832" customFormat="false" ht="14.25" hidden="false" customHeight="false" outlineLevel="0" collapsed="false">
      <c r="A832" s="13" t="s">
        <v>309</v>
      </c>
      <c r="B832" s="13" t="s">
        <v>309</v>
      </c>
      <c r="C832" s="13" t="s">
        <v>255</v>
      </c>
      <c r="D832" s="61" t="n">
        <v>45972.7423611111</v>
      </c>
      <c r="E832" s="61" t="n">
        <v>45972.7423611111</v>
      </c>
      <c r="F832" s="61" t="n">
        <v>45972.7638888889</v>
      </c>
      <c r="G832" s="62" t="n">
        <v>0.0215277777824667</v>
      </c>
      <c r="H832" s="13" t="s">
        <v>248</v>
      </c>
      <c r="J832" s="13" t="s">
        <v>256</v>
      </c>
      <c r="K832" s="13" t="s">
        <v>430</v>
      </c>
      <c r="L832" s="13" t="s">
        <v>1906</v>
      </c>
      <c r="M832" s="66" t="s">
        <v>258</v>
      </c>
      <c r="N832" s="66" t="s">
        <v>379</v>
      </c>
      <c r="O832" s="66" t="s">
        <v>399</v>
      </c>
      <c r="P832" s="0" t="s">
        <v>1910</v>
      </c>
      <c r="Q832" s="66" t="s">
        <v>995</v>
      </c>
    </row>
    <row r="833" customFormat="false" ht="14.25" hidden="false" customHeight="false" outlineLevel="0" collapsed="false">
      <c r="A833" s="13" t="s">
        <v>310</v>
      </c>
      <c r="B833" s="13" t="s">
        <v>310</v>
      </c>
      <c r="C833" s="13" t="s">
        <v>255</v>
      </c>
      <c r="D833" s="61" t="n">
        <v>45972.7423611111</v>
      </c>
      <c r="E833" s="61" t="n">
        <v>45972.7423611111</v>
      </c>
      <c r="F833" s="61" t="n">
        <v>45972.7638888889</v>
      </c>
      <c r="G833" s="62" t="n">
        <v>0.0215277777824667</v>
      </c>
      <c r="H833" s="13" t="s">
        <v>248</v>
      </c>
      <c r="J833" s="13" t="s">
        <v>256</v>
      </c>
      <c r="K833" s="13" t="s">
        <v>430</v>
      </c>
      <c r="L833" s="13" t="s">
        <v>1906</v>
      </c>
      <c r="M833" s="66" t="s">
        <v>258</v>
      </c>
      <c r="N833" s="66" t="s">
        <v>379</v>
      </c>
      <c r="O833" s="66" t="s">
        <v>399</v>
      </c>
      <c r="P833" s="0" t="s">
        <v>1911</v>
      </c>
      <c r="Q833" s="66" t="s">
        <v>995</v>
      </c>
    </row>
    <row r="834" customFormat="false" ht="14.25" hidden="false" customHeight="false" outlineLevel="0" collapsed="false">
      <c r="A834" s="13" t="s">
        <v>622</v>
      </c>
      <c r="B834" s="13" t="s">
        <v>622</v>
      </c>
      <c r="C834" s="13" t="s">
        <v>280</v>
      </c>
      <c r="D834" s="61" t="n">
        <v>45972.7444444444</v>
      </c>
      <c r="E834" s="61" t="n">
        <v>45972.7444444444</v>
      </c>
      <c r="F834" s="61" t="n">
        <v>45972.7708333333</v>
      </c>
      <c r="G834" s="62" t="n">
        <v>0.0263888888948713</v>
      </c>
      <c r="H834" s="13" t="s">
        <v>313</v>
      </c>
      <c r="J834" s="13" t="s">
        <v>230</v>
      </c>
      <c r="K834" s="13" t="s">
        <v>230</v>
      </c>
      <c r="L834" s="13" t="s">
        <v>1912</v>
      </c>
      <c r="M834" s="66" t="s">
        <v>288</v>
      </c>
      <c r="N834" s="66" t="s">
        <v>315</v>
      </c>
      <c r="O834" s="66" t="s">
        <v>1913</v>
      </c>
      <c r="P834" s="0" t="s">
        <v>1914</v>
      </c>
      <c r="Q834" s="66" t="s">
        <v>1393</v>
      </c>
    </row>
    <row r="835" customFormat="false" ht="14.25" hidden="false" customHeight="false" outlineLevel="0" collapsed="false">
      <c r="A835" s="13" t="s">
        <v>622</v>
      </c>
      <c r="B835" s="13" t="s">
        <v>622</v>
      </c>
      <c r="C835" s="13" t="s">
        <v>247</v>
      </c>
      <c r="D835" s="61" t="n">
        <v>45972.7444444444</v>
      </c>
      <c r="E835" s="61" t="n">
        <v>45972.7444444444</v>
      </c>
      <c r="F835" s="61" t="n">
        <v>45972.7708333333</v>
      </c>
      <c r="G835" s="62" t="n">
        <v>0.0263888888948713</v>
      </c>
      <c r="H835" s="13" t="s">
        <v>313</v>
      </c>
      <c r="J835" s="13" t="s">
        <v>230</v>
      </c>
      <c r="K835" s="13" t="s">
        <v>230</v>
      </c>
      <c r="L835" s="13" t="s">
        <v>1912</v>
      </c>
      <c r="M835" s="66" t="s">
        <v>288</v>
      </c>
      <c r="N835" s="66" t="s">
        <v>315</v>
      </c>
      <c r="O835" s="66" t="s">
        <v>1913</v>
      </c>
      <c r="P835" s="0" t="s">
        <v>1915</v>
      </c>
      <c r="Q835" s="66" t="s">
        <v>1393</v>
      </c>
    </row>
    <row r="836" customFormat="false" ht="14.25" hidden="false" customHeight="false" outlineLevel="0" collapsed="false">
      <c r="A836" s="13" t="s">
        <v>622</v>
      </c>
      <c r="B836" s="13" t="s">
        <v>622</v>
      </c>
      <c r="C836" s="13" t="s">
        <v>277</v>
      </c>
      <c r="D836" s="61" t="n">
        <v>45972.7444444444</v>
      </c>
      <c r="E836" s="61" t="n">
        <v>45972.7444444444</v>
      </c>
      <c r="F836" s="61" t="n">
        <v>45972.7708333333</v>
      </c>
      <c r="G836" s="62" t="n">
        <v>0.0263888888948713</v>
      </c>
      <c r="H836" s="13" t="s">
        <v>313</v>
      </c>
      <c r="J836" s="13" t="s">
        <v>230</v>
      </c>
      <c r="K836" s="13" t="s">
        <v>230</v>
      </c>
      <c r="L836" s="13" t="s">
        <v>1912</v>
      </c>
      <c r="M836" s="66" t="s">
        <v>288</v>
      </c>
      <c r="N836" s="66" t="s">
        <v>315</v>
      </c>
      <c r="O836" s="66" t="s">
        <v>1913</v>
      </c>
      <c r="P836" s="0" t="s">
        <v>1916</v>
      </c>
      <c r="Q836" s="66" t="s">
        <v>1393</v>
      </c>
    </row>
    <row r="837" customFormat="false" ht="14.25" hidden="false" customHeight="false" outlineLevel="0" collapsed="false">
      <c r="A837" s="13" t="s">
        <v>622</v>
      </c>
      <c r="B837" s="13" t="s">
        <v>622</v>
      </c>
      <c r="C837" s="13" t="s">
        <v>255</v>
      </c>
      <c r="D837" s="61" t="n">
        <v>45972.7444444444</v>
      </c>
      <c r="E837" s="61" t="n">
        <v>45972.7444444444</v>
      </c>
      <c r="F837" s="61" t="n">
        <v>45972.7708333333</v>
      </c>
      <c r="G837" s="62" t="n">
        <v>0.0263888888948713</v>
      </c>
      <c r="H837" s="13" t="s">
        <v>313</v>
      </c>
      <c r="J837" s="13" t="s">
        <v>230</v>
      </c>
      <c r="K837" s="13" t="s">
        <v>230</v>
      </c>
      <c r="L837" s="13" t="s">
        <v>1912</v>
      </c>
      <c r="M837" s="66" t="s">
        <v>288</v>
      </c>
      <c r="N837" s="66" t="s">
        <v>315</v>
      </c>
      <c r="O837" s="66" t="s">
        <v>1913</v>
      </c>
      <c r="P837" s="0" t="s">
        <v>1917</v>
      </c>
      <c r="Q837" s="66" t="s">
        <v>1393</v>
      </c>
    </row>
    <row r="838" customFormat="false" ht="14.25" hidden="false" customHeight="false" outlineLevel="0" collapsed="false">
      <c r="A838" s="13" t="s">
        <v>332</v>
      </c>
      <c r="B838" s="13" t="s">
        <v>332</v>
      </c>
      <c r="C838" s="13" t="s">
        <v>247</v>
      </c>
      <c r="D838" s="61" t="n">
        <v>45972.7444444444</v>
      </c>
      <c r="E838" s="61" t="n">
        <v>45972.7444444444</v>
      </c>
      <c r="F838" s="61" t="n">
        <v>45972.7708333333</v>
      </c>
      <c r="G838" s="62" t="n">
        <v>0.0263888888948713</v>
      </c>
      <c r="H838" s="13" t="s">
        <v>313</v>
      </c>
      <c r="J838" s="13" t="s">
        <v>230</v>
      </c>
      <c r="K838" s="13" t="s">
        <v>230</v>
      </c>
      <c r="L838" s="13" t="s">
        <v>1912</v>
      </c>
      <c r="M838" s="66" t="s">
        <v>288</v>
      </c>
      <c r="N838" s="66" t="s">
        <v>315</v>
      </c>
      <c r="O838" s="66" t="s">
        <v>1913</v>
      </c>
      <c r="P838" s="0" t="s">
        <v>1918</v>
      </c>
      <c r="Q838" s="66" t="s">
        <v>1393</v>
      </c>
    </row>
    <row r="839" customFormat="false" ht="14.25" hidden="false" customHeight="false" outlineLevel="0" collapsed="false">
      <c r="A839" s="13" t="s">
        <v>332</v>
      </c>
      <c r="B839" s="13" t="s">
        <v>332</v>
      </c>
      <c r="C839" s="13" t="s">
        <v>277</v>
      </c>
      <c r="D839" s="61" t="n">
        <v>45972.7444444444</v>
      </c>
      <c r="E839" s="61" t="n">
        <v>45972.7444444444</v>
      </c>
      <c r="F839" s="61" t="n">
        <v>45972.7708333333</v>
      </c>
      <c r="G839" s="62" t="n">
        <v>0.0263888888948713</v>
      </c>
      <c r="H839" s="13" t="s">
        <v>313</v>
      </c>
      <c r="J839" s="13" t="s">
        <v>230</v>
      </c>
      <c r="K839" s="13" t="s">
        <v>230</v>
      </c>
      <c r="L839" s="13" t="s">
        <v>1912</v>
      </c>
      <c r="M839" s="66" t="s">
        <v>288</v>
      </c>
      <c r="N839" s="66" t="s">
        <v>315</v>
      </c>
      <c r="O839" s="66" t="s">
        <v>1913</v>
      </c>
      <c r="P839" s="0" t="s">
        <v>1919</v>
      </c>
      <c r="Q839" s="66" t="s">
        <v>1393</v>
      </c>
    </row>
    <row r="840" customFormat="false" ht="14.25" hidden="false" customHeight="false" outlineLevel="0" collapsed="false">
      <c r="A840" s="13" t="s">
        <v>330</v>
      </c>
      <c r="B840" s="13" t="s">
        <v>330</v>
      </c>
      <c r="C840" s="13" t="s">
        <v>277</v>
      </c>
      <c r="D840" s="61" t="n">
        <v>45972.7444444444</v>
      </c>
      <c r="E840" s="61" t="n">
        <v>45972.7444444444</v>
      </c>
      <c r="F840" s="61" t="n">
        <v>45973.4479166667</v>
      </c>
      <c r="G840" s="62" t="n">
        <v>0.703472222223354</v>
      </c>
      <c r="H840" s="13" t="s">
        <v>313</v>
      </c>
      <c r="J840" s="13" t="s">
        <v>230</v>
      </c>
      <c r="K840" s="13" t="s">
        <v>230</v>
      </c>
      <c r="L840" s="13" t="s">
        <v>1920</v>
      </c>
      <c r="M840" s="66" t="s">
        <v>288</v>
      </c>
      <c r="N840" s="66" t="s">
        <v>289</v>
      </c>
      <c r="O840" s="66" t="s">
        <v>1921</v>
      </c>
      <c r="P840" s="0" t="s">
        <v>1922</v>
      </c>
      <c r="Q840" s="66" t="s">
        <v>1393</v>
      </c>
    </row>
    <row r="841" customFormat="false" ht="14.25" hidden="false" customHeight="false" outlineLevel="0" collapsed="false">
      <c r="A841" s="13" t="s">
        <v>330</v>
      </c>
      <c r="B841" s="13" t="s">
        <v>330</v>
      </c>
      <c r="C841" s="13" t="s">
        <v>280</v>
      </c>
      <c r="D841" s="61" t="n">
        <v>45972.7444444444</v>
      </c>
      <c r="E841" s="61" t="n">
        <v>45972.7444444444</v>
      </c>
      <c r="F841" s="61" t="n">
        <v>45973.4479166667</v>
      </c>
      <c r="G841" s="62" t="n">
        <v>0.703472222223354</v>
      </c>
      <c r="H841" s="13" t="s">
        <v>313</v>
      </c>
      <c r="J841" s="13" t="s">
        <v>230</v>
      </c>
      <c r="K841" s="13" t="s">
        <v>230</v>
      </c>
      <c r="L841" s="13" t="s">
        <v>1920</v>
      </c>
      <c r="M841" s="66" t="s">
        <v>288</v>
      </c>
      <c r="N841" s="66" t="s">
        <v>289</v>
      </c>
      <c r="O841" s="66" t="s">
        <v>1921</v>
      </c>
      <c r="P841" s="0" t="s">
        <v>1923</v>
      </c>
      <c r="Q841" s="66" t="s">
        <v>1393</v>
      </c>
    </row>
    <row r="842" customFormat="false" ht="14.25" hidden="false" customHeight="false" outlineLevel="0" collapsed="false">
      <c r="A842" s="13" t="s">
        <v>330</v>
      </c>
      <c r="B842" s="13" t="s">
        <v>330</v>
      </c>
      <c r="C842" s="13" t="s">
        <v>247</v>
      </c>
      <c r="D842" s="61" t="n">
        <v>45972.7444444444</v>
      </c>
      <c r="E842" s="61" t="n">
        <v>45972.7444444444</v>
      </c>
      <c r="F842" s="61" t="n">
        <v>45973.4479166667</v>
      </c>
      <c r="G842" s="62" t="n">
        <v>0.703472222223354</v>
      </c>
      <c r="H842" s="13" t="s">
        <v>313</v>
      </c>
      <c r="J842" s="13" t="s">
        <v>230</v>
      </c>
      <c r="K842" s="13" t="s">
        <v>230</v>
      </c>
      <c r="L842" s="13" t="s">
        <v>1920</v>
      </c>
      <c r="M842" s="66" t="s">
        <v>288</v>
      </c>
      <c r="N842" s="66" t="s">
        <v>289</v>
      </c>
      <c r="O842" s="66" t="s">
        <v>1921</v>
      </c>
      <c r="P842" s="0" t="s">
        <v>1924</v>
      </c>
      <c r="Q842" s="66" t="s">
        <v>1393</v>
      </c>
    </row>
    <row r="843" customFormat="false" ht="14.25" hidden="false" customHeight="false" outlineLevel="0" collapsed="false">
      <c r="A843" s="13" t="s">
        <v>330</v>
      </c>
      <c r="B843" s="13" t="s">
        <v>330</v>
      </c>
      <c r="C843" s="13" t="s">
        <v>255</v>
      </c>
      <c r="D843" s="61" t="n">
        <v>45972.7444444444</v>
      </c>
      <c r="E843" s="61" t="n">
        <v>45972.7444444444</v>
      </c>
      <c r="F843" s="61" t="n">
        <v>45973.4479166667</v>
      </c>
      <c r="G843" s="62" t="n">
        <v>0.703472222223354</v>
      </c>
      <c r="H843" s="13" t="s">
        <v>313</v>
      </c>
      <c r="J843" s="13" t="s">
        <v>230</v>
      </c>
      <c r="K843" s="13" t="s">
        <v>230</v>
      </c>
      <c r="L843" s="13" t="s">
        <v>1920</v>
      </c>
      <c r="M843" s="66" t="s">
        <v>288</v>
      </c>
      <c r="N843" s="66" t="s">
        <v>289</v>
      </c>
      <c r="O843" s="66" t="s">
        <v>1921</v>
      </c>
      <c r="P843" s="0" t="s">
        <v>1925</v>
      </c>
      <c r="Q843" s="66" t="s">
        <v>1393</v>
      </c>
    </row>
    <row r="844" customFormat="false" ht="14.25" hidden="false" customHeight="false" outlineLevel="0" collapsed="false">
      <c r="A844" s="13" t="s">
        <v>805</v>
      </c>
      <c r="B844" s="13" t="s">
        <v>581</v>
      </c>
      <c r="C844" s="13" t="s">
        <v>598</v>
      </c>
      <c r="D844" s="61" t="n">
        <v>45973.25</v>
      </c>
      <c r="E844" s="61" t="n">
        <v>45973.25</v>
      </c>
      <c r="F844" s="61" t="n">
        <v>45973.2902777778</v>
      </c>
      <c r="G844" s="62" t="n">
        <v>0.0402777777781012</v>
      </c>
      <c r="H844" s="13" t="s">
        <v>248</v>
      </c>
      <c r="J844" s="13" t="s">
        <v>256</v>
      </c>
      <c r="K844" s="13" t="s">
        <v>430</v>
      </c>
      <c r="L844" s="13" t="s">
        <v>735</v>
      </c>
      <c r="M844" s="66" t="s">
        <v>258</v>
      </c>
      <c r="N844" s="66" t="s">
        <v>379</v>
      </c>
      <c r="O844" s="66" t="s">
        <v>399</v>
      </c>
      <c r="P844" s="0" t="s">
        <v>1926</v>
      </c>
      <c r="Q844" s="66" t="s">
        <v>995</v>
      </c>
    </row>
    <row r="845" customFormat="false" ht="14.25" hidden="false" customHeight="false" outlineLevel="0" collapsed="false">
      <c r="A845" s="13" t="s">
        <v>807</v>
      </c>
      <c r="B845" s="13" t="s">
        <v>581</v>
      </c>
      <c r="C845" s="13" t="s">
        <v>591</v>
      </c>
      <c r="D845" s="61" t="n">
        <v>45973.25</v>
      </c>
      <c r="E845" s="61" t="n">
        <v>45973.25</v>
      </c>
      <c r="F845" s="61" t="n">
        <v>45973.2902777778</v>
      </c>
      <c r="G845" s="62" t="n">
        <v>0.0402777777781012</v>
      </c>
      <c r="H845" s="13" t="s">
        <v>248</v>
      </c>
      <c r="J845" s="13" t="s">
        <v>256</v>
      </c>
      <c r="K845" s="13" t="s">
        <v>430</v>
      </c>
      <c r="L845" s="13" t="s">
        <v>735</v>
      </c>
      <c r="M845" s="66" t="s">
        <v>258</v>
      </c>
      <c r="N845" s="66" t="s">
        <v>379</v>
      </c>
      <c r="O845" s="66" t="s">
        <v>399</v>
      </c>
      <c r="P845" s="0" t="s">
        <v>1927</v>
      </c>
      <c r="Q845" s="66" t="s">
        <v>995</v>
      </c>
    </row>
    <row r="846" customFormat="false" ht="14.25" hidden="false" customHeight="false" outlineLevel="0" collapsed="false">
      <c r="A846" s="13" t="s">
        <v>807</v>
      </c>
      <c r="B846" s="13" t="s">
        <v>581</v>
      </c>
      <c r="C846" s="13" t="s">
        <v>588</v>
      </c>
      <c r="D846" s="61" t="n">
        <v>45973.25</v>
      </c>
      <c r="E846" s="61" t="n">
        <v>45973.25</v>
      </c>
      <c r="F846" s="61" t="n">
        <v>45973.2902777778</v>
      </c>
      <c r="G846" s="62" t="n">
        <v>0.0402777777781012</v>
      </c>
      <c r="H846" s="13" t="s">
        <v>248</v>
      </c>
      <c r="J846" s="13" t="s">
        <v>256</v>
      </c>
      <c r="K846" s="13" t="s">
        <v>430</v>
      </c>
      <c r="L846" s="13" t="s">
        <v>735</v>
      </c>
      <c r="M846" s="66" t="s">
        <v>258</v>
      </c>
      <c r="N846" s="66" t="s">
        <v>379</v>
      </c>
      <c r="O846" s="66" t="s">
        <v>399</v>
      </c>
      <c r="P846" s="0" t="s">
        <v>1928</v>
      </c>
      <c r="Q846" s="66" t="s">
        <v>995</v>
      </c>
    </row>
    <row r="847" customFormat="false" ht="14.25" hidden="false" customHeight="false" outlineLevel="0" collapsed="false">
      <c r="A847" s="13" t="s">
        <v>807</v>
      </c>
      <c r="B847" s="13" t="s">
        <v>581</v>
      </c>
      <c r="C847" s="13" t="s">
        <v>585</v>
      </c>
      <c r="D847" s="61" t="n">
        <v>45973.25</v>
      </c>
      <c r="E847" s="61" t="n">
        <v>45973.25</v>
      </c>
      <c r="F847" s="61" t="n">
        <v>45973.2902777778</v>
      </c>
      <c r="G847" s="62" t="n">
        <v>0.0402777777781012</v>
      </c>
      <c r="H847" s="13" t="s">
        <v>248</v>
      </c>
      <c r="J847" s="13" t="s">
        <v>256</v>
      </c>
      <c r="K847" s="13" t="s">
        <v>430</v>
      </c>
      <c r="L847" s="13" t="s">
        <v>735</v>
      </c>
      <c r="M847" s="66" t="s">
        <v>258</v>
      </c>
      <c r="N847" s="66" t="s">
        <v>379</v>
      </c>
      <c r="O847" s="66" t="s">
        <v>399</v>
      </c>
      <c r="P847" s="0" t="s">
        <v>1929</v>
      </c>
      <c r="Q847" s="66" t="s">
        <v>995</v>
      </c>
    </row>
    <row r="848" customFormat="false" ht="14.25" hidden="false" customHeight="false" outlineLevel="0" collapsed="false">
      <c r="A848" s="13" t="s">
        <v>807</v>
      </c>
      <c r="B848" s="13" t="s">
        <v>581</v>
      </c>
      <c r="C848" s="13" t="s">
        <v>589</v>
      </c>
      <c r="D848" s="61" t="n">
        <v>45973.25</v>
      </c>
      <c r="E848" s="61" t="n">
        <v>45973.25</v>
      </c>
      <c r="F848" s="61" t="n">
        <v>45973.2902777778</v>
      </c>
      <c r="G848" s="62" t="n">
        <v>0.0402777777781012</v>
      </c>
      <c r="H848" s="13" t="s">
        <v>248</v>
      </c>
      <c r="J848" s="13" t="s">
        <v>256</v>
      </c>
      <c r="K848" s="13" t="s">
        <v>430</v>
      </c>
      <c r="L848" s="13" t="s">
        <v>735</v>
      </c>
      <c r="M848" s="66" t="s">
        <v>258</v>
      </c>
      <c r="N848" s="66" t="s">
        <v>379</v>
      </c>
      <c r="O848" s="66" t="s">
        <v>399</v>
      </c>
      <c r="P848" s="0" t="s">
        <v>1930</v>
      </c>
      <c r="Q848" s="66" t="s">
        <v>995</v>
      </c>
    </row>
    <row r="849" customFormat="false" ht="14.25" hidden="false" customHeight="false" outlineLevel="0" collapsed="false">
      <c r="A849" s="13" t="s">
        <v>807</v>
      </c>
      <c r="B849" s="13" t="s">
        <v>581</v>
      </c>
      <c r="C849" s="13" t="s">
        <v>587</v>
      </c>
      <c r="D849" s="61" t="n">
        <v>45973.25</v>
      </c>
      <c r="E849" s="61" t="n">
        <v>45973.25</v>
      </c>
      <c r="F849" s="61" t="n">
        <v>45973.2902777778</v>
      </c>
      <c r="G849" s="62" t="n">
        <v>0.0402777777781012</v>
      </c>
      <c r="H849" s="13" t="s">
        <v>248</v>
      </c>
      <c r="J849" s="13" t="s">
        <v>256</v>
      </c>
      <c r="K849" s="13" t="s">
        <v>430</v>
      </c>
      <c r="L849" s="13" t="s">
        <v>735</v>
      </c>
      <c r="M849" s="66" t="s">
        <v>258</v>
      </c>
      <c r="N849" s="66" t="s">
        <v>379</v>
      </c>
      <c r="O849" s="66" t="s">
        <v>399</v>
      </c>
      <c r="P849" s="0" t="s">
        <v>1931</v>
      </c>
      <c r="Q849" s="66" t="s">
        <v>995</v>
      </c>
    </row>
    <row r="850" customFormat="false" ht="14.25" hidden="false" customHeight="false" outlineLevel="0" collapsed="false">
      <c r="A850" s="13" t="s">
        <v>807</v>
      </c>
      <c r="B850" s="13" t="s">
        <v>581</v>
      </c>
      <c r="C850" s="13" t="s">
        <v>1007</v>
      </c>
      <c r="D850" s="61" t="n">
        <v>45973.25</v>
      </c>
      <c r="E850" s="61" t="n">
        <v>45973.25</v>
      </c>
      <c r="F850" s="61" t="n">
        <v>45973.2902777778</v>
      </c>
      <c r="G850" s="62" t="n">
        <v>0.0402777777781012</v>
      </c>
      <c r="H850" s="13" t="s">
        <v>248</v>
      </c>
      <c r="J850" s="13" t="s">
        <v>256</v>
      </c>
      <c r="K850" s="13" t="s">
        <v>430</v>
      </c>
      <c r="L850" s="13" t="s">
        <v>735</v>
      </c>
      <c r="M850" s="66" t="s">
        <v>258</v>
      </c>
      <c r="N850" s="66" t="s">
        <v>379</v>
      </c>
      <c r="O850" s="66" t="s">
        <v>399</v>
      </c>
      <c r="P850" s="0" t="s">
        <v>1932</v>
      </c>
      <c r="Q850" s="66" t="s">
        <v>995</v>
      </c>
    </row>
    <row r="851" customFormat="false" ht="14.25" hidden="false" customHeight="false" outlineLevel="0" collapsed="false">
      <c r="A851" s="13" t="s">
        <v>878</v>
      </c>
      <c r="B851" s="13" t="s">
        <v>504</v>
      </c>
      <c r="C851" s="13" t="s">
        <v>1332</v>
      </c>
      <c r="D851" s="61" t="n">
        <v>45973.2505324074</v>
      </c>
      <c r="E851" s="61" t="n">
        <v>45973.2505324074</v>
      </c>
      <c r="F851" s="61" t="n">
        <v>45973.2743055556</v>
      </c>
      <c r="G851" s="62" t="n">
        <v>0.0237731481465744</v>
      </c>
      <c r="H851" s="13" t="s">
        <v>248</v>
      </c>
      <c r="J851" s="13" t="s">
        <v>249</v>
      </c>
      <c r="K851" s="13" t="s">
        <v>439</v>
      </c>
      <c r="L851" s="13" t="s">
        <v>1251</v>
      </c>
      <c r="M851" s="66" t="s">
        <v>251</v>
      </c>
      <c r="N851" s="66" t="s">
        <v>625</v>
      </c>
      <c r="P851" s="0" t="s">
        <v>1933</v>
      </c>
      <c r="Q851" s="66" t="s">
        <v>1253</v>
      </c>
    </row>
    <row r="852" customFormat="false" ht="14.25" hidden="false" customHeight="false" outlineLevel="0" collapsed="false">
      <c r="A852" s="13" t="s">
        <v>878</v>
      </c>
      <c r="B852" s="13" t="s">
        <v>504</v>
      </c>
      <c r="C852" s="13" t="s">
        <v>1250</v>
      </c>
      <c r="D852" s="61" t="n">
        <v>45973.2568865741</v>
      </c>
      <c r="E852" s="61" t="n">
        <v>45973.2568865741</v>
      </c>
      <c r="F852" s="61" t="n">
        <v>45973.2638078704</v>
      </c>
      <c r="G852" s="62" t="n">
        <v>0.00692129629169358</v>
      </c>
      <c r="H852" s="13" t="s">
        <v>248</v>
      </c>
      <c r="J852" s="13" t="s">
        <v>249</v>
      </c>
      <c r="K852" s="13" t="s">
        <v>439</v>
      </c>
      <c r="L852" s="13" t="s">
        <v>1251</v>
      </c>
      <c r="M852" s="66" t="s">
        <v>251</v>
      </c>
      <c r="N852" s="66" t="s">
        <v>625</v>
      </c>
      <c r="P852" s="0" t="s">
        <v>1934</v>
      </c>
      <c r="Q852" s="66" t="s">
        <v>1253</v>
      </c>
    </row>
    <row r="853" customFormat="false" ht="14.25" hidden="false" customHeight="false" outlineLevel="0" collapsed="false">
      <c r="A853" s="13" t="s">
        <v>878</v>
      </c>
      <c r="B853" s="13" t="s">
        <v>504</v>
      </c>
      <c r="C853" s="13" t="s">
        <v>1334</v>
      </c>
      <c r="D853" s="61" t="n">
        <v>45973.2570023148</v>
      </c>
      <c r="E853" s="61" t="n">
        <v>45973.2570023148</v>
      </c>
      <c r="F853" s="61" t="n">
        <v>45973.2639236111</v>
      </c>
      <c r="G853" s="62" t="n">
        <v>0.00692129629896954</v>
      </c>
      <c r="H853" s="13" t="s">
        <v>248</v>
      </c>
      <c r="J853" s="13" t="s">
        <v>249</v>
      </c>
      <c r="K853" s="13" t="s">
        <v>439</v>
      </c>
      <c r="L853" s="13" t="s">
        <v>1251</v>
      </c>
      <c r="M853" s="66" t="s">
        <v>251</v>
      </c>
      <c r="N853" s="66" t="s">
        <v>625</v>
      </c>
      <c r="P853" s="0" t="s">
        <v>1935</v>
      </c>
      <c r="Q853" s="66" t="s">
        <v>1253</v>
      </c>
    </row>
    <row r="854" customFormat="false" ht="14.25" hidden="false" customHeight="false" outlineLevel="0" collapsed="false">
      <c r="A854" s="13" t="s">
        <v>878</v>
      </c>
      <c r="B854" s="13" t="s">
        <v>504</v>
      </c>
      <c r="C854" s="13" t="s">
        <v>1436</v>
      </c>
      <c r="D854" s="61" t="n">
        <v>45973.257025463</v>
      </c>
      <c r="E854" s="61" t="n">
        <v>45973.257025463</v>
      </c>
      <c r="F854" s="61" t="n">
        <v>45973.2639814815</v>
      </c>
      <c r="G854" s="62" t="n">
        <v>0.00695601852203254</v>
      </c>
      <c r="H854" s="13" t="s">
        <v>248</v>
      </c>
      <c r="J854" s="13" t="s">
        <v>249</v>
      </c>
      <c r="K854" s="13" t="s">
        <v>439</v>
      </c>
      <c r="L854" s="13" t="s">
        <v>1251</v>
      </c>
      <c r="M854" s="66" t="s">
        <v>251</v>
      </c>
      <c r="N854" s="66" t="s">
        <v>625</v>
      </c>
      <c r="P854" s="0" t="s">
        <v>1936</v>
      </c>
      <c r="Q854" s="66" t="s">
        <v>1253</v>
      </c>
    </row>
    <row r="855" customFormat="false" ht="14.25" hidden="false" customHeight="false" outlineLevel="0" collapsed="false">
      <c r="A855" s="13" t="s">
        <v>878</v>
      </c>
      <c r="B855" s="13" t="s">
        <v>504</v>
      </c>
      <c r="C855" s="13" t="s">
        <v>1563</v>
      </c>
      <c r="D855" s="61" t="n">
        <v>45973.2570486111</v>
      </c>
      <c r="E855" s="61" t="n">
        <v>45973.2570486111</v>
      </c>
      <c r="F855" s="61" t="n">
        <v>45973.2639814815</v>
      </c>
      <c r="G855" s="62" t="n">
        <v>0.00693287036847323</v>
      </c>
      <c r="H855" s="13" t="s">
        <v>248</v>
      </c>
      <c r="J855" s="13" t="s">
        <v>249</v>
      </c>
      <c r="K855" s="13" t="s">
        <v>439</v>
      </c>
      <c r="L855" s="13" t="s">
        <v>1251</v>
      </c>
      <c r="M855" s="66" t="s">
        <v>251</v>
      </c>
      <c r="N855" s="66" t="s">
        <v>625</v>
      </c>
      <c r="P855" s="0" t="s">
        <v>1937</v>
      </c>
      <c r="Q855" s="66" t="s">
        <v>1253</v>
      </c>
    </row>
    <row r="856" customFormat="false" ht="14.25" hidden="false" customHeight="false" outlineLevel="0" collapsed="false">
      <c r="A856" s="13" t="s">
        <v>878</v>
      </c>
      <c r="B856" s="13" t="s">
        <v>504</v>
      </c>
      <c r="C856" s="13" t="s">
        <v>1565</v>
      </c>
      <c r="D856" s="61" t="n">
        <v>45973.2571064815</v>
      </c>
      <c r="E856" s="61" t="n">
        <v>45973.2571064815</v>
      </c>
      <c r="F856" s="61" t="n">
        <v>45973.2640393519</v>
      </c>
      <c r="G856" s="62" t="n">
        <v>0.00693287036847323</v>
      </c>
      <c r="H856" s="13" t="s">
        <v>248</v>
      </c>
      <c r="J856" s="13" t="s">
        <v>249</v>
      </c>
      <c r="K856" s="13" t="s">
        <v>439</v>
      </c>
      <c r="L856" s="13" t="s">
        <v>1251</v>
      </c>
      <c r="M856" s="66" t="s">
        <v>251</v>
      </c>
      <c r="N856" s="66" t="s">
        <v>625</v>
      </c>
      <c r="P856" s="0" t="s">
        <v>1938</v>
      </c>
      <c r="Q856" s="66" t="s">
        <v>1253</v>
      </c>
    </row>
    <row r="857" customFormat="false" ht="14.25" hidden="false" customHeight="false" outlineLevel="0" collapsed="false">
      <c r="A857" s="13" t="s">
        <v>878</v>
      </c>
      <c r="B857" s="13" t="s">
        <v>504</v>
      </c>
      <c r="C857" s="13" t="s">
        <v>519</v>
      </c>
      <c r="D857" s="61" t="n">
        <v>45973.2571643519</v>
      </c>
      <c r="E857" s="61" t="n">
        <v>45973.2571643519</v>
      </c>
      <c r="F857" s="61" t="n">
        <v>45973.2641203704</v>
      </c>
      <c r="G857" s="62" t="n">
        <v>0.00695601851475658</v>
      </c>
      <c r="H857" s="13" t="s">
        <v>248</v>
      </c>
      <c r="J857" s="13" t="s">
        <v>249</v>
      </c>
      <c r="K857" s="13" t="s">
        <v>439</v>
      </c>
      <c r="L857" s="13" t="s">
        <v>1251</v>
      </c>
      <c r="M857" s="66" t="s">
        <v>251</v>
      </c>
      <c r="N857" s="66" t="s">
        <v>625</v>
      </c>
      <c r="P857" s="0" t="s">
        <v>1939</v>
      </c>
      <c r="Q857" s="66" t="s">
        <v>1253</v>
      </c>
    </row>
    <row r="858" customFormat="false" ht="14.25" hidden="false" customHeight="false" outlineLevel="0" collapsed="false">
      <c r="A858" s="13" t="s">
        <v>254</v>
      </c>
      <c r="B858" s="13" t="s">
        <v>254</v>
      </c>
      <c r="C858" s="13" t="s">
        <v>255</v>
      </c>
      <c r="D858" s="61" t="n">
        <v>45973.2638888889</v>
      </c>
      <c r="E858" s="61" t="n">
        <v>45973.2638888889</v>
      </c>
      <c r="F858" s="61" t="n">
        <v>45973.2833333333</v>
      </c>
      <c r="G858" s="62" t="n">
        <v>0.0194444444423425</v>
      </c>
      <c r="H858" s="13" t="s">
        <v>248</v>
      </c>
      <c r="J858" s="13" t="s">
        <v>256</v>
      </c>
      <c r="K858" s="13" t="s">
        <v>430</v>
      </c>
      <c r="L858" s="13" t="s">
        <v>881</v>
      </c>
      <c r="M858" s="66" t="s">
        <v>258</v>
      </c>
      <c r="N858" s="66" t="s">
        <v>379</v>
      </c>
      <c r="O858" s="66" t="s">
        <v>399</v>
      </c>
      <c r="P858" s="0" t="s">
        <v>1940</v>
      </c>
      <c r="Q858" s="66" t="s">
        <v>995</v>
      </c>
    </row>
    <row r="859" customFormat="false" ht="14.25" hidden="false" customHeight="false" outlineLevel="0" collapsed="false">
      <c r="A859" s="13" t="s">
        <v>307</v>
      </c>
      <c r="B859" s="13" t="s">
        <v>307</v>
      </c>
      <c r="C859" s="13" t="s">
        <v>255</v>
      </c>
      <c r="D859" s="61" t="n">
        <v>45973.2638888889</v>
      </c>
      <c r="E859" s="61" t="n">
        <v>45973.2638888889</v>
      </c>
      <c r="F859" s="61" t="n">
        <v>45973.2833333333</v>
      </c>
      <c r="G859" s="62" t="n">
        <v>0.0194444444423425</v>
      </c>
      <c r="H859" s="13" t="s">
        <v>248</v>
      </c>
      <c r="J859" s="13" t="s">
        <v>256</v>
      </c>
      <c r="K859" s="13" t="s">
        <v>430</v>
      </c>
      <c r="L859" s="13" t="s">
        <v>881</v>
      </c>
      <c r="M859" s="66" t="s">
        <v>258</v>
      </c>
      <c r="N859" s="66" t="s">
        <v>379</v>
      </c>
      <c r="O859" s="66" t="s">
        <v>399</v>
      </c>
      <c r="P859" s="0" t="s">
        <v>1941</v>
      </c>
      <c r="Q859" s="66" t="s">
        <v>995</v>
      </c>
    </row>
    <row r="860" customFormat="false" ht="14.25" hidden="false" customHeight="false" outlineLevel="0" collapsed="false">
      <c r="A860" s="13" t="s">
        <v>308</v>
      </c>
      <c r="B860" s="13" t="s">
        <v>308</v>
      </c>
      <c r="C860" s="13" t="s">
        <v>255</v>
      </c>
      <c r="D860" s="61" t="n">
        <v>45973.2638888889</v>
      </c>
      <c r="E860" s="61" t="n">
        <v>45973.2638888889</v>
      </c>
      <c r="F860" s="61" t="n">
        <v>45973.2833333333</v>
      </c>
      <c r="G860" s="62" t="n">
        <v>0.0194444444423425</v>
      </c>
      <c r="H860" s="13" t="s">
        <v>248</v>
      </c>
      <c r="J860" s="13" t="s">
        <v>256</v>
      </c>
      <c r="K860" s="13" t="s">
        <v>430</v>
      </c>
      <c r="L860" s="13" t="s">
        <v>881</v>
      </c>
      <c r="M860" s="66" t="s">
        <v>258</v>
      </c>
      <c r="N860" s="66" t="s">
        <v>379</v>
      </c>
      <c r="O860" s="66" t="s">
        <v>399</v>
      </c>
      <c r="P860" s="0" t="s">
        <v>1942</v>
      </c>
      <c r="Q860" s="66" t="s">
        <v>995</v>
      </c>
    </row>
    <row r="861" customFormat="false" ht="14.25" hidden="false" customHeight="false" outlineLevel="0" collapsed="false">
      <c r="A861" s="13" t="s">
        <v>309</v>
      </c>
      <c r="B861" s="13" t="s">
        <v>309</v>
      </c>
      <c r="C861" s="13" t="s">
        <v>255</v>
      </c>
      <c r="D861" s="61" t="n">
        <v>45973.2638888889</v>
      </c>
      <c r="E861" s="61" t="n">
        <v>45973.2638888889</v>
      </c>
      <c r="F861" s="61" t="n">
        <v>45973.2833333333</v>
      </c>
      <c r="G861" s="62" t="n">
        <v>0.0194444444423425</v>
      </c>
      <c r="H861" s="13" t="s">
        <v>248</v>
      </c>
      <c r="J861" s="13" t="s">
        <v>256</v>
      </c>
      <c r="K861" s="13" t="s">
        <v>430</v>
      </c>
      <c r="L861" s="13" t="s">
        <v>881</v>
      </c>
      <c r="M861" s="66" t="s">
        <v>258</v>
      </c>
      <c r="N861" s="66" t="s">
        <v>379</v>
      </c>
      <c r="O861" s="66" t="s">
        <v>399</v>
      </c>
      <c r="P861" s="0" t="s">
        <v>1943</v>
      </c>
      <c r="Q861" s="66" t="s">
        <v>995</v>
      </c>
    </row>
    <row r="862" customFormat="false" ht="14.25" hidden="false" customHeight="false" outlineLevel="0" collapsed="false">
      <c r="A862" s="13" t="s">
        <v>310</v>
      </c>
      <c r="B862" s="13" t="s">
        <v>310</v>
      </c>
      <c r="C862" s="13" t="s">
        <v>255</v>
      </c>
      <c r="D862" s="61" t="n">
        <v>45973.2638888889</v>
      </c>
      <c r="E862" s="61" t="n">
        <v>45973.2638888889</v>
      </c>
      <c r="F862" s="61" t="n">
        <v>45973.2833333333</v>
      </c>
      <c r="G862" s="62" t="n">
        <v>0.0194444444423425</v>
      </c>
      <c r="H862" s="13" t="s">
        <v>248</v>
      </c>
      <c r="J862" s="13" t="s">
        <v>256</v>
      </c>
      <c r="K862" s="13" t="s">
        <v>430</v>
      </c>
      <c r="L862" s="13" t="s">
        <v>881</v>
      </c>
      <c r="M862" s="66" t="s">
        <v>258</v>
      </c>
      <c r="N862" s="66" t="s">
        <v>379</v>
      </c>
      <c r="O862" s="66" t="s">
        <v>399</v>
      </c>
      <c r="P862" s="0" t="s">
        <v>1944</v>
      </c>
      <c r="Q862" s="66" t="s">
        <v>995</v>
      </c>
    </row>
    <row r="863" customFormat="false" ht="14.25" hidden="false" customHeight="false" outlineLevel="0" collapsed="false">
      <c r="A863" s="13" t="s">
        <v>896</v>
      </c>
      <c r="B863" s="13" t="s">
        <v>650</v>
      </c>
      <c r="C863" s="13" t="s">
        <v>651</v>
      </c>
      <c r="D863" s="61" t="n">
        <v>45973.4513888889</v>
      </c>
      <c r="E863" s="61" t="n">
        <v>45973.4513888889</v>
      </c>
      <c r="F863" s="61" t="n">
        <v>45973.64375</v>
      </c>
      <c r="G863" s="62" t="n">
        <v>0.192361111112405</v>
      </c>
      <c r="H863" s="13" t="s">
        <v>313</v>
      </c>
      <c r="J863" s="13" t="s">
        <v>230</v>
      </c>
      <c r="K863" s="13" t="s">
        <v>230</v>
      </c>
      <c r="L863" s="13" t="s">
        <v>1569</v>
      </c>
      <c r="M863" s="66" t="s">
        <v>288</v>
      </c>
      <c r="N863" s="66" t="s">
        <v>315</v>
      </c>
      <c r="O863" s="66" t="s">
        <v>1945</v>
      </c>
      <c r="P863" s="0" t="s">
        <v>1946</v>
      </c>
      <c r="Q863" s="66" t="s">
        <v>1393</v>
      </c>
    </row>
    <row r="864" customFormat="false" ht="14.25" hidden="false" customHeight="false" outlineLevel="0" collapsed="false">
      <c r="A864" s="13" t="s">
        <v>896</v>
      </c>
      <c r="B864" s="13" t="s">
        <v>650</v>
      </c>
      <c r="C864" s="13" t="s">
        <v>653</v>
      </c>
      <c r="D864" s="61" t="n">
        <v>45973.4513888889</v>
      </c>
      <c r="E864" s="61" t="n">
        <v>45973.4513888889</v>
      </c>
      <c r="F864" s="61" t="n">
        <v>45973.64375</v>
      </c>
      <c r="G864" s="62" t="n">
        <v>0.192361111112405</v>
      </c>
      <c r="H864" s="13" t="s">
        <v>313</v>
      </c>
      <c r="J864" s="13" t="s">
        <v>230</v>
      </c>
      <c r="K864" s="13" t="s">
        <v>230</v>
      </c>
      <c r="L864" s="13" t="s">
        <v>1569</v>
      </c>
      <c r="M864" s="66" t="s">
        <v>288</v>
      </c>
      <c r="N864" s="66" t="s">
        <v>315</v>
      </c>
      <c r="O864" s="66" t="s">
        <v>1945</v>
      </c>
      <c r="P864" s="0" t="s">
        <v>1947</v>
      </c>
      <c r="Q864" s="66" t="s">
        <v>1393</v>
      </c>
    </row>
    <row r="865" customFormat="false" ht="14.25" hidden="false" customHeight="false" outlineLevel="0" collapsed="false">
      <c r="A865" s="13" t="s">
        <v>896</v>
      </c>
      <c r="B865" s="13" t="s">
        <v>650</v>
      </c>
      <c r="C865" s="13" t="s">
        <v>654</v>
      </c>
      <c r="D865" s="61" t="n">
        <v>45973.4513888889</v>
      </c>
      <c r="E865" s="61" t="n">
        <v>45973.4513888889</v>
      </c>
      <c r="F865" s="61" t="n">
        <v>45973.64375</v>
      </c>
      <c r="G865" s="62" t="n">
        <v>0.192361111112405</v>
      </c>
      <c r="H865" s="13" t="s">
        <v>313</v>
      </c>
      <c r="J865" s="13" t="s">
        <v>230</v>
      </c>
      <c r="K865" s="13" t="s">
        <v>230</v>
      </c>
      <c r="L865" s="13" t="s">
        <v>1569</v>
      </c>
      <c r="M865" s="66" t="s">
        <v>288</v>
      </c>
      <c r="N865" s="66" t="s">
        <v>315</v>
      </c>
      <c r="O865" s="66" t="s">
        <v>1945</v>
      </c>
      <c r="P865" s="0" t="s">
        <v>1948</v>
      </c>
      <c r="Q865" s="66" t="s">
        <v>1393</v>
      </c>
    </row>
    <row r="866" customFormat="false" ht="14.25" hidden="false" customHeight="false" outlineLevel="0" collapsed="false">
      <c r="A866" s="13" t="s">
        <v>896</v>
      </c>
      <c r="B866" s="13" t="s">
        <v>650</v>
      </c>
      <c r="C866" s="13" t="s">
        <v>655</v>
      </c>
      <c r="D866" s="61" t="n">
        <v>45973.4513888889</v>
      </c>
      <c r="E866" s="61" t="n">
        <v>45973.4513888889</v>
      </c>
      <c r="F866" s="61" t="n">
        <v>45973.64375</v>
      </c>
      <c r="G866" s="62" t="n">
        <v>0.192361111112405</v>
      </c>
      <c r="H866" s="13" t="s">
        <v>313</v>
      </c>
      <c r="J866" s="13" t="s">
        <v>230</v>
      </c>
      <c r="K866" s="13" t="s">
        <v>230</v>
      </c>
      <c r="L866" s="13" t="s">
        <v>1569</v>
      </c>
      <c r="M866" s="66" t="s">
        <v>288</v>
      </c>
      <c r="N866" s="66" t="s">
        <v>315</v>
      </c>
      <c r="O866" s="66" t="s">
        <v>1945</v>
      </c>
      <c r="P866" s="0" t="s">
        <v>1949</v>
      </c>
      <c r="Q866" s="66" t="s">
        <v>1393</v>
      </c>
    </row>
    <row r="867" customFormat="false" ht="14.25" hidden="false" customHeight="false" outlineLevel="0" collapsed="false">
      <c r="A867" s="13" t="s">
        <v>896</v>
      </c>
      <c r="B867" s="13" t="s">
        <v>650</v>
      </c>
      <c r="C867" s="13" t="s">
        <v>656</v>
      </c>
      <c r="D867" s="61" t="n">
        <v>45973.4513888889</v>
      </c>
      <c r="E867" s="61" t="n">
        <v>45973.4513888889</v>
      </c>
      <c r="F867" s="61" t="n">
        <v>45973.64375</v>
      </c>
      <c r="G867" s="62" t="n">
        <v>0.192361111112405</v>
      </c>
      <c r="H867" s="13" t="s">
        <v>313</v>
      </c>
      <c r="J867" s="13" t="s">
        <v>230</v>
      </c>
      <c r="K867" s="13" t="s">
        <v>230</v>
      </c>
      <c r="L867" s="13" t="s">
        <v>1569</v>
      </c>
      <c r="M867" s="66" t="s">
        <v>288</v>
      </c>
      <c r="N867" s="66" t="s">
        <v>315</v>
      </c>
      <c r="O867" s="66" t="s">
        <v>1945</v>
      </c>
      <c r="P867" s="0" t="s">
        <v>1950</v>
      </c>
      <c r="Q867" s="66" t="s">
        <v>1393</v>
      </c>
    </row>
    <row r="868" customFormat="false" ht="14.25" hidden="false" customHeight="false" outlineLevel="0" collapsed="false">
      <c r="A868" s="13" t="s">
        <v>896</v>
      </c>
      <c r="B868" s="13" t="s">
        <v>650</v>
      </c>
      <c r="C868" s="13" t="s">
        <v>657</v>
      </c>
      <c r="D868" s="61" t="n">
        <v>45973.4513888889</v>
      </c>
      <c r="E868" s="61" t="n">
        <v>45973.4513888889</v>
      </c>
      <c r="F868" s="61" t="n">
        <v>45973.64375</v>
      </c>
      <c r="G868" s="62" t="n">
        <v>0.192361111112405</v>
      </c>
      <c r="H868" s="13" t="s">
        <v>313</v>
      </c>
      <c r="J868" s="13" t="s">
        <v>230</v>
      </c>
      <c r="K868" s="13" t="s">
        <v>230</v>
      </c>
      <c r="L868" s="13" t="s">
        <v>1569</v>
      </c>
      <c r="M868" s="66" t="s">
        <v>288</v>
      </c>
      <c r="N868" s="66" t="s">
        <v>315</v>
      </c>
      <c r="O868" s="66" t="s">
        <v>1945</v>
      </c>
      <c r="P868" s="0" t="s">
        <v>1951</v>
      </c>
      <c r="Q868" s="66" t="s">
        <v>1393</v>
      </c>
    </row>
    <row r="869" customFormat="false" ht="14.25" hidden="false" customHeight="false" outlineLevel="0" collapsed="false">
      <c r="A869" s="13" t="s">
        <v>896</v>
      </c>
      <c r="B869" s="13" t="s">
        <v>650</v>
      </c>
      <c r="C869" s="13" t="s">
        <v>658</v>
      </c>
      <c r="D869" s="61" t="n">
        <v>45973.4513888889</v>
      </c>
      <c r="E869" s="61" t="n">
        <v>45973.4513888889</v>
      </c>
      <c r="F869" s="61" t="n">
        <v>45973.64375</v>
      </c>
      <c r="G869" s="62" t="n">
        <v>0.192361111112405</v>
      </c>
      <c r="H869" s="13" t="s">
        <v>313</v>
      </c>
      <c r="J869" s="13" t="s">
        <v>230</v>
      </c>
      <c r="K869" s="13" t="s">
        <v>230</v>
      </c>
      <c r="L869" s="13" t="s">
        <v>1569</v>
      </c>
      <c r="M869" s="66" t="s">
        <v>288</v>
      </c>
      <c r="N869" s="66" t="s">
        <v>315</v>
      </c>
      <c r="O869" s="66" t="s">
        <v>1945</v>
      </c>
      <c r="P869" s="0" t="s">
        <v>1952</v>
      </c>
      <c r="Q869" s="66" t="s">
        <v>1393</v>
      </c>
    </row>
    <row r="870" customFormat="false" ht="14.25" hidden="false" customHeight="false" outlineLevel="0" collapsed="false">
      <c r="A870" s="13" t="s">
        <v>896</v>
      </c>
      <c r="B870" s="13" t="s">
        <v>650</v>
      </c>
      <c r="C870" s="13" t="s">
        <v>659</v>
      </c>
      <c r="D870" s="61" t="n">
        <v>45973.4513888889</v>
      </c>
      <c r="E870" s="61" t="n">
        <v>45973.4513888889</v>
      </c>
      <c r="F870" s="61" t="n">
        <v>45973.64375</v>
      </c>
      <c r="G870" s="62" t="n">
        <v>0.192361111112405</v>
      </c>
      <c r="H870" s="13" t="s">
        <v>313</v>
      </c>
      <c r="J870" s="13" t="s">
        <v>230</v>
      </c>
      <c r="K870" s="13" t="s">
        <v>230</v>
      </c>
      <c r="L870" s="13" t="s">
        <v>1569</v>
      </c>
      <c r="M870" s="66" t="s">
        <v>288</v>
      </c>
      <c r="N870" s="66" t="s">
        <v>315</v>
      </c>
      <c r="O870" s="66" t="s">
        <v>1945</v>
      </c>
      <c r="P870" s="0" t="s">
        <v>1953</v>
      </c>
      <c r="Q870" s="66" t="s">
        <v>1393</v>
      </c>
    </row>
    <row r="871" customFormat="false" ht="14.25" hidden="false" customHeight="false" outlineLevel="0" collapsed="false">
      <c r="A871" s="13" t="s">
        <v>896</v>
      </c>
      <c r="B871" s="13" t="s">
        <v>650</v>
      </c>
      <c r="C871" s="13" t="s">
        <v>660</v>
      </c>
      <c r="D871" s="61" t="n">
        <v>45973.4513888889</v>
      </c>
      <c r="E871" s="61" t="n">
        <v>45973.4513888889</v>
      </c>
      <c r="F871" s="61" t="n">
        <v>45973.64375</v>
      </c>
      <c r="G871" s="62" t="n">
        <v>0.192361111112405</v>
      </c>
      <c r="H871" s="13" t="s">
        <v>313</v>
      </c>
      <c r="J871" s="13" t="s">
        <v>230</v>
      </c>
      <c r="K871" s="13" t="s">
        <v>230</v>
      </c>
      <c r="L871" s="13" t="s">
        <v>1569</v>
      </c>
      <c r="M871" s="66" t="s">
        <v>288</v>
      </c>
      <c r="N871" s="66" t="s">
        <v>315</v>
      </c>
      <c r="O871" s="66" t="s">
        <v>1945</v>
      </c>
      <c r="P871" s="0" t="s">
        <v>1954</v>
      </c>
      <c r="Q871" s="66" t="s">
        <v>1393</v>
      </c>
    </row>
    <row r="872" customFormat="false" ht="14.25" hidden="false" customHeight="false" outlineLevel="0" collapsed="false">
      <c r="A872" s="13" t="s">
        <v>896</v>
      </c>
      <c r="B872" s="13" t="s">
        <v>650</v>
      </c>
      <c r="C872" s="13" t="s">
        <v>661</v>
      </c>
      <c r="D872" s="61" t="n">
        <v>45973.4513888889</v>
      </c>
      <c r="E872" s="61" t="n">
        <v>45973.4513888889</v>
      </c>
      <c r="F872" s="61" t="n">
        <v>45973.64375</v>
      </c>
      <c r="G872" s="62" t="n">
        <v>0.192361111112405</v>
      </c>
      <c r="H872" s="13" t="s">
        <v>313</v>
      </c>
      <c r="J872" s="13" t="s">
        <v>230</v>
      </c>
      <c r="K872" s="13" t="s">
        <v>230</v>
      </c>
      <c r="L872" s="13" t="s">
        <v>1569</v>
      </c>
      <c r="M872" s="66" t="s">
        <v>288</v>
      </c>
      <c r="N872" s="66" t="s">
        <v>315</v>
      </c>
      <c r="O872" s="66" t="s">
        <v>1945</v>
      </c>
      <c r="P872" s="0" t="s">
        <v>1955</v>
      </c>
      <c r="Q872" s="66" t="s">
        <v>1393</v>
      </c>
    </row>
    <row r="873" customFormat="false" ht="14.25" hidden="false" customHeight="false" outlineLevel="0" collapsed="false">
      <c r="A873" s="13" t="s">
        <v>896</v>
      </c>
      <c r="B873" s="13" t="s">
        <v>650</v>
      </c>
      <c r="C873" s="13" t="s">
        <v>662</v>
      </c>
      <c r="D873" s="61" t="n">
        <v>45973.4513888889</v>
      </c>
      <c r="E873" s="61" t="n">
        <v>45973.4513888889</v>
      </c>
      <c r="F873" s="61" t="n">
        <v>45973.64375</v>
      </c>
      <c r="G873" s="62" t="n">
        <v>0.192361111112405</v>
      </c>
      <c r="H873" s="13" t="s">
        <v>313</v>
      </c>
      <c r="J873" s="13" t="s">
        <v>230</v>
      </c>
      <c r="K873" s="13" t="s">
        <v>230</v>
      </c>
      <c r="L873" s="13" t="s">
        <v>1569</v>
      </c>
      <c r="M873" s="66" t="s">
        <v>288</v>
      </c>
      <c r="N873" s="66" t="s">
        <v>315</v>
      </c>
      <c r="O873" s="66" t="s">
        <v>1945</v>
      </c>
      <c r="P873" s="0" t="s">
        <v>1956</v>
      </c>
      <c r="Q873" s="66" t="s">
        <v>1393</v>
      </c>
    </row>
    <row r="874" customFormat="false" ht="14.25" hidden="false" customHeight="false" outlineLevel="0" collapsed="false">
      <c r="A874" s="13" t="s">
        <v>896</v>
      </c>
      <c r="B874" s="13" t="s">
        <v>650</v>
      </c>
      <c r="C874" s="13" t="s">
        <v>663</v>
      </c>
      <c r="D874" s="61" t="n">
        <v>45973.4513888889</v>
      </c>
      <c r="E874" s="61" t="n">
        <v>45973.4513888889</v>
      </c>
      <c r="F874" s="61" t="n">
        <v>45973.64375</v>
      </c>
      <c r="G874" s="62" t="n">
        <v>0.192361111112405</v>
      </c>
      <c r="H874" s="13" t="s">
        <v>313</v>
      </c>
      <c r="J874" s="13" t="s">
        <v>230</v>
      </c>
      <c r="K874" s="13" t="s">
        <v>230</v>
      </c>
      <c r="L874" s="13" t="s">
        <v>1569</v>
      </c>
      <c r="M874" s="66" t="s">
        <v>288</v>
      </c>
      <c r="N874" s="66" t="s">
        <v>315</v>
      </c>
      <c r="O874" s="66" t="s">
        <v>1945</v>
      </c>
      <c r="P874" s="0" t="s">
        <v>1957</v>
      </c>
      <c r="Q874" s="66" t="s">
        <v>1393</v>
      </c>
    </row>
    <row r="875" customFormat="false" ht="14.25" hidden="false" customHeight="false" outlineLevel="0" collapsed="false">
      <c r="A875" s="13" t="s">
        <v>896</v>
      </c>
      <c r="B875" s="13" t="s">
        <v>650</v>
      </c>
      <c r="C875" s="13" t="s">
        <v>664</v>
      </c>
      <c r="D875" s="61" t="n">
        <v>45973.4513888889</v>
      </c>
      <c r="E875" s="61" t="n">
        <v>45973.4513888889</v>
      </c>
      <c r="F875" s="61" t="n">
        <v>45973.64375</v>
      </c>
      <c r="G875" s="62" t="n">
        <v>0.192361111112405</v>
      </c>
      <c r="H875" s="13" t="s">
        <v>313</v>
      </c>
      <c r="J875" s="13" t="s">
        <v>230</v>
      </c>
      <c r="K875" s="13" t="s">
        <v>230</v>
      </c>
      <c r="L875" s="13" t="s">
        <v>1569</v>
      </c>
      <c r="M875" s="66" t="s">
        <v>288</v>
      </c>
      <c r="N875" s="66" t="s">
        <v>315</v>
      </c>
      <c r="O875" s="66" t="s">
        <v>1945</v>
      </c>
      <c r="P875" s="0" t="s">
        <v>1958</v>
      </c>
      <c r="Q875" s="66" t="s">
        <v>1393</v>
      </c>
    </row>
    <row r="876" customFormat="false" ht="14.25" hidden="false" customHeight="false" outlineLevel="0" collapsed="false">
      <c r="A876" s="13" t="s">
        <v>896</v>
      </c>
      <c r="B876" s="13" t="s">
        <v>650</v>
      </c>
      <c r="C876" s="13" t="s">
        <v>665</v>
      </c>
      <c r="D876" s="61" t="n">
        <v>45973.4513888889</v>
      </c>
      <c r="E876" s="61" t="n">
        <v>45973.4513888889</v>
      </c>
      <c r="F876" s="61" t="n">
        <v>45973.64375</v>
      </c>
      <c r="G876" s="62" t="n">
        <v>0.192361111112405</v>
      </c>
      <c r="H876" s="13" t="s">
        <v>313</v>
      </c>
      <c r="J876" s="13" t="s">
        <v>230</v>
      </c>
      <c r="K876" s="13" t="s">
        <v>230</v>
      </c>
      <c r="L876" s="13" t="s">
        <v>1569</v>
      </c>
      <c r="M876" s="66" t="s">
        <v>288</v>
      </c>
      <c r="N876" s="66" t="s">
        <v>315</v>
      </c>
      <c r="O876" s="66" t="s">
        <v>1945</v>
      </c>
      <c r="P876" s="0" t="s">
        <v>1959</v>
      </c>
      <c r="Q876" s="66" t="s">
        <v>1393</v>
      </c>
    </row>
    <row r="877" customFormat="false" ht="14.25" hidden="false" customHeight="false" outlineLevel="0" collapsed="false">
      <c r="A877" s="13" t="s">
        <v>896</v>
      </c>
      <c r="B877" s="13" t="s">
        <v>650</v>
      </c>
      <c r="C877" s="13" t="s">
        <v>666</v>
      </c>
      <c r="D877" s="61" t="n">
        <v>45973.4513888889</v>
      </c>
      <c r="E877" s="61" t="n">
        <v>45973.4513888889</v>
      </c>
      <c r="F877" s="61" t="n">
        <v>45973.64375</v>
      </c>
      <c r="G877" s="62" t="n">
        <v>0.192361111112405</v>
      </c>
      <c r="H877" s="13" t="s">
        <v>313</v>
      </c>
      <c r="J877" s="13" t="s">
        <v>230</v>
      </c>
      <c r="K877" s="13" t="s">
        <v>230</v>
      </c>
      <c r="L877" s="13" t="s">
        <v>1569</v>
      </c>
      <c r="M877" s="66" t="s">
        <v>288</v>
      </c>
      <c r="N877" s="66" t="s">
        <v>315</v>
      </c>
      <c r="O877" s="66" t="s">
        <v>1945</v>
      </c>
      <c r="P877" s="0" t="s">
        <v>1960</v>
      </c>
      <c r="Q877" s="66" t="s">
        <v>1393</v>
      </c>
    </row>
    <row r="878" customFormat="false" ht="14.25" hidden="false" customHeight="false" outlineLevel="0" collapsed="false">
      <c r="A878" s="13" t="s">
        <v>896</v>
      </c>
      <c r="B878" s="13" t="s">
        <v>650</v>
      </c>
      <c r="C878" s="13" t="s">
        <v>667</v>
      </c>
      <c r="D878" s="61" t="n">
        <v>45973.4513888889</v>
      </c>
      <c r="E878" s="61" t="n">
        <v>45973.4513888889</v>
      </c>
      <c r="F878" s="61" t="n">
        <v>45973.64375</v>
      </c>
      <c r="G878" s="62" t="n">
        <v>0.192361111112405</v>
      </c>
      <c r="H878" s="13" t="s">
        <v>313</v>
      </c>
      <c r="J878" s="13" t="s">
        <v>230</v>
      </c>
      <c r="K878" s="13" t="s">
        <v>230</v>
      </c>
      <c r="L878" s="13" t="s">
        <v>1569</v>
      </c>
      <c r="M878" s="66" t="s">
        <v>288</v>
      </c>
      <c r="N878" s="66" t="s">
        <v>315</v>
      </c>
      <c r="O878" s="66" t="s">
        <v>1945</v>
      </c>
      <c r="P878" s="0" t="s">
        <v>1961</v>
      </c>
      <c r="Q878" s="66" t="s">
        <v>1393</v>
      </c>
    </row>
    <row r="879" customFormat="false" ht="14.25" hidden="false" customHeight="false" outlineLevel="0" collapsed="false">
      <c r="A879" s="13" t="s">
        <v>896</v>
      </c>
      <c r="B879" s="13" t="s">
        <v>650</v>
      </c>
      <c r="C879" s="13" t="s">
        <v>668</v>
      </c>
      <c r="D879" s="61" t="n">
        <v>45973.4513888889</v>
      </c>
      <c r="E879" s="61" t="n">
        <v>45973.4513888889</v>
      </c>
      <c r="F879" s="61" t="n">
        <v>45973.64375</v>
      </c>
      <c r="G879" s="62" t="n">
        <v>0.192361111112405</v>
      </c>
      <c r="H879" s="13" t="s">
        <v>313</v>
      </c>
      <c r="J879" s="13" t="s">
        <v>230</v>
      </c>
      <c r="K879" s="13" t="s">
        <v>230</v>
      </c>
      <c r="L879" s="13" t="s">
        <v>1569</v>
      </c>
      <c r="M879" s="66" t="s">
        <v>288</v>
      </c>
      <c r="N879" s="66" t="s">
        <v>315</v>
      </c>
      <c r="O879" s="66" t="s">
        <v>1945</v>
      </c>
      <c r="P879" s="0" t="s">
        <v>1962</v>
      </c>
      <c r="Q879" s="66" t="s">
        <v>1393</v>
      </c>
    </row>
    <row r="880" customFormat="false" ht="14.25" hidden="false" customHeight="false" outlineLevel="0" collapsed="false">
      <c r="A880" s="13" t="s">
        <v>254</v>
      </c>
      <c r="B880" s="13" t="s">
        <v>254</v>
      </c>
      <c r="C880" s="13" t="s">
        <v>255</v>
      </c>
      <c r="D880" s="61" t="n">
        <v>45973.5569444444</v>
      </c>
      <c r="E880" s="61" t="n">
        <v>45973.5569444444</v>
      </c>
      <c r="F880" s="61" t="n">
        <v>45973.5604166667</v>
      </c>
      <c r="G880" s="62" t="n">
        <v>0.00347222222626442</v>
      </c>
      <c r="H880" s="13" t="s">
        <v>248</v>
      </c>
      <c r="J880" s="13" t="s">
        <v>256</v>
      </c>
      <c r="K880" s="13" t="s">
        <v>430</v>
      </c>
      <c r="L880" s="13" t="s">
        <v>881</v>
      </c>
      <c r="M880" s="66" t="s">
        <v>258</v>
      </c>
      <c r="N880" s="66" t="s">
        <v>379</v>
      </c>
      <c r="O880" s="66" t="s">
        <v>399</v>
      </c>
      <c r="P880" s="0" t="s">
        <v>1963</v>
      </c>
      <c r="Q880" s="66" t="s">
        <v>995</v>
      </c>
    </row>
    <row r="881" customFormat="false" ht="14.25" hidden="false" customHeight="false" outlineLevel="0" collapsed="false">
      <c r="A881" s="13" t="s">
        <v>307</v>
      </c>
      <c r="B881" s="13" t="s">
        <v>307</v>
      </c>
      <c r="C881" s="13" t="s">
        <v>255</v>
      </c>
      <c r="D881" s="61" t="n">
        <v>45973.5569444444</v>
      </c>
      <c r="E881" s="61" t="n">
        <v>45973.5569444444</v>
      </c>
      <c r="F881" s="61" t="n">
        <v>45973.5604166667</v>
      </c>
      <c r="G881" s="62" t="n">
        <v>0.00347222222626442</v>
      </c>
      <c r="H881" s="13" t="s">
        <v>248</v>
      </c>
      <c r="J881" s="13" t="s">
        <v>256</v>
      </c>
      <c r="K881" s="13" t="s">
        <v>430</v>
      </c>
      <c r="L881" s="13" t="s">
        <v>881</v>
      </c>
      <c r="M881" s="66" t="s">
        <v>258</v>
      </c>
      <c r="N881" s="66" t="s">
        <v>379</v>
      </c>
      <c r="O881" s="66" t="s">
        <v>399</v>
      </c>
      <c r="P881" s="0" t="s">
        <v>1964</v>
      </c>
      <c r="Q881" s="66" t="s">
        <v>995</v>
      </c>
    </row>
    <row r="882" customFormat="false" ht="14.25" hidden="false" customHeight="false" outlineLevel="0" collapsed="false">
      <c r="A882" s="13" t="s">
        <v>308</v>
      </c>
      <c r="B882" s="13" t="s">
        <v>308</v>
      </c>
      <c r="C882" s="13" t="s">
        <v>255</v>
      </c>
      <c r="D882" s="61" t="n">
        <v>45973.5569444444</v>
      </c>
      <c r="E882" s="61" t="n">
        <v>45973.5569444444</v>
      </c>
      <c r="F882" s="61" t="n">
        <v>45973.5604166667</v>
      </c>
      <c r="G882" s="62" t="n">
        <v>0.00347222222626442</v>
      </c>
      <c r="H882" s="13" t="s">
        <v>248</v>
      </c>
      <c r="J882" s="13" t="s">
        <v>256</v>
      </c>
      <c r="K882" s="13" t="s">
        <v>430</v>
      </c>
      <c r="L882" s="13" t="s">
        <v>881</v>
      </c>
      <c r="M882" s="66" t="s">
        <v>258</v>
      </c>
      <c r="N882" s="66" t="s">
        <v>379</v>
      </c>
      <c r="O882" s="66" t="s">
        <v>399</v>
      </c>
      <c r="P882" s="0" t="s">
        <v>1965</v>
      </c>
      <c r="Q882" s="66" t="s">
        <v>995</v>
      </c>
    </row>
    <row r="883" customFormat="false" ht="14.25" hidden="false" customHeight="false" outlineLevel="0" collapsed="false">
      <c r="A883" s="13" t="s">
        <v>309</v>
      </c>
      <c r="B883" s="13" t="s">
        <v>309</v>
      </c>
      <c r="C883" s="13" t="s">
        <v>255</v>
      </c>
      <c r="D883" s="61" t="n">
        <v>45973.5569444444</v>
      </c>
      <c r="E883" s="61" t="n">
        <v>45973.5569444444</v>
      </c>
      <c r="F883" s="61" t="n">
        <v>45973.5604166667</v>
      </c>
      <c r="G883" s="62" t="n">
        <v>0.00347222222626442</v>
      </c>
      <c r="H883" s="13" t="s">
        <v>248</v>
      </c>
      <c r="J883" s="13" t="s">
        <v>256</v>
      </c>
      <c r="K883" s="13" t="s">
        <v>430</v>
      </c>
      <c r="L883" s="13" t="s">
        <v>881</v>
      </c>
      <c r="M883" s="66" t="s">
        <v>258</v>
      </c>
      <c r="N883" s="66" t="s">
        <v>379</v>
      </c>
      <c r="O883" s="66" t="s">
        <v>399</v>
      </c>
      <c r="P883" s="0" t="s">
        <v>1966</v>
      </c>
      <c r="Q883" s="66" t="s">
        <v>995</v>
      </c>
    </row>
    <row r="884" customFormat="false" ht="14.25" hidden="false" customHeight="false" outlineLevel="0" collapsed="false">
      <c r="A884" s="13" t="s">
        <v>310</v>
      </c>
      <c r="B884" s="13" t="s">
        <v>310</v>
      </c>
      <c r="C884" s="13" t="s">
        <v>255</v>
      </c>
      <c r="D884" s="61" t="n">
        <v>45973.5569444444</v>
      </c>
      <c r="E884" s="61" t="n">
        <v>45973.5569444444</v>
      </c>
      <c r="F884" s="61" t="n">
        <v>45973.5604166667</v>
      </c>
      <c r="G884" s="62" t="n">
        <v>0.00347222222626442</v>
      </c>
      <c r="H884" s="13" t="s">
        <v>248</v>
      </c>
      <c r="J884" s="13" t="s">
        <v>256</v>
      </c>
      <c r="K884" s="13" t="s">
        <v>430</v>
      </c>
      <c r="L884" s="13" t="s">
        <v>881</v>
      </c>
      <c r="M884" s="66" t="s">
        <v>258</v>
      </c>
      <c r="N884" s="66" t="s">
        <v>379</v>
      </c>
      <c r="O884" s="66" t="s">
        <v>399</v>
      </c>
      <c r="P884" s="0" t="s">
        <v>1967</v>
      </c>
      <c r="Q884" s="66" t="s">
        <v>995</v>
      </c>
    </row>
    <row r="885" customFormat="false" ht="14.25" hidden="false" customHeight="false" outlineLevel="0" collapsed="false">
      <c r="A885" s="13" t="s">
        <v>1155</v>
      </c>
      <c r="B885" s="13" t="s">
        <v>643</v>
      </c>
      <c r="C885" s="13" t="s">
        <v>644</v>
      </c>
      <c r="D885" s="61" t="n">
        <v>45973.6493055556</v>
      </c>
      <c r="E885" s="61" t="n">
        <v>45973.6493055556</v>
      </c>
      <c r="F885" s="61" t="n">
        <v>45973.7229166667</v>
      </c>
      <c r="G885" s="62" t="n">
        <v>0.0736111111109494</v>
      </c>
      <c r="H885" s="13" t="s">
        <v>313</v>
      </c>
      <c r="J885" s="13" t="s">
        <v>230</v>
      </c>
      <c r="K885" s="13" t="s">
        <v>230</v>
      </c>
      <c r="L885" s="13" t="s">
        <v>1569</v>
      </c>
      <c r="M885" s="66" t="s">
        <v>288</v>
      </c>
      <c r="N885" s="66" t="s">
        <v>315</v>
      </c>
      <c r="O885" s="66" t="s">
        <v>1945</v>
      </c>
      <c r="P885" s="0" t="s">
        <v>1968</v>
      </c>
      <c r="Q885" s="66" t="s">
        <v>1393</v>
      </c>
    </row>
    <row r="886" customFormat="false" ht="14.25" hidden="false" customHeight="false" outlineLevel="0" collapsed="false">
      <c r="A886" s="13" t="s">
        <v>1155</v>
      </c>
      <c r="B886" s="13" t="s">
        <v>643</v>
      </c>
      <c r="C886" s="13" t="s">
        <v>647</v>
      </c>
      <c r="D886" s="61" t="n">
        <v>45973.6493055556</v>
      </c>
      <c r="E886" s="61" t="n">
        <v>45973.6493055556</v>
      </c>
      <c r="F886" s="61" t="n">
        <v>45973.7229166667</v>
      </c>
      <c r="G886" s="62" t="n">
        <v>0.0736111111109494</v>
      </c>
      <c r="H886" s="13" t="s">
        <v>313</v>
      </c>
      <c r="J886" s="13" t="s">
        <v>230</v>
      </c>
      <c r="K886" s="13" t="s">
        <v>230</v>
      </c>
      <c r="L886" s="13" t="s">
        <v>1569</v>
      </c>
      <c r="M886" s="66" t="s">
        <v>288</v>
      </c>
      <c r="N886" s="66" t="s">
        <v>315</v>
      </c>
      <c r="O886" s="66" t="s">
        <v>1945</v>
      </c>
      <c r="P886" s="0" t="s">
        <v>1969</v>
      </c>
      <c r="Q886" s="66" t="s">
        <v>1393</v>
      </c>
    </row>
    <row r="887" customFormat="false" ht="14.25" hidden="false" customHeight="false" outlineLevel="0" collapsed="false">
      <c r="A887" s="13" t="s">
        <v>1155</v>
      </c>
      <c r="B887" s="13" t="s">
        <v>643</v>
      </c>
      <c r="C887" s="13" t="s">
        <v>648</v>
      </c>
      <c r="D887" s="61" t="n">
        <v>45973.6493055556</v>
      </c>
      <c r="E887" s="61" t="n">
        <v>45973.6493055556</v>
      </c>
      <c r="F887" s="61" t="n">
        <v>45973.7229166667</v>
      </c>
      <c r="G887" s="62" t="n">
        <v>0.0736111111109494</v>
      </c>
      <c r="H887" s="13" t="s">
        <v>313</v>
      </c>
      <c r="J887" s="13" t="s">
        <v>230</v>
      </c>
      <c r="K887" s="13" t="s">
        <v>230</v>
      </c>
      <c r="L887" s="13" t="s">
        <v>1569</v>
      </c>
      <c r="M887" s="66" t="s">
        <v>288</v>
      </c>
      <c r="N887" s="66" t="s">
        <v>315</v>
      </c>
      <c r="O887" s="66" t="s">
        <v>1945</v>
      </c>
      <c r="P887" s="0" t="s">
        <v>1970</v>
      </c>
      <c r="Q887" s="66" t="s">
        <v>1393</v>
      </c>
    </row>
    <row r="888" customFormat="false" ht="14.25" hidden="false" customHeight="false" outlineLevel="0" collapsed="false">
      <c r="A888" s="13" t="s">
        <v>1155</v>
      </c>
      <c r="B888" s="13" t="s">
        <v>643</v>
      </c>
      <c r="C888" s="13" t="s">
        <v>649</v>
      </c>
      <c r="D888" s="61" t="n">
        <v>45973.6493055556</v>
      </c>
      <c r="E888" s="61" t="n">
        <v>45973.6493055556</v>
      </c>
      <c r="F888" s="61" t="n">
        <v>45973.7229166667</v>
      </c>
      <c r="G888" s="62" t="n">
        <v>0.0736111111109494</v>
      </c>
      <c r="H888" s="13" t="s">
        <v>313</v>
      </c>
      <c r="J888" s="13" t="s">
        <v>230</v>
      </c>
      <c r="K888" s="13" t="s">
        <v>230</v>
      </c>
      <c r="L888" s="13" t="s">
        <v>1569</v>
      </c>
      <c r="M888" s="66" t="s">
        <v>288</v>
      </c>
      <c r="N888" s="66" t="s">
        <v>315</v>
      </c>
      <c r="O888" s="66" t="s">
        <v>1945</v>
      </c>
      <c r="P888" s="0" t="s">
        <v>1971</v>
      </c>
      <c r="Q888" s="66" t="s">
        <v>1393</v>
      </c>
    </row>
    <row r="889" customFormat="false" ht="82.05" hidden="false" customHeight="false" outlineLevel="0" collapsed="false">
      <c r="A889" s="13" t="s">
        <v>1499</v>
      </c>
      <c r="B889" s="13" t="s">
        <v>333</v>
      </c>
      <c r="C889" s="13" t="s">
        <v>355</v>
      </c>
      <c r="D889" s="61" t="n">
        <v>45974.09375</v>
      </c>
      <c r="E889" s="61" t="n">
        <v>45974.09375</v>
      </c>
      <c r="F889" s="61" t="n">
        <v>45974.2291666667</v>
      </c>
      <c r="G889" s="62" t="n">
        <v>0.135416666664241</v>
      </c>
      <c r="H889" s="13" t="s">
        <v>286</v>
      </c>
      <c r="J889" s="13" t="s">
        <v>230</v>
      </c>
      <c r="K889" s="13" t="s">
        <v>230</v>
      </c>
      <c r="L889" s="13" t="s">
        <v>987</v>
      </c>
      <c r="M889" s="66" t="s">
        <v>288</v>
      </c>
      <c r="N889" s="66" t="s">
        <v>289</v>
      </c>
      <c r="O889" s="67" t="s">
        <v>1732</v>
      </c>
      <c r="P889" s="0" t="s">
        <v>1972</v>
      </c>
      <c r="Q889" s="66" t="s">
        <v>1734</v>
      </c>
    </row>
    <row r="890" customFormat="false" ht="82.05" hidden="false" customHeight="false" outlineLevel="0" collapsed="false">
      <c r="A890" s="13" t="s">
        <v>1499</v>
      </c>
      <c r="B890" s="13" t="s">
        <v>333</v>
      </c>
      <c r="C890" s="13" t="s">
        <v>356</v>
      </c>
      <c r="D890" s="61" t="n">
        <v>45974.09375</v>
      </c>
      <c r="E890" s="61" t="n">
        <v>45974.09375</v>
      </c>
      <c r="F890" s="61" t="n">
        <v>45974.2291666667</v>
      </c>
      <c r="G890" s="62" t="n">
        <v>0.135416666664241</v>
      </c>
      <c r="H890" s="13" t="s">
        <v>286</v>
      </c>
      <c r="J890" s="13" t="s">
        <v>230</v>
      </c>
      <c r="K890" s="13" t="s">
        <v>230</v>
      </c>
      <c r="L890" s="13" t="s">
        <v>987</v>
      </c>
      <c r="M890" s="66" t="s">
        <v>288</v>
      </c>
      <c r="N890" s="66" t="s">
        <v>289</v>
      </c>
      <c r="O890" s="67" t="s">
        <v>1732</v>
      </c>
      <c r="P890" s="0" t="s">
        <v>1973</v>
      </c>
      <c r="Q890" s="66" t="s">
        <v>1734</v>
      </c>
    </row>
    <row r="891" customFormat="false" ht="82.05" hidden="false" customHeight="false" outlineLevel="0" collapsed="false">
      <c r="A891" s="13" t="s">
        <v>1499</v>
      </c>
      <c r="B891" s="13" t="s">
        <v>333</v>
      </c>
      <c r="C891" s="13" t="s">
        <v>357</v>
      </c>
      <c r="D891" s="61" t="n">
        <v>45974.09375</v>
      </c>
      <c r="E891" s="61" t="n">
        <v>45974.09375</v>
      </c>
      <c r="F891" s="61" t="n">
        <v>45974.2291666667</v>
      </c>
      <c r="G891" s="62" t="n">
        <v>0.135416666664241</v>
      </c>
      <c r="H891" s="13" t="s">
        <v>286</v>
      </c>
      <c r="J891" s="13" t="s">
        <v>230</v>
      </c>
      <c r="K891" s="13" t="s">
        <v>230</v>
      </c>
      <c r="L891" s="13" t="s">
        <v>987</v>
      </c>
      <c r="M891" s="66" t="s">
        <v>288</v>
      </c>
      <c r="N891" s="66" t="s">
        <v>289</v>
      </c>
      <c r="O891" s="67" t="s">
        <v>1732</v>
      </c>
      <c r="P891" s="0" t="s">
        <v>1974</v>
      </c>
      <c r="Q891" s="66" t="s">
        <v>1734</v>
      </c>
    </row>
    <row r="892" customFormat="false" ht="82.05" hidden="false" customHeight="false" outlineLevel="0" collapsed="false">
      <c r="A892" s="13" t="s">
        <v>1499</v>
      </c>
      <c r="B892" s="13" t="s">
        <v>333</v>
      </c>
      <c r="C892" s="13" t="s">
        <v>358</v>
      </c>
      <c r="D892" s="61" t="n">
        <v>45974.09375</v>
      </c>
      <c r="E892" s="61" t="n">
        <v>45974.09375</v>
      </c>
      <c r="F892" s="61" t="n">
        <v>45974.2291666667</v>
      </c>
      <c r="G892" s="62" t="n">
        <v>0.135416666664241</v>
      </c>
      <c r="H892" s="13" t="s">
        <v>286</v>
      </c>
      <c r="J892" s="13" t="s">
        <v>230</v>
      </c>
      <c r="K892" s="13" t="s">
        <v>230</v>
      </c>
      <c r="L892" s="13" t="s">
        <v>987</v>
      </c>
      <c r="M892" s="66" t="s">
        <v>288</v>
      </c>
      <c r="N892" s="66" t="s">
        <v>289</v>
      </c>
      <c r="O892" s="67" t="s">
        <v>1732</v>
      </c>
      <c r="P892" s="0" t="s">
        <v>1975</v>
      </c>
      <c r="Q892" s="66" t="s">
        <v>1734</v>
      </c>
    </row>
    <row r="893" customFormat="false" ht="82.05" hidden="false" customHeight="false" outlineLevel="0" collapsed="false">
      <c r="A893" s="13" t="s">
        <v>1499</v>
      </c>
      <c r="B893" s="13" t="s">
        <v>333</v>
      </c>
      <c r="C893" s="13" t="s">
        <v>359</v>
      </c>
      <c r="D893" s="61" t="n">
        <v>45974.09375</v>
      </c>
      <c r="E893" s="61" t="n">
        <v>45974.09375</v>
      </c>
      <c r="F893" s="61" t="n">
        <v>45974.2291666667</v>
      </c>
      <c r="G893" s="62" t="n">
        <v>0.135416666664241</v>
      </c>
      <c r="H893" s="13" t="s">
        <v>286</v>
      </c>
      <c r="J893" s="13" t="s">
        <v>230</v>
      </c>
      <c r="K893" s="13" t="s">
        <v>230</v>
      </c>
      <c r="L893" s="13" t="s">
        <v>987</v>
      </c>
      <c r="M893" s="66" t="s">
        <v>288</v>
      </c>
      <c r="N893" s="66" t="s">
        <v>289</v>
      </c>
      <c r="O893" s="67" t="s">
        <v>1732</v>
      </c>
      <c r="P893" s="0" t="s">
        <v>1976</v>
      </c>
      <c r="Q893" s="66" t="s">
        <v>1734</v>
      </c>
    </row>
    <row r="894" customFormat="false" ht="82.05" hidden="false" customHeight="false" outlineLevel="0" collapsed="false">
      <c r="A894" s="13" t="s">
        <v>1499</v>
      </c>
      <c r="B894" s="13" t="s">
        <v>333</v>
      </c>
      <c r="C894" s="13" t="s">
        <v>360</v>
      </c>
      <c r="D894" s="61" t="n">
        <v>45974.09375</v>
      </c>
      <c r="E894" s="61" t="n">
        <v>45974.09375</v>
      </c>
      <c r="F894" s="61" t="n">
        <v>45974.2291666667</v>
      </c>
      <c r="G894" s="62" t="n">
        <v>0.135416666664241</v>
      </c>
      <c r="H894" s="13" t="s">
        <v>286</v>
      </c>
      <c r="J894" s="13" t="s">
        <v>230</v>
      </c>
      <c r="K894" s="13" t="s">
        <v>230</v>
      </c>
      <c r="L894" s="13" t="s">
        <v>987</v>
      </c>
      <c r="M894" s="66" t="s">
        <v>288</v>
      </c>
      <c r="N894" s="66" t="s">
        <v>289</v>
      </c>
      <c r="O894" s="67" t="s">
        <v>1732</v>
      </c>
      <c r="P894" s="0" t="s">
        <v>1977</v>
      </c>
      <c r="Q894" s="66" t="s">
        <v>1734</v>
      </c>
    </row>
    <row r="895" customFormat="false" ht="82.05" hidden="false" customHeight="false" outlineLevel="0" collapsed="false">
      <c r="A895" s="13" t="s">
        <v>1506</v>
      </c>
      <c r="B895" s="13" t="s">
        <v>333</v>
      </c>
      <c r="C895" s="13" t="s">
        <v>361</v>
      </c>
      <c r="D895" s="61" t="n">
        <v>45974.09375</v>
      </c>
      <c r="E895" s="61" t="n">
        <v>45974.09375</v>
      </c>
      <c r="F895" s="61" t="n">
        <v>45974.2291666667</v>
      </c>
      <c r="G895" s="62" t="n">
        <v>0.135416666664241</v>
      </c>
      <c r="H895" s="13" t="s">
        <v>286</v>
      </c>
      <c r="J895" s="13" t="s">
        <v>230</v>
      </c>
      <c r="K895" s="13" t="s">
        <v>230</v>
      </c>
      <c r="L895" s="13" t="s">
        <v>987</v>
      </c>
      <c r="M895" s="66" t="s">
        <v>288</v>
      </c>
      <c r="N895" s="66" t="s">
        <v>289</v>
      </c>
      <c r="O895" s="67" t="s">
        <v>1732</v>
      </c>
      <c r="P895" s="0" t="s">
        <v>1978</v>
      </c>
      <c r="Q895" s="66" t="s">
        <v>1734</v>
      </c>
    </row>
    <row r="896" customFormat="false" ht="82.05" hidden="false" customHeight="false" outlineLevel="0" collapsed="false">
      <c r="A896" s="13" t="s">
        <v>1506</v>
      </c>
      <c r="B896" s="13" t="s">
        <v>333</v>
      </c>
      <c r="C896" s="13" t="s">
        <v>362</v>
      </c>
      <c r="D896" s="61" t="n">
        <v>45974.09375</v>
      </c>
      <c r="E896" s="61" t="n">
        <v>45974.09375</v>
      </c>
      <c r="F896" s="61" t="n">
        <v>45974.2291666667</v>
      </c>
      <c r="G896" s="62" t="n">
        <v>0.135416666664241</v>
      </c>
      <c r="H896" s="13" t="s">
        <v>286</v>
      </c>
      <c r="J896" s="13" t="s">
        <v>230</v>
      </c>
      <c r="K896" s="13" t="s">
        <v>230</v>
      </c>
      <c r="L896" s="13" t="s">
        <v>987</v>
      </c>
      <c r="M896" s="66" t="s">
        <v>288</v>
      </c>
      <c r="N896" s="66" t="s">
        <v>289</v>
      </c>
      <c r="O896" s="67" t="s">
        <v>1732</v>
      </c>
      <c r="P896" s="0" t="s">
        <v>1979</v>
      </c>
      <c r="Q896" s="66" t="s">
        <v>1734</v>
      </c>
    </row>
    <row r="897" customFormat="false" ht="82.05" hidden="false" customHeight="false" outlineLevel="0" collapsed="false">
      <c r="A897" s="13" t="s">
        <v>1506</v>
      </c>
      <c r="B897" s="13" t="s">
        <v>333</v>
      </c>
      <c r="C897" s="13" t="s">
        <v>363</v>
      </c>
      <c r="D897" s="61" t="n">
        <v>45974.09375</v>
      </c>
      <c r="E897" s="61" t="n">
        <v>45974.09375</v>
      </c>
      <c r="F897" s="61" t="n">
        <v>45974.2291666667</v>
      </c>
      <c r="G897" s="62" t="n">
        <v>0.135416666664241</v>
      </c>
      <c r="H897" s="13" t="s">
        <v>286</v>
      </c>
      <c r="J897" s="13" t="s">
        <v>230</v>
      </c>
      <c r="K897" s="13" t="s">
        <v>230</v>
      </c>
      <c r="L897" s="13" t="s">
        <v>987</v>
      </c>
      <c r="M897" s="66" t="s">
        <v>288</v>
      </c>
      <c r="N897" s="66" t="s">
        <v>289</v>
      </c>
      <c r="O897" s="67" t="s">
        <v>1732</v>
      </c>
      <c r="P897" s="0" t="s">
        <v>1980</v>
      </c>
      <c r="Q897" s="66" t="s">
        <v>1734</v>
      </c>
    </row>
    <row r="898" customFormat="false" ht="82.05" hidden="false" customHeight="false" outlineLevel="0" collapsed="false">
      <c r="A898" s="13" t="s">
        <v>1510</v>
      </c>
      <c r="B898" s="13" t="s">
        <v>333</v>
      </c>
      <c r="C898" s="13" t="s">
        <v>364</v>
      </c>
      <c r="D898" s="61" t="n">
        <v>45974.09375</v>
      </c>
      <c r="E898" s="61" t="n">
        <v>45974.09375</v>
      </c>
      <c r="F898" s="61" t="n">
        <v>45974.2291666667</v>
      </c>
      <c r="G898" s="62" t="n">
        <v>0.135416666664241</v>
      </c>
      <c r="H898" s="13" t="s">
        <v>286</v>
      </c>
      <c r="J898" s="13" t="s">
        <v>230</v>
      </c>
      <c r="K898" s="13" t="s">
        <v>230</v>
      </c>
      <c r="L898" s="13" t="s">
        <v>987</v>
      </c>
      <c r="M898" s="66" t="s">
        <v>288</v>
      </c>
      <c r="N898" s="66" t="s">
        <v>289</v>
      </c>
      <c r="O898" s="67" t="s">
        <v>1732</v>
      </c>
      <c r="P898" s="0" t="s">
        <v>1981</v>
      </c>
      <c r="Q898" s="66" t="s">
        <v>1734</v>
      </c>
    </row>
    <row r="899" customFormat="false" ht="82.05" hidden="false" customHeight="false" outlineLevel="0" collapsed="false">
      <c r="A899" s="13" t="s">
        <v>1510</v>
      </c>
      <c r="B899" s="13" t="s">
        <v>333</v>
      </c>
      <c r="C899" s="13" t="s">
        <v>365</v>
      </c>
      <c r="D899" s="61" t="n">
        <v>45974.09375</v>
      </c>
      <c r="E899" s="61" t="n">
        <v>45974.09375</v>
      </c>
      <c r="F899" s="61" t="n">
        <v>45974.2291666667</v>
      </c>
      <c r="G899" s="62" t="n">
        <v>0.135416666664241</v>
      </c>
      <c r="H899" s="13" t="s">
        <v>286</v>
      </c>
      <c r="J899" s="13" t="s">
        <v>230</v>
      </c>
      <c r="K899" s="13" t="s">
        <v>230</v>
      </c>
      <c r="L899" s="13" t="s">
        <v>987</v>
      </c>
      <c r="M899" s="66" t="s">
        <v>288</v>
      </c>
      <c r="N899" s="66" t="s">
        <v>289</v>
      </c>
      <c r="O899" s="67" t="s">
        <v>1732</v>
      </c>
      <c r="P899" s="0" t="s">
        <v>1982</v>
      </c>
      <c r="Q899" s="66" t="s">
        <v>1734</v>
      </c>
    </row>
    <row r="900" customFormat="false" ht="82.05" hidden="false" customHeight="false" outlineLevel="0" collapsed="false">
      <c r="A900" s="13" t="s">
        <v>1510</v>
      </c>
      <c r="B900" s="13" t="s">
        <v>333</v>
      </c>
      <c r="C900" s="13" t="s">
        <v>366</v>
      </c>
      <c r="D900" s="61" t="n">
        <v>45974.09375</v>
      </c>
      <c r="E900" s="61" t="n">
        <v>45974.09375</v>
      </c>
      <c r="F900" s="61" t="n">
        <v>45974.2291666667</v>
      </c>
      <c r="G900" s="62" t="n">
        <v>0.135416666664241</v>
      </c>
      <c r="H900" s="13" t="s">
        <v>286</v>
      </c>
      <c r="J900" s="13" t="s">
        <v>230</v>
      </c>
      <c r="K900" s="13" t="s">
        <v>230</v>
      </c>
      <c r="L900" s="13" t="s">
        <v>987</v>
      </c>
      <c r="M900" s="66" t="s">
        <v>288</v>
      </c>
      <c r="N900" s="66" t="s">
        <v>289</v>
      </c>
      <c r="O900" s="67" t="s">
        <v>1732</v>
      </c>
      <c r="P900" s="0" t="s">
        <v>1983</v>
      </c>
      <c r="Q900" s="66" t="s">
        <v>1734</v>
      </c>
    </row>
    <row r="901" customFormat="false" ht="82.05" hidden="false" customHeight="false" outlineLevel="0" collapsed="false">
      <c r="A901" s="13" t="s">
        <v>1521</v>
      </c>
      <c r="B901" s="13" t="s">
        <v>333</v>
      </c>
      <c r="C901" s="13" t="s">
        <v>373</v>
      </c>
      <c r="D901" s="61" t="n">
        <v>45974.09375</v>
      </c>
      <c r="E901" s="61" t="n">
        <v>45974.09375</v>
      </c>
      <c r="F901" s="61" t="n">
        <v>45974.2291666667</v>
      </c>
      <c r="G901" s="62" t="n">
        <v>0.135416666664241</v>
      </c>
      <c r="H901" s="13" t="s">
        <v>286</v>
      </c>
      <c r="J901" s="13" t="s">
        <v>230</v>
      </c>
      <c r="K901" s="13" t="s">
        <v>230</v>
      </c>
      <c r="L901" s="13" t="s">
        <v>987</v>
      </c>
      <c r="M901" s="66" t="s">
        <v>288</v>
      </c>
      <c r="N901" s="66" t="s">
        <v>289</v>
      </c>
      <c r="O901" s="67" t="s">
        <v>1732</v>
      </c>
      <c r="P901" s="0" t="s">
        <v>1984</v>
      </c>
      <c r="Q901" s="66" t="s">
        <v>1734</v>
      </c>
    </row>
    <row r="902" customFormat="false" ht="82.05" hidden="false" customHeight="false" outlineLevel="0" collapsed="false">
      <c r="A902" s="13" t="s">
        <v>1521</v>
      </c>
      <c r="B902" s="13" t="s">
        <v>333</v>
      </c>
      <c r="C902" s="13" t="s">
        <v>374</v>
      </c>
      <c r="D902" s="61" t="n">
        <v>45974.09375</v>
      </c>
      <c r="E902" s="61" t="n">
        <v>45974.09375</v>
      </c>
      <c r="F902" s="61" t="n">
        <v>45974.2291666667</v>
      </c>
      <c r="G902" s="62" t="n">
        <v>0.135416666664241</v>
      </c>
      <c r="H902" s="13" t="s">
        <v>286</v>
      </c>
      <c r="J902" s="13" t="s">
        <v>230</v>
      </c>
      <c r="K902" s="13" t="s">
        <v>230</v>
      </c>
      <c r="L902" s="13" t="s">
        <v>987</v>
      </c>
      <c r="M902" s="66" t="s">
        <v>288</v>
      </c>
      <c r="N902" s="66" t="s">
        <v>289</v>
      </c>
      <c r="O902" s="67" t="s">
        <v>1732</v>
      </c>
      <c r="P902" s="0" t="s">
        <v>1985</v>
      </c>
      <c r="Q902" s="66" t="s">
        <v>1734</v>
      </c>
    </row>
    <row r="903" customFormat="false" ht="82.05" hidden="false" customHeight="false" outlineLevel="0" collapsed="false">
      <c r="A903" s="13" t="s">
        <v>1521</v>
      </c>
      <c r="B903" s="13" t="s">
        <v>333</v>
      </c>
      <c r="C903" s="13" t="s">
        <v>375</v>
      </c>
      <c r="D903" s="61" t="n">
        <v>45974.09375</v>
      </c>
      <c r="E903" s="61" t="n">
        <v>45974.09375</v>
      </c>
      <c r="F903" s="61" t="n">
        <v>45974.2291666667</v>
      </c>
      <c r="G903" s="62" t="n">
        <v>0.135416666664241</v>
      </c>
      <c r="H903" s="13" t="s">
        <v>286</v>
      </c>
      <c r="J903" s="13" t="s">
        <v>230</v>
      </c>
      <c r="K903" s="13" t="s">
        <v>230</v>
      </c>
      <c r="L903" s="13" t="s">
        <v>987</v>
      </c>
      <c r="M903" s="66" t="s">
        <v>288</v>
      </c>
      <c r="N903" s="66" t="s">
        <v>289</v>
      </c>
      <c r="O903" s="67" t="s">
        <v>1732</v>
      </c>
      <c r="P903" s="0" t="s">
        <v>1986</v>
      </c>
      <c r="Q903" s="66" t="s">
        <v>1734</v>
      </c>
    </row>
    <row r="904" customFormat="false" ht="14.25" hidden="false" customHeight="false" outlineLevel="0" collapsed="false">
      <c r="A904" s="13" t="s">
        <v>878</v>
      </c>
      <c r="B904" s="13" t="s">
        <v>504</v>
      </c>
      <c r="C904" s="13" t="s">
        <v>1563</v>
      </c>
      <c r="D904" s="61" t="n">
        <v>45974.26625</v>
      </c>
      <c r="E904" s="61" t="n">
        <v>45974.26625</v>
      </c>
      <c r="F904" s="61" t="n">
        <v>45974.2812847222</v>
      </c>
      <c r="G904" s="62" t="n">
        <v>0.0150347222224809</v>
      </c>
      <c r="H904" s="13" t="s">
        <v>248</v>
      </c>
      <c r="J904" s="13" t="s">
        <v>249</v>
      </c>
      <c r="K904" s="13" t="s">
        <v>439</v>
      </c>
      <c r="L904" s="13" t="s">
        <v>1251</v>
      </c>
      <c r="M904" s="66" t="s">
        <v>251</v>
      </c>
      <c r="N904" s="66" t="s">
        <v>625</v>
      </c>
      <c r="P904" s="0" t="s">
        <v>1987</v>
      </c>
      <c r="Q904" s="66" t="s">
        <v>1253</v>
      </c>
    </row>
    <row r="905" customFormat="false" ht="14.25" hidden="false" customHeight="false" outlineLevel="0" collapsed="false">
      <c r="A905" s="13" t="s">
        <v>878</v>
      </c>
      <c r="B905" s="13" t="s">
        <v>504</v>
      </c>
      <c r="C905" s="13" t="s">
        <v>519</v>
      </c>
      <c r="D905" s="61" t="n">
        <v>45974.26625</v>
      </c>
      <c r="E905" s="61" t="n">
        <v>45974.26625</v>
      </c>
      <c r="F905" s="61" t="n">
        <v>45974.2812847222</v>
      </c>
      <c r="G905" s="62" t="n">
        <v>0.0150347222224809</v>
      </c>
      <c r="H905" s="13" t="s">
        <v>248</v>
      </c>
      <c r="J905" s="13" t="s">
        <v>249</v>
      </c>
      <c r="K905" s="13" t="s">
        <v>439</v>
      </c>
      <c r="L905" s="13" t="s">
        <v>1251</v>
      </c>
      <c r="M905" s="66" t="s">
        <v>251</v>
      </c>
      <c r="N905" s="66" t="s">
        <v>625</v>
      </c>
      <c r="P905" s="0" t="s">
        <v>1988</v>
      </c>
      <c r="Q905" s="66" t="s">
        <v>1253</v>
      </c>
    </row>
    <row r="906" customFormat="false" ht="14.25" hidden="false" customHeight="false" outlineLevel="0" collapsed="false">
      <c r="A906" s="13" t="s">
        <v>878</v>
      </c>
      <c r="B906" s="13" t="s">
        <v>504</v>
      </c>
      <c r="C906" s="13" t="s">
        <v>1436</v>
      </c>
      <c r="D906" s="61" t="n">
        <v>45974.26625</v>
      </c>
      <c r="E906" s="61" t="n">
        <v>45974.26625</v>
      </c>
      <c r="F906" s="61" t="n">
        <v>45974.2812847222</v>
      </c>
      <c r="G906" s="62" t="n">
        <v>0.0150347222224809</v>
      </c>
      <c r="H906" s="13" t="s">
        <v>248</v>
      </c>
      <c r="J906" s="13" t="s">
        <v>249</v>
      </c>
      <c r="K906" s="13" t="s">
        <v>439</v>
      </c>
      <c r="L906" s="13" t="s">
        <v>1251</v>
      </c>
      <c r="M906" s="66" t="s">
        <v>251</v>
      </c>
      <c r="N906" s="66" t="s">
        <v>625</v>
      </c>
      <c r="P906" s="0" t="s">
        <v>1989</v>
      </c>
      <c r="Q906" s="66" t="s">
        <v>1253</v>
      </c>
    </row>
    <row r="907" customFormat="false" ht="14.25" hidden="false" customHeight="false" outlineLevel="0" collapsed="false">
      <c r="A907" s="13" t="s">
        <v>878</v>
      </c>
      <c r="B907" s="13" t="s">
        <v>504</v>
      </c>
      <c r="C907" s="13" t="s">
        <v>1250</v>
      </c>
      <c r="D907" s="61" t="n">
        <v>45974.26625</v>
      </c>
      <c r="E907" s="61" t="n">
        <v>45974.26625</v>
      </c>
      <c r="F907" s="61" t="n">
        <v>45974.2672800926</v>
      </c>
      <c r="G907" s="62" t="n">
        <v>0.00103009259328246</v>
      </c>
      <c r="H907" s="13" t="s">
        <v>248</v>
      </c>
      <c r="J907" s="13" t="s">
        <v>249</v>
      </c>
      <c r="K907" s="13" t="s">
        <v>439</v>
      </c>
      <c r="L907" s="13" t="s">
        <v>1251</v>
      </c>
      <c r="M907" s="66" t="s">
        <v>251</v>
      </c>
      <c r="N907" s="66" t="s">
        <v>625</v>
      </c>
      <c r="P907" s="0" t="s">
        <v>1990</v>
      </c>
      <c r="Q907" s="66" t="s">
        <v>1253</v>
      </c>
    </row>
    <row r="908" customFormat="false" ht="14.25" hidden="false" customHeight="false" outlineLevel="0" collapsed="false">
      <c r="A908" s="13" t="s">
        <v>878</v>
      </c>
      <c r="B908" s="13" t="s">
        <v>504</v>
      </c>
      <c r="C908" s="13" t="s">
        <v>1332</v>
      </c>
      <c r="D908" s="61" t="n">
        <v>45974.26625</v>
      </c>
      <c r="E908" s="61" t="n">
        <v>45974.26625</v>
      </c>
      <c r="F908" s="61" t="n">
        <v>45974.2812847222</v>
      </c>
      <c r="G908" s="62" t="n">
        <v>0.0150347222224809</v>
      </c>
      <c r="H908" s="13" t="s">
        <v>248</v>
      </c>
      <c r="J908" s="13" t="s">
        <v>249</v>
      </c>
      <c r="K908" s="13" t="s">
        <v>439</v>
      </c>
      <c r="L908" s="13" t="s">
        <v>1251</v>
      </c>
      <c r="M908" s="66" t="s">
        <v>251</v>
      </c>
      <c r="N908" s="66" t="s">
        <v>625</v>
      </c>
      <c r="P908" s="0" t="s">
        <v>1991</v>
      </c>
      <c r="Q908" s="66" t="s">
        <v>1253</v>
      </c>
    </row>
    <row r="909" customFormat="false" ht="14.25" hidden="false" customHeight="false" outlineLevel="0" collapsed="false">
      <c r="A909" s="13" t="s">
        <v>878</v>
      </c>
      <c r="B909" s="13" t="s">
        <v>504</v>
      </c>
      <c r="C909" s="13" t="s">
        <v>1334</v>
      </c>
      <c r="D909" s="61" t="n">
        <v>45974.26625</v>
      </c>
      <c r="E909" s="61" t="n">
        <v>45974.26625</v>
      </c>
      <c r="F909" s="61" t="n">
        <v>45974.2812847222</v>
      </c>
      <c r="G909" s="62" t="n">
        <v>0.0150347222224809</v>
      </c>
      <c r="H909" s="13" t="s">
        <v>248</v>
      </c>
      <c r="J909" s="13" t="s">
        <v>249</v>
      </c>
      <c r="K909" s="13" t="s">
        <v>439</v>
      </c>
      <c r="L909" s="13" t="s">
        <v>1251</v>
      </c>
      <c r="M909" s="66" t="s">
        <v>251</v>
      </c>
      <c r="N909" s="66" t="s">
        <v>625</v>
      </c>
      <c r="P909" s="0" t="s">
        <v>1992</v>
      </c>
      <c r="Q909" s="66" t="s">
        <v>1253</v>
      </c>
    </row>
    <row r="910" customFormat="false" ht="14.25" hidden="false" customHeight="false" outlineLevel="0" collapsed="false">
      <c r="A910" s="13" t="s">
        <v>878</v>
      </c>
      <c r="B910" s="13" t="s">
        <v>504</v>
      </c>
      <c r="C910" s="13" t="s">
        <v>1565</v>
      </c>
      <c r="D910" s="61" t="n">
        <v>45974.26625</v>
      </c>
      <c r="E910" s="61" t="n">
        <v>45974.26625</v>
      </c>
      <c r="F910" s="61" t="n">
        <v>45974.2812847222</v>
      </c>
      <c r="G910" s="62" t="n">
        <v>0.0150347222224809</v>
      </c>
      <c r="H910" s="13" t="s">
        <v>248</v>
      </c>
      <c r="J910" s="13" t="s">
        <v>249</v>
      </c>
      <c r="K910" s="13" t="s">
        <v>439</v>
      </c>
      <c r="L910" s="13" t="s">
        <v>1251</v>
      </c>
      <c r="M910" s="66" t="s">
        <v>251</v>
      </c>
      <c r="N910" s="66" t="s">
        <v>625</v>
      </c>
      <c r="P910" s="0" t="s">
        <v>1993</v>
      </c>
      <c r="Q910" s="66" t="s">
        <v>1253</v>
      </c>
    </row>
    <row r="911" customFormat="false" ht="14.25" hidden="false" customHeight="false" outlineLevel="0" collapsed="false">
      <c r="A911" s="13" t="s">
        <v>626</v>
      </c>
      <c r="B911" s="13" t="s">
        <v>626</v>
      </c>
      <c r="C911" s="13" t="s">
        <v>627</v>
      </c>
      <c r="D911" s="61" t="n">
        <v>45974.5041666667</v>
      </c>
      <c r="E911" s="61" t="n">
        <v>45974.5041666667</v>
      </c>
      <c r="F911" s="61" t="n">
        <v>45974.6597222222</v>
      </c>
      <c r="G911" s="62" t="n">
        <v>0.155555555553292</v>
      </c>
      <c r="H911" s="13" t="s">
        <v>313</v>
      </c>
      <c r="J911" s="13" t="s">
        <v>230</v>
      </c>
      <c r="K911" s="13" t="s">
        <v>230</v>
      </c>
      <c r="L911" s="13" t="s">
        <v>1994</v>
      </c>
      <c r="M911" s="66" t="s">
        <v>288</v>
      </c>
      <c r="N911" s="66" t="s">
        <v>379</v>
      </c>
      <c r="O911" s="66" t="s">
        <v>1995</v>
      </c>
      <c r="P911" s="0" t="s">
        <v>1996</v>
      </c>
      <c r="Q911" s="66" t="s">
        <v>1393</v>
      </c>
    </row>
    <row r="912" customFormat="false" ht="14.25" hidden="false" customHeight="false" outlineLevel="0" collapsed="false">
      <c r="A912" s="13" t="s">
        <v>626</v>
      </c>
      <c r="B912" s="13" t="s">
        <v>626</v>
      </c>
      <c r="C912" s="13" t="s">
        <v>629</v>
      </c>
      <c r="D912" s="61" t="n">
        <v>45974.5041666667</v>
      </c>
      <c r="E912" s="61" t="n">
        <v>45974.5041666667</v>
      </c>
      <c r="F912" s="61" t="n">
        <v>45974.6597222222</v>
      </c>
      <c r="G912" s="62" t="n">
        <v>0.155555555553292</v>
      </c>
      <c r="H912" s="13" t="s">
        <v>313</v>
      </c>
      <c r="J912" s="13" t="s">
        <v>230</v>
      </c>
      <c r="K912" s="13" t="s">
        <v>230</v>
      </c>
      <c r="L912" s="13" t="s">
        <v>1994</v>
      </c>
      <c r="M912" s="66" t="s">
        <v>288</v>
      </c>
      <c r="N912" s="66" t="s">
        <v>379</v>
      </c>
      <c r="O912" s="66" t="s">
        <v>1995</v>
      </c>
      <c r="P912" s="0" t="s">
        <v>1997</v>
      </c>
      <c r="Q912" s="66" t="s">
        <v>1393</v>
      </c>
    </row>
    <row r="913" customFormat="false" ht="14.25" hidden="false" customHeight="false" outlineLevel="0" collapsed="false">
      <c r="A913" s="13" t="s">
        <v>626</v>
      </c>
      <c r="B913" s="13" t="s">
        <v>626</v>
      </c>
      <c r="C913" s="13" t="s">
        <v>282</v>
      </c>
      <c r="D913" s="61" t="n">
        <v>45974.5041666667</v>
      </c>
      <c r="E913" s="61" t="n">
        <v>45974.5041666667</v>
      </c>
      <c r="F913" s="61" t="n">
        <v>45974.6597222222</v>
      </c>
      <c r="G913" s="62" t="n">
        <v>0.155555555553292</v>
      </c>
      <c r="H913" s="13" t="s">
        <v>313</v>
      </c>
      <c r="J913" s="13" t="s">
        <v>230</v>
      </c>
      <c r="K913" s="13" t="s">
        <v>230</v>
      </c>
      <c r="L913" s="13" t="s">
        <v>1994</v>
      </c>
      <c r="M913" s="66" t="s">
        <v>288</v>
      </c>
      <c r="N913" s="66" t="s">
        <v>379</v>
      </c>
      <c r="O913" s="66" t="s">
        <v>1995</v>
      </c>
      <c r="P913" s="0" t="s">
        <v>1998</v>
      </c>
      <c r="Q913" s="66" t="s">
        <v>1393</v>
      </c>
    </row>
    <row r="914" customFormat="false" ht="14.25" hidden="false" customHeight="false" outlineLevel="0" collapsed="false">
      <c r="A914" s="13" t="s">
        <v>626</v>
      </c>
      <c r="B914" s="13" t="s">
        <v>626</v>
      </c>
      <c r="C914" s="13" t="s">
        <v>630</v>
      </c>
      <c r="D914" s="61" t="n">
        <v>45974.5041666667</v>
      </c>
      <c r="E914" s="61" t="n">
        <v>45974.5041666667</v>
      </c>
      <c r="F914" s="61" t="n">
        <v>45974.6597222222</v>
      </c>
      <c r="G914" s="62" t="n">
        <v>0.155555555553292</v>
      </c>
      <c r="H914" s="13" t="s">
        <v>313</v>
      </c>
      <c r="J914" s="13" t="s">
        <v>230</v>
      </c>
      <c r="K914" s="13" t="s">
        <v>230</v>
      </c>
      <c r="L914" s="13" t="s">
        <v>1994</v>
      </c>
      <c r="M914" s="66" t="s">
        <v>288</v>
      </c>
      <c r="N914" s="66" t="s">
        <v>379</v>
      </c>
      <c r="O914" s="66" t="s">
        <v>1995</v>
      </c>
      <c r="P914" s="0" t="s">
        <v>1999</v>
      </c>
      <c r="Q914" s="66" t="s">
        <v>1393</v>
      </c>
    </row>
    <row r="915" customFormat="false" ht="14.25" hidden="false" customHeight="false" outlineLevel="0" collapsed="false">
      <c r="A915" s="13" t="s">
        <v>626</v>
      </c>
      <c r="B915" s="13" t="s">
        <v>626</v>
      </c>
      <c r="C915" s="13" t="s">
        <v>631</v>
      </c>
      <c r="D915" s="61" t="n">
        <v>45974.5041666667</v>
      </c>
      <c r="E915" s="61" t="n">
        <v>45974.5041666667</v>
      </c>
      <c r="F915" s="61" t="n">
        <v>45974.6597222222</v>
      </c>
      <c r="G915" s="62" t="n">
        <v>0.155555555553292</v>
      </c>
      <c r="H915" s="13" t="s">
        <v>313</v>
      </c>
      <c r="J915" s="13" t="s">
        <v>230</v>
      </c>
      <c r="K915" s="13" t="s">
        <v>230</v>
      </c>
      <c r="L915" s="13" t="s">
        <v>1994</v>
      </c>
      <c r="M915" s="66" t="s">
        <v>288</v>
      </c>
      <c r="N915" s="66" t="s">
        <v>379</v>
      </c>
      <c r="O915" s="66" t="s">
        <v>1995</v>
      </c>
      <c r="P915" s="0" t="s">
        <v>2000</v>
      </c>
      <c r="Q915" s="66" t="s">
        <v>1393</v>
      </c>
    </row>
    <row r="916" customFormat="false" ht="14.25" hidden="false" customHeight="false" outlineLevel="0" collapsed="false">
      <c r="A916" s="13" t="s">
        <v>632</v>
      </c>
      <c r="B916" s="13" t="s">
        <v>632</v>
      </c>
      <c r="C916" s="13" t="s">
        <v>629</v>
      </c>
      <c r="D916" s="61" t="n">
        <v>45974.5041666667</v>
      </c>
      <c r="E916" s="61" t="n">
        <v>45974.5041666667</v>
      </c>
      <c r="F916" s="61" t="n">
        <v>45974.6597222222</v>
      </c>
      <c r="G916" s="62" t="n">
        <v>0.155555555553292</v>
      </c>
      <c r="H916" s="13" t="s">
        <v>313</v>
      </c>
      <c r="J916" s="13" t="s">
        <v>230</v>
      </c>
      <c r="K916" s="13" t="s">
        <v>230</v>
      </c>
      <c r="L916" s="13" t="s">
        <v>1994</v>
      </c>
      <c r="M916" s="66" t="s">
        <v>288</v>
      </c>
      <c r="N916" s="66" t="s">
        <v>379</v>
      </c>
      <c r="O916" s="66" t="s">
        <v>1995</v>
      </c>
      <c r="P916" s="0" t="s">
        <v>2001</v>
      </c>
      <c r="Q916" s="66" t="s">
        <v>1393</v>
      </c>
    </row>
    <row r="917" customFormat="false" ht="14.25" hidden="false" customHeight="false" outlineLevel="0" collapsed="false">
      <c r="A917" s="13" t="s">
        <v>632</v>
      </c>
      <c r="B917" s="13" t="s">
        <v>632</v>
      </c>
      <c r="C917" s="13" t="s">
        <v>282</v>
      </c>
      <c r="D917" s="61" t="n">
        <v>45974.5041666667</v>
      </c>
      <c r="E917" s="61" t="n">
        <v>45974.5041666667</v>
      </c>
      <c r="F917" s="61" t="n">
        <v>45974.6597222222</v>
      </c>
      <c r="G917" s="62" t="n">
        <v>0.155555555553292</v>
      </c>
      <c r="H917" s="13" t="s">
        <v>313</v>
      </c>
      <c r="J917" s="13" t="s">
        <v>230</v>
      </c>
      <c r="K917" s="13" t="s">
        <v>230</v>
      </c>
      <c r="L917" s="13" t="s">
        <v>1994</v>
      </c>
      <c r="M917" s="66" t="s">
        <v>288</v>
      </c>
      <c r="N917" s="66" t="s">
        <v>379</v>
      </c>
      <c r="O917" s="66" t="s">
        <v>1995</v>
      </c>
      <c r="P917" s="0" t="s">
        <v>2002</v>
      </c>
      <c r="Q917" s="66" t="s">
        <v>1393</v>
      </c>
    </row>
    <row r="918" customFormat="false" ht="14.25" hidden="false" customHeight="false" outlineLevel="0" collapsed="false">
      <c r="A918" s="13" t="s">
        <v>632</v>
      </c>
      <c r="B918" s="13" t="s">
        <v>632</v>
      </c>
      <c r="C918" s="13" t="s">
        <v>630</v>
      </c>
      <c r="D918" s="61" t="n">
        <v>45974.5041666667</v>
      </c>
      <c r="E918" s="61" t="n">
        <v>45974.5041666667</v>
      </c>
      <c r="F918" s="61" t="n">
        <v>45974.6597222222</v>
      </c>
      <c r="G918" s="62" t="n">
        <v>0.155555555553292</v>
      </c>
      <c r="H918" s="13" t="s">
        <v>313</v>
      </c>
      <c r="J918" s="13" t="s">
        <v>230</v>
      </c>
      <c r="K918" s="13" t="s">
        <v>230</v>
      </c>
      <c r="L918" s="13" t="s">
        <v>1994</v>
      </c>
      <c r="M918" s="66" t="s">
        <v>288</v>
      </c>
      <c r="N918" s="66" t="s">
        <v>379</v>
      </c>
      <c r="O918" s="66" t="s">
        <v>1995</v>
      </c>
      <c r="P918" s="0" t="s">
        <v>2003</v>
      </c>
      <c r="Q918" s="66" t="s">
        <v>1393</v>
      </c>
    </row>
    <row r="919" customFormat="false" ht="14.25" hidden="false" customHeight="false" outlineLevel="0" collapsed="false">
      <c r="A919" s="13" t="s">
        <v>632</v>
      </c>
      <c r="B919" s="13" t="s">
        <v>632</v>
      </c>
      <c r="C919" s="13" t="s">
        <v>631</v>
      </c>
      <c r="D919" s="61" t="n">
        <v>45974.5041666667</v>
      </c>
      <c r="E919" s="61" t="n">
        <v>45974.5041666667</v>
      </c>
      <c r="F919" s="61" t="n">
        <v>45974.6597222222</v>
      </c>
      <c r="G919" s="62" t="n">
        <v>0.155555555553292</v>
      </c>
      <c r="H919" s="13" t="s">
        <v>313</v>
      </c>
      <c r="J919" s="13" t="s">
        <v>230</v>
      </c>
      <c r="K919" s="13" t="s">
        <v>230</v>
      </c>
      <c r="L919" s="13" t="s">
        <v>1994</v>
      </c>
      <c r="M919" s="66" t="s">
        <v>288</v>
      </c>
      <c r="N919" s="66" t="s">
        <v>379</v>
      </c>
      <c r="O919" s="66" t="s">
        <v>1995</v>
      </c>
      <c r="P919" s="0" t="s">
        <v>2004</v>
      </c>
      <c r="Q919" s="66" t="s">
        <v>1393</v>
      </c>
    </row>
    <row r="920" customFormat="false" ht="14.25" hidden="false" customHeight="false" outlineLevel="0" collapsed="false">
      <c r="A920" s="13" t="s">
        <v>632</v>
      </c>
      <c r="B920" s="13" t="s">
        <v>632</v>
      </c>
      <c r="C920" s="13" t="s">
        <v>627</v>
      </c>
      <c r="D920" s="61" t="n">
        <v>45974.5041666667</v>
      </c>
      <c r="E920" s="61" t="n">
        <v>45974.5041666667</v>
      </c>
      <c r="F920" s="61" t="n">
        <v>45974.6597222222</v>
      </c>
      <c r="G920" s="62" t="n">
        <v>0.155555555553292</v>
      </c>
      <c r="H920" s="13" t="s">
        <v>313</v>
      </c>
      <c r="J920" s="13" t="s">
        <v>230</v>
      </c>
      <c r="K920" s="13" t="s">
        <v>230</v>
      </c>
      <c r="L920" s="13" t="s">
        <v>1994</v>
      </c>
      <c r="M920" s="66" t="s">
        <v>288</v>
      </c>
      <c r="N920" s="66" t="s">
        <v>379</v>
      </c>
      <c r="O920" s="66" t="s">
        <v>1995</v>
      </c>
      <c r="P920" s="0" t="s">
        <v>2005</v>
      </c>
      <c r="Q920" s="66" t="s">
        <v>1393</v>
      </c>
    </row>
    <row r="921" customFormat="false" ht="14.25" hidden="false" customHeight="false" outlineLevel="0" collapsed="false">
      <c r="A921" s="13" t="s">
        <v>633</v>
      </c>
      <c r="B921" s="13" t="s">
        <v>633</v>
      </c>
      <c r="C921" s="13" t="s">
        <v>634</v>
      </c>
      <c r="D921" s="61" t="n">
        <v>45974.5041666667</v>
      </c>
      <c r="E921" s="61" t="n">
        <v>45974.5041666667</v>
      </c>
      <c r="F921" s="61" t="n">
        <v>45974.6597222222</v>
      </c>
      <c r="G921" s="62" t="n">
        <v>0.155555555553292</v>
      </c>
      <c r="H921" s="13" t="s">
        <v>313</v>
      </c>
      <c r="J921" s="13" t="s">
        <v>230</v>
      </c>
      <c r="K921" s="13" t="s">
        <v>230</v>
      </c>
      <c r="L921" s="13" t="s">
        <v>1994</v>
      </c>
      <c r="M921" s="66" t="s">
        <v>288</v>
      </c>
      <c r="N921" s="66" t="s">
        <v>379</v>
      </c>
      <c r="O921" s="66" t="s">
        <v>1995</v>
      </c>
      <c r="P921" s="0" t="s">
        <v>2006</v>
      </c>
      <c r="Q921" s="66" t="s">
        <v>1393</v>
      </c>
    </row>
    <row r="922" customFormat="false" ht="14.25" hidden="false" customHeight="false" outlineLevel="0" collapsed="false">
      <c r="A922" s="13" t="s">
        <v>633</v>
      </c>
      <c r="B922" s="13" t="s">
        <v>633</v>
      </c>
      <c r="C922" s="13" t="s">
        <v>629</v>
      </c>
      <c r="D922" s="61" t="n">
        <v>45974.5041666667</v>
      </c>
      <c r="E922" s="61" t="n">
        <v>45974.5041666667</v>
      </c>
      <c r="F922" s="61" t="n">
        <v>45974.6597222222</v>
      </c>
      <c r="G922" s="62" t="n">
        <v>0.155555555553292</v>
      </c>
      <c r="H922" s="13" t="s">
        <v>313</v>
      </c>
      <c r="J922" s="13" t="s">
        <v>230</v>
      </c>
      <c r="K922" s="13" t="s">
        <v>230</v>
      </c>
      <c r="L922" s="13" t="s">
        <v>1994</v>
      </c>
      <c r="M922" s="66" t="s">
        <v>288</v>
      </c>
      <c r="N922" s="66" t="s">
        <v>379</v>
      </c>
      <c r="O922" s="66" t="s">
        <v>1995</v>
      </c>
      <c r="P922" s="0" t="s">
        <v>2007</v>
      </c>
      <c r="Q922" s="66" t="s">
        <v>1393</v>
      </c>
    </row>
    <row r="923" customFormat="false" ht="14.25" hidden="false" customHeight="false" outlineLevel="0" collapsed="false">
      <c r="A923" s="13" t="s">
        <v>633</v>
      </c>
      <c r="B923" s="13" t="s">
        <v>633</v>
      </c>
      <c r="C923" s="13" t="s">
        <v>627</v>
      </c>
      <c r="D923" s="61" t="n">
        <v>45974.5041666667</v>
      </c>
      <c r="E923" s="61" t="n">
        <v>45974.5041666667</v>
      </c>
      <c r="F923" s="61" t="n">
        <v>45974.6597222222</v>
      </c>
      <c r="G923" s="62" t="n">
        <v>0.155555555553292</v>
      </c>
      <c r="H923" s="13" t="s">
        <v>313</v>
      </c>
      <c r="J923" s="13" t="s">
        <v>230</v>
      </c>
      <c r="K923" s="13" t="s">
        <v>230</v>
      </c>
      <c r="L923" s="13" t="s">
        <v>1994</v>
      </c>
      <c r="M923" s="66" t="s">
        <v>288</v>
      </c>
      <c r="N923" s="66" t="s">
        <v>379</v>
      </c>
      <c r="O923" s="66" t="s">
        <v>1995</v>
      </c>
      <c r="P923" s="0" t="s">
        <v>2008</v>
      </c>
      <c r="Q923" s="66" t="s">
        <v>1393</v>
      </c>
    </row>
    <row r="924" customFormat="false" ht="14.25" hidden="false" customHeight="false" outlineLevel="0" collapsed="false">
      <c r="A924" s="13" t="s">
        <v>878</v>
      </c>
      <c r="B924" s="13" t="s">
        <v>504</v>
      </c>
      <c r="C924" s="13" t="s">
        <v>1250</v>
      </c>
      <c r="D924" s="61" t="n">
        <v>45975.2551736111</v>
      </c>
      <c r="E924" s="61" t="n">
        <v>45975.2551736111</v>
      </c>
      <c r="F924" s="61" t="n">
        <v>45975.2700694444</v>
      </c>
      <c r="G924" s="62" t="n">
        <v>0.0148958333302289</v>
      </c>
      <c r="H924" s="13" t="s">
        <v>248</v>
      </c>
      <c r="J924" s="13" t="s">
        <v>249</v>
      </c>
      <c r="K924" s="13" t="s">
        <v>439</v>
      </c>
      <c r="L924" s="13" t="s">
        <v>1251</v>
      </c>
      <c r="M924" s="66" t="s">
        <v>251</v>
      </c>
      <c r="N924" s="66" t="s">
        <v>625</v>
      </c>
      <c r="P924" s="0" t="s">
        <v>2009</v>
      </c>
      <c r="Q924" s="66" t="s">
        <v>1253</v>
      </c>
    </row>
    <row r="925" customFormat="false" ht="14.25" hidden="false" customHeight="false" outlineLevel="0" collapsed="false">
      <c r="A925" s="13" t="s">
        <v>878</v>
      </c>
      <c r="B925" s="13" t="s">
        <v>504</v>
      </c>
      <c r="C925" s="13" t="s">
        <v>1334</v>
      </c>
      <c r="D925" s="61" t="n">
        <v>45975.2553009259</v>
      </c>
      <c r="E925" s="61" t="n">
        <v>45975.2553009259</v>
      </c>
      <c r="F925" s="61" t="n">
        <v>45975.2700694444</v>
      </c>
      <c r="G925" s="62" t="n">
        <v>0.0147685185147566</v>
      </c>
      <c r="H925" s="13" t="s">
        <v>248</v>
      </c>
      <c r="J925" s="13" t="s">
        <v>249</v>
      </c>
      <c r="K925" s="13" t="s">
        <v>439</v>
      </c>
      <c r="L925" s="13" t="s">
        <v>1251</v>
      </c>
      <c r="M925" s="66" t="s">
        <v>251</v>
      </c>
      <c r="N925" s="66" t="s">
        <v>625</v>
      </c>
      <c r="P925" s="0" t="s">
        <v>2010</v>
      </c>
      <c r="Q925" s="66" t="s">
        <v>1253</v>
      </c>
    </row>
    <row r="926" customFormat="false" ht="14.25" hidden="false" customHeight="false" outlineLevel="0" collapsed="false">
      <c r="A926" s="13" t="s">
        <v>878</v>
      </c>
      <c r="B926" s="13" t="s">
        <v>504</v>
      </c>
      <c r="C926" s="13" t="s">
        <v>1436</v>
      </c>
      <c r="D926" s="61" t="n">
        <v>45975.2553125</v>
      </c>
      <c r="E926" s="61" t="n">
        <v>45975.2553125</v>
      </c>
      <c r="F926" s="61" t="n">
        <v>45975.2700694444</v>
      </c>
      <c r="G926" s="62" t="n">
        <v>0.0147569444452529</v>
      </c>
      <c r="H926" s="13" t="s">
        <v>248</v>
      </c>
      <c r="J926" s="13" t="s">
        <v>249</v>
      </c>
      <c r="K926" s="13" t="s">
        <v>439</v>
      </c>
      <c r="L926" s="13" t="s">
        <v>1251</v>
      </c>
      <c r="M926" s="66" t="s">
        <v>251</v>
      </c>
      <c r="N926" s="66" t="s">
        <v>625</v>
      </c>
      <c r="P926" s="0" t="s">
        <v>2011</v>
      </c>
      <c r="Q926" s="66" t="s">
        <v>1253</v>
      </c>
    </row>
    <row r="927" customFormat="false" ht="14.25" hidden="false" customHeight="false" outlineLevel="0" collapsed="false">
      <c r="A927" s="13" t="s">
        <v>878</v>
      </c>
      <c r="B927" s="13" t="s">
        <v>504</v>
      </c>
      <c r="C927" s="13" t="s">
        <v>1332</v>
      </c>
      <c r="D927" s="61" t="n">
        <v>45975.2553125</v>
      </c>
      <c r="E927" s="61" t="n">
        <v>45975.2553125</v>
      </c>
      <c r="F927" s="61" t="n">
        <v>45975.2700694444</v>
      </c>
      <c r="G927" s="62" t="n">
        <v>0.0147569444452529</v>
      </c>
      <c r="H927" s="13" t="s">
        <v>248</v>
      </c>
      <c r="J927" s="13" t="s">
        <v>249</v>
      </c>
      <c r="K927" s="13" t="s">
        <v>439</v>
      </c>
      <c r="L927" s="13" t="s">
        <v>1251</v>
      </c>
      <c r="M927" s="66" t="s">
        <v>251</v>
      </c>
      <c r="N927" s="66" t="s">
        <v>625</v>
      </c>
      <c r="P927" s="0" t="s">
        <v>2012</v>
      </c>
      <c r="Q927" s="66" t="s">
        <v>1253</v>
      </c>
    </row>
    <row r="928" customFormat="false" ht="14.25" hidden="false" customHeight="false" outlineLevel="0" collapsed="false">
      <c r="A928" s="13" t="s">
        <v>878</v>
      </c>
      <c r="B928" s="13" t="s">
        <v>504</v>
      </c>
      <c r="C928" s="13" t="s">
        <v>1563</v>
      </c>
      <c r="D928" s="61" t="n">
        <v>45975.2553240741</v>
      </c>
      <c r="E928" s="61" t="n">
        <v>45975.2553240741</v>
      </c>
      <c r="F928" s="61" t="n">
        <v>45975.2700694444</v>
      </c>
      <c r="G928" s="62" t="n">
        <v>0.0147453703684732</v>
      </c>
      <c r="H928" s="13" t="s">
        <v>248</v>
      </c>
      <c r="J928" s="13" t="s">
        <v>249</v>
      </c>
      <c r="K928" s="13" t="s">
        <v>439</v>
      </c>
      <c r="L928" s="13" t="s">
        <v>1251</v>
      </c>
      <c r="M928" s="66" t="s">
        <v>251</v>
      </c>
      <c r="N928" s="66" t="s">
        <v>625</v>
      </c>
      <c r="P928" s="0" t="s">
        <v>2013</v>
      </c>
      <c r="Q928" s="66" t="s">
        <v>1253</v>
      </c>
    </row>
    <row r="929" customFormat="false" ht="14.25" hidden="false" customHeight="false" outlineLevel="0" collapsed="false">
      <c r="A929" s="13" t="s">
        <v>878</v>
      </c>
      <c r="B929" s="13" t="s">
        <v>504</v>
      </c>
      <c r="C929" s="13" t="s">
        <v>1565</v>
      </c>
      <c r="D929" s="61" t="n">
        <v>45975.2553703704</v>
      </c>
      <c r="E929" s="61" t="n">
        <v>45975.2553703704</v>
      </c>
      <c r="F929" s="61" t="n">
        <v>45975.2700694444</v>
      </c>
      <c r="G929" s="62" t="n">
        <v>0.0146990740759065</v>
      </c>
      <c r="H929" s="13" t="s">
        <v>248</v>
      </c>
      <c r="J929" s="13" t="s">
        <v>249</v>
      </c>
      <c r="K929" s="13" t="s">
        <v>439</v>
      </c>
      <c r="L929" s="13" t="s">
        <v>1251</v>
      </c>
      <c r="M929" s="66" t="s">
        <v>251</v>
      </c>
      <c r="N929" s="66" t="s">
        <v>625</v>
      </c>
      <c r="P929" s="0" t="s">
        <v>2014</v>
      </c>
      <c r="Q929" s="66" t="s">
        <v>1253</v>
      </c>
    </row>
    <row r="930" customFormat="false" ht="14.25" hidden="false" customHeight="false" outlineLevel="0" collapsed="false">
      <c r="A930" s="13" t="s">
        <v>878</v>
      </c>
      <c r="B930" s="13" t="s">
        <v>504</v>
      </c>
      <c r="C930" s="13" t="s">
        <v>519</v>
      </c>
      <c r="D930" s="61" t="n">
        <v>45975.2554398148</v>
      </c>
      <c r="E930" s="61" t="n">
        <v>45975.2554398148</v>
      </c>
      <c r="F930" s="61" t="n">
        <v>45975.2700694444</v>
      </c>
      <c r="G930" s="62" t="n">
        <v>0.0146296296297805</v>
      </c>
      <c r="H930" s="13" t="s">
        <v>248</v>
      </c>
      <c r="J930" s="13" t="s">
        <v>249</v>
      </c>
      <c r="K930" s="13" t="s">
        <v>439</v>
      </c>
      <c r="L930" s="13" t="s">
        <v>1251</v>
      </c>
      <c r="M930" s="66" t="s">
        <v>251</v>
      </c>
      <c r="N930" s="66" t="s">
        <v>625</v>
      </c>
      <c r="P930" s="0" t="s">
        <v>2015</v>
      </c>
      <c r="Q930" s="66" t="s">
        <v>1253</v>
      </c>
    </row>
    <row r="931" customFormat="false" ht="14.25" hidden="false" customHeight="false" outlineLevel="0" collapsed="false">
      <c r="A931" s="13" t="s">
        <v>878</v>
      </c>
      <c r="B931" s="13" t="s">
        <v>504</v>
      </c>
      <c r="C931" s="13" t="s">
        <v>1250</v>
      </c>
      <c r="D931" s="61" t="n">
        <v>45975.2837962963</v>
      </c>
      <c r="E931" s="61" t="n">
        <v>45975.2837962963</v>
      </c>
      <c r="F931" s="61" t="n">
        <v>45975.2907407407</v>
      </c>
      <c r="G931" s="62" t="n">
        <v>0.00694444444525288</v>
      </c>
      <c r="H931" s="13" t="s">
        <v>248</v>
      </c>
      <c r="J931" s="13" t="s">
        <v>249</v>
      </c>
      <c r="K931" s="13" t="s">
        <v>439</v>
      </c>
      <c r="L931" s="13" t="s">
        <v>1251</v>
      </c>
      <c r="M931" s="66" t="s">
        <v>251</v>
      </c>
      <c r="N931" s="66" t="s">
        <v>625</v>
      </c>
      <c r="P931" s="0" t="s">
        <v>2016</v>
      </c>
      <c r="Q931" s="66" t="s">
        <v>1253</v>
      </c>
    </row>
    <row r="932" customFormat="false" ht="14.25" hidden="false" customHeight="false" outlineLevel="0" collapsed="false">
      <c r="A932" s="13" t="s">
        <v>878</v>
      </c>
      <c r="B932" s="13" t="s">
        <v>504</v>
      </c>
      <c r="C932" s="13" t="s">
        <v>1332</v>
      </c>
      <c r="D932" s="61" t="n">
        <v>45975.2839236111</v>
      </c>
      <c r="E932" s="61" t="n">
        <v>45975.2839236111</v>
      </c>
      <c r="F932" s="61" t="n">
        <v>45975.2941087963</v>
      </c>
      <c r="G932" s="62" t="n">
        <v>0.010185185186856</v>
      </c>
      <c r="H932" s="13" t="s">
        <v>248</v>
      </c>
      <c r="J932" s="13" t="s">
        <v>249</v>
      </c>
      <c r="K932" s="13" t="s">
        <v>439</v>
      </c>
      <c r="L932" s="13" t="s">
        <v>1251</v>
      </c>
      <c r="M932" s="66" t="s">
        <v>251</v>
      </c>
      <c r="N932" s="66" t="s">
        <v>625</v>
      </c>
      <c r="P932" s="0" t="s">
        <v>2017</v>
      </c>
      <c r="Q932" s="66" t="s">
        <v>1253</v>
      </c>
    </row>
    <row r="933" customFormat="false" ht="14.25" hidden="false" customHeight="false" outlineLevel="0" collapsed="false">
      <c r="A933" s="13" t="s">
        <v>878</v>
      </c>
      <c r="B933" s="13" t="s">
        <v>504</v>
      </c>
      <c r="C933" s="13" t="s">
        <v>1563</v>
      </c>
      <c r="D933" s="61" t="n">
        <v>45975.2839467593</v>
      </c>
      <c r="E933" s="61" t="n">
        <v>45975.2839467593</v>
      </c>
      <c r="F933" s="61" t="n">
        <v>45975.2941087963</v>
      </c>
      <c r="G933" s="62" t="n">
        <v>0.0101620370405726</v>
      </c>
      <c r="H933" s="13" t="s">
        <v>248</v>
      </c>
      <c r="J933" s="13" t="s">
        <v>249</v>
      </c>
      <c r="K933" s="13" t="s">
        <v>439</v>
      </c>
      <c r="L933" s="13" t="s">
        <v>1251</v>
      </c>
      <c r="M933" s="66" t="s">
        <v>251</v>
      </c>
      <c r="N933" s="66" t="s">
        <v>625</v>
      </c>
      <c r="P933" s="0" t="s">
        <v>2018</v>
      </c>
      <c r="Q933" s="66" t="s">
        <v>1253</v>
      </c>
    </row>
    <row r="934" customFormat="false" ht="14.25" hidden="false" customHeight="false" outlineLevel="0" collapsed="false">
      <c r="A934" s="13" t="s">
        <v>878</v>
      </c>
      <c r="B934" s="13" t="s">
        <v>504</v>
      </c>
      <c r="C934" s="13" t="s">
        <v>1436</v>
      </c>
      <c r="D934" s="61" t="n">
        <v>45975.2839467593</v>
      </c>
      <c r="E934" s="61" t="n">
        <v>45975.2839467593</v>
      </c>
      <c r="F934" s="61" t="n">
        <v>45975.2941087963</v>
      </c>
      <c r="G934" s="62" t="n">
        <v>0.0101620370405726</v>
      </c>
      <c r="H934" s="13" t="s">
        <v>248</v>
      </c>
      <c r="J934" s="13" t="s">
        <v>249</v>
      </c>
      <c r="K934" s="13" t="s">
        <v>439</v>
      </c>
      <c r="L934" s="13" t="s">
        <v>1251</v>
      </c>
      <c r="M934" s="66" t="s">
        <v>251</v>
      </c>
      <c r="N934" s="66" t="s">
        <v>625</v>
      </c>
      <c r="P934" s="0" t="s">
        <v>2019</v>
      </c>
      <c r="Q934" s="66" t="s">
        <v>1253</v>
      </c>
    </row>
    <row r="935" customFormat="false" ht="14.25" hidden="false" customHeight="false" outlineLevel="0" collapsed="false">
      <c r="A935" s="13" t="s">
        <v>878</v>
      </c>
      <c r="B935" s="13" t="s">
        <v>504</v>
      </c>
      <c r="C935" s="13" t="s">
        <v>1334</v>
      </c>
      <c r="D935" s="61" t="n">
        <v>45975.2839583333</v>
      </c>
      <c r="E935" s="61" t="n">
        <v>45975.2839583333</v>
      </c>
      <c r="F935" s="61" t="n">
        <v>45975.2908449074</v>
      </c>
      <c r="G935" s="62" t="n">
        <v>0.00688657407590654</v>
      </c>
      <c r="H935" s="13" t="s">
        <v>248</v>
      </c>
      <c r="J935" s="13" t="s">
        <v>249</v>
      </c>
      <c r="K935" s="13" t="s">
        <v>439</v>
      </c>
      <c r="L935" s="13" t="s">
        <v>1251</v>
      </c>
      <c r="M935" s="66" t="s">
        <v>251</v>
      </c>
      <c r="N935" s="66" t="s">
        <v>625</v>
      </c>
      <c r="P935" s="0" t="s">
        <v>2020</v>
      </c>
      <c r="Q935" s="66" t="s">
        <v>1253</v>
      </c>
    </row>
    <row r="936" customFormat="false" ht="14.25" hidden="false" customHeight="false" outlineLevel="0" collapsed="false">
      <c r="A936" s="13" t="s">
        <v>878</v>
      </c>
      <c r="B936" s="13" t="s">
        <v>504</v>
      </c>
      <c r="C936" s="13" t="s">
        <v>1565</v>
      </c>
      <c r="D936" s="61" t="n">
        <v>45975.2840509259</v>
      </c>
      <c r="E936" s="61" t="n">
        <v>45975.2840509259</v>
      </c>
      <c r="F936" s="61" t="n">
        <v>45975.2941087963</v>
      </c>
      <c r="G936" s="62" t="n">
        <v>0.0100578703713836</v>
      </c>
      <c r="H936" s="13" t="s">
        <v>248</v>
      </c>
      <c r="J936" s="13" t="s">
        <v>249</v>
      </c>
      <c r="K936" s="13" t="s">
        <v>439</v>
      </c>
      <c r="L936" s="13" t="s">
        <v>1251</v>
      </c>
      <c r="M936" s="66" t="s">
        <v>251</v>
      </c>
      <c r="N936" s="66" t="s">
        <v>625</v>
      </c>
      <c r="P936" s="0" t="s">
        <v>2021</v>
      </c>
      <c r="Q936" s="66" t="s">
        <v>1253</v>
      </c>
    </row>
    <row r="937" customFormat="false" ht="14.25" hidden="false" customHeight="false" outlineLevel="0" collapsed="false">
      <c r="A937" s="13" t="s">
        <v>878</v>
      </c>
      <c r="B937" s="13" t="s">
        <v>504</v>
      </c>
      <c r="C937" s="13" t="s">
        <v>519</v>
      </c>
      <c r="D937" s="61" t="n">
        <v>45975.2840856482</v>
      </c>
      <c r="E937" s="61" t="n">
        <v>45975.2840856482</v>
      </c>
      <c r="F937" s="61" t="n">
        <v>45975.2941087963</v>
      </c>
      <c r="G937" s="62" t="n">
        <v>0.0100231481483206</v>
      </c>
      <c r="H937" s="13" t="s">
        <v>248</v>
      </c>
      <c r="J937" s="13" t="s">
        <v>249</v>
      </c>
      <c r="K937" s="13" t="s">
        <v>439</v>
      </c>
      <c r="L937" s="13" t="s">
        <v>1251</v>
      </c>
      <c r="M937" s="66" t="s">
        <v>251</v>
      </c>
      <c r="N937" s="66" t="s">
        <v>625</v>
      </c>
      <c r="P937" s="0" t="s">
        <v>2022</v>
      </c>
      <c r="Q937" s="66" t="s">
        <v>1253</v>
      </c>
    </row>
    <row r="938" customFormat="false" ht="14.25" hidden="false" customHeight="false" outlineLevel="0" collapsed="false">
      <c r="A938" s="13" t="s">
        <v>1142</v>
      </c>
      <c r="B938" s="13" t="s">
        <v>320</v>
      </c>
      <c r="C938" s="13" t="s">
        <v>323</v>
      </c>
      <c r="D938" s="61" t="n">
        <v>45975.4472222222</v>
      </c>
      <c r="E938" s="61" t="n">
        <v>45975.4472222222</v>
      </c>
      <c r="F938" s="61" t="n">
        <v>45975.625</v>
      </c>
      <c r="G938" s="62" t="n">
        <v>0.177777777775191</v>
      </c>
      <c r="H938" s="13" t="s">
        <v>248</v>
      </c>
      <c r="J938" s="13" t="s">
        <v>256</v>
      </c>
      <c r="K938" s="13" t="s">
        <v>430</v>
      </c>
      <c r="L938" s="13" t="s">
        <v>275</v>
      </c>
      <c r="M938" s="66" t="s">
        <v>258</v>
      </c>
      <c r="N938" s="66" t="s">
        <v>379</v>
      </c>
      <c r="O938" s="66" t="s">
        <v>882</v>
      </c>
      <c r="P938" s="0" t="s">
        <v>2023</v>
      </c>
      <c r="Q938" s="66" t="s">
        <v>995</v>
      </c>
    </row>
    <row r="939" customFormat="false" ht="14.25" hidden="false" customHeight="false" outlineLevel="0" collapsed="false">
      <c r="A939" s="13" t="s">
        <v>857</v>
      </c>
      <c r="B939" s="13" t="s">
        <v>320</v>
      </c>
      <c r="C939" s="13" t="s">
        <v>321</v>
      </c>
      <c r="D939" s="61" t="n">
        <v>45975.4472222222</v>
      </c>
      <c r="E939" s="61" t="n">
        <v>45975.4472222222</v>
      </c>
      <c r="F939" s="61" t="n">
        <v>45975.625</v>
      </c>
      <c r="G939" s="62" t="n">
        <v>0.177777777775191</v>
      </c>
      <c r="H939" s="13" t="s">
        <v>248</v>
      </c>
      <c r="J939" s="13" t="s">
        <v>256</v>
      </c>
      <c r="K939" s="13" t="s">
        <v>430</v>
      </c>
      <c r="L939" s="13" t="s">
        <v>275</v>
      </c>
      <c r="M939" s="66" t="s">
        <v>258</v>
      </c>
      <c r="N939" s="66" t="s">
        <v>379</v>
      </c>
      <c r="O939" s="66" t="s">
        <v>882</v>
      </c>
      <c r="P939" s="0" t="s">
        <v>2024</v>
      </c>
      <c r="Q939" s="66" t="s">
        <v>995</v>
      </c>
    </row>
    <row r="940" customFormat="false" ht="14.25" hidden="false" customHeight="false" outlineLevel="0" collapsed="false">
      <c r="A940" s="13" t="s">
        <v>1145</v>
      </c>
      <c r="B940" s="13" t="s">
        <v>320</v>
      </c>
      <c r="C940" s="13" t="s">
        <v>324</v>
      </c>
      <c r="D940" s="61" t="n">
        <v>45975.4472222222</v>
      </c>
      <c r="E940" s="61" t="n">
        <v>45975.4472222222</v>
      </c>
      <c r="F940" s="61" t="n">
        <v>45975.625</v>
      </c>
      <c r="G940" s="62" t="n">
        <v>0.177777777775191</v>
      </c>
      <c r="H940" s="13" t="s">
        <v>248</v>
      </c>
      <c r="J940" s="13" t="s">
        <v>256</v>
      </c>
      <c r="K940" s="13" t="s">
        <v>430</v>
      </c>
      <c r="L940" s="13" t="s">
        <v>275</v>
      </c>
      <c r="M940" s="66" t="s">
        <v>258</v>
      </c>
      <c r="N940" s="66" t="s">
        <v>379</v>
      </c>
      <c r="O940" s="66" t="s">
        <v>882</v>
      </c>
      <c r="P940" s="0" t="s">
        <v>2025</v>
      </c>
      <c r="Q940" s="66" t="s">
        <v>995</v>
      </c>
    </row>
    <row r="941" customFormat="false" ht="14.25" hidden="false" customHeight="false" outlineLevel="0" collapsed="false">
      <c r="A941" s="13" t="s">
        <v>1147</v>
      </c>
      <c r="B941" s="13" t="s">
        <v>325</v>
      </c>
      <c r="C941" s="13" t="s">
        <v>327</v>
      </c>
      <c r="D941" s="61" t="n">
        <v>45975.4472222222</v>
      </c>
      <c r="E941" s="61" t="n">
        <v>45975.4472222222</v>
      </c>
      <c r="F941" s="61" t="n">
        <v>45975.625</v>
      </c>
      <c r="G941" s="62" t="n">
        <v>0.177777777775191</v>
      </c>
      <c r="H941" s="13" t="s">
        <v>248</v>
      </c>
      <c r="J941" s="13" t="s">
        <v>256</v>
      </c>
      <c r="K941" s="13" t="s">
        <v>430</v>
      </c>
      <c r="L941" s="13" t="s">
        <v>275</v>
      </c>
      <c r="M941" s="66" t="s">
        <v>258</v>
      </c>
      <c r="N941" s="66" t="s">
        <v>379</v>
      </c>
      <c r="O941" s="66" t="s">
        <v>882</v>
      </c>
      <c r="P941" s="0" t="s">
        <v>2026</v>
      </c>
      <c r="Q941" s="66" t="s">
        <v>995</v>
      </c>
    </row>
    <row r="942" customFormat="false" ht="14.25" hidden="false" customHeight="false" outlineLevel="0" collapsed="false">
      <c r="A942" s="13" t="s">
        <v>1149</v>
      </c>
      <c r="B942" s="13" t="s">
        <v>325</v>
      </c>
      <c r="C942" s="13" t="s">
        <v>328</v>
      </c>
      <c r="D942" s="61" t="n">
        <v>45975.4472222222</v>
      </c>
      <c r="E942" s="61" t="n">
        <v>45975.4472222222</v>
      </c>
      <c r="F942" s="61" t="n">
        <v>45975.625</v>
      </c>
      <c r="G942" s="62" t="n">
        <v>0.177777777775191</v>
      </c>
      <c r="H942" s="13" t="s">
        <v>248</v>
      </c>
      <c r="J942" s="13" t="s">
        <v>256</v>
      </c>
      <c r="K942" s="13" t="s">
        <v>430</v>
      </c>
      <c r="L942" s="13" t="s">
        <v>275</v>
      </c>
      <c r="M942" s="66" t="s">
        <v>258</v>
      </c>
      <c r="N942" s="66" t="s">
        <v>379</v>
      </c>
      <c r="O942" s="66" t="s">
        <v>882</v>
      </c>
      <c r="P942" s="0" t="s">
        <v>2027</v>
      </c>
      <c r="Q942" s="66" t="s">
        <v>995</v>
      </c>
    </row>
    <row r="943" customFormat="false" ht="14.25" hidden="false" customHeight="false" outlineLevel="0" collapsed="false">
      <c r="A943" s="13" t="s">
        <v>1151</v>
      </c>
      <c r="B943" s="13" t="s">
        <v>325</v>
      </c>
      <c r="C943" s="13" t="s">
        <v>326</v>
      </c>
      <c r="D943" s="61" t="n">
        <v>45975.4472222222</v>
      </c>
      <c r="E943" s="61" t="n">
        <v>45975.4472222222</v>
      </c>
      <c r="F943" s="61" t="n">
        <v>45975.625</v>
      </c>
      <c r="G943" s="62" t="n">
        <v>0.177777777775191</v>
      </c>
      <c r="H943" s="13" t="s">
        <v>248</v>
      </c>
      <c r="J943" s="13" t="s">
        <v>256</v>
      </c>
      <c r="K943" s="13" t="s">
        <v>430</v>
      </c>
      <c r="L943" s="13" t="s">
        <v>275</v>
      </c>
      <c r="M943" s="66" t="s">
        <v>258</v>
      </c>
      <c r="N943" s="66" t="s">
        <v>379</v>
      </c>
      <c r="O943" s="66" t="s">
        <v>882</v>
      </c>
      <c r="P943" s="0" t="s">
        <v>2028</v>
      </c>
      <c r="Q943" s="66" t="s">
        <v>995</v>
      </c>
    </row>
    <row r="944" customFormat="false" ht="14.25" hidden="false" customHeight="false" outlineLevel="0" collapsed="false">
      <c r="A944" s="13" t="s">
        <v>1153</v>
      </c>
      <c r="B944" s="13" t="s">
        <v>325</v>
      </c>
      <c r="C944" s="13" t="s">
        <v>329</v>
      </c>
      <c r="D944" s="61" t="n">
        <v>45975.4472222222</v>
      </c>
      <c r="E944" s="61" t="n">
        <v>45975.4472222222</v>
      </c>
      <c r="F944" s="61" t="n">
        <v>45975.625</v>
      </c>
      <c r="G944" s="62" t="n">
        <v>0.177777777775191</v>
      </c>
      <c r="H944" s="13" t="s">
        <v>248</v>
      </c>
      <c r="J944" s="13" t="s">
        <v>256</v>
      </c>
      <c r="K944" s="13" t="s">
        <v>430</v>
      </c>
      <c r="L944" s="13" t="s">
        <v>275</v>
      </c>
      <c r="M944" s="66" t="s">
        <v>258</v>
      </c>
      <c r="N944" s="66" t="s">
        <v>379</v>
      </c>
      <c r="O944" s="66" t="s">
        <v>882</v>
      </c>
      <c r="P944" s="0" t="s">
        <v>2029</v>
      </c>
      <c r="Q944" s="66" t="s">
        <v>995</v>
      </c>
    </row>
    <row r="945" customFormat="false" ht="14.25" hidden="false" customHeight="false" outlineLevel="0" collapsed="false">
      <c r="A945" s="13" t="s">
        <v>254</v>
      </c>
      <c r="B945" s="13" t="s">
        <v>254</v>
      </c>
      <c r="C945" s="13" t="s">
        <v>255</v>
      </c>
      <c r="D945" s="61" t="n">
        <v>45976.1944444444</v>
      </c>
      <c r="E945" s="61" t="n">
        <v>45976.1944444444</v>
      </c>
      <c r="F945" s="61" t="n">
        <v>45976.2604166667</v>
      </c>
      <c r="G945" s="62" t="n">
        <v>0.0659722222189885</v>
      </c>
      <c r="H945" s="13" t="s">
        <v>248</v>
      </c>
      <c r="J945" s="13" t="s">
        <v>256</v>
      </c>
      <c r="K945" s="13" t="s">
        <v>430</v>
      </c>
      <c r="L945" s="13" t="s">
        <v>881</v>
      </c>
      <c r="M945" s="66" t="s">
        <v>258</v>
      </c>
      <c r="N945" s="66" t="s">
        <v>379</v>
      </c>
      <c r="O945" s="66" t="s">
        <v>399</v>
      </c>
      <c r="P945" s="0" t="s">
        <v>2030</v>
      </c>
      <c r="Q945" s="66" t="s">
        <v>995</v>
      </c>
    </row>
    <row r="946" customFormat="false" ht="14.25" hidden="false" customHeight="false" outlineLevel="0" collapsed="false">
      <c r="A946" s="13" t="s">
        <v>307</v>
      </c>
      <c r="B946" s="13" t="s">
        <v>307</v>
      </c>
      <c r="C946" s="13" t="s">
        <v>255</v>
      </c>
      <c r="D946" s="61" t="n">
        <v>45976.1944444444</v>
      </c>
      <c r="E946" s="61" t="n">
        <v>45976.1944444444</v>
      </c>
      <c r="F946" s="61" t="n">
        <v>45976.2604166667</v>
      </c>
      <c r="G946" s="62" t="n">
        <v>0.0659722222189885</v>
      </c>
      <c r="H946" s="13" t="s">
        <v>248</v>
      </c>
      <c r="J946" s="13" t="s">
        <v>256</v>
      </c>
      <c r="K946" s="13" t="s">
        <v>430</v>
      </c>
      <c r="L946" s="13" t="s">
        <v>881</v>
      </c>
      <c r="M946" s="66" t="s">
        <v>258</v>
      </c>
      <c r="N946" s="66" t="s">
        <v>379</v>
      </c>
      <c r="O946" s="66" t="s">
        <v>399</v>
      </c>
      <c r="P946" s="0" t="s">
        <v>2031</v>
      </c>
      <c r="Q946" s="66" t="s">
        <v>995</v>
      </c>
    </row>
    <row r="947" customFormat="false" ht="14.25" hidden="false" customHeight="false" outlineLevel="0" collapsed="false">
      <c r="A947" s="13" t="s">
        <v>308</v>
      </c>
      <c r="B947" s="13" t="s">
        <v>308</v>
      </c>
      <c r="C947" s="13" t="s">
        <v>255</v>
      </c>
      <c r="D947" s="61" t="n">
        <v>45976.1944444444</v>
      </c>
      <c r="E947" s="61" t="n">
        <v>45976.1944444444</v>
      </c>
      <c r="F947" s="61" t="n">
        <v>45976.2604166667</v>
      </c>
      <c r="G947" s="62" t="n">
        <v>0.0659722222189885</v>
      </c>
      <c r="H947" s="13" t="s">
        <v>248</v>
      </c>
      <c r="J947" s="13" t="s">
        <v>256</v>
      </c>
      <c r="K947" s="13" t="s">
        <v>430</v>
      </c>
      <c r="L947" s="13" t="s">
        <v>881</v>
      </c>
      <c r="M947" s="66" t="s">
        <v>258</v>
      </c>
      <c r="N947" s="66" t="s">
        <v>379</v>
      </c>
      <c r="O947" s="66" t="s">
        <v>399</v>
      </c>
      <c r="P947" s="0" t="s">
        <v>2032</v>
      </c>
      <c r="Q947" s="66" t="s">
        <v>995</v>
      </c>
    </row>
    <row r="948" customFormat="false" ht="14.25" hidden="false" customHeight="false" outlineLevel="0" collapsed="false">
      <c r="A948" s="13" t="s">
        <v>309</v>
      </c>
      <c r="B948" s="13" t="s">
        <v>309</v>
      </c>
      <c r="C948" s="13" t="s">
        <v>255</v>
      </c>
      <c r="D948" s="61" t="n">
        <v>45976.1944444444</v>
      </c>
      <c r="E948" s="61" t="n">
        <v>45976.1944444444</v>
      </c>
      <c r="F948" s="61" t="n">
        <v>45976.2604166667</v>
      </c>
      <c r="G948" s="62" t="n">
        <v>0.0659722222189885</v>
      </c>
      <c r="H948" s="13" t="s">
        <v>248</v>
      </c>
      <c r="J948" s="13" t="s">
        <v>256</v>
      </c>
      <c r="K948" s="13" t="s">
        <v>430</v>
      </c>
      <c r="L948" s="13" t="s">
        <v>881</v>
      </c>
      <c r="M948" s="66" t="s">
        <v>258</v>
      </c>
      <c r="N948" s="66" t="s">
        <v>379</v>
      </c>
      <c r="O948" s="66" t="s">
        <v>399</v>
      </c>
      <c r="P948" s="0" t="s">
        <v>2033</v>
      </c>
      <c r="Q948" s="66" t="s">
        <v>995</v>
      </c>
    </row>
    <row r="949" customFormat="false" ht="14.25" hidden="false" customHeight="false" outlineLevel="0" collapsed="false">
      <c r="A949" s="13" t="s">
        <v>310</v>
      </c>
      <c r="B949" s="13" t="s">
        <v>310</v>
      </c>
      <c r="C949" s="13" t="s">
        <v>255</v>
      </c>
      <c r="D949" s="61" t="n">
        <v>45976.1944444444</v>
      </c>
      <c r="E949" s="61" t="n">
        <v>45976.1944444444</v>
      </c>
      <c r="F949" s="61" t="n">
        <v>45976.2604166667</v>
      </c>
      <c r="G949" s="62" t="n">
        <v>0.0659722222189885</v>
      </c>
      <c r="H949" s="13" t="s">
        <v>248</v>
      </c>
      <c r="J949" s="13" t="s">
        <v>256</v>
      </c>
      <c r="K949" s="13" t="s">
        <v>430</v>
      </c>
      <c r="L949" s="13" t="s">
        <v>881</v>
      </c>
      <c r="M949" s="66" t="s">
        <v>258</v>
      </c>
      <c r="N949" s="66" t="s">
        <v>379</v>
      </c>
      <c r="O949" s="66" t="s">
        <v>399</v>
      </c>
      <c r="P949" s="0" t="s">
        <v>2034</v>
      </c>
      <c r="Q949" s="66" t="s">
        <v>995</v>
      </c>
    </row>
    <row r="950" customFormat="false" ht="14.25" hidden="false" customHeight="false" outlineLevel="0" collapsed="false">
      <c r="A950" s="13" t="s">
        <v>579</v>
      </c>
      <c r="B950" s="13" t="s">
        <v>579</v>
      </c>
      <c r="C950" s="13" t="s">
        <v>397</v>
      </c>
      <c r="D950" s="61" t="n">
        <v>45976.2708333333</v>
      </c>
      <c r="E950" s="61" t="n">
        <v>45976.2708333333</v>
      </c>
      <c r="F950" s="61" t="n">
        <v>45976.3805555556</v>
      </c>
      <c r="G950" s="62" t="n">
        <v>0.109722222223354</v>
      </c>
      <c r="H950" s="13" t="s">
        <v>445</v>
      </c>
      <c r="I950" s="13" t="s">
        <v>263</v>
      </c>
      <c r="J950" s="13" t="s">
        <v>264</v>
      </c>
      <c r="K950" s="13" t="s">
        <v>456</v>
      </c>
      <c r="L950" s="13" t="s">
        <v>2035</v>
      </c>
      <c r="M950" s="66" t="s">
        <v>266</v>
      </c>
      <c r="N950" s="66" t="s">
        <v>252</v>
      </c>
      <c r="O950" s="66" t="s">
        <v>2036</v>
      </c>
      <c r="P950" s="0" t="s">
        <v>2037</v>
      </c>
      <c r="Q950" s="66" t="s">
        <v>1430</v>
      </c>
    </row>
    <row r="951" customFormat="false" ht="14.25" hidden="false" customHeight="false" outlineLevel="0" collapsed="false">
      <c r="A951" s="13" t="s">
        <v>579</v>
      </c>
      <c r="B951" s="13" t="s">
        <v>579</v>
      </c>
      <c r="C951" s="13" t="s">
        <v>394</v>
      </c>
      <c r="D951" s="61" t="n">
        <v>45976.2708333333</v>
      </c>
      <c r="E951" s="61" t="n">
        <v>45976.2708333333</v>
      </c>
      <c r="F951" s="61" t="n">
        <v>45976.3805555556</v>
      </c>
      <c r="G951" s="62" t="n">
        <v>0.109722222223354</v>
      </c>
      <c r="H951" s="13" t="s">
        <v>445</v>
      </c>
      <c r="I951" s="13" t="s">
        <v>263</v>
      </c>
      <c r="J951" s="13" t="s">
        <v>264</v>
      </c>
      <c r="K951" s="13" t="s">
        <v>456</v>
      </c>
      <c r="L951" s="13" t="s">
        <v>2035</v>
      </c>
      <c r="M951" s="66" t="s">
        <v>266</v>
      </c>
      <c r="N951" s="66" t="s">
        <v>252</v>
      </c>
      <c r="O951" s="66" t="s">
        <v>2036</v>
      </c>
      <c r="P951" s="0" t="s">
        <v>2038</v>
      </c>
      <c r="Q951" s="66" t="s">
        <v>1430</v>
      </c>
    </row>
    <row r="952" customFormat="false" ht="14.25" hidden="false" customHeight="false" outlineLevel="0" collapsed="false">
      <c r="A952" s="13" t="s">
        <v>579</v>
      </c>
      <c r="B952" s="13" t="s">
        <v>579</v>
      </c>
      <c r="C952" s="13" t="s">
        <v>395</v>
      </c>
      <c r="D952" s="61" t="n">
        <v>45976.2708333333</v>
      </c>
      <c r="E952" s="61" t="n">
        <v>45976.2708333333</v>
      </c>
      <c r="F952" s="61" t="n">
        <v>45976.3805555556</v>
      </c>
      <c r="G952" s="62" t="n">
        <v>0.109722222223354</v>
      </c>
      <c r="H952" s="13" t="s">
        <v>445</v>
      </c>
      <c r="I952" s="13" t="s">
        <v>263</v>
      </c>
      <c r="J952" s="13" t="s">
        <v>264</v>
      </c>
      <c r="K952" s="13" t="s">
        <v>456</v>
      </c>
      <c r="L952" s="13" t="s">
        <v>2035</v>
      </c>
      <c r="M952" s="66" t="s">
        <v>266</v>
      </c>
      <c r="N952" s="66" t="s">
        <v>252</v>
      </c>
      <c r="O952" s="66" t="s">
        <v>2036</v>
      </c>
      <c r="P952" s="0" t="s">
        <v>2039</v>
      </c>
      <c r="Q952" s="66" t="s">
        <v>1430</v>
      </c>
    </row>
    <row r="953" customFormat="false" ht="14.25" hidden="false" customHeight="false" outlineLevel="0" collapsed="false">
      <c r="A953" s="13" t="s">
        <v>579</v>
      </c>
      <c r="B953" s="13" t="s">
        <v>579</v>
      </c>
      <c r="C953" s="13" t="s">
        <v>396</v>
      </c>
      <c r="D953" s="61" t="n">
        <v>45976.2708333333</v>
      </c>
      <c r="E953" s="61" t="n">
        <v>45976.2708333333</v>
      </c>
      <c r="F953" s="61" t="n">
        <v>45976.3805555556</v>
      </c>
      <c r="G953" s="62" t="n">
        <v>0.109722222223354</v>
      </c>
      <c r="H953" s="13" t="s">
        <v>445</v>
      </c>
      <c r="I953" s="13" t="s">
        <v>263</v>
      </c>
      <c r="J953" s="13" t="s">
        <v>264</v>
      </c>
      <c r="K953" s="13" t="s">
        <v>456</v>
      </c>
      <c r="L953" s="13" t="s">
        <v>2035</v>
      </c>
      <c r="M953" s="66" t="s">
        <v>266</v>
      </c>
      <c r="N953" s="66" t="s">
        <v>252</v>
      </c>
      <c r="O953" s="66" t="s">
        <v>2036</v>
      </c>
      <c r="P953" s="0" t="s">
        <v>2040</v>
      </c>
      <c r="Q953" s="66" t="s">
        <v>1430</v>
      </c>
    </row>
    <row r="954" customFormat="false" ht="14.25" hidden="false" customHeight="false" outlineLevel="0" collapsed="false">
      <c r="A954" s="13" t="s">
        <v>579</v>
      </c>
      <c r="B954" s="13" t="s">
        <v>579</v>
      </c>
      <c r="C954" s="13" t="s">
        <v>391</v>
      </c>
      <c r="D954" s="61" t="n">
        <v>45976.2708333333</v>
      </c>
      <c r="E954" s="61" t="n">
        <v>45976.2708333333</v>
      </c>
      <c r="F954" s="61" t="n">
        <v>45976.3805555556</v>
      </c>
      <c r="G954" s="62" t="n">
        <v>0.109722222223354</v>
      </c>
      <c r="H954" s="13" t="s">
        <v>445</v>
      </c>
      <c r="I954" s="13" t="s">
        <v>263</v>
      </c>
      <c r="J954" s="13" t="s">
        <v>264</v>
      </c>
      <c r="K954" s="13" t="s">
        <v>456</v>
      </c>
      <c r="L954" s="13" t="s">
        <v>2035</v>
      </c>
      <c r="M954" s="66" t="s">
        <v>266</v>
      </c>
      <c r="N954" s="66" t="s">
        <v>252</v>
      </c>
      <c r="O954" s="66" t="s">
        <v>2036</v>
      </c>
      <c r="P954" s="0" t="s">
        <v>2041</v>
      </c>
      <c r="Q954" s="66" t="s">
        <v>1430</v>
      </c>
    </row>
    <row r="955" customFormat="false" ht="14.25" hidden="false" customHeight="false" outlineLevel="0" collapsed="false">
      <c r="A955" s="13" t="s">
        <v>726</v>
      </c>
      <c r="B955" s="13" t="s">
        <v>726</v>
      </c>
      <c r="C955" s="13" t="s">
        <v>277</v>
      </c>
      <c r="D955" s="61" t="n">
        <v>45976.4708333333</v>
      </c>
      <c r="E955" s="61" t="n">
        <v>45976.4708333333</v>
      </c>
      <c r="F955" s="61" t="n">
        <v>45976.5090277778</v>
      </c>
      <c r="G955" s="62" t="n">
        <v>0.0381944444452529</v>
      </c>
      <c r="H955" s="13" t="s">
        <v>445</v>
      </c>
      <c r="I955" s="13" t="s">
        <v>263</v>
      </c>
      <c r="J955" s="13" t="s">
        <v>417</v>
      </c>
      <c r="K955" s="13" t="s">
        <v>1405</v>
      </c>
      <c r="L955" s="13" t="s">
        <v>420</v>
      </c>
      <c r="M955" s="66" t="s">
        <v>418</v>
      </c>
      <c r="N955" s="66" t="s">
        <v>252</v>
      </c>
      <c r="O955" s="66" t="s">
        <v>791</v>
      </c>
      <c r="P955" s="0" t="s">
        <v>2042</v>
      </c>
      <c r="Q955" s="66" t="s">
        <v>1407</v>
      </c>
    </row>
    <row r="956" customFormat="false" ht="14.25" hidden="false" customHeight="false" outlineLevel="0" collapsed="false">
      <c r="A956" s="13" t="s">
        <v>726</v>
      </c>
      <c r="B956" s="13" t="s">
        <v>726</v>
      </c>
      <c r="C956" s="13" t="s">
        <v>247</v>
      </c>
      <c r="D956" s="61" t="n">
        <v>45976.4708333333</v>
      </c>
      <c r="E956" s="61" t="n">
        <v>45976.4708333333</v>
      </c>
      <c r="F956" s="61" t="n">
        <v>45976.5090277778</v>
      </c>
      <c r="G956" s="62" t="n">
        <v>0.0381944444452529</v>
      </c>
      <c r="H956" s="13" t="s">
        <v>445</v>
      </c>
      <c r="I956" s="13" t="s">
        <v>263</v>
      </c>
      <c r="J956" s="13" t="s">
        <v>417</v>
      </c>
      <c r="K956" s="13" t="s">
        <v>1405</v>
      </c>
      <c r="L956" s="13" t="s">
        <v>420</v>
      </c>
      <c r="M956" s="66" t="s">
        <v>418</v>
      </c>
      <c r="N956" s="66" t="s">
        <v>252</v>
      </c>
      <c r="O956" s="66" t="s">
        <v>791</v>
      </c>
      <c r="P956" s="0" t="s">
        <v>2043</v>
      </c>
      <c r="Q956" s="66" t="s">
        <v>1407</v>
      </c>
    </row>
    <row r="957" customFormat="false" ht="14.25" hidden="false" customHeight="false" outlineLevel="0" collapsed="false">
      <c r="A957" s="13" t="s">
        <v>726</v>
      </c>
      <c r="B957" s="13" t="s">
        <v>726</v>
      </c>
      <c r="C957" s="13" t="s">
        <v>729</v>
      </c>
      <c r="D957" s="61" t="n">
        <v>45976.4708333333</v>
      </c>
      <c r="E957" s="61" t="n">
        <v>45976.4708333333</v>
      </c>
      <c r="F957" s="61" t="n">
        <v>45976.5090277778</v>
      </c>
      <c r="G957" s="62" t="n">
        <v>0.0381944444452529</v>
      </c>
      <c r="H957" s="13" t="s">
        <v>445</v>
      </c>
      <c r="I957" s="13" t="s">
        <v>263</v>
      </c>
      <c r="J957" s="13" t="s">
        <v>417</v>
      </c>
      <c r="K957" s="13" t="s">
        <v>1405</v>
      </c>
      <c r="L957" s="13" t="s">
        <v>420</v>
      </c>
      <c r="M957" s="66" t="s">
        <v>418</v>
      </c>
      <c r="N957" s="66" t="s">
        <v>252</v>
      </c>
      <c r="O957" s="66" t="s">
        <v>791</v>
      </c>
      <c r="P957" s="0" t="s">
        <v>2044</v>
      </c>
      <c r="Q957" s="66" t="s">
        <v>1407</v>
      </c>
    </row>
    <row r="958" customFormat="false" ht="14.25" hidden="false" customHeight="false" outlineLevel="0" collapsed="false">
      <c r="A958" s="13" t="s">
        <v>726</v>
      </c>
      <c r="B958" s="13" t="s">
        <v>726</v>
      </c>
      <c r="C958" s="13" t="s">
        <v>730</v>
      </c>
      <c r="D958" s="61" t="n">
        <v>45976.4708333333</v>
      </c>
      <c r="E958" s="61" t="n">
        <v>45976.4708333333</v>
      </c>
      <c r="F958" s="61" t="n">
        <v>45976.5090277778</v>
      </c>
      <c r="G958" s="62" t="n">
        <v>0.0381944444452529</v>
      </c>
      <c r="H958" s="13" t="s">
        <v>445</v>
      </c>
      <c r="I958" s="13" t="s">
        <v>263</v>
      </c>
      <c r="J958" s="13" t="s">
        <v>417</v>
      </c>
      <c r="K958" s="13" t="s">
        <v>1405</v>
      </c>
      <c r="L958" s="13" t="s">
        <v>420</v>
      </c>
      <c r="M958" s="66" t="s">
        <v>418</v>
      </c>
      <c r="N958" s="66" t="s">
        <v>252</v>
      </c>
      <c r="O958" s="66" t="s">
        <v>791</v>
      </c>
      <c r="P958" s="0" t="s">
        <v>2045</v>
      </c>
      <c r="Q958" s="66" t="s">
        <v>1407</v>
      </c>
    </row>
    <row r="959" customFormat="false" ht="14.25" hidden="false" customHeight="false" outlineLevel="0" collapsed="false">
      <c r="A959" s="13" t="s">
        <v>726</v>
      </c>
      <c r="B959" s="13" t="s">
        <v>726</v>
      </c>
      <c r="C959" s="13" t="s">
        <v>690</v>
      </c>
      <c r="D959" s="61" t="n">
        <v>45976.4708333333</v>
      </c>
      <c r="E959" s="61" t="n">
        <v>45976.4708333333</v>
      </c>
      <c r="F959" s="61" t="n">
        <v>45976.5090277778</v>
      </c>
      <c r="G959" s="62" t="n">
        <v>0.0381944444452529</v>
      </c>
      <c r="H959" s="13" t="s">
        <v>445</v>
      </c>
      <c r="I959" s="13" t="s">
        <v>263</v>
      </c>
      <c r="J959" s="13" t="s">
        <v>417</v>
      </c>
      <c r="K959" s="13" t="s">
        <v>1405</v>
      </c>
      <c r="L959" s="13" t="s">
        <v>420</v>
      </c>
      <c r="M959" s="66" t="s">
        <v>418</v>
      </c>
      <c r="N959" s="66" t="s">
        <v>252</v>
      </c>
      <c r="O959" s="66" t="s">
        <v>791</v>
      </c>
      <c r="P959" s="0" t="s">
        <v>2046</v>
      </c>
      <c r="Q959" s="66" t="s">
        <v>1407</v>
      </c>
    </row>
    <row r="960" customFormat="false" ht="14.25" hidden="false" customHeight="false" outlineLevel="0" collapsed="false">
      <c r="A960" s="13" t="s">
        <v>731</v>
      </c>
      <c r="B960" s="13" t="s">
        <v>731</v>
      </c>
      <c r="C960" s="13" t="s">
        <v>732</v>
      </c>
      <c r="D960" s="61" t="n">
        <v>45976.4708333333</v>
      </c>
      <c r="E960" s="61" t="n">
        <v>45976.4708333333</v>
      </c>
      <c r="F960" s="61" t="n">
        <v>45976.5090277778</v>
      </c>
      <c r="G960" s="62" t="n">
        <v>0.0381944444452529</v>
      </c>
      <c r="H960" s="13" t="s">
        <v>445</v>
      </c>
      <c r="I960" s="13" t="s">
        <v>263</v>
      </c>
      <c r="J960" s="13" t="s">
        <v>417</v>
      </c>
      <c r="K960" s="13" t="s">
        <v>1405</v>
      </c>
      <c r="L960" s="13" t="s">
        <v>420</v>
      </c>
      <c r="M960" s="66" t="s">
        <v>418</v>
      </c>
      <c r="N960" s="66" t="s">
        <v>252</v>
      </c>
      <c r="O960" s="66" t="s">
        <v>791</v>
      </c>
      <c r="P960" s="0" t="s">
        <v>2047</v>
      </c>
      <c r="Q960" s="66" t="s">
        <v>1407</v>
      </c>
    </row>
    <row r="961" customFormat="false" ht="14.25" hidden="false" customHeight="false" outlineLevel="0" collapsed="false">
      <c r="A961" s="13" t="s">
        <v>731</v>
      </c>
      <c r="B961" s="13" t="s">
        <v>731</v>
      </c>
      <c r="C961" s="13" t="s">
        <v>733</v>
      </c>
      <c r="D961" s="61" t="n">
        <v>45976.4708333333</v>
      </c>
      <c r="E961" s="61" t="n">
        <v>45976.4708333333</v>
      </c>
      <c r="F961" s="61" t="n">
        <v>45976.5090277778</v>
      </c>
      <c r="G961" s="62" t="n">
        <v>0.0381944444452529</v>
      </c>
      <c r="H961" s="13" t="s">
        <v>445</v>
      </c>
      <c r="I961" s="13" t="s">
        <v>263</v>
      </c>
      <c r="J961" s="13" t="s">
        <v>417</v>
      </c>
      <c r="K961" s="13" t="s">
        <v>1405</v>
      </c>
      <c r="L961" s="13" t="s">
        <v>420</v>
      </c>
      <c r="M961" s="66" t="s">
        <v>418</v>
      </c>
      <c r="N961" s="66" t="s">
        <v>252</v>
      </c>
      <c r="O961" s="66" t="s">
        <v>791</v>
      </c>
      <c r="P961" s="0" t="s">
        <v>2048</v>
      </c>
      <c r="Q961" s="66" t="s">
        <v>1407</v>
      </c>
    </row>
    <row r="962" customFormat="false" ht="14.25" hidden="false" customHeight="false" outlineLevel="0" collapsed="false">
      <c r="A962" s="13" t="s">
        <v>731</v>
      </c>
      <c r="B962" s="13" t="s">
        <v>731</v>
      </c>
      <c r="C962" s="13" t="s">
        <v>734</v>
      </c>
      <c r="D962" s="61" t="n">
        <v>45976.4708333333</v>
      </c>
      <c r="E962" s="61" t="n">
        <v>45976.4708333333</v>
      </c>
      <c r="F962" s="61" t="n">
        <v>45976.5090277778</v>
      </c>
      <c r="G962" s="62" t="n">
        <v>0.0381944444452529</v>
      </c>
      <c r="H962" s="13" t="s">
        <v>445</v>
      </c>
      <c r="I962" s="13" t="s">
        <v>263</v>
      </c>
      <c r="J962" s="13" t="s">
        <v>417</v>
      </c>
      <c r="K962" s="13" t="s">
        <v>1405</v>
      </c>
      <c r="L962" s="13" t="s">
        <v>420</v>
      </c>
      <c r="M962" s="66" t="s">
        <v>418</v>
      </c>
      <c r="N962" s="66" t="s">
        <v>252</v>
      </c>
      <c r="O962" s="66" t="s">
        <v>791</v>
      </c>
      <c r="P962" s="0" t="s">
        <v>2049</v>
      </c>
      <c r="Q962" s="66" t="s">
        <v>1407</v>
      </c>
    </row>
    <row r="963" customFormat="false" ht="14.25" hidden="false" customHeight="false" outlineLevel="0" collapsed="false">
      <c r="A963" s="13" t="s">
        <v>720</v>
      </c>
      <c r="B963" s="13" t="s">
        <v>720</v>
      </c>
      <c r="C963" s="13" t="s">
        <v>255</v>
      </c>
      <c r="D963" s="61" t="n">
        <v>45976.5555555556</v>
      </c>
      <c r="E963" s="61" t="n">
        <v>45976.5555555556</v>
      </c>
      <c r="F963" s="61" t="n">
        <v>45976.6944444444</v>
      </c>
      <c r="G963" s="62" t="n">
        <v>0.138888888890506</v>
      </c>
      <c r="H963" s="13" t="s">
        <v>445</v>
      </c>
      <c r="I963" s="13" t="s">
        <v>263</v>
      </c>
      <c r="J963" s="13" t="s">
        <v>417</v>
      </c>
      <c r="K963" s="13" t="s">
        <v>1405</v>
      </c>
      <c r="L963" s="13" t="s">
        <v>2050</v>
      </c>
      <c r="M963" s="66" t="s">
        <v>418</v>
      </c>
      <c r="N963" s="66" t="s">
        <v>252</v>
      </c>
      <c r="O963" s="66" t="s">
        <v>2051</v>
      </c>
      <c r="P963" s="0" t="s">
        <v>2052</v>
      </c>
      <c r="Q963" s="66" t="s">
        <v>1407</v>
      </c>
    </row>
    <row r="964" customFormat="false" ht="14.25" hidden="false" customHeight="false" outlineLevel="0" collapsed="false">
      <c r="A964" s="13" t="s">
        <v>720</v>
      </c>
      <c r="B964" s="13" t="s">
        <v>720</v>
      </c>
      <c r="C964" s="13" t="s">
        <v>723</v>
      </c>
      <c r="D964" s="61" t="n">
        <v>45976.5555555556</v>
      </c>
      <c r="E964" s="61" t="n">
        <v>45976.5555555556</v>
      </c>
      <c r="F964" s="61" t="n">
        <v>45976.6944444444</v>
      </c>
      <c r="G964" s="62" t="n">
        <v>0.138888888890506</v>
      </c>
      <c r="H964" s="13" t="s">
        <v>445</v>
      </c>
      <c r="I964" s="13" t="s">
        <v>263</v>
      </c>
      <c r="J964" s="13" t="s">
        <v>417</v>
      </c>
      <c r="K964" s="13" t="s">
        <v>1405</v>
      </c>
      <c r="L964" s="13" t="s">
        <v>2050</v>
      </c>
      <c r="M964" s="66" t="s">
        <v>418</v>
      </c>
      <c r="N964" s="66" t="s">
        <v>252</v>
      </c>
      <c r="O964" s="66" t="s">
        <v>2051</v>
      </c>
      <c r="P964" s="0" t="s">
        <v>2053</v>
      </c>
      <c r="Q964" s="66" t="s">
        <v>1407</v>
      </c>
    </row>
    <row r="965" customFormat="false" ht="14.25" hidden="false" customHeight="false" outlineLevel="0" collapsed="false">
      <c r="A965" s="13" t="s">
        <v>720</v>
      </c>
      <c r="B965" s="13" t="s">
        <v>720</v>
      </c>
      <c r="C965" s="13" t="s">
        <v>2054</v>
      </c>
      <c r="D965" s="61" t="n">
        <v>45976.5555555556</v>
      </c>
      <c r="E965" s="61" t="n">
        <v>45976.5555555556</v>
      </c>
      <c r="F965" s="61" t="n">
        <v>45976.6944444444</v>
      </c>
      <c r="G965" s="62" t="n">
        <v>0.138888888890506</v>
      </c>
      <c r="H965" s="13" t="s">
        <v>445</v>
      </c>
      <c r="I965" s="13" t="s">
        <v>263</v>
      </c>
      <c r="J965" s="13" t="s">
        <v>417</v>
      </c>
      <c r="K965" s="13" t="s">
        <v>1405</v>
      </c>
      <c r="L965" s="13" t="s">
        <v>2050</v>
      </c>
      <c r="M965" s="66" t="s">
        <v>418</v>
      </c>
      <c r="N965" s="66" t="s">
        <v>252</v>
      </c>
      <c r="O965" s="66" t="s">
        <v>2051</v>
      </c>
      <c r="P965" s="0" t="s">
        <v>2055</v>
      </c>
      <c r="Q965" s="66" t="s">
        <v>1407</v>
      </c>
    </row>
    <row r="966" customFormat="false" ht="14.25" hidden="false" customHeight="false" outlineLevel="0" collapsed="false">
      <c r="A966" s="13" t="s">
        <v>720</v>
      </c>
      <c r="B966" s="13" t="s">
        <v>720</v>
      </c>
      <c r="C966" s="13" t="s">
        <v>2056</v>
      </c>
      <c r="D966" s="61" t="n">
        <v>45976.5555555556</v>
      </c>
      <c r="E966" s="61" t="n">
        <v>45976.5555555556</v>
      </c>
      <c r="F966" s="61" t="n">
        <v>45976.6944444444</v>
      </c>
      <c r="G966" s="62" t="n">
        <v>0.138888888890506</v>
      </c>
      <c r="H966" s="13" t="s">
        <v>445</v>
      </c>
      <c r="I966" s="13" t="s">
        <v>263</v>
      </c>
      <c r="J966" s="13" t="s">
        <v>417</v>
      </c>
      <c r="K966" s="13" t="s">
        <v>1405</v>
      </c>
      <c r="L966" s="13" t="s">
        <v>2050</v>
      </c>
      <c r="M966" s="66" t="s">
        <v>418</v>
      </c>
      <c r="N966" s="66" t="s">
        <v>252</v>
      </c>
      <c r="O966" s="66" t="s">
        <v>2051</v>
      </c>
      <c r="P966" s="0" t="s">
        <v>2057</v>
      </c>
      <c r="Q966" s="66" t="s">
        <v>1407</v>
      </c>
    </row>
    <row r="967" customFormat="false" ht="14.25" hidden="false" customHeight="false" outlineLevel="0" collapsed="false">
      <c r="A967" s="13" t="s">
        <v>720</v>
      </c>
      <c r="B967" s="13" t="s">
        <v>720</v>
      </c>
      <c r="C967" s="13" t="s">
        <v>2058</v>
      </c>
      <c r="D967" s="61" t="n">
        <v>45976.5555555556</v>
      </c>
      <c r="E967" s="61" t="n">
        <v>45976.5555555556</v>
      </c>
      <c r="F967" s="61" t="n">
        <v>45976.6944444444</v>
      </c>
      <c r="G967" s="62" t="n">
        <v>0.138888888890506</v>
      </c>
      <c r="H967" s="13" t="s">
        <v>445</v>
      </c>
      <c r="I967" s="13" t="s">
        <v>263</v>
      </c>
      <c r="J967" s="13" t="s">
        <v>417</v>
      </c>
      <c r="K967" s="13" t="s">
        <v>1405</v>
      </c>
      <c r="L967" s="13" t="s">
        <v>2050</v>
      </c>
      <c r="M967" s="66" t="s">
        <v>418</v>
      </c>
      <c r="N967" s="66" t="s">
        <v>252</v>
      </c>
      <c r="O967" s="66" t="s">
        <v>2051</v>
      </c>
      <c r="P967" s="0" t="s">
        <v>2059</v>
      </c>
      <c r="Q967" s="66" t="s">
        <v>1407</v>
      </c>
    </row>
    <row r="968" customFormat="false" ht="14.25" hidden="false" customHeight="false" outlineLevel="0" collapsed="false">
      <c r="A968" s="13" t="s">
        <v>614</v>
      </c>
      <c r="B968" s="13" t="s">
        <v>614</v>
      </c>
      <c r="C968" s="13" t="s">
        <v>2060</v>
      </c>
      <c r="D968" s="61" t="n">
        <v>45976.5555555556</v>
      </c>
      <c r="E968" s="61" t="n">
        <v>45976.5555555556</v>
      </c>
      <c r="F968" s="61" t="n">
        <v>45976.6944444444</v>
      </c>
      <c r="G968" s="62" t="n">
        <v>0.138888888890506</v>
      </c>
      <c r="H968" s="13" t="s">
        <v>445</v>
      </c>
      <c r="I968" s="13" t="s">
        <v>263</v>
      </c>
      <c r="J968" s="13" t="s">
        <v>417</v>
      </c>
      <c r="K968" s="13" t="s">
        <v>1405</v>
      </c>
      <c r="L968" s="13" t="s">
        <v>2050</v>
      </c>
      <c r="M968" s="66" t="s">
        <v>418</v>
      </c>
      <c r="N968" s="66" t="s">
        <v>252</v>
      </c>
      <c r="O968" s="66" t="s">
        <v>2051</v>
      </c>
      <c r="P968" s="0" t="s">
        <v>2061</v>
      </c>
      <c r="Q968" s="66" t="s">
        <v>1407</v>
      </c>
    </row>
    <row r="969" customFormat="false" ht="14.25" hidden="false" customHeight="false" outlineLevel="0" collapsed="false">
      <c r="A969" s="13" t="s">
        <v>614</v>
      </c>
      <c r="B969" s="13" t="s">
        <v>614</v>
      </c>
      <c r="C969" s="13" t="s">
        <v>2062</v>
      </c>
      <c r="D969" s="61" t="n">
        <v>45976.5555555556</v>
      </c>
      <c r="E969" s="61" t="n">
        <v>45976.5555555556</v>
      </c>
      <c r="F969" s="61" t="n">
        <v>45976.6944444444</v>
      </c>
      <c r="G969" s="62" t="n">
        <v>0.138888888890506</v>
      </c>
      <c r="H969" s="13" t="s">
        <v>445</v>
      </c>
      <c r="I969" s="13" t="s">
        <v>263</v>
      </c>
      <c r="J969" s="13" t="s">
        <v>417</v>
      </c>
      <c r="K969" s="13" t="s">
        <v>1405</v>
      </c>
      <c r="L969" s="13" t="s">
        <v>2050</v>
      </c>
      <c r="M969" s="66" t="s">
        <v>418</v>
      </c>
      <c r="N969" s="66" t="s">
        <v>252</v>
      </c>
      <c r="O969" s="66" t="s">
        <v>2051</v>
      </c>
      <c r="P969" s="0" t="s">
        <v>2063</v>
      </c>
      <c r="Q969" s="66" t="s">
        <v>1407</v>
      </c>
    </row>
    <row r="970" customFormat="false" ht="14.25" hidden="false" customHeight="false" outlineLevel="0" collapsed="false">
      <c r="A970" s="13" t="s">
        <v>614</v>
      </c>
      <c r="B970" s="13" t="s">
        <v>614</v>
      </c>
      <c r="C970" s="13" t="s">
        <v>2064</v>
      </c>
      <c r="D970" s="61" t="n">
        <v>45976.5555555556</v>
      </c>
      <c r="E970" s="61" t="n">
        <v>45976.5555555556</v>
      </c>
      <c r="F970" s="61" t="n">
        <v>45976.6944444444</v>
      </c>
      <c r="G970" s="62" t="n">
        <v>0.138888888890506</v>
      </c>
      <c r="H970" s="13" t="s">
        <v>445</v>
      </c>
      <c r="I970" s="13" t="s">
        <v>263</v>
      </c>
      <c r="J970" s="13" t="s">
        <v>417</v>
      </c>
      <c r="K970" s="13" t="s">
        <v>1405</v>
      </c>
      <c r="L970" s="13" t="s">
        <v>2050</v>
      </c>
      <c r="M970" s="66" t="s">
        <v>418</v>
      </c>
      <c r="N970" s="66" t="s">
        <v>252</v>
      </c>
      <c r="O970" s="66" t="s">
        <v>2051</v>
      </c>
      <c r="P970" s="0" t="s">
        <v>2065</v>
      </c>
      <c r="Q970" s="66" t="s">
        <v>1407</v>
      </c>
    </row>
    <row r="971" customFormat="false" ht="14.25" hidden="false" customHeight="false" outlineLevel="0" collapsed="false">
      <c r="A971" s="13" t="s">
        <v>614</v>
      </c>
      <c r="B971" s="13" t="s">
        <v>614</v>
      </c>
      <c r="C971" s="13" t="s">
        <v>2066</v>
      </c>
      <c r="D971" s="61" t="n">
        <v>45976.5555555556</v>
      </c>
      <c r="E971" s="61" t="n">
        <v>45976.5555555556</v>
      </c>
      <c r="F971" s="61" t="n">
        <v>45976.6944444444</v>
      </c>
      <c r="G971" s="62" t="n">
        <v>0.138888888890506</v>
      </c>
      <c r="H971" s="13" t="s">
        <v>445</v>
      </c>
      <c r="I971" s="13" t="s">
        <v>263</v>
      </c>
      <c r="J971" s="13" t="s">
        <v>417</v>
      </c>
      <c r="K971" s="13" t="s">
        <v>1405</v>
      </c>
      <c r="L971" s="13" t="s">
        <v>2050</v>
      </c>
      <c r="M971" s="66" t="s">
        <v>418</v>
      </c>
      <c r="N971" s="66" t="s">
        <v>252</v>
      </c>
      <c r="O971" s="66" t="s">
        <v>2051</v>
      </c>
      <c r="P971" s="0" t="s">
        <v>2067</v>
      </c>
      <c r="Q971" s="66" t="s">
        <v>1407</v>
      </c>
    </row>
    <row r="972" customFormat="false" ht="14.25" hidden="false" customHeight="false" outlineLevel="0" collapsed="false">
      <c r="A972" s="13" t="s">
        <v>614</v>
      </c>
      <c r="B972" s="13" t="s">
        <v>614</v>
      </c>
      <c r="C972" s="13" t="s">
        <v>2068</v>
      </c>
      <c r="D972" s="61" t="n">
        <v>45976.5555555556</v>
      </c>
      <c r="E972" s="61" t="n">
        <v>45976.5555555556</v>
      </c>
      <c r="F972" s="61" t="n">
        <v>45976.6944444444</v>
      </c>
      <c r="G972" s="62" t="n">
        <v>0.138888888890506</v>
      </c>
      <c r="H972" s="13" t="s">
        <v>445</v>
      </c>
      <c r="I972" s="13" t="s">
        <v>263</v>
      </c>
      <c r="J972" s="13" t="s">
        <v>417</v>
      </c>
      <c r="K972" s="13" t="s">
        <v>1405</v>
      </c>
      <c r="L972" s="13" t="s">
        <v>2050</v>
      </c>
      <c r="M972" s="66" t="s">
        <v>418</v>
      </c>
      <c r="N972" s="66" t="s">
        <v>252</v>
      </c>
      <c r="O972" s="66" t="s">
        <v>2051</v>
      </c>
      <c r="P972" s="0" t="s">
        <v>2069</v>
      </c>
      <c r="Q972" s="66" t="s">
        <v>1407</v>
      </c>
    </row>
    <row r="973" customFormat="false" ht="14.25" hidden="false" customHeight="false" outlineLevel="0" collapsed="false">
      <c r="A973" s="13" t="s">
        <v>536</v>
      </c>
      <c r="B973" s="13" t="s">
        <v>536</v>
      </c>
      <c r="C973" s="13" t="s">
        <v>2070</v>
      </c>
      <c r="D973" s="61" t="n">
        <v>45976.5555555556</v>
      </c>
      <c r="E973" s="61" t="n">
        <v>45976.5555555556</v>
      </c>
      <c r="F973" s="61" t="n">
        <v>45976.6944444444</v>
      </c>
      <c r="G973" s="62" t="n">
        <v>0.138888888890506</v>
      </c>
      <c r="H973" s="13" t="s">
        <v>445</v>
      </c>
      <c r="I973" s="13" t="s">
        <v>263</v>
      </c>
      <c r="J973" s="13" t="s">
        <v>417</v>
      </c>
      <c r="K973" s="13" t="s">
        <v>1405</v>
      </c>
      <c r="L973" s="13" t="s">
        <v>2050</v>
      </c>
      <c r="M973" s="66" t="s">
        <v>418</v>
      </c>
      <c r="N973" s="66" t="s">
        <v>252</v>
      </c>
      <c r="O973" s="66" t="s">
        <v>2051</v>
      </c>
      <c r="P973" s="0" t="s">
        <v>2071</v>
      </c>
      <c r="Q973" s="66" t="s">
        <v>1407</v>
      </c>
    </row>
    <row r="974" customFormat="false" ht="14.25" hidden="false" customHeight="false" outlineLevel="0" collapsed="false">
      <c r="A974" s="13" t="s">
        <v>536</v>
      </c>
      <c r="B974" s="13" t="s">
        <v>536</v>
      </c>
      <c r="C974" s="13" t="s">
        <v>2058</v>
      </c>
      <c r="D974" s="61" t="n">
        <v>45976.5555555556</v>
      </c>
      <c r="E974" s="61" t="n">
        <v>45976.5555555556</v>
      </c>
      <c r="F974" s="61" t="n">
        <v>45976.6944444444</v>
      </c>
      <c r="G974" s="62" t="n">
        <v>0.138888888890506</v>
      </c>
      <c r="H974" s="13" t="s">
        <v>445</v>
      </c>
      <c r="I974" s="13" t="s">
        <v>263</v>
      </c>
      <c r="J974" s="13" t="s">
        <v>417</v>
      </c>
      <c r="K974" s="13" t="s">
        <v>1405</v>
      </c>
      <c r="L974" s="13" t="s">
        <v>2050</v>
      </c>
      <c r="M974" s="66" t="s">
        <v>418</v>
      </c>
      <c r="N974" s="66" t="s">
        <v>252</v>
      </c>
      <c r="O974" s="66" t="s">
        <v>2051</v>
      </c>
      <c r="P974" s="0" t="s">
        <v>2072</v>
      </c>
      <c r="Q974" s="66" t="s">
        <v>1407</v>
      </c>
    </row>
    <row r="975" customFormat="false" ht="14.25" hidden="false" customHeight="false" outlineLevel="0" collapsed="false">
      <c r="A975" s="13" t="s">
        <v>536</v>
      </c>
      <c r="B975" s="13" t="s">
        <v>536</v>
      </c>
      <c r="C975" s="13" t="s">
        <v>2073</v>
      </c>
      <c r="D975" s="61" t="n">
        <v>45976.5555555556</v>
      </c>
      <c r="E975" s="61" t="n">
        <v>45976.5555555556</v>
      </c>
      <c r="F975" s="61" t="n">
        <v>45976.6944444444</v>
      </c>
      <c r="G975" s="62" t="n">
        <v>0.138888888890506</v>
      </c>
      <c r="H975" s="13" t="s">
        <v>445</v>
      </c>
      <c r="I975" s="13" t="s">
        <v>263</v>
      </c>
      <c r="J975" s="13" t="s">
        <v>417</v>
      </c>
      <c r="K975" s="13" t="s">
        <v>1405</v>
      </c>
      <c r="L975" s="13" t="s">
        <v>2050</v>
      </c>
      <c r="M975" s="66" t="s">
        <v>418</v>
      </c>
      <c r="N975" s="66" t="s">
        <v>252</v>
      </c>
      <c r="O975" s="66" t="s">
        <v>2051</v>
      </c>
      <c r="P975" s="0" t="s">
        <v>2074</v>
      </c>
      <c r="Q975" s="66" t="s">
        <v>1407</v>
      </c>
    </row>
    <row r="976" customFormat="false" ht="14.25" hidden="false" customHeight="false" outlineLevel="0" collapsed="false">
      <c r="A976" s="13" t="s">
        <v>254</v>
      </c>
      <c r="B976" s="13" t="s">
        <v>254</v>
      </c>
      <c r="C976" s="13" t="s">
        <v>255</v>
      </c>
      <c r="D976" s="61" t="n">
        <v>45976.7263888889</v>
      </c>
      <c r="E976" s="61" t="n">
        <v>45976.7263888889</v>
      </c>
      <c r="F976" s="61" t="n">
        <v>45977.2534722222</v>
      </c>
      <c r="G976" s="62" t="n">
        <v>0.527083333327028</v>
      </c>
      <c r="H976" s="13" t="s">
        <v>248</v>
      </c>
      <c r="J976" s="13" t="s">
        <v>256</v>
      </c>
      <c r="K976" s="13" t="s">
        <v>430</v>
      </c>
      <c r="L976" s="13" t="s">
        <v>881</v>
      </c>
      <c r="M976" s="66" t="s">
        <v>258</v>
      </c>
      <c r="N976" s="66" t="s">
        <v>379</v>
      </c>
      <c r="O976" s="66" t="s">
        <v>399</v>
      </c>
      <c r="P976" s="0" t="s">
        <v>2075</v>
      </c>
      <c r="Q976" s="66" t="s">
        <v>995</v>
      </c>
    </row>
    <row r="977" customFormat="false" ht="14.25" hidden="false" customHeight="false" outlineLevel="0" collapsed="false">
      <c r="A977" s="13" t="s">
        <v>307</v>
      </c>
      <c r="B977" s="13" t="s">
        <v>307</v>
      </c>
      <c r="C977" s="13" t="s">
        <v>255</v>
      </c>
      <c r="D977" s="61" t="n">
        <v>45976.7263888889</v>
      </c>
      <c r="E977" s="61" t="n">
        <v>45976.7263888889</v>
      </c>
      <c r="F977" s="61" t="n">
        <v>45977.2534722222</v>
      </c>
      <c r="G977" s="62" t="n">
        <v>0.527083333327028</v>
      </c>
      <c r="H977" s="13" t="s">
        <v>248</v>
      </c>
      <c r="J977" s="13" t="s">
        <v>256</v>
      </c>
      <c r="K977" s="13" t="s">
        <v>430</v>
      </c>
      <c r="L977" s="13" t="s">
        <v>881</v>
      </c>
      <c r="M977" s="66" t="s">
        <v>258</v>
      </c>
      <c r="N977" s="66" t="s">
        <v>379</v>
      </c>
      <c r="O977" s="66" t="s">
        <v>399</v>
      </c>
      <c r="P977" s="0" t="s">
        <v>2076</v>
      </c>
      <c r="Q977" s="66" t="s">
        <v>995</v>
      </c>
    </row>
    <row r="978" customFormat="false" ht="14.25" hidden="false" customHeight="false" outlineLevel="0" collapsed="false">
      <c r="A978" s="13" t="s">
        <v>308</v>
      </c>
      <c r="B978" s="13" t="s">
        <v>308</v>
      </c>
      <c r="C978" s="13" t="s">
        <v>255</v>
      </c>
      <c r="D978" s="61" t="n">
        <v>45976.7263888889</v>
      </c>
      <c r="E978" s="61" t="n">
        <v>45976.7263888889</v>
      </c>
      <c r="F978" s="61" t="n">
        <v>45977.2534722222</v>
      </c>
      <c r="G978" s="62" t="n">
        <v>0.527083333327028</v>
      </c>
      <c r="H978" s="13" t="s">
        <v>248</v>
      </c>
      <c r="J978" s="13" t="s">
        <v>256</v>
      </c>
      <c r="K978" s="13" t="s">
        <v>430</v>
      </c>
      <c r="L978" s="13" t="s">
        <v>881</v>
      </c>
      <c r="M978" s="66" t="s">
        <v>258</v>
      </c>
      <c r="N978" s="66" t="s">
        <v>379</v>
      </c>
      <c r="O978" s="66" t="s">
        <v>399</v>
      </c>
      <c r="P978" s="0" t="s">
        <v>2077</v>
      </c>
      <c r="Q978" s="66" t="s">
        <v>995</v>
      </c>
    </row>
    <row r="979" customFormat="false" ht="14.25" hidden="false" customHeight="false" outlineLevel="0" collapsed="false">
      <c r="A979" s="13" t="s">
        <v>309</v>
      </c>
      <c r="B979" s="13" t="s">
        <v>309</v>
      </c>
      <c r="C979" s="13" t="s">
        <v>255</v>
      </c>
      <c r="D979" s="61" t="n">
        <v>45976.7263888889</v>
      </c>
      <c r="E979" s="61" t="n">
        <v>45976.7263888889</v>
      </c>
      <c r="F979" s="61" t="n">
        <v>45977.2534722222</v>
      </c>
      <c r="G979" s="62" t="n">
        <v>0.527083333327028</v>
      </c>
      <c r="H979" s="13" t="s">
        <v>248</v>
      </c>
      <c r="J979" s="13" t="s">
        <v>256</v>
      </c>
      <c r="K979" s="13" t="s">
        <v>430</v>
      </c>
      <c r="L979" s="13" t="s">
        <v>881</v>
      </c>
      <c r="M979" s="66" t="s">
        <v>258</v>
      </c>
      <c r="N979" s="66" t="s">
        <v>379</v>
      </c>
      <c r="O979" s="66" t="s">
        <v>399</v>
      </c>
      <c r="P979" s="0" t="s">
        <v>2078</v>
      </c>
      <c r="Q979" s="66" t="s">
        <v>995</v>
      </c>
    </row>
    <row r="980" customFormat="false" ht="14.25" hidden="false" customHeight="false" outlineLevel="0" collapsed="false">
      <c r="A980" s="13" t="s">
        <v>310</v>
      </c>
      <c r="B980" s="13" t="s">
        <v>310</v>
      </c>
      <c r="C980" s="13" t="s">
        <v>255</v>
      </c>
      <c r="D980" s="61" t="n">
        <v>45976.7263888889</v>
      </c>
      <c r="E980" s="61" t="n">
        <v>45976.7263888889</v>
      </c>
      <c r="F980" s="61" t="n">
        <v>45977.2534722222</v>
      </c>
      <c r="G980" s="62" t="n">
        <v>0.527083333327028</v>
      </c>
      <c r="H980" s="13" t="s">
        <v>248</v>
      </c>
      <c r="J980" s="13" t="s">
        <v>256</v>
      </c>
      <c r="K980" s="13" t="s">
        <v>430</v>
      </c>
      <c r="L980" s="13" t="s">
        <v>881</v>
      </c>
      <c r="M980" s="66" t="s">
        <v>258</v>
      </c>
      <c r="N980" s="66" t="s">
        <v>379</v>
      </c>
      <c r="O980" s="66" t="s">
        <v>399</v>
      </c>
      <c r="P980" s="0" t="s">
        <v>2079</v>
      </c>
      <c r="Q980" s="66" t="s">
        <v>995</v>
      </c>
    </row>
    <row r="981" customFormat="false" ht="14.25" hidden="false" customHeight="false" outlineLevel="0" collapsed="false">
      <c r="A981" s="13" t="s">
        <v>720</v>
      </c>
      <c r="B981" s="13" t="s">
        <v>720</v>
      </c>
      <c r="C981" s="13" t="s">
        <v>255</v>
      </c>
      <c r="D981" s="61" t="n">
        <v>45976.7319444444</v>
      </c>
      <c r="E981" s="61" t="n">
        <v>45976.7319444444</v>
      </c>
      <c r="F981" s="61" t="n">
        <v>45977.4861111111</v>
      </c>
      <c r="G981" s="62" t="n">
        <v>0.754166666665697</v>
      </c>
      <c r="H981" s="13" t="s">
        <v>445</v>
      </c>
      <c r="I981" s="13" t="s">
        <v>263</v>
      </c>
      <c r="J981" s="13" t="s">
        <v>264</v>
      </c>
      <c r="K981" s="13" t="s">
        <v>456</v>
      </c>
      <c r="L981" s="13" t="s">
        <v>2080</v>
      </c>
      <c r="M981" s="66" t="s">
        <v>266</v>
      </c>
      <c r="N981" s="66" t="s">
        <v>252</v>
      </c>
      <c r="O981" s="66" t="s">
        <v>2081</v>
      </c>
      <c r="P981" s="0" t="s">
        <v>2082</v>
      </c>
      <c r="Q981" s="66" t="s">
        <v>1430</v>
      </c>
    </row>
    <row r="982" customFormat="false" ht="14.25" hidden="false" customHeight="false" outlineLevel="0" collapsed="false">
      <c r="A982" s="13" t="s">
        <v>720</v>
      </c>
      <c r="B982" s="13" t="s">
        <v>720</v>
      </c>
      <c r="C982" s="13" t="s">
        <v>723</v>
      </c>
      <c r="D982" s="61" t="n">
        <v>45976.7319444444</v>
      </c>
      <c r="E982" s="61" t="n">
        <v>45976.7319444444</v>
      </c>
      <c r="F982" s="61" t="n">
        <v>45977.4861111111</v>
      </c>
      <c r="G982" s="62" t="n">
        <v>0.754166666665697</v>
      </c>
      <c r="H982" s="13" t="s">
        <v>445</v>
      </c>
      <c r="I982" s="13" t="s">
        <v>263</v>
      </c>
      <c r="J982" s="13" t="s">
        <v>264</v>
      </c>
      <c r="K982" s="13" t="s">
        <v>456</v>
      </c>
      <c r="L982" s="13" t="s">
        <v>2080</v>
      </c>
      <c r="M982" s="66" t="s">
        <v>266</v>
      </c>
      <c r="N982" s="66" t="s">
        <v>252</v>
      </c>
      <c r="O982" s="66" t="s">
        <v>2081</v>
      </c>
      <c r="P982" s="0" t="s">
        <v>2083</v>
      </c>
      <c r="Q982" s="66" t="s">
        <v>1430</v>
      </c>
    </row>
    <row r="983" customFormat="false" ht="14.25" hidden="false" customHeight="false" outlineLevel="0" collapsed="false">
      <c r="A983" s="13" t="s">
        <v>720</v>
      </c>
      <c r="B983" s="13" t="s">
        <v>720</v>
      </c>
      <c r="C983" s="13" t="s">
        <v>2054</v>
      </c>
      <c r="D983" s="61" t="n">
        <v>45976.7319444444</v>
      </c>
      <c r="E983" s="61" t="n">
        <v>45976.7319444444</v>
      </c>
      <c r="F983" s="61" t="n">
        <v>45977.4861111111</v>
      </c>
      <c r="G983" s="62" t="n">
        <v>0.754166666665697</v>
      </c>
      <c r="H983" s="13" t="s">
        <v>445</v>
      </c>
      <c r="I983" s="13" t="s">
        <v>263</v>
      </c>
      <c r="J983" s="13" t="s">
        <v>264</v>
      </c>
      <c r="K983" s="13" t="s">
        <v>456</v>
      </c>
      <c r="L983" s="13" t="s">
        <v>2080</v>
      </c>
      <c r="M983" s="66" t="s">
        <v>266</v>
      </c>
      <c r="N983" s="66" t="s">
        <v>252</v>
      </c>
      <c r="O983" s="66" t="s">
        <v>2081</v>
      </c>
      <c r="P983" s="0" t="s">
        <v>2084</v>
      </c>
      <c r="Q983" s="66" t="s">
        <v>1430</v>
      </c>
    </row>
    <row r="984" customFormat="false" ht="14.25" hidden="false" customHeight="false" outlineLevel="0" collapsed="false">
      <c r="A984" s="13" t="s">
        <v>720</v>
      </c>
      <c r="B984" s="13" t="s">
        <v>720</v>
      </c>
      <c r="C984" s="13" t="s">
        <v>2056</v>
      </c>
      <c r="D984" s="61" t="n">
        <v>45976.7319444444</v>
      </c>
      <c r="E984" s="61" t="n">
        <v>45976.7319444444</v>
      </c>
      <c r="F984" s="61" t="n">
        <v>45977.4861111111</v>
      </c>
      <c r="G984" s="62" t="n">
        <v>0.754166666665697</v>
      </c>
      <c r="H984" s="13" t="s">
        <v>445</v>
      </c>
      <c r="I984" s="13" t="s">
        <v>263</v>
      </c>
      <c r="J984" s="13" t="s">
        <v>264</v>
      </c>
      <c r="K984" s="13" t="s">
        <v>456</v>
      </c>
      <c r="L984" s="13" t="s">
        <v>2080</v>
      </c>
      <c r="M984" s="66" t="s">
        <v>266</v>
      </c>
      <c r="N984" s="66" t="s">
        <v>252</v>
      </c>
      <c r="O984" s="66" t="s">
        <v>2081</v>
      </c>
      <c r="P984" s="0" t="s">
        <v>2085</v>
      </c>
      <c r="Q984" s="66" t="s">
        <v>1430</v>
      </c>
    </row>
    <row r="985" customFormat="false" ht="14.25" hidden="false" customHeight="false" outlineLevel="0" collapsed="false">
      <c r="A985" s="13" t="s">
        <v>720</v>
      </c>
      <c r="B985" s="13" t="s">
        <v>720</v>
      </c>
      <c r="C985" s="13" t="s">
        <v>2058</v>
      </c>
      <c r="D985" s="61" t="n">
        <v>45976.7319444444</v>
      </c>
      <c r="E985" s="61" t="n">
        <v>45976.7319444444</v>
      </c>
      <c r="F985" s="61" t="n">
        <v>45977.4861111111</v>
      </c>
      <c r="G985" s="62" t="n">
        <v>0.754166666665697</v>
      </c>
      <c r="H985" s="13" t="s">
        <v>445</v>
      </c>
      <c r="I985" s="13" t="s">
        <v>263</v>
      </c>
      <c r="J985" s="13" t="s">
        <v>264</v>
      </c>
      <c r="K985" s="13" t="s">
        <v>456</v>
      </c>
      <c r="L985" s="13" t="s">
        <v>2080</v>
      </c>
      <c r="M985" s="66" t="s">
        <v>266</v>
      </c>
      <c r="N985" s="66" t="s">
        <v>252</v>
      </c>
      <c r="O985" s="66" t="s">
        <v>2081</v>
      </c>
      <c r="P985" s="0" t="s">
        <v>2086</v>
      </c>
      <c r="Q985" s="66" t="s">
        <v>1430</v>
      </c>
    </row>
    <row r="986" customFormat="false" ht="14.25" hidden="false" customHeight="false" outlineLevel="0" collapsed="false">
      <c r="A986" s="13" t="s">
        <v>614</v>
      </c>
      <c r="B986" s="13" t="s">
        <v>614</v>
      </c>
      <c r="C986" s="13" t="s">
        <v>2060</v>
      </c>
      <c r="D986" s="61" t="n">
        <v>45976.7319444444</v>
      </c>
      <c r="E986" s="61" t="n">
        <v>45976.7319444444</v>
      </c>
      <c r="F986" s="61" t="n">
        <v>45977.4861111111</v>
      </c>
      <c r="G986" s="62" t="n">
        <v>0.754166666665697</v>
      </c>
      <c r="H986" s="13" t="s">
        <v>445</v>
      </c>
      <c r="I986" s="13" t="s">
        <v>263</v>
      </c>
      <c r="J986" s="13" t="s">
        <v>264</v>
      </c>
      <c r="K986" s="13" t="s">
        <v>456</v>
      </c>
      <c r="L986" s="13" t="s">
        <v>2080</v>
      </c>
      <c r="M986" s="66" t="s">
        <v>266</v>
      </c>
      <c r="N986" s="66" t="s">
        <v>252</v>
      </c>
      <c r="O986" s="66" t="s">
        <v>2081</v>
      </c>
      <c r="P986" s="0" t="s">
        <v>2087</v>
      </c>
      <c r="Q986" s="66" t="s">
        <v>1430</v>
      </c>
    </row>
    <row r="987" customFormat="false" ht="14.25" hidden="false" customHeight="false" outlineLevel="0" collapsed="false">
      <c r="A987" s="13" t="s">
        <v>614</v>
      </c>
      <c r="B987" s="13" t="s">
        <v>614</v>
      </c>
      <c r="C987" s="13" t="s">
        <v>2062</v>
      </c>
      <c r="D987" s="61" t="n">
        <v>45976.7319444444</v>
      </c>
      <c r="E987" s="61" t="n">
        <v>45976.7319444444</v>
      </c>
      <c r="F987" s="61" t="n">
        <v>45977.4861111111</v>
      </c>
      <c r="G987" s="62" t="n">
        <v>0.754166666665697</v>
      </c>
      <c r="H987" s="13" t="s">
        <v>445</v>
      </c>
      <c r="I987" s="13" t="s">
        <v>263</v>
      </c>
      <c r="J987" s="13" t="s">
        <v>264</v>
      </c>
      <c r="K987" s="13" t="s">
        <v>456</v>
      </c>
      <c r="L987" s="13" t="s">
        <v>2080</v>
      </c>
      <c r="M987" s="66" t="s">
        <v>266</v>
      </c>
      <c r="N987" s="66" t="s">
        <v>252</v>
      </c>
      <c r="O987" s="66" t="s">
        <v>2081</v>
      </c>
      <c r="P987" s="0" t="s">
        <v>2088</v>
      </c>
      <c r="Q987" s="66" t="s">
        <v>1430</v>
      </c>
    </row>
    <row r="988" customFormat="false" ht="14.25" hidden="false" customHeight="false" outlineLevel="0" collapsed="false">
      <c r="A988" s="13" t="s">
        <v>614</v>
      </c>
      <c r="B988" s="13" t="s">
        <v>614</v>
      </c>
      <c r="C988" s="13" t="s">
        <v>2064</v>
      </c>
      <c r="D988" s="61" t="n">
        <v>45976.7319444444</v>
      </c>
      <c r="E988" s="61" t="n">
        <v>45976.7319444444</v>
      </c>
      <c r="F988" s="61" t="n">
        <v>45977.4861111111</v>
      </c>
      <c r="G988" s="62" t="n">
        <v>0.754166666665697</v>
      </c>
      <c r="H988" s="13" t="s">
        <v>445</v>
      </c>
      <c r="I988" s="13" t="s">
        <v>263</v>
      </c>
      <c r="J988" s="13" t="s">
        <v>264</v>
      </c>
      <c r="K988" s="13" t="s">
        <v>456</v>
      </c>
      <c r="L988" s="13" t="s">
        <v>2080</v>
      </c>
      <c r="M988" s="66" t="s">
        <v>266</v>
      </c>
      <c r="N988" s="66" t="s">
        <v>252</v>
      </c>
      <c r="O988" s="66" t="s">
        <v>2081</v>
      </c>
      <c r="P988" s="0" t="s">
        <v>2089</v>
      </c>
      <c r="Q988" s="66" t="s">
        <v>1430</v>
      </c>
    </row>
    <row r="989" customFormat="false" ht="14.25" hidden="false" customHeight="false" outlineLevel="0" collapsed="false">
      <c r="A989" s="13" t="s">
        <v>614</v>
      </c>
      <c r="B989" s="13" t="s">
        <v>614</v>
      </c>
      <c r="C989" s="13" t="s">
        <v>2066</v>
      </c>
      <c r="D989" s="61" t="n">
        <v>45976.7319444444</v>
      </c>
      <c r="E989" s="61" t="n">
        <v>45976.7319444444</v>
      </c>
      <c r="F989" s="61" t="n">
        <v>45977.4861111111</v>
      </c>
      <c r="G989" s="62" t="n">
        <v>0.754166666665697</v>
      </c>
      <c r="H989" s="13" t="s">
        <v>445</v>
      </c>
      <c r="I989" s="13" t="s">
        <v>263</v>
      </c>
      <c r="J989" s="13" t="s">
        <v>264</v>
      </c>
      <c r="K989" s="13" t="s">
        <v>456</v>
      </c>
      <c r="L989" s="13" t="s">
        <v>2080</v>
      </c>
      <c r="M989" s="66" t="s">
        <v>266</v>
      </c>
      <c r="N989" s="66" t="s">
        <v>252</v>
      </c>
      <c r="O989" s="66" t="s">
        <v>2081</v>
      </c>
      <c r="P989" s="0" t="s">
        <v>2090</v>
      </c>
      <c r="Q989" s="66" t="s">
        <v>1430</v>
      </c>
    </row>
    <row r="990" customFormat="false" ht="14.25" hidden="false" customHeight="false" outlineLevel="0" collapsed="false">
      <c r="A990" s="13" t="s">
        <v>614</v>
      </c>
      <c r="B990" s="13" t="s">
        <v>614</v>
      </c>
      <c r="C990" s="13" t="s">
        <v>2068</v>
      </c>
      <c r="D990" s="61" t="n">
        <v>45976.7319444444</v>
      </c>
      <c r="E990" s="61" t="n">
        <v>45976.7319444444</v>
      </c>
      <c r="F990" s="61" t="n">
        <v>45977.4861111111</v>
      </c>
      <c r="G990" s="62" t="n">
        <v>0.754166666665697</v>
      </c>
      <c r="H990" s="13" t="s">
        <v>445</v>
      </c>
      <c r="I990" s="13" t="s">
        <v>263</v>
      </c>
      <c r="J990" s="13" t="s">
        <v>264</v>
      </c>
      <c r="K990" s="13" t="s">
        <v>456</v>
      </c>
      <c r="L990" s="13" t="s">
        <v>2080</v>
      </c>
      <c r="M990" s="66" t="s">
        <v>266</v>
      </c>
      <c r="N990" s="66" t="s">
        <v>252</v>
      </c>
      <c r="O990" s="66" t="s">
        <v>2081</v>
      </c>
      <c r="P990" s="0" t="s">
        <v>2091</v>
      </c>
      <c r="Q990" s="66" t="s">
        <v>1430</v>
      </c>
    </row>
    <row r="991" customFormat="false" ht="14.25" hidden="false" customHeight="false" outlineLevel="0" collapsed="false">
      <c r="A991" s="13" t="s">
        <v>536</v>
      </c>
      <c r="B991" s="13" t="s">
        <v>536</v>
      </c>
      <c r="C991" s="13" t="s">
        <v>2070</v>
      </c>
      <c r="D991" s="61" t="n">
        <v>45976.7319444444</v>
      </c>
      <c r="E991" s="61" t="n">
        <v>45976.7319444444</v>
      </c>
      <c r="F991" s="61" t="n">
        <v>45977.4861111111</v>
      </c>
      <c r="G991" s="62" t="n">
        <v>0.754166666665697</v>
      </c>
      <c r="H991" s="13" t="s">
        <v>445</v>
      </c>
      <c r="I991" s="13" t="s">
        <v>263</v>
      </c>
      <c r="J991" s="13" t="s">
        <v>264</v>
      </c>
      <c r="K991" s="13" t="s">
        <v>456</v>
      </c>
      <c r="L991" s="13" t="s">
        <v>2080</v>
      </c>
      <c r="M991" s="66" t="s">
        <v>266</v>
      </c>
      <c r="N991" s="66" t="s">
        <v>252</v>
      </c>
      <c r="O991" s="66" t="s">
        <v>2081</v>
      </c>
      <c r="P991" s="0" t="s">
        <v>2092</v>
      </c>
      <c r="Q991" s="66" t="s">
        <v>1430</v>
      </c>
    </row>
    <row r="992" customFormat="false" ht="14.25" hidden="false" customHeight="false" outlineLevel="0" collapsed="false">
      <c r="A992" s="13" t="s">
        <v>536</v>
      </c>
      <c r="B992" s="13" t="s">
        <v>536</v>
      </c>
      <c r="C992" s="13" t="s">
        <v>2058</v>
      </c>
      <c r="D992" s="61" t="n">
        <v>45976.7319444444</v>
      </c>
      <c r="E992" s="61" t="n">
        <v>45976.7319444444</v>
      </c>
      <c r="F992" s="61" t="n">
        <v>45977.4861111111</v>
      </c>
      <c r="G992" s="62" t="n">
        <v>0.754166666665697</v>
      </c>
      <c r="H992" s="13" t="s">
        <v>445</v>
      </c>
      <c r="I992" s="13" t="s">
        <v>263</v>
      </c>
      <c r="J992" s="13" t="s">
        <v>264</v>
      </c>
      <c r="K992" s="13" t="s">
        <v>456</v>
      </c>
      <c r="L992" s="13" t="s">
        <v>2080</v>
      </c>
      <c r="M992" s="66" t="s">
        <v>266</v>
      </c>
      <c r="N992" s="66" t="s">
        <v>252</v>
      </c>
      <c r="O992" s="66" t="s">
        <v>2081</v>
      </c>
      <c r="P992" s="0" t="s">
        <v>2093</v>
      </c>
      <c r="Q992" s="66" t="s">
        <v>1430</v>
      </c>
    </row>
    <row r="993" customFormat="false" ht="14.25" hidden="false" customHeight="false" outlineLevel="0" collapsed="false">
      <c r="A993" s="13" t="s">
        <v>536</v>
      </c>
      <c r="B993" s="13" t="s">
        <v>536</v>
      </c>
      <c r="C993" s="13" t="s">
        <v>2073</v>
      </c>
      <c r="D993" s="61" t="n">
        <v>45976.7319444444</v>
      </c>
      <c r="E993" s="61" t="n">
        <v>45976.7319444444</v>
      </c>
      <c r="F993" s="61" t="n">
        <v>45977.4861111111</v>
      </c>
      <c r="G993" s="62" t="n">
        <v>0.754166666665697</v>
      </c>
      <c r="H993" s="13" t="s">
        <v>445</v>
      </c>
      <c r="I993" s="13" t="s">
        <v>263</v>
      </c>
      <c r="J993" s="13" t="s">
        <v>264</v>
      </c>
      <c r="K993" s="13" t="s">
        <v>456</v>
      </c>
      <c r="L993" s="13" t="s">
        <v>2080</v>
      </c>
      <c r="M993" s="66" t="s">
        <v>266</v>
      </c>
      <c r="N993" s="66" t="s">
        <v>252</v>
      </c>
      <c r="O993" s="66" t="s">
        <v>2081</v>
      </c>
      <c r="P993" s="0" t="s">
        <v>2094</v>
      </c>
      <c r="Q993" s="66" t="s">
        <v>1430</v>
      </c>
    </row>
    <row r="994" customFormat="false" ht="14.25" hidden="false" customHeight="false" outlineLevel="0" collapsed="false">
      <c r="A994" s="13" t="s">
        <v>814</v>
      </c>
      <c r="B994" s="13" t="s">
        <v>542</v>
      </c>
      <c r="C994" s="13" t="s">
        <v>546</v>
      </c>
      <c r="D994" s="61" t="n">
        <v>45977.2159721644</v>
      </c>
      <c r="E994" s="61" t="n">
        <v>45977.2159721644</v>
      </c>
      <c r="F994" s="61" t="n">
        <v>45977.3597222222</v>
      </c>
      <c r="G994" s="62" t="n">
        <v>0.143750057868601</v>
      </c>
      <c r="H994" s="13" t="s">
        <v>248</v>
      </c>
      <c r="J994" s="13" t="s">
        <v>256</v>
      </c>
      <c r="K994" s="13" t="s">
        <v>430</v>
      </c>
      <c r="L994" s="13" t="s">
        <v>1000</v>
      </c>
      <c r="M994" s="66" t="s">
        <v>258</v>
      </c>
      <c r="N994" s="66" t="s">
        <v>379</v>
      </c>
      <c r="O994" s="66" t="s">
        <v>399</v>
      </c>
      <c r="P994" s="0" t="s">
        <v>2095</v>
      </c>
      <c r="Q994" s="66" t="s">
        <v>995</v>
      </c>
    </row>
    <row r="995" customFormat="false" ht="14.25" hidden="false" customHeight="false" outlineLevel="0" collapsed="false">
      <c r="A995" s="13" t="s">
        <v>814</v>
      </c>
      <c r="B995" s="13" t="s">
        <v>542</v>
      </c>
      <c r="C995" s="13" t="s">
        <v>547</v>
      </c>
      <c r="D995" s="61" t="n">
        <v>45977.2159721644</v>
      </c>
      <c r="E995" s="61" t="n">
        <v>45977.2159721644</v>
      </c>
      <c r="F995" s="61" t="n">
        <v>45977.3597222222</v>
      </c>
      <c r="G995" s="62" t="n">
        <v>0.143750057868601</v>
      </c>
      <c r="H995" s="13" t="s">
        <v>248</v>
      </c>
      <c r="J995" s="13" t="s">
        <v>256</v>
      </c>
      <c r="K995" s="13" t="s">
        <v>430</v>
      </c>
      <c r="L995" s="13" t="s">
        <v>1000</v>
      </c>
      <c r="M995" s="66" t="s">
        <v>258</v>
      </c>
      <c r="N995" s="66" t="s">
        <v>379</v>
      </c>
      <c r="O995" s="66" t="s">
        <v>399</v>
      </c>
      <c r="P995" s="0" t="s">
        <v>2096</v>
      </c>
      <c r="Q995" s="66" t="s">
        <v>995</v>
      </c>
    </row>
    <row r="996" customFormat="false" ht="14.25" hidden="false" customHeight="false" outlineLevel="0" collapsed="false">
      <c r="A996" s="13" t="s">
        <v>814</v>
      </c>
      <c r="B996" s="13" t="s">
        <v>542</v>
      </c>
      <c r="C996" s="13" t="s">
        <v>548</v>
      </c>
      <c r="D996" s="61" t="n">
        <v>45977.2159721644</v>
      </c>
      <c r="E996" s="61" t="n">
        <v>45977.2159721644</v>
      </c>
      <c r="F996" s="61" t="n">
        <v>45977.3597222222</v>
      </c>
      <c r="G996" s="62" t="n">
        <v>0.143750057868601</v>
      </c>
      <c r="H996" s="13" t="s">
        <v>248</v>
      </c>
      <c r="J996" s="13" t="s">
        <v>256</v>
      </c>
      <c r="K996" s="13" t="s">
        <v>430</v>
      </c>
      <c r="L996" s="13" t="s">
        <v>1000</v>
      </c>
      <c r="M996" s="66" t="s">
        <v>258</v>
      </c>
      <c r="N996" s="66" t="s">
        <v>379</v>
      </c>
      <c r="O996" s="66" t="s">
        <v>399</v>
      </c>
      <c r="P996" s="0" t="s">
        <v>2097</v>
      </c>
      <c r="Q996" s="66" t="s">
        <v>995</v>
      </c>
    </row>
    <row r="997" customFormat="false" ht="14.25" hidden="false" customHeight="false" outlineLevel="0" collapsed="false">
      <c r="A997" s="13" t="s">
        <v>814</v>
      </c>
      <c r="B997" s="13" t="s">
        <v>542</v>
      </c>
      <c r="C997" s="13" t="s">
        <v>549</v>
      </c>
      <c r="D997" s="61" t="n">
        <v>45977.2159721644</v>
      </c>
      <c r="E997" s="61" t="n">
        <v>45977.2159721644</v>
      </c>
      <c r="F997" s="61" t="n">
        <v>45977.3597222222</v>
      </c>
      <c r="G997" s="62" t="n">
        <v>0.143750057868601</v>
      </c>
      <c r="H997" s="13" t="s">
        <v>248</v>
      </c>
      <c r="J997" s="13" t="s">
        <v>256</v>
      </c>
      <c r="K997" s="13" t="s">
        <v>430</v>
      </c>
      <c r="L997" s="13" t="s">
        <v>1000</v>
      </c>
      <c r="M997" s="66" t="s">
        <v>258</v>
      </c>
      <c r="N997" s="66" t="s">
        <v>379</v>
      </c>
      <c r="O997" s="66" t="s">
        <v>399</v>
      </c>
      <c r="P997" s="0" t="s">
        <v>2098</v>
      </c>
      <c r="Q997" s="66" t="s">
        <v>995</v>
      </c>
    </row>
    <row r="998" customFormat="false" ht="14.25" hidden="false" customHeight="false" outlineLevel="0" collapsed="false">
      <c r="A998" s="13" t="s">
        <v>814</v>
      </c>
      <c r="B998" s="13" t="s">
        <v>542</v>
      </c>
      <c r="C998" s="13" t="s">
        <v>550</v>
      </c>
      <c r="D998" s="61" t="n">
        <v>45977.2159721644</v>
      </c>
      <c r="E998" s="61" t="n">
        <v>45977.2159721644</v>
      </c>
      <c r="F998" s="61" t="n">
        <v>45977.3597222222</v>
      </c>
      <c r="G998" s="62" t="n">
        <v>0.143750057868601</v>
      </c>
      <c r="H998" s="13" t="s">
        <v>248</v>
      </c>
      <c r="J998" s="13" t="s">
        <v>256</v>
      </c>
      <c r="K998" s="13" t="s">
        <v>430</v>
      </c>
      <c r="L998" s="13" t="s">
        <v>1000</v>
      </c>
      <c r="M998" s="66" t="s">
        <v>258</v>
      </c>
      <c r="N998" s="66" t="s">
        <v>379</v>
      </c>
      <c r="O998" s="66" t="s">
        <v>399</v>
      </c>
      <c r="P998" s="0" t="s">
        <v>2099</v>
      </c>
      <c r="Q998" s="66" t="s">
        <v>995</v>
      </c>
    </row>
    <row r="999" customFormat="false" ht="14.25" hidden="false" customHeight="false" outlineLevel="0" collapsed="false">
      <c r="A999" s="13" t="s">
        <v>814</v>
      </c>
      <c r="B999" s="13" t="s">
        <v>542</v>
      </c>
      <c r="C999" s="13" t="s">
        <v>551</v>
      </c>
      <c r="D999" s="61" t="n">
        <v>45977.2159721644</v>
      </c>
      <c r="E999" s="61" t="n">
        <v>45977.2159721644</v>
      </c>
      <c r="F999" s="61" t="n">
        <v>45977.3597222222</v>
      </c>
      <c r="G999" s="62" t="n">
        <v>0.143750057868601</v>
      </c>
      <c r="H999" s="13" t="s">
        <v>248</v>
      </c>
      <c r="J999" s="13" t="s">
        <v>256</v>
      </c>
      <c r="K999" s="13" t="s">
        <v>430</v>
      </c>
      <c r="L999" s="13" t="s">
        <v>1000</v>
      </c>
      <c r="M999" s="66" t="s">
        <v>258</v>
      </c>
      <c r="N999" s="66" t="s">
        <v>379</v>
      </c>
      <c r="O999" s="66" t="s">
        <v>399</v>
      </c>
      <c r="P999" s="0" t="s">
        <v>2100</v>
      </c>
      <c r="Q999" s="66" t="s">
        <v>995</v>
      </c>
    </row>
    <row r="1000" customFormat="false" ht="14.25" hidden="false" customHeight="false" outlineLevel="0" collapsed="false">
      <c r="A1000" s="13" t="s">
        <v>815</v>
      </c>
      <c r="B1000" s="13" t="s">
        <v>542</v>
      </c>
      <c r="C1000" s="13" t="s">
        <v>552</v>
      </c>
      <c r="D1000" s="61" t="n">
        <v>45977.2159721644</v>
      </c>
      <c r="E1000" s="61" t="n">
        <v>45977.2159721644</v>
      </c>
      <c r="F1000" s="61" t="n">
        <v>45977.3597222222</v>
      </c>
      <c r="G1000" s="62" t="n">
        <v>0.143750057868601</v>
      </c>
      <c r="H1000" s="13" t="s">
        <v>248</v>
      </c>
      <c r="J1000" s="13" t="s">
        <v>256</v>
      </c>
      <c r="K1000" s="13" t="s">
        <v>430</v>
      </c>
      <c r="L1000" s="13" t="s">
        <v>1000</v>
      </c>
      <c r="M1000" s="66" t="s">
        <v>258</v>
      </c>
      <c r="N1000" s="66" t="s">
        <v>379</v>
      </c>
      <c r="O1000" s="66" t="s">
        <v>399</v>
      </c>
      <c r="P1000" s="0" t="s">
        <v>2101</v>
      </c>
      <c r="Q1000" s="66" t="s">
        <v>995</v>
      </c>
    </row>
    <row r="1001" customFormat="false" ht="14.25" hidden="false" customHeight="false" outlineLevel="0" collapsed="false">
      <c r="A1001" s="13" t="s">
        <v>815</v>
      </c>
      <c r="B1001" s="13" t="s">
        <v>542</v>
      </c>
      <c r="C1001" s="13" t="s">
        <v>553</v>
      </c>
      <c r="D1001" s="61" t="n">
        <v>45977.2159721644</v>
      </c>
      <c r="E1001" s="61" t="n">
        <v>45977.2159721644</v>
      </c>
      <c r="F1001" s="61" t="n">
        <v>45977.3597222222</v>
      </c>
      <c r="G1001" s="62" t="n">
        <v>0.143750057868601</v>
      </c>
      <c r="H1001" s="13" t="s">
        <v>248</v>
      </c>
      <c r="J1001" s="13" t="s">
        <v>256</v>
      </c>
      <c r="K1001" s="13" t="s">
        <v>430</v>
      </c>
      <c r="L1001" s="13" t="s">
        <v>1000</v>
      </c>
      <c r="M1001" s="66" t="s">
        <v>258</v>
      </c>
      <c r="N1001" s="66" t="s">
        <v>379</v>
      </c>
      <c r="O1001" s="66" t="s">
        <v>399</v>
      </c>
      <c r="P1001" s="0" t="s">
        <v>2102</v>
      </c>
      <c r="Q1001" s="66" t="s">
        <v>995</v>
      </c>
    </row>
    <row r="1002" customFormat="false" ht="14.25" hidden="false" customHeight="false" outlineLevel="0" collapsed="false">
      <c r="A1002" s="13" t="s">
        <v>815</v>
      </c>
      <c r="B1002" s="13" t="s">
        <v>542</v>
      </c>
      <c r="C1002" s="13" t="s">
        <v>554</v>
      </c>
      <c r="D1002" s="61" t="n">
        <v>45977.2159721644</v>
      </c>
      <c r="E1002" s="61" t="n">
        <v>45977.2159721644</v>
      </c>
      <c r="F1002" s="61" t="n">
        <v>45977.3597222222</v>
      </c>
      <c r="G1002" s="62" t="n">
        <v>0.143750057868601</v>
      </c>
      <c r="H1002" s="13" t="s">
        <v>248</v>
      </c>
      <c r="J1002" s="13" t="s">
        <v>256</v>
      </c>
      <c r="K1002" s="13" t="s">
        <v>430</v>
      </c>
      <c r="L1002" s="13" t="s">
        <v>1000</v>
      </c>
      <c r="M1002" s="66" t="s">
        <v>258</v>
      </c>
      <c r="N1002" s="66" t="s">
        <v>379</v>
      </c>
      <c r="O1002" s="66" t="s">
        <v>399</v>
      </c>
      <c r="P1002" s="0" t="s">
        <v>2103</v>
      </c>
      <c r="Q1002" s="66" t="s">
        <v>995</v>
      </c>
    </row>
    <row r="1003" customFormat="false" ht="14.25" hidden="false" customHeight="false" outlineLevel="0" collapsed="false">
      <c r="A1003" s="13" t="s">
        <v>815</v>
      </c>
      <c r="B1003" s="13" t="s">
        <v>542</v>
      </c>
      <c r="C1003" s="13" t="s">
        <v>555</v>
      </c>
      <c r="D1003" s="61" t="n">
        <v>45977.2159721644</v>
      </c>
      <c r="E1003" s="61" t="n">
        <v>45977.2159721644</v>
      </c>
      <c r="F1003" s="61" t="n">
        <v>45977.3597222222</v>
      </c>
      <c r="G1003" s="62" t="n">
        <v>0.143750057868601</v>
      </c>
      <c r="H1003" s="13" t="s">
        <v>248</v>
      </c>
      <c r="J1003" s="13" t="s">
        <v>256</v>
      </c>
      <c r="K1003" s="13" t="s">
        <v>430</v>
      </c>
      <c r="L1003" s="13" t="s">
        <v>1000</v>
      </c>
      <c r="M1003" s="66" t="s">
        <v>258</v>
      </c>
      <c r="N1003" s="66" t="s">
        <v>379</v>
      </c>
      <c r="O1003" s="66" t="s">
        <v>399</v>
      </c>
      <c r="P1003" s="0" t="s">
        <v>2104</v>
      </c>
      <c r="Q1003" s="66" t="s">
        <v>995</v>
      </c>
    </row>
    <row r="1004" customFormat="false" ht="14.25" hidden="false" customHeight="false" outlineLevel="0" collapsed="false">
      <c r="A1004" s="13" t="s">
        <v>815</v>
      </c>
      <c r="B1004" s="13" t="s">
        <v>542</v>
      </c>
      <c r="C1004" s="13" t="s">
        <v>556</v>
      </c>
      <c r="D1004" s="61" t="n">
        <v>45977.2159721644</v>
      </c>
      <c r="E1004" s="61" t="n">
        <v>45977.2159721644</v>
      </c>
      <c r="F1004" s="61" t="n">
        <v>45977.3597222222</v>
      </c>
      <c r="G1004" s="62" t="n">
        <v>0.143750057868601</v>
      </c>
      <c r="H1004" s="13" t="s">
        <v>248</v>
      </c>
      <c r="J1004" s="13" t="s">
        <v>256</v>
      </c>
      <c r="K1004" s="13" t="s">
        <v>430</v>
      </c>
      <c r="L1004" s="13" t="s">
        <v>1000</v>
      </c>
      <c r="M1004" s="66" t="s">
        <v>258</v>
      </c>
      <c r="N1004" s="66" t="s">
        <v>379</v>
      </c>
      <c r="O1004" s="66" t="s">
        <v>399</v>
      </c>
      <c r="P1004" s="0" t="s">
        <v>2105</v>
      </c>
      <c r="Q1004" s="66" t="s">
        <v>995</v>
      </c>
    </row>
    <row r="1005" customFormat="false" ht="14.25" hidden="false" customHeight="false" outlineLevel="0" collapsed="false">
      <c r="A1005" s="13" t="s">
        <v>815</v>
      </c>
      <c r="B1005" s="13" t="s">
        <v>542</v>
      </c>
      <c r="C1005" s="13" t="s">
        <v>557</v>
      </c>
      <c r="D1005" s="61" t="n">
        <v>45977.2159721644</v>
      </c>
      <c r="E1005" s="61" t="n">
        <v>45977.2159721644</v>
      </c>
      <c r="F1005" s="61" t="n">
        <v>45977.3597222222</v>
      </c>
      <c r="G1005" s="62" t="n">
        <v>0.143750057868601</v>
      </c>
      <c r="H1005" s="13" t="s">
        <v>248</v>
      </c>
      <c r="J1005" s="13" t="s">
        <v>256</v>
      </c>
      <c r="K1005" s="13" t="s">
        <v>430</v>
      </c>
      <c r="L1005" s="13" t="s">
        <v>1000</v>
      </c>
      <c r="M1005" s="66" t="s">
        <v>258</v>
      </c>
      <c r="N1005" s="66" t="s">
        <v>379</v>
      </c>
      <c r="O1005" s="66" t="s">
        <v>399</v>
      </c>
      <c r="P1005" s="0" t="s">
        <v>2106</v>
      </c>
      <c r="Q1005" s="66" t="s">
        <v>995</v>
      </c>
    </row>
    <row r="1006" customFormat="false" ht="14.25" hidden="false" customHeight="false" outlineLevel="0" collapsed="false">
      <c r="A1006" s="13" t="s">
        <v>815</v>
      </c>
      <c r="B1006" s="13" t="s">
        <v>542</v>
      </c>
      <c r="C1006" s="13" t="s">
        <v>558</v>
      </c>
      <c r="D1006" s="61" t="n">
        <v>45977.2159721644</v>
      </c>
      <c r="E1006" s="61" t="n">
        <v>45977.2159721644</v>
      </c>
      <c r="F1006" s="61" t="n">
        <v>45977.3597222222</v>
      </c>
      <c r="G1006" s="62" t="n">
        <v>0.143750057868601</v>
      </c>
      <c r="H1006" s="13" t="s">
        <v>248</v>
      </c>
      <c r="J1006" s="13" t="s">
        <v>256</v>
      </c>
      <c r="K1006" s="13" t="s">
        <v>430</v>
      </c>
      <c r="L1006" s="13" t="s">
        <v>1000</v>
      </c>
      <c r="M1006" s="66" t="s">
        <v>258</v>
      </c>
      <c r="N1006" s="66" t="s">
        <v>379</v>
      </c>
      <c r="O1006" s="66" t="s">
        <v>399</v>
      </c>
      <c r="P1006" s="0" t="s">
        <v>2107</v>
      </c>
      <c r="Q1006" s="66" t="s">
        <v>995</v>
      </c>
    </row>
    <row r="1007" customFormat="false" ht="14.25" hidden="false" customHeight="false" outlineLevel="0" collapsed="false">
      <c r="A1007" s="13" t="s">
        <v>828</v>
      </c>
      <c r="B1007" s="13" t="s">
        <v>542</v>
      </c>
      <c r="C1007" s="13" t="s">
        <v>559</v>
      </c>
      <c r="D1007" s="61" t="n">
        <v>45977.2159721644</v>
      </c>
      <c r="E1007" s="61" t="n">
        <v>45977.2159721644</v>
      </c>
      <c r="F1007" s="61" t="n">
        <v>45977.3597222222</v>
      </c>
      <c r="G1007" s="62" t="n">
        <v>0.143750057868601</v>
      </c>
      <c r="H1007" s="13" t="s">
        <v>248</v>
      </c>
      <c r="J1007" s="13" t="s">
        <v>256</v>
      </c>
      <c r="K1007" s="13" t="s">
        <v>430</v>
      </c>
      <c r="L1007" s="13" t="s">
        <v>1000</v>
      </c>
      <c r="M1007" s="66" t="s">
        <v>258</v>
      </c>
      <c r="N1007" s="66" t="s">
        <v>379</v>
      </c>
      <c r="O1007" s="66" t="s">
        <v>399</v>
      </c>
      <c r="P1007" s="0" t="s">
        <v>2108</v>
      </c>
      <c r="Q1007" s="66" t="s">
        <v>995</v>
      </c>
    </row>
    <row r="1008" customFormat="false" ht="14.25" hidden="false" customHeight="false" outlineLevel="0" collapsed="false">
      <c r="A1008" s="13" t="s">
        <v>828</v>
      </c>
      <c r="B1008" s="13" t="s">
        <v>542</v>
      </c>
      <c r="C1008" s="13" t="s">
        <v>560</v>
      </c>
      <c r="D1008" s="61" t="n">
        <v>45977.2159721644</v>
      </c>
      <c r="E1008" s="61" t="n">
        <v>45977.2159721644</v>
      </c>
      <c r="F1008" s="61" t="n">
        <v>45977.3597222222</v>
      </c>
      <c r="G1008" s="62" t="n">
        <v>0.143750057868601</v>
      </c>
      <c r="H1008" s="13" t="s">
        <v>248</v>
      </c>
      <c r="J1008" s="13" t="s">
        <v>256</v>
      </c>
      <c r="K1008" s="13" t="s">
        <v>430</v>
      </c>
      <c r="L1008" s="13" t="s">
        <v>1000</v>
      </c>
      <c r="M1008" s="66" t="s">
        <v>258</v>
      </c>
      <c r="N1008" s="66" t="s">
        <v>379</v>
      </c>
      <c r="O1008" s="66" t="s">
        <v>399</v>
      </c>
      <c r="P1008" s="0" t="s">
        <v>2109</v>
      </c>
      <c r="Q1008" s="66" t="s">
        <v>995</v>
      </c>
    </row>
    <row r="1009" customFormat="false" ht="14.25" hidden="false" customHeight="false" outlineLevel="0" collapsed="false">
      <c r="A1009" s="13" t="s">
        <v>828</v>
      </c>
      <c r="B1009" s="13" t="s">
        <v>542</v>
      </c>
      <c r="C1009" s="13" t="s">
        <v>561</v>
      </c>
      <c r="D1009" s="61" t="n">
        <v>45977.2159721644</v>
      </c>
      <c r="E1009" s="61" t="n">
        <v>45977.2159721644</v>
      </c>
      <c r="F1009" s="61" t="n">
        <v>45977.3597222222</v>
      </c>
      <c r="G1009" s="62" t="n">
        <v>0.143750057868601</v>
      </c>
      <c r="H1009" s="13" t="s">
        <v>248</v>
      </c>
      <c r="J1009" s="13" t="s">
        <v>256</v>
      </c>
      <c r="K1009" s="13" t="s">
        <v>430</v>
      </c>
      <c r="L1009" s="13" t="s">
        <v>1000</v>
      </c>
      <c r="M1009" s="66" t="s">
        <v>258</v>
      </c>
      <c r="N1009" s="66" t="s">
        <v>379</v>
      </c>
      <c r="O1009" s="66" t="s">
        <v>399</v>
      </c>
      <c r="P1009" s="0" t="s">
        <v>2110</v>
      </c>
      <c r="Q1009" s="66" t="s">
        <v>995</v>
      </c>
    </row>
    <row r="1010" customFormat="false" ht="14.25" hidden="false" customHeight="false" outlineLevel="0" collapsed="false">
      <c r="A1010" s="13" t="s">
        <v>828</v>
      </c>
      <c r="B1010" s="13" t="s">
        <v>542</v>
      </c>
      <c r="C1010" s="13" t="s">
        <v>562</v>
      </c>
      <c r="D1010" s="61" t="n">
        <v>45977.2159721644</v>
      </c>
      <c r="E1010" s="61" t="n">
        <v>45977.2159721644</v>
      </c>
      <c r="F1010" s="61" t="n">
        <v>45977.3597222222</v>
      </c>
      <c r="G1010" s="62" t="n">
        <v>0.143750057868601</v>
      </c>
      <c r="H1010" s="13" t="s">
        <v>248</v>
      </c>
      <c r="J1010" s="13" t="s">
        <v>256</v>
      </c>
      <c r="K1010" s="13" t="s">
        <v>430</v>
      </c>
      <c r="L1010" s="13" t="s">
        <v>1000</v>
      </c>
      <c r="M1010" s="66" t="s">
        <v>258</v>
      </c>
      <c r="N1010" s="66" t="s">
        <v>379</v>
      </c>
      <c r="O1010" s="66" t="s">
        <v>399</v>
      </c>
      <c r="P1010" s="0" t="s">
        <v>2111</v>
      </c>
      <c r="Q1010" s="66" t="s">
        <v>995</v>
      </c>
    </row>
    <row r="1011" customFormat="false" ht="14.25" hidden="false" customHeight="false" outlineLevel="0" collapsed="false">
      <c r="A1011" s="13" t="s">
        <v>828</v>
      </c>
      <c r="B1011" s="13" t="s">
        <v>542</v>
      </c>
      <c r="C1011" s="13" t="s">
        <v>563</v>
      </c>
      <c r="D1011" s="61" t="n">
        <v>45977.2159721644</v>
      </c>
      <c r="E1011" s="61" t="n">
        <v>45977.2159721644</v>
      </c>
      <c r="F1011" s="61" t="n">
        <v>45977.3597222222</v>
      </c>
      <c r="G1011" s="62" t="n">
        <v>0.143750057868601</v>
      </c>
      <c r="H1011" s="13" t="s">
        <v>248</v>
      </c>
      <c r="J1011" s="13" t="s">
        <v>256</v>
      </c>
      <c r="K1011" s="13" t="s">
        <v>430</v>
      </c>
      <c r="L1011" s="13" t="s">
        <v>1000</v>
      </c>
      <c r="M1011" s="66" t="s">
        <v>258</v>
      </c>
      <c r="N1011" s="66" t="s">
        <v>379</v>
      </c>
      <c r="O1011" s="66" t="s">
        <v>399</v>
      </c>
      <c r="P1011" s="0" t="s">
        <v>2112</v>
      </c>
      <c r="Q1011" s="66" t="s">
        <v>995</v>
      </c>
    </row>
    <row r="1012" customFormat="false" ht="14.25" hidden="false" customHeight="false" outlineLevel="0" collapsed="false">
      <c r="A1012" s="13" t="s">
        <v>829</v>
      </c>
      <c r="B1012" s="13" t="s">
        <v>542</v>
      </c>
      <c r="C1012" s="13" t="s">
        <v>564</v>
      </c>
      <c r="D1012" s="61" t="n">
        <v>45977.2159721644</v>
      </c>
      <c r="E1012" s="61" t="n">
        <v>45977.2159721644</v>
      </c>
      <c r="F1012" s="61" t="n">
        <v>45977.3597222222</v>
      </c>
      <c r="G1012" s="62" t="n">
        <v>0.143750057868601</v>
      </c>
      <c r="H1012" s="13" t="s">
        <v>248</v>
      </c>
      <c r="J1012" s="13" t="s">
        <v>256</v>
      </c>
      <c r="K1012" s="13" t="s">
        <v>430</v>
      </c>
      <c r="L1012" s="13" t="s">
        <v>1000</v>
      </c>
      <c r="M1012" s="66" t="s">
        <v>258</v>
      </c>
      <c r="N1012" s="66" t="s">
        <v>379</v>
      </c>
      <c r="O1012" s="66" t="s">
        <v>399</v>
      </c>
      <c r="P1012" s="0" t="s">
        <v>2113</v>
      </c>
      <c r="Q1012" s="66" t="s">
        <v>995</v>
      </c>
    </row>
    <row r="1013" customFormat="false" ht="14.25" hidden="false" customHeight="false" outlineLevel="0" collapsed="false">
      <c r="A1013" s="13" t="s">
        <v>829</v>
      </c>
      <c r="B1013" s="13" t="s">
        <v>542</v>
      </c>
      <c r="C1013" s="13" t="s">
        <v>565</v>
      </c>
      <c r="D1013" s="61" t="n">
        <v>45977.2159721644</v>
      </c>
      <c r="E1013" s="61" t="n">
        <v>45977.2159721644</v>
      </c>
      <c r="F1013" s="61" t="n">
        <v>45977.3597222222</v>
      </c>
      <c r="G1013" s="62" t="n">
        <v>0.143750057868601</v>
      </c>
      <c r="H1013" s="13" t="s">
        <v>248</v>
      </c>
      <c r="J1013" s="13" t="s">
        <v>256</v>
      </c>
      <c r="K1013" s="13" t="s">
        <v>430</v>
      </c>
      <c r="L1013" s="13" t="s">
        <v>1000</v>
      </c>
      <c r="M1013" s="66" t="s">
        <v>258</v>
      </c>
      <c r="N1013" s="66" t="s">
        <v>379</v>
      </c>
      <c r="O1013" s="66" t="s">
        <v>399</v>
      </c>
      <c r="P1013" s="0" t="s">
        <v>2114</v>
      </c>
      <c r="Q1013" s="66" t="s">
        <v>995</v>
      </c>
    </row>
    <row r="1014" customFormat="false" ht="14.25" hidden="false" customHeight="false" outlineLevel="0" collapsed="false">
      <c r="A1014" s="13" t="s">
        <v>829</v>
      </c>
      <c r="B1014" s="13" t="s">
        <v>542</v>
      </c>
      <c r="C1014" s="13" t="s">
        <v>566</v>
      </c>
      <c r="D1014" s="61" t="n">
        <v>45977.2159721644</v>
      </c>
      <c r="E1014" s="61" t="n">
        <v>45977.2159721644</v>
      </c>
      <c r="F1014" s="61" t="n">
        <v>45977.3597222222</v>
      </c>
      <c r="G1014" s="62" t="n">
        <v>0.143750057868601</v>
      </c>
      <c r="H1014" s="13" t="s">
        <v>248</v>
      </c>
      <c r="J1014" s="13" t="s">
        <v>256</v>
      </c>
      <c r="K1014" s="13" t="s">
        <v>430</v>
      </c>
      <c r="L1014" s="13" t="s">
        <v>1000</v>
      </c>
      <c r="M1014" s="66" t="s">
        <v>258</v>
      </c>
      <c r="N1014" s="66" t="s">
        <v>379</v>
      </c>
      <c r="O1014" s="66" t="s">
        <v>399</v>
      </c>
      <c r="P1014" s="0" t="s">
        <v>2115</v>
      </c>
      <c r="Q1014" s="66" t="s">
        <v>995</v>
      </c>
    </row>
    <row r="1015" customFormat="false" ht="14.25" hidden="false" customHeight="false" outlineLevel="0" collapsed="false">
      <c r="A1015" s="13" t="s">
        <v>829</v>
      </c>
      <c r="B1015" s="13" t="s">
        <v>542</v>
      </c>
      <c r="C1015" s="13" t="s">
        <v>567</v>
      </c>
      <c r="D1015" s="61" t="n">
        <v>45977.2159721644</v>
      </c>
      <c r="E1015" s="61" t="n">
        <v>45977.2159721644</v>
      </c>
      <c r="F1015" s="61" t="n">
        <v>45977.3597222222</v>
      </c>
      <c r="G1015" s="62" t="n">
        <v>0.143750057868601</v>
      </c>
      <c r="H1015" s="13" t="s">
        <v>248</v>
      </c>
      <c r="J1015" s="13" t="s">
        <v>256</v>
      </c>
      <c r="K1015" s="13" t="s">
        <v>430</v>
      </c>
      <c r="L1015" s="13" t="s">
        <v>1000</v>
      </c>
      <c r="M1015" s="66" t="s">
        <v>258</v>
      </c>
      <c r="N1015" s="66" t="s">
        <v>379</v>
      </c>
      <c r="O1015" s="66" t="s">
        <v>399</v>
      </c>
      <c r="P1015" s="0" t="s">
        <v>2116</v>
      </c>
      <c r="Q1015" s="66" t="s">
        <v>995</v>
      </c>
    </row>
    <row r="1016" customFormat="false" ht="14.25" hidden="false" customHeight="false" outlineLevel="0" collapsed="false">
      <c r="A1016" s="13" t="s">
        <v>830</v>
      </c>
      <c r="B1016" s="13" t="s">
        <v>542</v>
      </c>
      <c r="C1016" s="13" t="s">
        <v>568</v>
      </c>
      <c r="D1016" s="61" t="n">
        <v>45977.2159721644</v>
      </c>
      <c r="E1016" s="61" t="n">
        <v>45977.2159721644</v>
      </c>
      <c r="F1016" s="61" t="n">
        <v>45977.3597222222</v>
      </c>
      <c r="G1016" s="62" t="n">
        <v>0.143750057868601</v>
      </c>
      <c r="H1016" s="13" t="s">
        <v>248</v>
      </c>
      <c r="J1016" s="13" t="s">
        <v>256</v>
      </c>
      <c r="K1016" s="13" t="s">
        <v>430</v>
      </c>
      <c r="L1016" s="13" t="s">
        <v>1000</v>
      </c>
      <c r="M1016" s="66" t="s">
        <v>258</v>
      </c>
      <c r="N1016" s="66" t="s">
        <v>379</v>
      </c>
      <c r="O1016" s="66" t="s">
        <v>399</v>
      </c>
      <c r="P1016" s="0" t="s">
        <v>2117</v>
      </c>
      <c r="Q1016" s="66" t="s">
        <v>995</v>
      </c>
    </row>
    <row r="1017" customFormat="false" ht="14.25" hidden="false" customHeight="false" outlineLevel="0" collapsed="false">
      <c r="A1017" s="13" t="s">
        <v>830</v>
      </c>
      <c r="B1017" s="13" t="s">
        <v>542</v>
      </c>
      <c r="C1017" s="13" t="s">
        <v>569</v>
      </c>
      <c r="D1017" s="61" t="n">
        <v>45977.2159721644</v>
      </c>
      <c r="E1017" s="61" t="n">
        <v>45977.2159721644</v>
      </c>
      <c r="F1017" s="61" t="n">
        <v>45977.3597222222</v>
      </c>
      <c r="G1017" s="62" t="n">
        <v>0.143750057868601</v>
      </c>
      <c r="H1017" s="13" t="s">
        <v>248</v>
      </c>
      <c r="J1017" s="13" t="s">
        <v>256</v>
      </c>
      <c r="K1017" s="13" t="s">
        <v>430</v>
      </c>
      <c r="L1017" s="13" t="s">
        <v>1000</v>
      </c>
      <c r="M1017" s="66" t="s">
        <v>258</v>
      </c>
      <c r="N1017" s="66" t="s">
        <v>379</v>
      </c>
      <c r="O1017" s="66" t="s">
        <v>399</v>
      </c>
      <c r="P1017" s="0" t="s">
        <v>2118</v>
      </c>
      <c r="Q1017" s="66" t="s">
        <v>995</v>
      </c>
    </row>
    <row r="1018" customFormat="false" ht="14.25" hidden="false" customHeight="false" outlineLevel="0" collapsed="false">
      <c r="A1018" s="13" t="s">
        <v>830</v>
      </c>
      <c r="B1018" s="13" t="s">
        <v>542</v>
      </c>
      <c r="C1018" s="13" t="s">
        <v>570</v>
      </c>
      <c r="D1018" s="61" t="n">
        <v>45977.2159721644</v>
      </c>
      <c r="E1018" s="61" t="n">
        <v>45977.2159721644</v>
      </c>
      <c r="F1018" s="61" t="n">
        <v>45977.3597222222</v>
      </c>
      <c r="G1018" s="62" t="n">
        <v>0.143750057868601</v>
      </c>
      <c r="H1018" s="13" t="s">
        <v>248</v>
      </c>
      <c r="J1018" s="13" t="s">
        <v>256</v>
      </c>
      <c r="K1018" s="13" t="s">
        <v>430</v>
      </c>
      <c r="L1018" s="13" t="s">
        <v>1000</v>
      </c>
      <c r="M1018" s="66" t="s">
        <v>258</v>
      </c>
      <c r="N1018" s="66" t="s">
        <v>379</v>
      </c>
      <c r="O1018" s="66" t="s">
        <v>399</v>
      </c>
      <c r="P1018" s="0" t="s">
        <v>2119</v>
      </c>
      <c r="Q1018" s="66" t="s">
        <v>995</v>
      </c>
    </row>
    <row r="1019" customFormat="false" ht="14.25" hidden="false" customHeight="false" outlineLevel="0" collapsed="false">
      <c r="A1019" s="13" t="s">
        <v>830</v>
      </c>
      <c r="B1019" s="13" t="s">
        <v>542</v>
      </c>
      <c r="C1019" s="13" t="s">
        <v>571</v>
      </c>
      <c r="D1019" s="61" t="n">
        <v>45977.2159721644</v>
      </c>
      <c r="E1019" s="61" t="n">
        <v>45977.2159721644</v>
      </c>
      <c r="F1019" s="61" t="n">
        <v>45977.3597222222</v>
      </c>
      <c r="G1019" s="62" t="n">
        <v>0.143750057868601</v>
      </c>
      <c r="H1019" s="13" t="s">
        <v>248</v>
      </c>
      <c r="J1019" s="13" t="s">
        <v>256</v>
      </c>
      <c r="K1019" s="13" t="s">
        <v>430</v>
      </c>
      <c r="L1019" s="13" t="s">
        <v>1000</v>
      </c>
      <c r="M1019" s="66" t="s">
        <v>258</v>
      </c>
      <c r="N1019" s="66" t="s">
        <v>379</v>
      </c>
      <c r="O1019" s="66" t="s">
        <v>399</v>
      </c>
      <c r="P1019" s="0" t="s">
        <v>2120</v>
      </c>
      <c r="Q1019" s="66" t="s">
        <v>995</v>
      </c>
    </row>
    <row r="1020" customFormat="false" ht="14.25" hidden="false" customHeight="false" outlineLevel="0" collapsed="false">
      <c r="A1020" s="13" t="s">
        <v>830</v>
      </c>
      <c r="B1020" s="13" t="s">
        <v>542</v>
      </c>
      <c r="C1020" s="13" t="s">
        <v>572</v>
      </c>
      <c r="D1020" s="61" t="n">
        <v>45977.2159721644</v>
      </c>
      <c r="E1020" s="61" t="n">
        <v>45977.2159721644</v>
      </c>
      <c r="F1020" s="61" t="n">
        <v>45977.3597222222</v>
      </c>
      <c r="G1020" s="62" t="n">
        <v>0.143750057868601</v>
      </c>
      <c r="H1020" s="13" t="s">
        <v>248</v>
      </c>
      <c r="J1020" s="13" t="s">
        <v>256</v>
      </c>
      <c r="K1020" s="13" t="s">
        <v>430</v>
      </c>
      <c r="L1020" s="13" t="s">
        <v>1000</v>
      </c>
      <c r="M1020" s="66" t="s">
        <v>258</v>
      </c>
      <c r="N1020" s="66" t="s">
        <v>379</v>
      </c>
      <c r="O1020" s="66" t="s">
        <v>399</v>
      </c>
      <c r="P1020" s="0" t="s">
        <v>2121</v>
      </c>
      <c r="Q1020" s="66" t="s">
        <v>995</v>
      </c>
    </row>
    <row r="1021" customFormat="false" ht="14.25" hidden="false" customHeight="false" outlineLevel="0" collapsed="false">
      <c r="A1021" s="13" t="s">
        <v>578</v>
      </c>
      <c r="B1021" s="13" t="s">
        <v>578</v>
      </c>
      <c r="C1021" s="13" t="s">
        <v>396</v>
      </c>
      <c r="D1021" s="61" t="n">
        <v>45977.2159721644</v>
      </c>
      <c r="E1021" s="61" t="n">
        <v>45977.2159721644</v>
      </c>
      <c r="F1021" s="61" t="n">
        <v>45977.3597222222</v>
      </c>
      <c r="G1021" s="62" t="n">
        <v>0.143750057868601</v>
      </c>
      <c r="H1021" s="13" t="s">
        <v>248</v>
      </c>
      <c r="J1021" s="13" t="s">
        <v>256</v>
      </c>
      <c r="K1021" s="13" t="s">
        <v>430</v>
      </c>
      <c r="L1021" s="13" t="s">
        <v>1000</v>
      </c>
      <c r="M1021" s="66" t="s">
        <v>258</v>
      </c>
      <c r="N1021" s="66" t="s">
        <v>379</v>
      </c>
      <c r="O1021" s="66" t="s">
        <v>399</v>
      </c>
      <c r="P1021" s="0" t="s">
        <v>2122</v>
      </c>
      <c r="Q1021" s="66" t="s">
        <v>995</v>
      </c>
    </row>
    <row r="1022" customFormat="false" ht="14.25" hidden="false" customHeight="false" outlineLevel="0" collapsed="false">
      <c r="A1022" s="13" t="s">
        <v>578</v>
      </c>
      <c r="B1022" s="13" t="s">
        <v>578</v>
      </c>
      <c r="C1022" s="13" t="s">
        <v>397</v>
      </c>
      <c r="D1022" s="61" t="n">
        <v>45977.2159721644</v>
      </c>
      <c r="E1022" s="61" t="n">
        <v>45977.2159721644</v>
      </c>
      <c r="F1022" s="61" t="n">
        <v>45977.3597222222</v>
      </c>
      <c r="G1022" s="62" t="n">
        <v>0.143750057868601</v>
      </c>
      <c r="H1022" s="13" t="s">
        <v>248</v>
      </c>
      <c r="J1022" s="13" t="s">
        <v>256</v>
      </c>
      <c r="K1022" s="13" t="s">
        <v>430</v>
      </c>
      <c r="L1022" s="13" t="s">
        <v>1000</v>
      </c>
      <c r="M1022" s="66" t="s">
        <v>258</v>
      </c>
      <c r="N1022" s="66" t="s">
        <v>379</v>
      </c>
      <c r="O1022" s="66" t="s">
        <v>399</v>
      </c>
      <c r="P1022" s="0" t="s">
        <v>2123</v>
      </c>
      <c r="Q1022" s="66" t="s">
        <v>995</v>
      </c>
    </row>
    <row r="1023" customFormat="false" ht="14.25" hidden="false" customHeight="false" outlineLevel="0" collapsed="false">
      <c r="A1023" s="13" t="s">
        <v>578</v>
      </c>
      <c r="B1023" s="13" t="s">
        <v>578</v>
      </c>
      <c r="C1023" s="13" t="s">
        <v>394</v>
      </c>
      <c r="D1023" s="61" t="n">
        <v>45977.2159721644</v>
      </c>
      <c r="E1023" s="61" t="n">
        <v>45977.2159721644</v>
      </c>
      <c r="F1023" s="61" t="n">
        <v>45977.3597222222</v>
      </c>
      <c r="G1023" s="62" t="n">
        <v>0.143750057868601</v>
      </c>
      <c r="H1023" s="13" t="s">
        <v>248</v>
      </c>
      <c r="J1023" s="13" t="s">
        <v>256</v>
      </c>
      <c r="K1023" s="13" t="s">
        <v>430</v>
      </c>
      <c r="L1023" s="13" t="s">
        <v>1000</v>
      </c>
      <c r="M1023" s="66" t="s">
        <v>258</v>
      </c>
      <c r="N1023" s="66" t="s">
        <v>379</v>
      </c>
      <c r="O1023" s="66" t="s">
        <v>399</v>
      </c>
      <c r="P1023" s="0" t="s">
        <v>2124</v>
      </c>
      <c r="Q1023" s="66" t="s">
        <v>995</v>
      </c>
    </row>
    <row r="1024" customFormat="false" ht="14.25" hidden="false" customHeight="false" outlineLevel="0" collapsed="false">
      <c r="A1024" s="13" t="s">
        <v>578</v>
      </c>
      <c r="B1024" s="13" t="s">
        <v>578</v>
      </c>
      <c r="C1024" s="13" t="s">
        <v>395</v>
      </c>
      <c r="D1024" s="61" t="n">
        <v>45977.2159721644</v>
      </c>
      <c r="E1024" s="61" t="n">
        <v>45977.2159721644</v>
      </c>
      <c r="F1024" s="61" t="n">
        <v>45977.3597222222</v>
      </c>
      <c r="G1024" s="62" t="n">
        <v>0.143750057868601</v>
      </c>
      <c r="H1024" s="13" t="s">
        <v>248</v>
      </c>
      <c r="J1024" s="13" t="s">
        <v>256</v>
      </c>
      <c r="K1024" s="13" t="s">
        <v>430</v>
      </c>
      <c r="L1024" s="13" t="s">
        <v>1000</v>
      </c>
      <c r="M1024" s="66" t="s">
        <v>258</v>
      </c>
      <c r="N1024" s="66" t="s">
        <v>379</v>
      </c>
      <c r="O1024" s="66" t="s">
        <v>399</v>
      </c>
      <c r="P1024" s="0" t="s">
        <v>2125</v>
      </c>
      <c r="Q1024" s="66" t="s">
        <v>995</v>
      </c>
    </row>
    <row r="1025" customFormat="false" ht="14.25" hidden="false" customHeight="false" outlineLevel="0" collapsed="false">
      <c r="A1025" s="13" t="s">
        <v>578</v>
      </c>
      <c r="B1025" s="13" t="s">
        <v>578</v>
      </c>
      <c r="C1025" s="13" t="s">
        <v>391</v>
      </c>
      <c r="D1025" s="61" t="n">
        <v>45977.2159721644</v>
      </c>
      <c r="E1025" s="61" t="n">
        <v>45977.2159721644</v>
      </c>
      <c r="F1025" s="61" t="n">
        <v>45977.3597222222</v>
      </c>
      <c r="G1025" s="62" t="n">
        <v>0.143750057868601</v>
      </c>
      <c r="H1025" s="13" t="s">
        <v>248</v>
      </c>
      <c r="J1025" s="13" t="s">
        <v>256</v>
      </c>
      <c r="K1025" s="13" t="s">
        <v>430</v>
      </c>
      <c r="L1025" s="13" t="s">
        <v>1000</v>
      </c>
      <c r="M1025" s="66" t="s">
        <v>258</v>
      </c>
      <c r="N1025" s="66" t="s">
        <v>379</v>
      </c>
      <c r="O1025" s="66" t="s">
        <v>399</v>
      </c>
      <c r="P1025" s="0" t="s">
        <v>2126</v>
      </c>
      <c r="Q1025" s="66" t="s">
        <v>995</v>
      </c>
    </row>
    <row r="1026" customFormat="false" ht="14.25" hidden="false" customHeight="false" outlineLevel="0" collapsed="false">
      <c r="A1026" s="13" t="s">
        <v>579</v>
      </c>
      <c r="B1026" s="13" t="s">
        <v>579</v>
      </c>
      <c r="C1026" s="13" t="s">
        <v>396</v>
      </c>
      <c r="D1026" s="61" t="n">
        <v>45977.2159721644</v>
      </c>
      <c r="E1026" s="61" t="n">
        <v>45977.2159721644</v>
      </c>
      <c r="F1026" s="61" t="n">
        <v>45977.3597222222</v>
      </c>
      <c r="G1026" s="62" t="n">
        <v>0.143750057868601</v>
      </c>
      <c r="H1026" s="13" t="s">
        <v>248</v>
      </c>
      <c r="J1026" s="13" t="s">
        <v>256</v>
      </c>
      <c r="K1026" s="13" t="s">
        <v>430</v>
      </c>
      <c r="L1026" s="13" t="s">
        <v>1000</v>
      </c>
      <c r="M1026" s="66" t="s">
        <v>258</v>
      </c>
      <c r="N1026" s="66" t="s">
        <v>379</v>
      </c>
      <c r="O1026" s="66" t="s">
        <v>399</v>
      </c>
      <c r="P1026" s="0" t="s">
        <v>2127</v>
      </c>
      <c r="Q1026" s="66" t="s">
        <v>995</v>
      </c>
    </row>
    <row r="1027" customFormat="false" ht="14.25" hidden="false" customHeight="false" outlineLevel="0" collapsed="false">
      <c r="A1027" s="13" t="s">
        <v>579</v>
      </c>
      <c r="B1027" s="13" t="s">
        <v>579</v>
      </c>
      <c r="C1027" s="13" t="s">
        <v>397</v>
      </c>
      <c r="D1027" s="61" t="n">
        <v>45977.2159721644</v>
      </c>
      <c r="E1027" s="61" t="n">
        <v>45977.2159721644</v>
      </c>
      <c r="F1027" s="61" t="n">
        <v>45977.3597222222</v>
      </c>
      <c r="G1027" s="62" t="n">
        <v>0.143750057868601</v>
      </c>
      <c r="H1027" s="13" t="s">
        <v>248</v>
      </c>
      <c r="J1027" s="13" t="s">
        <v>256</v>
      </c>
      <c r="K1027" s="13" t="s">
        <v>430</v>
      </c>
      <c r="L1027" s="13" t="s">
        <v>1000</v>
      </c>
      <c r="M1027" s="66" t="s">
        <v>258</v>
      </c>
      <c r="N1027" s="66" t="s">
        <v>379</v>
      </c>
      <c r="O1027" s="66" t="s">
        <v>399</v>
      </c>
      <c r="P1027" s="0" t="s">
        <v>2128</v>
      </c>
      <c r="Q1027" s="66" t="s">
        <v>995</v>
      </c>
    </row>
    <row r="1028" customFormat="false" ht="14.25" hidden="false" customHeight="false" outlineLevel="0" collapsed="false">
      <c r="A1028" s="13" t="s">
        <v>579</v>
      </c>
      <c r="B1028" s="13" t="s">
        <v>579</v>
      </c>
      <c r="C1028" s="13" t="s">
        <v>394</v>
      </c>
      <c r="D1028" s="61" t="n">
        <v>45977.2159721644</v>
      </c>
      <c r="E1028" s="61" t="n">
        <v>45977.2159721644</v>
      </c>
      <c r="F1028" s="61" t="n">
        <v>45977.3597222222</v>
      </c>
      <c r="G1028" s="62" t="n">
        <v>0.143750057868601</v>
      </c>
      <c r="H1028" s="13" t="s">
        <v>248</v>
      </c>
      <c r="J1028" s="13" t="s">
        <v>256</v>
      </c>
      <c r="K1028" s="13" t="s">
        <v>430</v>
      </c>
      <c r="L1028" s="13" t="s">
        <v>1000</v>
      </c>
      <c r="M1028" s="66" t="s">
        <v>258</v>
      </c>
      <c r="N1028" s="66" t="s">
        <v>379</v>
      </c>
      <c r="O1028" s="66" t="s">
        <v>399</v>
      </c>
      <c r="P1028" s="0" t="s">
        <v>2129</v>
      </c>
      <c r="Q1028" s="66" t="s">
        <v>995</v>
      </c>
    </row>
    <row r="1029" customFormat="false" ht="14.25" hidden="false" customHeight="false" outlineLevel="0" collapsed="false">
      <c r="A1029" s="13" t="s">
        <v>579</v>
      </c>
      <c r="B1029" s="13" t="s">
        <v>579</v>
      </c>
      <c r="C1029" s="13" t="s">
        <v>395</v>
      </c>
      <c r="D1029" s="61" t="n">
        <v>45977.2159721644</v>
      </c>
      <c r="E1029" s="61" t="n">
        <v>45977.2159721644</v>
      </c>
      <c r="F1029" s="61" t="n">
        <v>45977.3597222222</v>
      </c>
      <c r="G1029" s="62" t="n">
        <v>0.143750057868601</v>
      </c>
      <c r="H1029" s="13" t="s">
        <v>248</v>
      </c>
      <c r="J1029" s="13" t="s">
        <v>256</v>
      </c>
      <c r="K1029" s="13" t="s">
        <v>430</v>
      </c>
      <c r="L1029" s="13" t="s">
        <v>1000</v>
      </c>
      <c r="M1029" s="66" t="s">
        <v>258</v>
      </c>
      <c r="N1029" s="66" t="s">
        <v>379</v>
      </c>
      <c r="O1029" s="66" t="s">
        <v>399</v>
      </c>
      <c r="P1029" s="0" t="s">
        <v>2130</v>
      </c>
      <c r="Q1029" s="66" t="s">
        <v>995</v>
      </c>
    </row>
    <row r="1030" customFormat="false" ht="14.25" hidden="false" customHeight="false" outlineLevel="0" collapsed="false">
      <c r="A1030" s="13" t="s">
        <v>579</v>
      </c>
      <c r="B1030" s="13" t="s">
        <v>579</v>
      </c>
      <c r="C1030" s="13" t="s">
        <v>391</v>
      </c>
      <c r="D1030" s="61" t="n">
        <v>45977.2159721644</v>
      </c>
      <c r="E1030" s="61" t="n">
        <v>45977.2159721644</v>
      </c>
      <c r="F1030" s="61" t="n">
        <v>45977.3597222222</v>
      </c>
      <c r="G1030" s="62" t="n">
        <v>0.143750057868601</v>
      </c>
      <c r="H1030" s="13" t="s">
        <v>248</v>
      </c>
      <c r="J1030" s="13" t="s">
        <v>256</v>
      </c>
      <c r="K1030" s="13" t="s">
        <v>430</v>
      </c>
      <c r="L1030" s="13" t="s">
        <v>1000</v>
      </c>
      <c r="M1030" s="66" t="s">
        <v>258</v>
      </c>
      <c r="N1030" s="66" t="s">
        <v>379</v>
      </c>
      <c r="O1030" s="66" t="s">
        <v>399</v>
      </c>
      <c r="P1030" s="0" t="s">
        <v>2131</v>
      </c>
      <c r="Q1030" s="66" t="s">
        <v>995</v>
      </c>
    </row>
    <row r="1031" customFormat="false" ht="14.25" hidden="false" customHeight="false" outlineLevel="0" collapsed="false">
      <c r="A1031" s="13" t="s">
        <v>580</v>
      </c>
      <c r="B1031" s="13" t="s">
        <v>580</v>
      </c>
      <c r="C1031" s="13" t="s">
        <v>396</v>
      </c>
      <c r="D1031" s="61" t="n">
        <v>45977.2159721644</v>
      </c>
      <c r="E1031" s="61" t="n">
        <v>45977.2159721644</v>
      </c>
      <c r="F1031" s="61" t="n">
        <v>45977.3597222222</v>
      </c>
      <c r="G1031" s="62" t="n">
        <v>0.143750057868601</v>
      </c>
      <c r="H1031" s="13" t="s">
        <v>248</v>
      </c>
      <c r="J1031" s="13" t="s">
        <v>256</v>
      </c>
      <c r="K1031" s="13" t="s">
        <v>430</v>
      </c>
      <c r="L1031" s="13" t="s">
        <v>1000</v>
      </c>
      <c r="M1031" s="66" t="s">
        <v>258</v>
      </c>
      <c r="N1031" s="66" t="s">
        <v>379</v>
      </c>
      <c r="O1031" s="66" t="s">
        <v>399</v>
      </c>
      <c r="P1031" s="0" t="s">
        <v>2132</v>
      </c>
      <c r="Q1031" s="66" t="s">
        <v>995</v>
      </c>
    </row>
    <row r="1032" customFormat="false" ht="14.25" hidden="false" customHeight="false" outlineLevel="0" collapsed="false">
      <c r="A1032" s="13" t="s">
        <v>580</v>
      </c>
      <c r="B1032" s="13" t="s">
        <v>580</v>
      </c>
      <c r="C1032" s="13" t="s">
        <v>397</v>
      </c>
      <c r="D1032" s="61" t="n">
        <v>45977.2159721644</v>
      </c>
      <c r="E1032" s="61" t="n">
        <v>45977.2159721644</v>
      </c>
      <c r="F1032" s="61" t="n">
        <v>45977.3597222222</v>
      </c>
      <c r="G1032" s="62" t="n">
        <v>0.143750057868601</v>
      </c>
      <c r="H1032" s="13" t="s">
        <v>248</v>
      </c>
      <c r="J1032" s="13" t="s">
        <v>256</v>
      </c>
      <c r="K1032" s="13" t="s">
        <v>430</v>
      </c>
      <c r="L1032" s="13" t="s">
        <v>1000</v>
      </c>
      <c r="M1032" s="66" t="s">
        <v>258</v>
      </c>
      <c r="N1032" s="66" t="s">
        <v>379</v>
      </c>
      <c r="O1032" s="66" t="s">
        <v>399</v>
      </c>
      <c r="P1032" s="0" t="s">
        <v>2133</v>
      </c>
      <c r="Q1032" s="66" t="s">
        <v>995</v>
      </c>
    </row>
    <row r="1033" customFormat="false" ht="14.25" hidden="false" customHeight="false" outlineLevel="0" collapsed="false">
      <c r="A1033" s="13" t="s">
        <v>580</v>
      </c>
      <c r="B1033" s="13" t="s">
        <v>580</v>
      </c>
      <c r="C1033" s="13" t="s">
        <v>394</v>
      </c>
      <c r="D1033" s="61" t="n">
        <v>45977.2159721644</v>
      </c>
      <c r="E1033" s="61" t="n">
        <v>45977.2159721644</v>
      </c>
      <c r="F1033" s="61" t="n">
        <v>45977.3597222222</v>
      </c>
      <c r="G1033" s="62" t="n">
        <v>0.143750057868601</v>
      </c>
      <c r="H1033" s="13" t="s">
        <v>248</v>
      </c>
      <c r="J1033" s="13" t="s">
        <v>256</v>
      </c>
      <c r="K1033" s="13" t="s">
        <v>430</v>
      </c>
      <c r="L1033" s="13" t="s">
        <v>1000</v>
      </c>
      <c r="M1033" s="66" t="s">
        <v>258</v>
      </c>
      <c r="N1033" s="66" t="s">
        <v>379</v>
      </c>
      <c r="O1033" s="66" t="s">
        <v>399</v>
      </c>
      <c r="P1033" s="0" t="s">
        <v>2134</v>
      </c>
      <c r="Q1033" s="66" t="s">
        <v>995</v>
      </c>
    </row>
    <row r="1034" customFormat="false" ht="14.25" hidden="false" customHeight="false" outlineLevel="0" collapsed="false">
      <c r="A1034" s="13" t="s">
        <v>580</v>
      </c>
      <c r="B1034" s="13" t="s">
        <v>580</v>
      </c>
      <c r="C1034" s="13" t="s">
        <v>395</v>
      </c>
      <c r="D1034" s="61" t="n">
        <v>45977.2159721644</v>
      </c>
      <c r="E1034" s="61" t="n">
        <v>45977.2159721644</v>
      </c>
      <c r="F1034" s="61" t="n">
        <v>45977.3597222222</v>
      </c>
      <c r="G1034" s="62" t="n">
        <v>0.143750057868601</v>
      </c>
      <c r="H1034" s="13" t="s">
        <v>248</v>
      </c>
      <c r="J1034" s="13" t="s">
        <v>256</v>
      </c>
      <c r="K1034" s="13" t="s">
        <v>430</v>
      </c>
      <c r="L1034" s="13" t="s">
        <v>1000</v>
      </c>
      <c r="M1034" s="66" t="s">
        <v>258</v>
      </c>
      <c r="N1034" s="66" t="s">
        <v>379</v>
      </c>
      <c r="O1034" s="66" t="s">
        <v>399</v>
      </c>
      <c r="P1034" s="0" t="s">
        <v>2135</v>
      </c>
      <c r="Q1034" s="66" t="s">
        <v>995</v>
      </c>
    </row>
    <row r="1035" customFormat="false" ht="14.25" hidden="false" customHeight="false" outlineLevel="0" collapsed="false">
      <c r="A1035" s="13" t="s">
        <v>580</v>
      </c>
      <c r="B1035" s="13" t="s">
        <v>580</v>
      </c>
      <c r="C1035" s="13" t="s">
        <v>391</v>
      </c>
      <c r="D1035" s="61" t="n">
        <v>45977.2159721644</v>
      </c>
      <c r="E1035" s="61" t="n">
        <v>45977.2159721644</v>
      </c>
      <c r="F1035" s="61" t="n">
        <v>45977.3597222222</v>
      </c>
      <c r="G1035" s="62" t="n">
        <v>0.143750057868601</v>
      </c>
      <c r="H1035" s="13" t="s">
        <v>248</v>
      </c>
      <c r="J1035" s="13" t="s">
        <v>256</v>
      </c>
      <c r="K1035" s="13" t="s">
        <v>430</v>
      </c>
      <c r="L1035" s="13" t="s">
        <v>1000</v>
      </c>
      <c r="M1035" s="66" t="s">
        <v>258</v>
      </c>
      <c r="N1035" s="66" t="s">
        <v>379</v>
      </c>
      <c r="O1035" s="66" t="s">
        <v>399</v>
      </c>
      <c r="P1035" s="0" t="s">
        <v>2136</v>
      </c>
      <c r="Q1035" s="66" t="s">
        <v>995</v>
      </c>
    </row>
    <row r="1036" customFormat="false" ht="14.25" hidden="false" customHeight="false" outlineLevel="0" collapsed="false">
      <c r="A1036" s="13" t="s">
        <v>814</v>
      </c>
      <c r="B1036" s="13" t="s">
        <v>542</v>
      </c>
      <c r="C1036" s="13" t="s">
        <v>543</v>
      </c>
      <c r="D1036" s="61" t="n">
        <v>45977.2159722222</v>
      </c>
      <c r="E1036" s="61" t="n">
        <v>45977.2159722222</v>
      </c>
      <c r="F1036" s="61" t="n">
        <v>45977.3597222222</v>
      </c>
      <c r="G1036" s="62" t="n">
        <v>0.14375000000291</v>
      </c>
      <c r="H1036" s="13" t="s">
        <v>248</v>
      </c>
      <c r="J1036" s="13" t="s">
        <v>256</v>
      </c>
      <c r="K1036" s="13" t="s">
        <v>430</v>
      </c>
      <c r="L1036" s="13" t="s">
        <v>1000</v>
      </c>
      <c r="M1036" s="66" t="s">
        <v>258</v>
      </c>
      <c r="N1036" s="66" t="s">
        <v>379</v>
      </c>
      <c r="O1036" s="66" t="s">
        <v>399</v>
      </c>
      <c r="P1036" s="0" t="s">
        <v>2137</v>
      </c>
      <c r="Q1036" s="66" t="s">
        <v>995</v>
      </c>
    </row>
    <row r="1037" customFormat="false" ht="14.25" hidden="false" customHeight="false" outlineLevel="0" collapsed="false">
      <c r="A1037" s="13" t="s">
        <v>814</v>
      </c>
      <c r="B1037" s="13" t="s">
        <v>542</v>
      </c>
      <c r="C1037" s="13" t="s">
        <v>545</v>
      </c>
      <c r="D1037" s="61" t="n">
        <v>45977.2159722222</v>
      </c>
      <c r="E1037" s="61" t="n">
        <v>45977.2159722222</v>
      </c>
      <c r="F1037" s="61" t="n">
        <v>45977.3597222222</v>
      </c>
      <c r="G1037" s="62" t="n">
        <v>0.14375000000291</v>
      </c>
      <c r="H1037" s="13" t="s">
        <v>248</v>
      </c>
      <c r="J1037" s="13" t="s">
        <v>256</v>
      </c>
      <c r="K1037" s="13" t="s">
        <v>430</v>
      </c>
      <c r="L1037" s="13" t="s">
        <v>1000</v>
      </c>
      <c r="M1037" s="66" t="s">
        <v>258</v>
      </c>
      <c r="N1037" s="66" t="s">
        <v>379</v>
      </c>
      <c r="O1037" s="66" t="s">
        <v>399</v>
      </c>
      <c r="P1037" s="0" t="s">
        <v>2138</v>
      </c>
      <c r="Q1037" s="66" t="s">
        <v>995</v>
      </c>
    </row>
    <row r="1038" customFormat="false" ht="14.25" hidden="false" customHeight="false" outlineLevel="0" collapsed="false">
      <c r="A1038" s="13" t="s">
        <v>1155</v>
      </c>
      <c r="B1038" s="13" t="s">
        <v>643</v>
      </c>
      <c r="C1038" s="13" t="s">
        <v>644</v>
      </c>
      <c r="D1038" s="61" t="n">
        <v>45977.5451388889</v>
      </c>
      <c r="E1038" s="61" t="n">
        <v>45977.5451388889</v>
      </c>
      <c r="F1038" s="61" t="n">
        <v>45977.7513888889</v>
      </c>
      <c r="G1038" s="62" t="n">
        <v>0.206249999995634</v>
      </c>
      <c r="H1038" s="13" t="s">
        <v>248</v>
      </c>
      <c r="J1038" s="13" t="s">
        <v>256</v>
      </c>
      <c r="K1038" s="13" t="s">
        <v>430</v>
      </c>
      <c r="L1038" s="13" t="s">
        <v>1000</v>
      </c>
      <c r="M1038" s="66" t="s">
        <v>258</v>
      </c>
      <c r="N1038" s="66" t="s">
        <v>379</v>
      </c>
      <c r="O1038" s="66" t="s">
        <v>399</v>
      </c>
      <c r="P1038" s="0" t="s">
        <v>2139</v>
      </c>
      <c r="Q1038" s="66" t="s">
        <v>995</v>
      </c>
    </row>
    <row r="1039" customFormat="false" ht="14.25" hidden="false" customHeight="false" outlineLevel="0" collapsed="false">
      <c r="A1039" s="13" t="s">
        <v>1155</v>
      </c>
      <c r="B1039" s="13" t="s">
        <v>643</v>
      </c>
      <c r="C1039" s="13" t="s">
        <v>647</v>
      </c>
      <c r="D1039" s="61" t="n">
        <v>45977.5451388889</v>
      </c>
      <c r="E1039" s="61" t="n">
        <v>45977.5451388889</v>
      </c>
      <c r="F1039" s="61" t="n">
        <v>45977.7513888889</v>
      </c>
      <c r="G1039" s="62" t="n">
        <v>0.206249999995634</v>
      </c>
      <c r="H1039" s="13" t="s">
        <v>248</v>
      </c>
      <c r="J1039" s="13" t="s">
        <v>256</v>
      </c>
      <c r="K1039" s="13" t="s">
        <v>430</v>
      </c>
      <c r="L1039" s="13" t="s">
        <v>1000</v>
      </c>
      <c r="M1039" s="66" t="s">
        <v>258</v>
      </c>
      <c r="N1039" s="66" t="s">
        <v>379</v>
      </c>
      <c r="O1039" s="66" t="s">
        <v>399</v>
      </c>
      <c r="P1039" s="0" t="s">
        <v>2140</v>
      </c>
      <c r="Q1039" s="66" t="s">
        <v>995</v>
      </c>
    </row>
    <row r="1040" customFormat="false" ht="14.25" hidden="false" customHeight="false" outlineLevel="0" collapsed="false">
      <c r="A1040" s="13" t="s">
        <v>1155</v>
      </c>
      <c r="B1040" s="13" t="s">
        <v>643</v>
      </c>
      <c r="C1040" s="13" t="s">
        <v>648</v>
      </c>
      <c r="D1040" s="61" t="n">
        <v>45977.5451388889</v>
      </c>
      <c r="E1040" s="61" t="n">
        <v>45977.5451388889</v>
      </c>
      <c r="F1040" s="61" t="n">
        <v>45977.7513888889</v>
      </c>
      <c r="G1040" s="62" t="n">
        <v>0.206249999995634</v>
      </c>
      <c r="H1040" s="13" t="s">
        <v>248</v>
      </c>
      <c r="J1040" s="13" t="s">
        <v>256</v>
      </c>
      <c r="K1040" s="13" t="s">
        <v>430</v>
      </c>
      <c r="L1040" s="13" t="s">
        <v>1000</v>
      </c>
      <c r="M1040" s="66" t="s">
        <v>258</v>
      </c>
      <c r="N1040" s="66" t="s">
        <v>379</v>
      </c>
      <c r="O1040" s="66" t="s">
        <v>399</v>
      </c>
      <c r="P1040" s="0" t="s">
        <v>2141</v>
      </c>
      <c r="Q1040" s="66" t="s">
        <v>995</v>
      </c>
    </row>
    <row r="1041" customFormat="false" ht="14.25" hidden="false" customHeight="false" outlineLevel="0" collapsed="false">
      <c r="A1041" s="13" t="s">
        <v>1155</v>
      </c>
      <c r="B1041" s="13" t="s">
        <v>643</v>
      </c>
      <c r="C1041" s="13" t="s">
        <v>649</v>
      </c>
      <c r="D1041" s="61" t="n">
        <v>45977.5451388889</v>
      </c>
      <c r="E1041" s="61" t="n">
        <v>45977.5451388889</v>
      </c>
      <c r="F1041" s="61" t="n">
        <v>45977.7513888889</v>
      </c>
      <c r="G1041" s="62" t="n">
        <v>0.206249999995634</v>
      </c>
      <c r="H1041" s="13" t="s">
        <v>248</v>
      </c>
      <c r="J1041" s="13" t="s">
        <v>256</v>
      </c>
      <c r="K1041" s="13" t="s">
        <v>430</v>
      </c>
      <c r="L1041" s="13" t="s">
        <v>1000</v>
      </c>
      <c r="M1041" s="66" t="s">
        <v>258</v>
      </c>
      <c r="N1041" s="66" t="s">
        <v>379</v>
      </c>
      <c r="O1041" s="66" t="s">
        <v>399</v>
      </c>
      <c r="P1041" s="0" t="s">
        <v>2142</v>
      </c>
      <c r="Q1041" s="66" t="s">
        <v>995</v>
      </c>
    </row>
    <row r="1042" customFormat="false" ht="14.25" hidden="false" customHeight="false" outlineLevel="0" collapsed="false">
      <c r="A1042" s="13" t="s">
        <v>896</v>
      </c>
      <c r="B1042" s="13" t="s">
        <v>650</v>
      </c>
      <c r="C1042" s="13" t="s">
        <v>651</v>
      </c>
      <c r="D1042" s="61" t="n">
        <v>45977.5451388889</v>
      </c>
      <c r="E1042" s="61" t="n">
        <v>45977.5451388889</v>
      </c>
      <c r="F1042" s="61" t="n">
        <v>45977.7513888889</v>
      </c>
      <c r="G1042" s="62" t="n">
        <v>0.206249999995634</v>
      </c>
      <c r="H1042" s="13" t="s">
        <v>248</v>
      </c>
      <c r="J1042" s="13" t="s">
        <v>256</v>
      </c>
      <c r="K1042" s="13" t="s">
        <v>430</v>
      </c>
      <c r="L1042" s="13" t="s">
        <v>1000</v>
      </c>
      <c r="M1042" s="66" t="s">
        <v>258</v>
      </c>
      <c r="N1042" s="66" t="s">
        <v>379</v>
      </c>
      <c r="O1042" s="66" t="s">
        <v>399</v>
      </c>
      <c r="P1042" s="0" t="s">
        <v>2143</v>
      </c>
      <c r="Q1042" s="66" t="s">
        <v>995</v>
      </c>
    </row>
    <row r="1043" customFormat="false" ht="14.25" hidden="false" customHeight="false" outlineLevel="0" collapsed="false">
      <c r="A1043" s="13" t="s">
        <v>896</v>
      </c>
      <c r="B1043" s="13" t="s">
        <v>650</v>
      </c>
      <c r="C1043" s="13" t="s">
        <v>653</v>
      </c>
      <c r="D1043" s="61" t="n">
        <v>45977.5451388889</v>
      </c>
      <c r="E1043" s="61" t="n">
        <v>45977.5451388889</v>
      </c>
      <c r="F1043" s="61" t="n">
        <v>45977.7513888889</v>
      </c>
      <c r="G1043" s="62" t="n">
        <v>0.206249999995634</v>
      </c>
      <c r="H1043" s="13" t="s">
        <v>248</v>
      </c>
      <c r="J1043" s="13" t="s">
        <v>256</v>
      </c>
      <c r="K1043" s="13" t="s">
        <v>430</v>
      </c>
      <c r="L1043" s="13" t="s">
        <v>1000</v>
      </c>
      <c r="M1043" s="66" t="s">
        <v>258</v>
      </c>
      <c r="N1043" s="66" t="s">
        <v>379</v>
      </c>
      <c r="O1043" s="66" t="s">
        <v>399</v>
      </c>
      <c r="P1043" s="0" t="s">
        <v>2144</v>
      </c>
      <c r="Q1043" s="66" t="s">
        <v>995</v>
      </c>
    </row>
    <row r="1044" customFormat="false" ht="14.25" hidden="false" customHeight="false" outlineLevel="0" collapsed="false">
      <c r="A1044" s="13" t="s">
        <v>896</v>
      </c>
      <c r="B1044" s="13" t="s">
        <v>650</v>
      </c>
      <c r="C1044" s="13" t="s">
        <v>654</v>
      </c>
      <c r="D1044" s="61" t="n">
        <v>45977.5451388889</v>
      </c>
      <c r="E1044" s="61" t="n">
        <v>45977.5451388889</v>
      </c>
      <c r="F1044" s="61" t="n">
        <v>45977.7513888889</v>
      </c>
      <c r="G1044" s="62" t="n">
        <v>0.206249999995634</v>
      </c>
      <c r="H1044" s="13" t="s">
        <v>248</v>
      </c>
      <c r="J1044" s="13" t="s">
        <v>256</v>
      </c>
      <c r="K1044" s="13" t="s">
        <v>430</v>
      </c>
      <c r="L1044" s="13" t="s">
        <v>1000</v>
      </c>
      <c r="M1044" s="66" t="s">
        <v>258</v>
      </c>
      <c r="N1044" s="66" t="s">
        <v>379</v>
      </c>
      <c r="O1044" s="66" t="s">
        <v>399</v>
      </c>
      <c r="P1044" s="0" t="s">
        <v>2145</v>
      </c>
      <c r="Q1044" s="66" t="s">
        <v>995</v>
      </c>
    </row>
    <row r="1045" customFormat="false" ht="14.25" hidden="false" customHeight="false" outlineLevel="0" collapsed="false">
      <c r="A1045" s="13" t="s">
        <v>896</v>
      </c>
      <c r="B1045" s="13" t="s">
        <v>650</v>
      </c>
      <c r="C1045" s="13" t="s">
        <v>655</v>
      </c>
      <c r="D1045" s="61" t="n">
        <v>45977.5451388889</v>
      </c>
      <c r="E1045" s="61" t="n">
        <v>45977.5451388889</v>
      </c>
      <c r="F1045" s="61" t="n">
        <v>45977.7513888889</v>
      </c>
      <c r="G1045" s="62" t="n">
        <v>0.206249999995634</v>
      </c>
      <c r="H1045" s="13" t="s">
        <v>248</v>
      </c>
      <c r="J1045" s="13" t="s">
        <v>256</v>
      </c>
      <c r="K1045" s="13" t="s">
        <v>430</v>
      </c>
      <c r="L1045" s="13" t="s">
        <v>1000</v>
      </c>
      <c r="M1045" s="66" t="s">
        <v>258</v>
      </c>
      <c r="N1045" s="66" t="s">
        <v>379</v>
      </c>
      <c r="O1045" s="66" t="s">
        <v>399</v>
      </c>
      <c r="P1045" s="0" t="s">
        <v>2146</v>
      </c>
      <c r="Q1045" s="66" t="s">
        <v>995</v>
      </c>
    </row>
    <row r="1046" customFormat="false" ht="14.25" hidden="false" customHeight="false" outlineLevel="0" collapsed="false">
      <c r="A1046" s="13" t="s">
        <v>896</v>
      </c>
      <c r="B1046" s="13" t="s">
        <v>650</v>
      </c>
      <c r="C1046" s="13" t="s">
        <v>656</v>
      </c>
      <c r="D1046" s="61" t="n">
        <v>45977.5451388889</v>
      </c>
      <c r="E1046" s="61" t="n">
        <v>45977.5451388889</v>
      </c>
      <c r="F1046" s="61" t="n">
        <v>45977.7513888889</v>
      </c>
      <c r="G1046" s="62" t="n">
        <v>0.206249999995634</v>
      </c>
      <c r="H1046" s="13" t="s">
        <v>248</v>
      </c>
      <c r="J1046" s="13" t="s">
        <v>256</v>
      </c>
      <c r="K1046" s="13" t="s">
        <v>430</v>
      </c>
      <c r="L1046" s="13" t="s">
        <v>1000</v>
      </c>
      <c r="M1046" s="66" t="s">
        <v>258</v>
      </c>
      <c r="N1046" s="66" t="s">
        <v>379</v>
      </c>
      <c r="O1046" s="66" t="s">
        <v>399</v>
      </c>
      <c r="P1046" s="0" t="s">
        <v>2147</v>
      </c>
      <c r="Q1046" s="66" t="s">
        <v>995</v>
      </c>
    </row>
    <row r="1047" customFormat="false" ht="14.25" hidden="false" customHeight="false" outlineLevel="0" collapsed="false">
      <c r="A1047" s="13" t="s">
        <v>896</v>
      </c>
      <c r="B1047" s="13" t="s">
        <v>650</v>
      </c>
      <c r="C1047" s="13" t="s">
        <v>657</v>
      </c>
      <c r="D1047" s="61" t="n">
        <v>45977.5451388889</v>
      </c>
      <c r="E1047" s="61" t="n">
        <v>45977.5451388889</v>
      </c>
      <c r="F1047" s="61" t="n">
        <v>45977.7513888889</v>
      </c>
      <c r="G1047" s="62" t="n">
        <v>0.206249999995634</v>
      </c>
      <c r="H1047" s="13" t="s">
        <v>248</v>
      </c>
      <c r="J1047" s="13" t="s">
        <v>256</v>
      </c>
      <c r="K1047" s="13" t="s">
        <v>430</v>
      </c>
      <c r="L1047" s="13" t="s">
        <v>1000</v>
      </c>
      <c r="M1047" s="66" t="s">
        <v>258</v>
      </c>
      <c r="N1047" s="66" t="s">
        <v>379</v>
      </c>
      <c r="O1047" s="66" t="s">
        <v>399</v>
      </c>
      <c r="P1047" s="0" t="s">
        <v>2148</v>
      </c>
      <c r="Q1047" s="66" t="s">
        <v>995</v>
      </c>
    </row>
    <row r="1048" customFormat="false" ht="14.25" hidden="false" customHeight="false" outlineLevel="0" collapsed="false">
      <c r="A1048" s="13" t="s">
        <v>896</v>
      </c>
      <c r="B1048" s="13" t="s">
        <v>650</v>
      </c>
      <c r="C1048" s="13" t="s">
        <v>658</v>
      </c>
      <c r="D1048" s="61" t="n">
        <v>45977.5451388889</v>
      </c>
      <c r="E1048" s="61" t="n">
        <v>45977.5451388889</v>
      </c>
      <c r="F1048" s="61" t="n">
        <v>45977.7513888889</v>
      </c>
      <c r="G1048" s="62" t="n">
        <v>0.206249999995634</v>
      </c>
      <c r="H1048" s="13" t="s">
        <v>248</v>
      </c>
      <c r="J1048" s="13" t="s">
        <v>256</v>
      </c>
      <c r="K1048" s="13" t="s">
        <v>430</v>
      </c>
      <c r="L1048" s="13" t="s">
        <v>1000</v>
      </c>
      <c r="M1048" s="66" t="s">
        <v>258</v>
      </c>
      <c r="N1048" s="66" t="s">
        <v>379</v>
      </c>
      <c r="O1048" s="66" t="s">
        <v>399</v>
      </c>
      <c r="P1048" s="0" t="s">
        <v>2149</v>
      </c>
      <c r="Q1048" s="66" t="s">
        <v>995</v>
      </c>
    </row>
    <row r="1049" customFormat="false" ht="14.25" hidden="false" customHeight="false" outlineLevel="0" collapsed="false">
      <c r="A1049" s="13" t="s">
        <v>896</v>
      </c>
      <c r="B1049" s="13" t="s">
        <v>650</v>
      </c>
      <c r="C1049" s="13" t="s">
        <v>659</v>
      </c>
      <c r="D1049" s="61" t="n">
        <v>45977.5451388889</v>
      </c>
      <c r="E1049" s="61" t="n">
        <v>45977.5451388889</v>
      </c>
      <c r="F1049" s="61" t="n">
        <v>45977.7513888889</v>
      </c>
      <c r="G1049" s="62" t="n">
        <v>0.206249999995634</v>
      </c>
      <c r="H1049" s="13" t="s">
        <v>248</v>
      </c>
      <c r="J1049" s="13" t="s">
        <v>256</v>
      </c>
      <c r="K1049" s="13" t="s">
        <v>430</v>
      </c>
      <c r="L1049" s="13" t="s">
        <v>1000</v>
      </c>
      <c r="M1049" s="66" t="s">
        <v>258</v>
      </c>
      <c r="N1049" s="66" t="s">
        <v>379</v>
      </c>
      <c r="O1049" s="66" t="s">
        <v>399</v>
      </c>
      <c r="P1049" s="0" t="s">
        <v>2150</v>
      </c>
      <c r="Q1049" s="66" t="s">
        <v>995</v>
      </c>
    </row>
    <row r="1050" customFormat="false" ht="14.25" hidden="false" customHeight="false" outlineLevel="0" collapsed="false">
      <c r="A1050" s="13" t="s">
        <v>896</v>
      </c>
      <c r="B1050" s="13" t="s">
        <v>650</v>
      </c>
      <c r="C1050" s="13" t="s">
        <v>660</v>
      </c>
      <c r="D1050" s="61" t="n">
        <v>45977.5451388889</v>
      </c>
      <c r="E1050" s="61" t="n">
        <v>45977.5451388889</v>
      </c>
      <c r="F1050" s="61" t="n">
        <v>45977.7513888889</v>
      </c>
      <c r="G1050" s="62" t="n">
        <v>0.206249999995634</v>
      </c>
      <c r="H1050" s="13" t="s">
        <v>248</v>
      </c>
      <c r="J1050" s="13" t="s">
        <v>256</v>
      </c>
      <c r="K1050" s="13" t="s">
        <v>430</v>
      </c>
      <c r="L1050" s="13" t="s">
        <v>1000</v>
      </c>
      <c r="M1050" s="66" t="s">
        <v>258</v>
      </c>
      <c r="N1050" s="66" t="s">
        <v>379</v>
      </c>
      <c r="O1050" s="66" t="s">
        <v>399</v>
      </c>
      <c r="P1050" s="0" t="s">
        <v>2151</v>
      </c>
      <c r="Q1050" s="66" t="s">
        <v>995</v>
      </c>
    </row>
    <row r="1051" customFormat="false" ht="14.25" hidden="false" customHeight="false" outlineLevel="0" collapsed="false">
      <c r="A1051" s="13" t="s">
        <v>896</v>
      </c>
      <c r="B1051" s="13" t="s">
        <v>650</v>
      </c>
      <c r="C1051" s="13" t="s">
        <v>661</v>
      </c>
      <c r="D1051" s="61" t="n">
        <v>45977.5451388889</v>
      </c>
      <c r="E1051" s="61" t="n">
        <v>45977.5451388889</v>
      </c>
      <c r="F1051" s="61" t="n">
        <v>45977.7513888889</v>
      </c>
      <c r="G1051" s="62" t="n">
        <v>0.206249999995634</v>
      </c>
      <c r="H1051" s="13" t="s">
        <v>248</v>
      </c>
      <c r="J1051" s="13" t="s">
        <v>256</v>
      </c>
      <c r="K1051" s="13" t="s">
        <v>430</v>
      </c>
      <c r="L1051" s="13" t="s">
        <v>1000</v>
      </c>
      <c r="M1051" s="66" t="s">
        <v>258</v>
      </c>
      <c r="N1051" s="66" t="s">
        <v>379</v>
      </c>
      <c r="O1051" s="66" t="s">
        <v>399</v>
      </c>
      <c r="P1051" s="0" t="s">
        <v>2152</v>
      </c>
      <c r="Q1051" s="66" t="s">
        <v>995</v>
      </c>
    </row>
    <row r="1052" customFormat="false" ht="14.25" hidden="false" customHeight="false" outlineLevel="0" collapsed="false">
      <c r="A1052" s="13" t="s">
        <v>896</v>
      </c>
      <c r="B1052" s="13" t="s">
        <v>650</v>
      </c>
      <c r="C1052" s="13" t="s">
        <v>662</v>
      </c>
      <c r="D1052" s="61" t="n">
        <v>45977.5451388889</v>
      </c>
      <c r="E1052" s="61" t="n">
        <v>45977.5451388889</v>
      </c>
      <c r="F1052" s="61" t="n">
        <v>45977.7513888889</v>
      </c>
      <c r="G1052" s="62" t="n">
        <v>0.206249999995634</v>
      </c>
      <c r="H1052" s="13" t="s">
        <v>248</v>
      </c>
      <c r="J1052" s="13" t="s">
        <v>256</v>
      </c>
      <c r="K1052" s="13" t="s">
        <v>430</v>
      </c>
      <c r="L1052" s="13" t="s">
        <v>1000</v>
      </c>
      <c r="M1052" s="66" t="s">
        <v>258</v>
      </c>
      <c r="N1052" s="66" t="s">
        <v>379</v>
      </c>
      <c r="O1052" s="66" t="s">
        <v>399</v>
      </c>
      <c r="P1052" s="0" t="s">
        <v>2153</v>
      </c>
      <c r="Q1052" s="66" t="s">
        <v>995</v>
      </c>
    </row>
    <row r="1053" customFormat="false" ht="14.25" hidden="false" customHeight="false" outlineLevel="0" collapsed="false">
      <c r="A1053" s="13" t="s">
        <v>896</v>
      </c>
      <c r="B1053" s="13" t="s">
        <v>650</v>
      </c>
      <c r="C1053" s="13" t="s">
        <v>663</v>
      </c>
      <c r="D1053" s="61" t="n">
        <v>45977.5451388889</v>
      </c>
      <c r="E1053" s="61" t="n">
        <v>45977.5451388889</v>
      </c>
      <c r="F1053" s="61" t="n">
        <v>45977.7513888889</v>
      </c>
      <c r="G1053" s="62" t="n">
        <v>0.206249999995634</v>
      </c>
      <c r="H1053" s="13" t="s">
        <v>248</v>
      </c>
      <c r="J1053" s="13" t="s">
        <v>256</v>
      </c>
      <c r="K1053" s="13" t="s">
        <v>430</v>
      </c>
      <c r="L1053" s="13" t="s">
        <v>1000</v>
      </c>
      <c r="M1053" s="66" t="s">
        <v>258</v>
      </c>
      <c r="N1053" s="66" t="s">
        <v>379</v>
      </c>
      <c r="O1053" s="66" t="s">
        <v>399</v>
      </c>
      <c r="P1053" s="0" t="s">
        <v>2154</v>
      </c>
      <c r="Q1053" s="66" t="s">
        <v>995</v>
      </c>
    </row>
    <row r="1054" customFormat="false" ht="14.25" hidden="false" customHeight="false" outlineLevel="0" collapsed="false">
      <c r="A1054" s="13" t="s">
        <v>896</v>
      </c>
      <c r="B1054" s="13" t="s">
        <v>650</v>
      </c>
      <c r="C1054" s="13" t="s">
        <v>664</v>
      </c>
      <c r="D1054" s="61" t="n">
        <v>45977.5451388889</v>
      </c>
      <c r="E1054" s="61" t="n">
        <v>45977.5451388889</v>
      </c>
      <c r="F1054" s="61" t="n">
        <v>45977.7513888889</v>
      </c>
      <c r="G1054" s="62" t="n">
        <v>0.206249999995634</v>
      </c>
      <c r="H1054" s="13" t="s">
        <v>248</v>
      </c>
      <c r="J1054" s="13" t="s">
        <v>256</v>
      </c>
      <c r="K1054" s="13" t="s">
        <v>430</v>
      </c>
      <c r="L1054" s="13" t="s">
        <v>1000</v>
      </c>
      <c r="M1054" s="66" t="s">
        <v>258</v>
      </c>
      <c r="N1054" s="66" t="s">
        <v>379</v>
      </c>
      <c r="O1054" s="66" t="s">
        <v>399</v>
      </c>
      <c r="P1054" s="0" t="s">
        <v>2155</v>
      </c>
      <c r="Q1054" s="66" t="s">
        <v>995</v>
      </c>
    </row>
    <row r="1055" customFormat="false" ht="14.25" hidden="false" customHeight="false" outlineLevel="0" collapsed="false">
      <c r="A1055" s="13" t="s">
        <v>896</v>
      </c>
      <c r="B1055" s="13" t="s">
        <v>650</v>
      </c>
      <c r="C1055" s="13" t="s">
        <v>665</v>
      </c>
      <c r="D1055" s="61" t="n">
        <v>45977.5451388889</v>
      </c>
      <c r="E1055" s="61" t="n">
        <v>45977.5451388889</v>
      </c>
      <c r="F1055" s="61" t="n">
        <v>45977.7513888889</v>
      </c>
      <c r="G1055" s="62" t="n">
        <v>0.206249999995634</v>
      </c>
      <c r="H1055" s="13" t="s">
        <v>248</v>
      </c>
      <c r="J1055" s="13" t="s">
        <v>256</v>
      </c>
      <c r="K1055" s="13" t="s">
        <v>430</v>
      </c>
      <c r="L1055" s="13" t="s">
        <v>1000</v>
      </c>
      <c r="M1055" s="66" t="s">
        <v>258</v>
      </c>
      <c r="N1055" s="66" t="s">
        <v>379</v>
      </c>
      <c r="O1055" s="66" t="s">
        <v>399</v>
      </c>
      <c r="P1055" s="0" t="s">
        <v>2156</v>
      </c>
      <c r="Q1055" s="66" t="s">
        <v>995</v>
      </c>
    </row>
    <row r="1056" customFormat="false" ht="14.25" hidden="false" customHeight="false" outlineLevel="0" collapsed="false">
      <c r="A1056" s="13" t="s">
        <v>896</v>
      </c>
      <c r="B1056" s="13" t="s">
        <v>650</v>
      </c>
      <c r="C1056" s="13" t="s">
        <v>666</v>
      </c>
      <c r="D1056" s="61" t="n">
        <v>45977.5451388889</v>
      </c>
      <c r="E1056" s="61" t="n">
        <v>45977.5451388889</v>
      </c>
      <c r="F1056" s="61" t="n">
        <v>45977.7513888889</v>
      </c>
      <c r="G1056" s="62" t="n">
        <v>0.206249999995634</v>
      </c>
      <c r="H1056" s="13" t="s">
        <v>248</v>
      </c>
      <c r="J1056" s="13" t="s">
        <v>256</v>
      </c>
      <c r="K1056" s="13" t="s">
        <v>430</v>
      </c>
      <c r="L1056" s="13" t="s">
        <v>1000</v>
      </c>
      <c r="M1056" s="66" t="s">
        <v>258</v>
      </c>
      <c r="N1056" s="66" t="s">
        <v>379</v>
      </c>
      <c r="O1056" s="66" t="s">
        <v>399</v>
      </c>
      <c r="P1056" s="0" t="s">
        <v>2157</v>
      </c>
      <c r="Q1056" s="66" t="s">
        <v>995</v>
      </c>
    </row>
    <row r="1057" customFormat="false" ht="14.25" hidden="false" customHeight="false" outlineLevel="0" collapsed="false">
      <c r="A1057" s="13" t="s">
        <v>896</v>
      </c>
      <c r="B1057" s="13" t="s">
        <v>650</v>
      </c>
      <c r="C1057" s="13" t="s">
        <v>667</v>
      </c>
      <c r="D1057" s="61" t="n">
        <v>45977.5451388889</v>
      </c>
      <c r="E1057" s="61" t="n">
        <v>45977.5451388889</v>
      </c>
      <c r="F1057" s="61" t="n">
        <v>45977.7513888889</v>
      </c>
      <c r="G1057" s="62" t="n">
        <v>0.206249999995634</v>
      </c>
      <c r="H1057" s="13" t="s">
        <v>248</v>
      </c>
      <c r="J1057" s="13" t="s">
        <v>256</v>
      </c>
      <c r="K1057" s="13" t="s">
        <v>430</v>
      </c>
      <c r="L1057" s="13" t="s">
        <v>1000</v>
      </c>
      <c r="M1057" s="66" t="s">
        <v>258</v>
      </c>
      <c r="N1057" s="66" t="s">
        <v>379</v>
      </c>
      <c r="O1057" s="66" t="s">
        <v>399</v>
      </c>
      <c r="P1057" s="0" t="s">
        <v>2158</v>
      </c>
      <c r="Q1057" s="66" t="s">
        <v>995</v>
      </c>
    </row>
    <row r="1058" customFormat="false" ht="14.25" hidden="false" customHeight="false" outlineLevel="0" collapsed="false">
      <c r="A1058" s="13" t="s">
        <v>896</v>
      </c>
      <c r="B1058" s="13" t="s">
        <v>650</v>
      </c>
      <c r="C1058" s="13" t="s">
        <v>668</v>
      </c>
      <c r="D1058" s="61" t="n">
        <v>45977.5451388889</v>
      </c>
      <c r="E1058" s="61" t="n">
        <v>45977.5451388889</v>
      </c>
      <c r="F1058" s="61" t="n">
        <v>45977.7513888889</v>
      </c>
      <c r="G1058" s="62" t="n">
        <v>0.206249999995634</v>
      </c>
      <c r="H1058" s="13" t="s">
        <v>248</v>
      </c>
      <c r="J1058" s="13" t="s">
        <v>256</v>
      </c>
      <c r="K1058" s="13" t="s">
        <v>430</v>
      </c>
      <c r="L1058" s="13" t="s">
        <v>1000</v>
      </c>
      <c r="M1058" s="66" t="s">
        <v>258</v>
      </c>
      <c r="N1058" s="66" t="s">
        <v>379</v>
      </c>
      <c r="O1058" s="66" t="s">
        <v>399</v>
      </c>
      <c r="P1058" s="0" t="s">
        <v>2159</v>
      </c>
      <c r="Q1058" s="66" t="s">
        <v>995</v>
      </c>
    </row>
    <row r="1059" customFormat="false" ht="14.25" hidden="false" customHeight="false" outlineLevel="0" collapsed="false">
      <c r="A1059" s="13" t="s">
        <v>805</v>
      </c>
      <c r="B1059" s="13" t="s">
        <v>581</v>
      </c>
      <c r="C1059" s="13" t="s">
        <v>598</v>
      </c>
      <c r="D1059" s="61" t="n">
        <v>45977.9375</v>
      </c>
      <c r="E1059" s="61" t="n">
        <v>45977.9375</v>
      </c>
      <c r="F1059" s="61" t="n">
        <v>45978.2604166667</v>
      </c>
      <c r="G1059" s="62" t="n">
        <v>0.322916666664241</v>
      </c>
      <c r="H1059" s="13" t="s">
        <v>248</v>
      </c>
      <c r="J1059" s="13" t="s">
        <v>256</v>
      </c>
      <c r="K1059" s="13" t="s">
        <v>430</v>
      </c>
      <c r="L1059" s="13" t="s">
        <v>1000</v>
      </c>
      <c r="M1059" s="66" t="s">
        <v>258</v>
      </c>
      <c r="N1059" s="66" t="s">
        <v>379</v>
      </c>
      <c r="O1059" s="66" t="s">
        <v>399</v>
      </c>
      <c r="P1059" s="0" t="s">
        <v>2160</v>
      </c>
      <c r="Q1059" s="66" t="s">
        <v>995</v>
      </c>
    </row>
    <row r="1060" customFormat="false" ht="14.25" hidden="false" customHeight="false" outlineLevel="0" collapsed="false">
      <c r="A1060" s="13" t="s">
        <v>807</v>
      </c>
      <c r="B1060" s="13" t="s">
        <v>581</v>
      </c>
      <c r="C1060" s="13" t="s">
        <v>591</v>
      </c>
      <c r="D1060" s="61" t="n">
        <v>45977.9375</v>
      </c>
      <c r="E1060" s="61" t="n">
        <v>45977.9375</v>
      </c>
      <c r="F1060" s="61" t="n">
        <v>45978.2604166667</v>
      </c>
      <c r="G1060" s="62" t="n">
        <v>0.322916666664241</v>
      </c>
      <c r="H1060" s="13" t="s">
        <v>248</v>
      </c>
      <c r="J1060" s="13" t="s">
        <v>256</v>
      </c>
      <c r="K1060" s="13" t="s">
        <v>430</v>
      </c>
      <c r="L1060" s="13" t="s">
        <v>1000</v>
      </c>
      <c r="M1060" s="66" t="s">
        <v>258</v>
      </c>
      <c r="N1060" s="66" t="s">
        <v>379</v>
      </c>
      <c r="O1060" s="66" t="s">
        <v>399</v>
      </c>
      <c r="P1060" s="0" t="s">
        <v>2161</v>
      </c>
      <c r="Q1060" s="66" t="s">
        <v>995</v>
      </c>
    </row>
    <row r="1061" customFormat="false" ht="14.25" hidden="false" customHeight="false" outlineLevel="0" collapsed="false">
      <c r="A1061" s="13" t="s">
        <v>807</v>
      </c>
      <c r="B1061" s="13" t="s">
        <v>581</v>
      </c>
      <c r="C1061" s="13" t="s">
        <v>588</v>
      </c>
      <c r="D1061" s="61" t="n">
        <v>45977.9375</v>
      </c>
      <c r="E1061" s="61" t="n">
        <v>45977.9375</v>
      </c>
      <c r="F1061" s="61" t="n">
        <v>45978.2604166667</v>
      </c>
      <c r="G1061" s="62" t="n">
        <v>0.322916666664241</v>
      </c>
      <c r="H1061" s="13" t="s">
        <v>248</v>
      </c>
      <c r="J1061" s="13" t="s">
        <v>256</v>
      </c>
      <c r="K1061" s="13" t="s">
        <v>430</v>
      </c>
      <c r="L1061" s="13" t="s">
        <v>1000</v>
      </c>
      <c r="M1061" s="66" t="s">
        <v>258</v>
      </c>
      <c r="N1061" s="66" t="s">
        <v>379</v>
      </c>
      <c r="O1061" s="66" t="s">
        <v>399</v>
      </c>
      <c r="P1061" s="0" t="s">
        <v>2162</v>
      </c>
      <c r="Q1061" s="66" t="s">
        <v>995</v>
      </c>
    </row>
    <row r="1062" customFormat="false" ht="14.25" hidden="false" customHeight="false" outlineLevel="0" collapsed="false">
      <c r="A1062" s="13" t="s">
        <v>807</v>
      </c>
      <c r="B1062" s="13" t="s">
        <v>581</v>
      </c>
      <c r="C1062" s="13" t="s">
        <v>585</v>
      </c>
      <c r="D1062" s="61" t="n">
        <v>45977.9375</v>
      </c>
      <c r="E1062" s="61" t="n">
        <v>45977.9375</v>
      </c>
      <c r="F1062" s="61" t="n">
        <v>45978.2604166667</v>
      </c>
      <c r="G1062" s="62" t="n">
        <v>0.322916666664241</v>
      </c>
      <c r="H1062" s="13" t="s">
        <v>248</v>
      </c>
      <c r="J1062" s="13" t="s">
        <v>256</v>
      </c>
      <c r="K1062" s="13" t="s">
        <v>430</v>
      </c>
      <c r="L1062" s="13" t="s">
        <v>1000</v>
      </c>
      <c r="M1062" s="66" t="s">
        <v>258</v>
      </c>
      <c r="N1062" s="66" t="s">
        <v>379</v>
      </c>
      <c r="O1062" s="66" t="s">
        <v>399</v>
      </c>
      <c r="P1062" s="0" t="s">
        <v>2163</v>
      </c>
      <c r="Q1062" s="66" t="s">
        <v>995</v>
      </c>
    </row>
    <row r="1063" customFormat="false" ht="14.25" hidden="false" customHeight="false" outlineLevel="0" collapsed="false">
      <c r="A1063" s="13" t="s">
        <v>807</v>
      </c>
      <c r="B1063" s="13" t="s">
        <v>581</v>
      </c>
      <c r="C1063" s="13" t="s">
        <v>589</v>
      </c>
      <c r="D1063" s="61" t="n">
        <v>45977.9375</v>
      </c>
      <c r="E1063" s="61" t="n">
        <v>45977.9375</v>
      </c>
      <c r="F1063" s="61" t="n">
        <v>45978.2604166667</v>
      </c>
      <c r="G1063" s="62" t="n">
        <v>0.322916666664241</v>
      </c>
      <c r="H1063" s="13" t="s">
        <v>248</v>
      </c>
      <c r="J1063" s="13" t="s">
        <v>256</v>
      </c>
      <c r="K1063" s="13" t="s">
        <v>430</v>
      </c>
      <c r="L1063" s="13" t="s">
        <v>1000</v>
      </c>
      <c r="M1063" s="66" t="s">
        <v>258</v>
      </c>
      <c r="N1063" s="66" t="s">
        <v>379</v>
      </c>
      <c r="O1063" s="66" t="s">
        <v>399</v>
      </c>
      <c r="P1063" s="0" t="s">
        <v>2164</v>
      </c>
      <c r="Q1063" s="66" t="s">
        <v>995</v>
      </c>
    </row>
    <row r="1064" customFormat="false" ht="14.25" hidden="false" customHeight="false" outlineLevel="0" collapsed="false">
      <c r="A1064" s="13" t="s">
        <v>807</v>
      </c>
      <c r="B1064" s="13" t="s">
        <v>581</v>
      </c>
      <c r="C1064" s="13" t="s">
        <v>587</v>
      </c>
      <c r="D1064" s="61" t="n">
        <v>45977.9375</v>
      </c>
      <c r="E1064" s="61" t="n">
        <v>45977.9375</v>
      </c>
      <c r="F1064" s="61" t="n">
        <v>45978.2604166667</v>
      </c>
      <c r="G1064" s="62" t="n">
        <v>0.322916666664241</v>
      </c>
      <c r="H1064" s="13" t="s">
        <v>248</v>
      </c>
      <c r="J1064" s="13" t="s">
        <v>256</v>
      </c>
      <c r="K1064" s="13" t="s">
        <v>430</v>
      </c>
      <c r="L1064" s="13" t="s">
        <v>1000</v>
      </c>
      <c r="M1064" s="66" t="s">
        <v>258</v>
      </c>
      <c r="N1064" s="66" t="s">
        <v>379</v>
      </c>
      <c r="O1064" s="66" t="s">
        <v>399</v>
      </c>
      <c r="P1064" s="0" t="s">
        <v>2165</v>
      </c>
      <c r="Q1064" s="66" t="s">
        <v>995</v>
      </c>
    </row>
    <row r="1065" customFormat="false" ht="14.25" hidden="false" customHeight="false" outlineLevel="0" collapsed="false">
      <c r="A1065" s="13" t="s">
        <v>807</v>
      </c>
      <c r="B1065" s="13" t="s">
        <v>581</v>
      </c>
      <c r="C1065" s="13" t="s">
        <v>1007</v>
      </c>
      <c r="D1065" s="61" t="n">
        <v>45977.9375</v>
      </c>
      <c r="E1065" s="61" t="n">
        <v>45977.9375</v>
      </c>
      <c r="F1065" s="61" t="n">
        <v>45978.2604166667</v>
      </c>
      <c r="G1065" s="62" t="n">
        <v>0.322916666664241</v>
      </c>
      <c r="H1065" s="13" t="s">
        <v>248</v>
      </c>
      <c r="J1065" s="13" t="s">
        <v>256</v>
      </c>
      <c r="K1065" s="13" t="s">
        <v>430</v>
      </c>
      <c r="L1065" s="13" t="s">
        <v>1000</v>
      </c>
      <c r="M1065" s="66" t="s">
        <v>258</v>
      </c>
      <c r="N1065" s="66" t="s">
        <v>379</v>
      </c>
      <c r="O1065" s="66" t="s">
        <v>399</v>
      </c>
      <c r="P1065" s="0" t="s">
        <v>2166</v>
      </c>
      <c r="Q1065" s="66" t="s">
        <v>995</v>
      </c>
    </row>
    <row r="1066" customFormat="false" ht="14.25" hidden="false" customHeight="false" outlineLevel="0" collapsed="false">
      <c r="A1066" s="13" t="s">
        <v>816</v>
      </c>
      <c r="B1066" s="13" t="s">
        <v>581</v>
      </c>
      <c r="C1066" s="13" t="s">
        <v>586</v>
      </c>
      <c r="D1066" s="61" t="n">
        <v>45977.9375</v>
      </c>
      <c r="E1066" s="61" t="n">
        <v>45977.9375</v>
      </c>
      <c r="F1066" s="61" t="n">
        <v>45978.2604166667</v>
      </c>
      <c r="G1066" s="62" t="n">
        <v>0.322916666664241</v>
      </c>
      <c r="H1066" s="13" t="s">
        <v>248</v>
      </c>
      <c r="J1066" s="13" t="s">
        <v>256</v>
      </c>
      <c r="K1066" s="13" t="s">
        <v>430</v>
      </c>
      <c r="L1066" s="13" t="s">
        <v>1000</v>
      </c>
      <c r="M1066" s="66" t="s">
        <v>258</v>
      </c>
      <c r="N1066" s="66" t="s">
        <v>379</v>
      </c>
      <c r="O1066" s="66" t="s">
        <v>399</v>
      </c>
      <c r="P1066" s="0" t="s">
        <v>2167</v>
      </c>
      <c r="Q1066" s="66" t="s">
        <v>995</v>
      </c>
    </row>
    <row r="1067" customFormat="false" ht="14.25" hidden="false" customHeight="false" outlineLevel="0" collapsed="false">
      <c r="A1067" s="13" t="s">
        <v>816</v>
      </c>
      <c r="B1067" s="13" t="s">
        <v>581</v>
      </c>
      <c r="C1067" s="13" t="s">
        <v>737</v>
      </c>
      <c r="D1067" s="61" t="n">
        <v>45977.9375</v>
      </c>
      <c r="E1067" s="61" t="n">
        <v>45977.9375</v>
      </c>
      <c r="F1067" s="61" t="n">
        <v>45978.2604166667</v>
      </c>
      <c r="G1067" s="62" t="n">
        <v>0.322916666664241</v>
      </c>
      <c r="H1067" s="13" t="s">
        <v>248</v>
      </c>
      <c r="J1067" s="13" t="s">
        <v>256</v>
      </c>
      <c r="K1067" s="13" t="s">
        <v>430</v>
      </c>
      <c r="L1067" s="13" t="s">
        <v>1000</v>
      </c>
      <c r="M1067" s="66" t="s">
        <v>258</v>
      </c>
      <c r="N1067" s="66" t="s">
        <v>379</v>
      </c>
      <c r="O1067" s="66" t="s">
        <v>399</v>
      </c>
      <c r="P1067" s="0" t="s">
        <v>2168</v>
      </c>
      <c r="Q1067" s="66" t="s">
        <v>995</v>
      </c>
    </row>
    <row r="1068" customFormat="false" ht="14.25" hidden="false" customHeight="false" outlineLevel="0" collapsed="false">
      <c r="A1068" s="13" t="s">
        <v>816</v>
      </c>
      <c r="B1068" s="13" t="s">
        <v>581</v>
      </c>
      <c r="C1068" s="13" t="s">
        <v>582</v>
      </c>
      <c r="D1068" s="61" t="n">
        <v>45977.9375</v>
      </c>
      <c r="E1068" s="61" t="n">
        <v>45977.9375</v>
      </c>
      <c r="F1068" s="61" t="n">
        <v>45978.2604166667</v>
      </c>
      <c r="G1068" s="62" t="n">
        <v>0.322916666664241</v>
      </c>
      <c r="H1068" s="13" t="s">
        <v>248</v>
      </c>
      <c r="J1068" s="13" t="s">
        <v>256</v>
      </c>
      <c r="K1068" s="13" t="s">
        <v>430</v>
      </c>
      <c r="L1068" s="13" t="s">
        <v>1000</v>
      </c>
      <c r="M1068" s="66" t="s">
        <v>258</v>
      </c>
      <c r="N1068" s="66" t="s">
        <v>379</v>
      </c>
      <c r="O1068" s="66" t="s">
        <v>399</v>
      </c>
      <c r="P1068" s="0" t="s">
        <v>2169</v>
      </c>
      <c r="Q1068" s="66" t="s">
        <v>995</v>
      </c>
    </row>
    <row r="1069" customFormat="false" ht="14.25" hidden="false" customHeight="false" outlineLevel="0" collapsed="false">
      <c r="A1069" s="13" t="s">
        <v>816</v>
      </c>
      <c r="B1069" s="13" t="s">
        <v>581</v>
      </c>
      <c r="C1069" s="13" t="s">
        <v>594</v>
      </c>
      <c r="D1069" s="61" t="n">
        <v>45977.9375</v>
      </c>
      <c r="E1069" s="61" t="n">
        <v>45977.9375</v>
      </c>
      <c r="F1069" s="61" t="n">
        <v>45978.2604166667</v>
      </c>
      <c r="G1069" s="62" t="n">
        <v>0.322916666664241</v>
      </c>
      <c r="H1069" s="13" t="s">
        <v>248</v>
      </c>
      <c r="J1069" s="13" t="s">
        <v>256</v>
      </c>
      <c r="K1069" s="13" t="s">
        <v>430</v>
      </c>
      <c r="L1069" s="13" t="s">
        <v>1000</v>
      </c>
      <c r="M1069" s="66" t="s">
        <v>258</v>
      </c>
      <c r="N1069" s="66" t="s">
        <v>379</v>
      </c>
      <c r="O1069" s="66" t="s">
        <v>399</v>
      </c>
      <c r="P1069" s="0" t="s">
        <v>2170</v>
      </c>
      <c r="Q1069" s="66" t="s">
        <v>995</v>
      </c>
    </row>
    <row r="1070" customFormat="false" ht="14.25" hidden="false" customHeight="false" outlineLevel="0" collapsed="false">
      <c r="A1070" s="13" t="s">
        <v>816</v>
      </c>
      <c r="B1070" s="13" t="s">
        <v>581</v>
      </c>
      <c r="C1070" s="13" t="s">
        <v>596</v>
      </c>
      <c r="D1070" s="61" t="n">
        <v>45977.9375</v>
      </c>
      <c r="E1070" s="61" t="n">
        <v>45977.9375</v>
      </c>
      <c r="F1070" s="61" t="n">
        <v>45978.2604166667</v>
      </c>
      <c r="G1070" s="62" t="n">
        <v>0.322916666664241</v>
      </c>
      <c r="H1070" s="13" t="s">
        <v>248</v>
      </c>
      <c r="J1070" s="13" t="s">
        <v>256</v>
      </c>
      <c r="K1070" s="13" t="s">
        <v>430</v>
      </c>
      <c r="L1070" s="13" t="s">
        <v>1000</v>
      </c>
      <c r="M1070" s="66" t="s">
        <v>258</v>
      </c>
      <c r="N1070" s="66" t="s">
        <v>379</v>
      </c>
      <c r="O1070" s="66" t="s">
        <v>399</v>
      </c>
      <c r="P1070" s="0" t="s">
        <v>2171</v>
      </c>
      <c r="Q1070" s="66" t="s">
        <v>995</v>
      </c>
    </row>
    <row r="1071" customFormat="false" ht="14.25" hidden="false" customHeight="false" outlineLevel="0" collapsed="false">
      <c r="A1071" s="13" t="s">
        <v>816</v>
      </c>
      <c r="B1071" s="13" t="s">
        <v>581</v>
      </c>
      <c r="C1071" s="13" t="s">
        <v>592</v>
      </c>
      <c r="D1071" s="61" t="n">
        <v>45977.9375</v>
      </c>
      <c r="E1071" s="61" t="n">
        <v>45977.9375</v>
      </c>
      <c r="F1071" s="61" t="n">
        <v>45978.2604166667</v>
      </c>
      <c r="G1071" s="62" t="n">
        <v>0.322916666664241</v>
      </c>
      <c r="H1071" s="13" t="s">
        <v>248</v>
      </c>
      <c r="J1071" s="13" t="s">
        <v>256</v>
      </c>
      <c r="K1071" s="13" t="s">
        <v>430</v>
      </c>
      <c r="L1071" s="13" t="s">
        <v>1000</v>
      </c>
      <c r="M1071" s="66" t="s">
        <v>258</v>
      </c>
      <c r="N1071" s="66" t="s">
        <v>379</v>
      </c>
      <c r="O1071" s="66" t="s">
        <v>399</v>
      </c>
      <c r="P1071" s="0" t="s">
        <v>2172</v>
      </c>
      <c r="Q1071" s="66" t="s">
        <v>995</v>
      </c>
    </row>
    <row r="1072" customFormat="false" ht="14.25" hidden="false" customHeight="false" outlineLevel="0" collapsed="false">
      <c r="A1072" s="13" t="s">
        <v>816</v>
      </c>
      <c r="B1072" s="13" t="s">
        <v>581</v>
      </c>
      <c r="C1072" s="13" t="s">
        <v>595</v>
      </c>
      <c r="D1072" s="61" t="n">
        <v>45977.9375</v>
      </c>
      <c r="E1072" s="61" t="n">
        <v>45977.9375</v>
      </c>
      <c r="F1072" s="61" t="n">
        <v>45978.2604166667</v>
      </c>
      <c r="G1072" s="62" t="n">
        <v>0.322916666664241</v>
      </c>
      <c r="H1072" s="13" t="s">
        <v>248</v>
      </c>
      <c r="J1072" s="13" t="s">
        <v>256</v>
      </c>
      <c r="K1072" s="13" t="s">
        <v>430</v>
      </c>
      <c r="L1072" s="13" t="s">
        <v>1000</v>
      </c>
      <c r="M1072" s="66" t="s">
        <v>258</v>
      </c>
      <c r="N1072" s="66" t="s">
        <v>379</v>
      </c>
      <c r="O1072" s="66" t="s">
        <v>399</v>
      </c>
      <c r="P1072" s="0" t="s">
        <v>2173</v>
      </c>
      <c r="Q1072" s="66" t="s">
        <v>995</v>
      </c>
    </row>
    <row r="1073" customFormat="false" ht="14.25" hidden="false" customHeight="false" outlineLevel="0" collapsed="false">
      <c r="A1073" s="13" t="s">
        <v>816</v>
      </c>
      <c r="B1073" s="13" t="s">
        <v>581</v>
      </c>
      <c r="C1073" s="13" t="s">
        <v>599</v>
      </c>
      <c r="D1073" s="61" t="n">
        <v>45977.9375</v>
      </c>
      <c r="E1073" s="61" t="n">
        <v>45977.9375</v>
      </c>
      <c r="F1073" s="61" t="n">
        <v>45978.2604166667</v>
      </c>
      <c r="G1073" s="62" t="n">
        <v>0.322916666664241</v>
      </c>
      <c r="H1073" s="13" t="s">
        <v>248</v>
      </c>
      <c r="J1073" s="13" t="s">
        <v>256</v>
      </c>
      <c r="K1073" s="13" t="s">
        <v>430</v>
      </c>
      <c r="L1073" s="13" t="s">
        <v>1000</v>
      </c>
      <c r="M1073" s="66" t="s">
        <v>258</v>
      </c>
      <c r="N1073" s="66" t="s">
        <v>379</v>
      </c>
      <c r="O1073" s="66" t="s">
        <v>399</v>
      </c>
      <c r="P1073" s="0" t="s">
        <v>2174</v>
      </c>
      <c r="Q1073" s="66" t="s">
        <v>995</v>
      </c>
    </row>
    <row r="1074" customFormat="false" ht="14.25" hidden="false" customHeight="false" outlineLevel="0" collapsed="false">
      <c r="A1074" s="13" t="s">
        <v>816</v>
      </c>
      <c r="B1074" s="13" t="s">
        <v>581</v>
      </c>
      <c r="C1074" s="13" t="s">
        <v>584</v>
      </c>
      <c r="D1074" s="61" t="n">
        <v>45977.9375</v>
      </c>
      <c r="E1074" s="61" t="n">
        <v>45977.9375</v>
      </c>
      <c r="F1074" s="61" t="n">
        <v>45978.2604166667</v>
      </c>
      <c r="G1074" s="62" t="n">
        <v>0.322916666664241</v>
      </c>
      <c r="H1074" s="13" t="s">
        <v>248</v>
      </c>
      <c r="J1074" s="13" t="s">
        <v>256</v>
      </c>
      <c r="K1074" s="13" t="s">
        <v>430</v>
      </c>
      <c r="L1074" s="13" t="s">
        <v>1000</v>
      </c>
      <c r="M1074" s="66" t="s">
        <v>258</v>
      </c>
      <c r="N1074" s="66" t="s">
        <v>379</v>
      </c>
      <c r="O1074" s="66" t="s">
        <v>399</v>
      </c>
      <c r="P1074" s="0" t="s">
        <v>2175</v>
      </c>
      <c r="Q1074" s="66" t="s">
        <v>995</v>
      </c>
    </row>
    <row r="1075" customFormat="false" ht="14.25" hidden="false" customHeight="false" outlineLevel="0" collapsed="false">
      <c r="A1075" s="13" t="s">
        <v>816</v>
      </c>
      <c r="B1075" s="13" t="s">
        <v>581</v>
      </c>
      <c r="C1075" s="13" t="s">
        <v>590</v>
      </c>
      <c r="D1075" s="61" t="n">
        <v>45977.9375</v>
      </c>
      <c r="E1075" s="61" t="n">
        <v>45977.9375</v>
      </c>
      <c r="F1075" s="61" t="n">
        <v>45978.2604166667</v>
      </c>
      <c r="G1075" s="62" t="n">
        <f aca="false">F1075-E1075</f>
        <v>0.322916666666667</v>
      </c>
      <c r="H1075" s="13" t="s">
        <v>248</v>
      </c>
      <c r="J1075" s="13" t="s">
        <v>256</v>
      </c>
      <c r="K1075" s="13" t="s">
        <v>430</v>
      </c>
      <c r="L1075" s="13" t="s">
        <v>1000</v>
      </c>
      <c r="M1075" s="66" t="s">
        <v>258</v>
      </c>
      <c r="N1075" s="66" t="s">
        <v>379</v>
      </c>
      <c r="O1075" s="66" t="s">
        <v>399</v>
      </c>
      <c r="P1075" s="0" t="s">
        <v>2176</v>
      </c>
      <c r="Q1075" s="66" t="s">
        <v>995</v>
      </c>
    </row>
    <row r="1076" customFormat="false" ht="14.25" hidden="false" customHeight="false" outlineLevel="0" collapsed="false">
      <c r="A1076" s="13" t="s">
        <v>814</v>
      </c>
      <c r="B1076" s="13" t="s">
        <v>542</v>
      </c>
      <c r="C1076" s="13" t="s">
        <v>543</v>
      </c>
      <c r="D1076" s="61" t="n">
        <v>45977.9375</v>
      </c>
      <c r="E1076" s="61" t="n">
        <v>45977.9375</v>
      </c>
      <c r="F1076" s="61" t="n">
        <v>45978.3194444444</v>
      </c>
      <c r="G1076" s="62" t="n">
        <v>0.381944444445253</v>
      </c>
      <c r="H1076" s="13" t="s">
        <v>248</v>
      </c>
      <c r="J1076" s="13" t="s">
        <v>256</v>
      </c>
      <c r="K1076" s="13" t="s">
        <v>430</v>
      </c>
      <c r="L1076" s="13" t="s">
        <v>1000</v>
      </c>
      <c r="M1076" s="66" t="s">
        <v>258</v>
      </c>
      <c r="N1076" s="66" t="s">
        <v>379</v>
      </c>
      <c r="O1076" s="66" t="s">
        <v>399</v>
      </c>
      <c r="P1076" s="0" t="s">
        <v>2177</v>
      </c>
      <c r="Q1076" s="66" t="s">
        <v>995</v>
      </c>
    </row>
    <row r="1077" customFormat="false" ht="14.25" hidden="false" customHeight="false" outlineLevel="0" collapsed="false">
      <c r="A1077" s="13" t="s">
        <v>814</v>
      </c>
      <c r="B1077" s="13" t="s">
        <v>542</v>
      </c>
      <c r="C1077" s="13" t="s">
        <v>545</v>
      </c>
      <c r="D1077" s="61" t="n">
        <v>45977.9375</v>
      </c>
      <c r="E1077" s="61" t="n">
        <v>45977.9375</v>
      </c>
      <c r="F1077" s="61" t="n">
        <v>45978.3194444444</v>
      </c>
      <c r="G1077" s="62" t="n">
        <v>0.381944444445253</v>
      </c>
      <c r="H1077" s="13" t="s">
        <v>248</v>
      </c>
      <c r="J1077" s="13" t="s">
        <v>256</v>
      </c>
      <c r="K1077" s="13" t="s">
        <v>430</v>
      </c>
      <c r="L1077" s="13" t="s">
        <v>1000</v>
      </c>
      <c r="M1077" s="66" t="s">
        <v>258</v>
      </c>
      <c r="N1077" s="66" t="s">
        <v>379</v>
      </c>
      <c r="O1077" s="66" t="s">
        <v>399</v>
      </c>
      <c r="P1077" s="0" t="s">
        <v>2178</v>
      </c>
      <c r="Q1077" s="66" t="s">
        <v>995</v>
      </c>
    </row>
    <row r="1078" customFormat="false" ht="14.25" hidden="false" customHeight="false" outlineLevel="0" collapsed="false">
      <c r="A1078" s="13" t="s">
        <v>814</v>
      </c>
      <c r="B1078" s="13" t="s">
        <v>542</v>
      </c>
      <c r="C1078" s="13" t="s">
        <v>546</v>
      </c>
      <c r="D1078" s="61" t="n">
        <v>45977.9375</v>
      </c>
      <c r="E1078" s="61" t="n">
        <v>45977.9375</v>
      </c>
      <c r="F1078" s="61" t="n">
        <v>45978.3194444444</v>
      </c>
      <c r="G1078" s="62" t="n">
        <v>0.381944444445253</v>
      </c>
      <c r="H1078" s="13" t="s">
        <v>248</v>
      </c>
      <c r="J1078" s="13" t="s">
        <v>256</v>
      </c>
      <c r="K1078" s="13" t="s">
        <v>430</v>
      </c>
      <c r="L1078" s="13" t="s">
        <v>1000</v>
      </c>
      <c r="M1078" s="66" t="s">
        <v>258</v>
      </c>
      <c r="N1078" s="66" t="s">
        <v>379</v>
      </c>
      <c r="O1078" s="66" t="s">
        <v>399</v>
      </c>
      <c r="P1078" s="0" t="s">
        <v>2179</v>
      </c>
      <c r="Q1078" s="66" t="s">
        <v>995</v>
      </c>
    </row>
    <row r="1079" customFormat="false" ht="14.25" hidden="false" customHeight="false" outlineLevel="0" collapsed="false">
      <c r="A1079" s="13" t="s">
        <v>814</v>
      </c>
      <c r="B1079" s="13" t="s">
        <v>542</v>
      </c>
      <c r="C1079" s="13" t="s">
        <v>547</v>
      </c>
      <c r="D1079" s="61" t="n">
        <v>45977.9375</v>
      </c>
      <c r="E1079" s="61" t="n">
        <v>45977.9375</v>
      </c>
      <c r="F1079" s="61" t="n">
        <v>45978.3194444444</v>
      </c>
      <c r="G1079" s="62" t="n">
        <v>0.381944444445253</v>
      </c>
      <c r="H1079" s="13" t="s">
        <v>248</v>
      </c>
      <c r="J1079" s="13" t="s">
        <v>256</v>
      </c>
      <c r="K1079" s="13" t="s">
        <v>430</v>
      </c>
      <c r="L1079" s="13" t="s">
        <v>1000</v>
      </c>
      <c r="M1079" s="66" t="s">
        <v>258</v>
      </c>
      <c r="N1079" s="66" t="s">
        <v>379</v>
      </c>
      <c r="O1079" s="66" t="s">
        <v>399</v>
      </c>
      <c r="P1079" s="0" t="s">
        <v>2180</v>
      </c>
      <c r="Q1079" s="66" t="s">
        <v>995</v>
      </c>
    </row>
    <row r="1080" customFormat="false" ht="14.25" hidden="false" customHeight="false" outlineLevel="0" collapsed="false">
      <c r="A1080" s="13" t="s">
        <v>814</v>
      </c>
      <c r="B1080" s="13" t="s">
        <v>542</v>
      </c>
      <c r="C1080" s="13" t="s">
        <v>548</v>
      </c>
      <c r="D1080" s="61" t="n">
        <v>45977.9375</v>
      </c>
      <c r="E1080" s="61" t="n">
        <v>45977.9375</v>
      </c>
      <c r="F1080" s="61" t="n">
        <v>45978.3194444444</v>
      </c>
      <c r="G1080" s="62" t="n">
        <v>0.381944444445253</v>
      </c>
      <c r="H1080" s="13" t="s">
        <v>248</v>
      </c>
      <c r="J1080" s="13" t="s">
        <v>256</v>
      </c>
      <c r="K1080" s="13" t="s">
        <v>430</v>
      </c>
      <c r="L1080" s="13" t="s">
        <v>1000</v>
      </c>
      <c r="M1080" s="66" t="s">
        <v>258</v>
      </c>
      <c r="N1080" s="66" t="s">
        <v>379</v>
      </c>
      <c r="O1080" s="66" t="s">
        <v>399</v>
      </c>
      <c r="P1080" s="0" t="s">
        <v>2181</v>
      </c>
      <c r="Q1080" s="66" t="s">
        <v>995</v>
      </c>
    </row>
    <row r="1081" customFormat="false" ht="14.25" hidden="false" customHeight="false" outlineLevel="0" collapsed="false">
      <c r="A1081" s="13" t="s">
        <v>814</v>
      </c>
      <c r="B1081" s="13" t="s">
        <v>542</v>
      </c>
      <c r="C1081" s="13" t="s">
        <v>549</v>
      </c>
      <c r="D1081" s="61" t="n">
        <v>45977.9375</v>
      </c>
      <c r="E1081" s="61" t="n">
        <v>45977.9375</v>
      </c>
      <c r="F1081" s="61" t="n">
        <v>45978.3194444444</v>
      </c>
      <c r="G1081" s="62" t="n">
        <v>0.381944444445253</v>
      </c>
      <c r="H1081" s="13" t="s">
        <v>248</v>
      </c>
      <c r="J1081" s="13" t="s">
        <v>256</v>
      </c>
      <c r="K1081" s="13" t="s">
        <v>430</v>
      </c>
      <c r="L1081" s="13" t="s">
        <v>1000</v>
      </c>
      <c r="M1081" s="66" t="s">
        <v>258</v>
      </c>
      <c r="N1081" s="66" t="s">
        <v>379</v>
      </c>
      <c r="O1081" s="66" t="s">
        <v>399</v>
      </c>
      <c r="P1081" s="0" t="s">
        <v>2182</v>
      </c>
      <c r="Q1081" s="66" t="s">
        <v>995</v>
      </c>
    </row>
    <row r="1082" customFormat="false" ht="14.25" hidden="false" customHeight="false" outlineLevel="0" collapsed="false">
      <c r="A1082" s="13" t="s">
        <v>814</v>
      </c>
      <c r="B1082" s="13" t="s">
        <v>542</v>
      </c>
      <c r="C1082" s="13" t="s">
        <v>550</v>
      </c>
      <c r="D1082" s="61" t="n">
        <v>45977.9375</v>
      </c>
      <c r="E1082" s="61" t="n">
        <v>45977.9375</v>
      </c>
      <c r="F1082" s="61" t="n">
        <v>45978.3194444444</v>
      </c>
      <c r="G1082" s="62" t="n">
        <v>0.381944444445253</v>
      </c>
      <c r="H1082" s="13" t="s">
        <v>248</v>
      </c>
      <c r="J1082" s="13" t="s">
        <v>256</v>
      </c>
      <c r="K1082" s="13" t="s">
        <v>430</v>
      </c>
      <c r="L1082" s="13" t="s">
        <v>1000</v>
      </c>
      <c r="M1082" s="66" t="s">
        <v>258</v>
      </c>
      <c r="N1082" s="66" t="s">
        <v>379</v>
      </c>
      <c r="O1082" s="66" t="s">
        <v>399</v>
      </c>
      <c r="P1082" s="0" t="s">
        <v>2183</v>
      </c>
      <c r="Q1082" s="66" t="s">
        <v>995</v>
      </c>
    </row>
    <row r="1083" customFormat="false" ht="14.25" hidden="false" customHeight="false" outlineLevel="0" collapsed="false">
      <c r="A1083" s="13" t="s">
        <v>814</v>
      </c>
      <c r="B1083" s="13" t="s">
        <v>542</v>
      </c>
      <c r="C1083" s="13" t="s">
        <v>551</v>
      </c>
      <c r="D1083" s="61" t="n">
        <v>45977.9375</v>
      </c>
      <c r="E1083" s="61" t="n">
        <v>45977.9375</v>
      </c>
      <c r="F1083" s="61" t="n">
        <v>45978.3194444444</v>
      </c>
      <c r="G1083" s="62" t="n">
        <v>0.381944444445253</v>
      </c>
      <c r="H1083" s="13" t="s">
        <v>248</v>
      </c>
      <c r="J1083" s="13" t="s">
        <v>256</v>
      </c>
      <c r="K1083" s="13" t="s">
        <v>430</v>
      </c>
      <c r="L1083" s="13" t="s">
        <v>1000</v>
      </c>
      <c r="M1083" s="66" t="s">
        <v>258</v>
      </c>
      <c r="N1083" s="66" t="s">
        <v>379</v>
      </c>
      <c r="O1083" s="66" t="s">
        <v>399</v>
      </c>
      <c r="P1083" s="0" t="s">
        <v>2184</v>
      </c>
      <c r="Q1083" s="66" t="s">
        <v>995</v>
      </c>
    </row>
    <row r="1084" customFormat="false" ht="14.25" hidden="false" customHeight="false" outlineLevel="0" collapsed="false">
      <c r="A1084" s="13" t="s">
        <v>815</v>
      </c>
      <c r="B1084" s="13" t="s">
        <v>542</v>
      </c>
      <c r="C1084" s="13" t="s">
        <v>552</v>
      </c>
      <c r="D1084" s="61" t="n">
        <v>45977.9375</v>
      </c>
      <c r="E1084" s="61" t="n">
        <v>45977.9375</v>
      </c>
      <c r="F1084" s="61" t="n">
        <v>45978.3194444444</v>
      </c>
      <c r="G1084" s="62" t="n">
        <v>0.381944444445253</v>
      </c>
      <c r="H1084" s="13" t="s">
        <v>248</v>
      </c>
      <c r="J1084" s="13" t="s">
        <v>256</v>
      </c>
      <c r="K1084" s="13" t="s">
        <v>430</v>
      </c>
      <c r="L1084" s="13" t="s">
        <v>1000</v>
      </c>
      <c r="M1084" s="66" t="s">
        <v>258</v>
      </c>
      <c r="N1084" s="66" t="s">
        <v>379</v>
      </c>
      <c r="O1084" s="66" t="s">
        <v>399</v>
      </c>
      <c r="P1084" s="0" t="s">
        <v>2185</v>
      </c>
      <c r="Q1084" s="66" t="s">
        <v>995</v>
      </c>
    </row>
    <row r="1085" customFormat="false" ht="14.25" hidden="false" customHeight="false" outlineLevel="0" collapsed="false">
      <c r="A1085" s="13" t="s">
        <v>815</v>
      </c>
      <c r="B1085" s="13" t="s">
        <v>542</v>
      </c>
      <c r="C1085" s="13" t="s">
        <v>553</v>
      </c>
      <c r="D1085" s="61" t="n">
        <v>45977.9375</v>
      </c>
      <c r="E1085" s="61" t="n">
        <v>45977.9375</v>
      </c>
      <c r="F1085" s="61" t="n">
        <v>45978.3194444444</v>
      </c>
      <c r="G1085" s="62" t="n">
        <v>0.381944444445253</v>
      </c>
      <c r="H1085" s="13" t="s">
        <v>248</v>
      </c>
      <c r="J1085" s="13" t="s">
        <v>256</v>
      </c>
      <c r="K1085" s="13" t="s">
        <v>430</v>
      </c>
      <c r="L1085" s="13" t="s">
        <v>1000</v>
      </c>
      <c r="M1085" s="66" t="s">
        <v>258</v>
      </c>
      <c r="N1085" s="66" t="s">
        <v>379</v>
      </c>
      <c r="O1085" s="66" t="s">
        <v>399</v>
      </c>
      <c r="P1085" s="0" t="s">
        <v>2186</v>
      </c>
      <c r="Q1085" s="66" t="s">
        <v>995</v>
      </c>
    </row>
    <row r="1086" customFormat="false" ht="14.25" hidden="false" customHeight="false" outlineLevel="0" collapsed="false">
      <c r="A1086" s="13" t="s">
        <v>815</v>
      </c>
      <c r="B1086" s="13" t="s">
        <v>542</v>
      </c>
      <c r="C1086" s="13" t="s">
        <v>554</v>
      </c>
      <c r="D1086" s="61" t="n">
        <v>45977.9375</v>
      </c>
      <c r="E1086" s="61" t="n">
        <v>45977.9375</v>
      </c>
      <c r="F1086" s="61" t="n">
        <v>45978.3194444444</v>
      </c>
      <c r="G1086" s="62" t="n">
        <v>0.381944444445253</v>
      </c>
      <c r="H1086" s="13" t="s">
        <v>248</v>
      </c>
      <c r="J1086" s="13" t="s">
        <v>256</v>
      </c>
      <c r="K1086" s="13" t="s">
        <v>430</v>
      </c>
      <c r="L1086" s="13" t="s">
        <v>1000</v>
      </c>
      <c r="M1086" s="66" t="s">
        <v>258</v>
      </c>
      <c r="N1086" s="66" t="s">
        <v>379</v>
      </c>
      <c r="O1086" s="66" t="s">
        <v>399</v>
      </c>
      <c r="P1086" s="0" t="s">
        <v>2187</v>
      </c>
      <c r="Q1086" s="66" t="s">
        <v>995</v>
      </c>
    </row>
    <row r="1087" customFormat="false" ht="14.25" hidden="false" customHeight="false" outlineLevel="0" collapsed="false">
      <c r="A1087" s="13" t="s">
        <v>815</v>
      </c>
      <c r="B1087" s="13" t="s">
        <v>542</v>
      </c>
      <c r="C1087" s="13" t="s">
        <v>555</v>
      </c>
      <c r="D1087" s="61" t="n">
        <v>45977.9375</v>
      </c>
      <c r="E1087" s="61" t="n">
        <v>45977.9375</v>
      </c>
      <c r="F1087" s="61" t="n">
        <v>45978.3194444444</v>
      </c>
      <c r="G1087" s="62" t="n">
        <v>0.381944444445253</v>
      </c>
      <c r="H1087" s="13" t="s">
        <v>248</v>
      </c>
      <c r="J1087" s="13" t="s">
        <v>256</v>
      </c>
      <c r="K1087" s="13" t="s">
        <v>430</v>
      </c>
      <c r="L1087" s="13" t="s">
        <v>1000</v>
      </c>
      <c r="M1087" s="66" t="s">
        <v>258</v>
      </c>
      <c r="N1087" s="66" t="s">
        <v>379</v>
      </c>
      <c r="O1087" s="66" t="s">
        <v>399</v>
      </c>
      <c r="P1087" s="0" t="s">
        <v>2188</v>
      </c>
      <c r="Q1087" s="66" t="s">
        <v>995</v>
      </c>
    </row>
    <row r="1088" customFormat="false" ht="14.25" hidden="false" customHeight="false" outlineLevel="0" collapsed="false">
      <c r="A1088" s="13" t="s">
        <v>815</v>
      </c>
      <c r="B1088" s="13" t="s">
        <v>542</v>
      </c>
      <c r="C1088" s="13" t="s">
        <v>556</v>
      </c>
      <c r="D1088" s="61" t="n">
        <v>45977.9375</v>
      </c>
      <c r="E1088" s="61" t="n">
        <v>45977.9375</v>
      </c>
      <c r="F1088" s="61" t="n">
        <v>45978.3194444444</v>
      </c>
      <c r="G1088" s="62" t="n">
        <v>0.381944444445253</v>
      </c>
      <c r="H1088" s="13" t="s">
        <v>248</v>
      </c>
      <c r="J1088" s="13" t="s">
        <v>256</v>
      </c>
      <c r="K1088" s="13" t="s">
        <v>430</v>
      </c>
      <c r="L1088" s="13" t="s">
        <v>1000</v>
      </c>
      <c r="M1088" s="66" t="s">
        <v>258</v>
      </c>
      <c r="N1088" s="66" t="s">
        <v>379</v>
      </c>
      <c r="O1088" s="66" t="s">
        <v>399</v>
      </c>
      <c r="P1088" s="0" t="s">
        <v>2189</v>
      </c>
      <c r="Q1088" s="66" t="s">
        <v>995</v>
      </c>
    </row>
    <row r="1089" customFormat="false" ht="14.25" hidden="false" customHeight="false" outlineLevel="0" collapsed="false">
      <c r="A1089" s="13" t="s">
        <v>815</v>
      </c>
      <c r="B1089" s="13" t="s">
        <v>542</v>
      </c>
      <c r="C1089" s="13" t="s">
        <v>557</v>
      </c>
      <c r="D1089" s="61" t="n">
        <v>45977.9375</v>
      </c>
      <c r="E1089" s="61" t="n">
        <v>45977.9375</v>
      </c>
      <c r="F1089" s="61" t="n">
        <v>45978.3194444444</v>
      </c>
      <c r="G1089" s="62" t="n">
        <v>0.381944444445253</v>
      </c>
      <c r="H1089" s="13" t="s">
        <v>248</v>
      </c>
      <c r="J1089" s="13" t="s">
        <v>256</v>
      </c>
      <c r="K1089" s="13" t="s">
        <v>430</v>
      </c>
      <c r="L1089" s="13" t="s">
        <v>1000</v>
      </c>
      <c r="M1089" s="66" t="s">
        <v>258</v>
      </c>
      <c r="N1089" s="66" t="s">
        <v>379</v>
      </c>
      <c r="O1089" s="66" t="s">
        <v>399</v>
      </c>
      <c r="P1089" s="0" t="s">
        <v>2190</v>
      </c>
      <c r="Q1089" s="66" t="s">
        <v>995</v>
      </c>
    </row>
    <row r="1090" customFormat="false" ht="14.25" hidden="false" customHeight="false" outlineLevel="0" collapsed="false">
      <c r="A1090" s="13" t="s">
        <v>815</v>
      </c>
      <c r="B1090" s="13" t="s">
        <v>542</v>
      </c>
      <c r="C1090" s="13" t="s">
        <v>558</v>
      </c>
      <c r="D1090" s="61" t="n">
        <v>45977.9375</v>
      </c>
      <c r="E1090" s="61" t="n">
        <v>45977.9375</v>
      </c>
      <c r="F1090" s="61" t="n">
        <v>45978.3194444444</v>
      </c>
      <c r="G1090" s="62" t="n">
        <v>0.381944444445253</v>
      </c>
      <c r="H1090" s="13" t="s">
        <v>248</v>
      </c>
      <c r="J1090" s="13" t="s">
        <v>256</v>
      </c>
      <c r="K1090" s="13" t="s">
        <v>430</v>
      </c>
      <c r="L1090" s="13" t="s">
        <v>1000</v>
      </c>
      <c r="M1090" s="66" t="s">
        <v>258</v>
      </c>
      <c r="N1090" s="66" t="s">
        <v>379</v>
      </c>
      <c r="O1090" s="66" t="s">
        <v>399</v>
      </c>
      <c r="P1090" s="0" t="s">
        <v>2191</v>
      </c>
      <c r="Q1090" s="66" t="s">
        <v>995</v>
      </c>
    </row>
    <row r="1091" customFormat="false" ht="14.25" hidden="false" customHeight="false" outlineLevel="0" collapsed="false">
      <c r="A1091" s="13" t="s">
        <v>828</v>
      </c>
      <c r="B1091" s="13" t="s">
        <v>542</v>
      </c>
      <c r="C1091" s="13" t="s">
        <v>559</v>
      </c>
      <c r="D1091" s="61" t="n">
        <v>45977.9375</v>
      </c>
      <c r="E1091" s="61" t="n">
        <v>45977.9375</v>
      </c>
      <c r="F1091" s="61" t="n">
        <v>45978.3194444444</v>
      </c>
      <c r="G1091" s="62" t="n">
        <v>0.381944444445253</v>
      </c>
      <c r="H1091" s="13" t="s">
        <v>248</v>
      </c>
      <c r="J1091" s="13" t="s">
        <v>256</v>
      </c>
      <c r="K1091" s="13" t="s">
        <v>430</v>
      </c>
      <c r="L1091" s="13" t="s">
        <v>1000</v>
      </c>
      <c r="M1091" s="66" t="s">
        <v>258</v>
      </c>
      <c r="N1091" s="66" t="s">
        <v>379</v>
      </c>
      <c r="O1091" s="66" t="s">
        <v>399</v>
      </c>
      <c r="P1091" s="0" t="s">
        <v>2192</v>
      </c>
      <c r="Q1091" s="66" t="s">
        <v>995</v>
      </c>
    </row>
    <row r="1092" customFormat="false" ht="14.25" hidden="false" customHeight="false" outlineLevel="0" collapsed="false">
      <c r="A1092" s="13" t="s">
        <v>828</v>
      </c>
      <c r="B1092" s="13" t="s">
        <v>542</v>
      </c>
      <c r="C1092" s="13" t="s">
        <v>560</v>
      </c>
      <c r="D1092" s="61" t="n">
        <v>45977.9375</v>
      </c>
      <c r="E1092" s="61" t="n">
        <v>45977.9375</v>
      </c>
      <c r="F1092" s="61" t="n">
        <v>45978.3194444444</v>
      </c>
      <c r="G1092" s="62" t="n">
        <v>0.381944444445253</v>
      </c>
      <c r="H1092" s="13" t="s">
        <v>248</v>
      </c>
      <c r="J1092" s="13" t="s">
        <v>256</v>
      </c>
      <c r="K1092" s="13" t="s">
        <v>430</v>
      </c>
      <c r="L1092" s="13" t="s">
        <v>1000</v>
      </c>
      <c r="M1092" s="66" t="s">
        <v>258</v>
      </c>
      <c r="N1092" s="66" t="s">
        <v>379</v>
      </c>
      <c r="O1092" s="66" t="s">
        <v>399</v>
      </c>
      <c r="P1092" s="0" t="s">
        <v>2193</v>
      </c>
      <c r="Q1092" s="66" t="s">
        <v>995</v>
      </c>
    </row>
    <row r="1093" customFormat="false" ht="14.25" hidden="false" customHeight="false" outlineLevel="0" collapsed="false">
      <c r="A1093" s="13" t="s">
        <v>828</v>
      </c>
      <c r="B1093" s="13" t="s">
        <v>542</v>
      </c>
      <c r="C1093" s="13" t="s">
        <v>561</v>
      </c>
      <c r="D1093" s="61" t="n">
        <v>45977.9375</v>
      </c>
      <c r="E1093" s="61" t="n">
        <v>45977.9375</v>
      </c>
      <c r="F1093" s="61" t="n">
        <v>45978.3194444444</v>
      </c>
      <c r="G1093" s="62" t="n">
        <v>0.381944444445253</v>
      </c>
      <c r="H1093" s="13" t="s">
        <v>248</v>
      </c>
      <c r="J1093" s="13" t="s">
        <v>256</v>
      </c>
      <c r="K1093" s="13" t="s">
        <v>430</v>
      </c>
      <c r="L1093" s="13" t="s">
        <v>1000</v>
      </c>
      <c r="M1093" s="66" t="s">
        <v>258</v>
      </c>
      <c r="N1093" s="66" t="s">
        <v>379</v>
      </c>
      <c r="O1093" s="66" t="s">
        <v>399</v>
      </c>
      <c r="P1093" s="0" t="s">
        <v>2194</v>
      </c>
      <c r="Q1093" s="66" t="s">
        <v>995</v>
      </c>
    </row>
    <row r="1094" customFormat="false" ht="14.25" hidden="false" customHeight="false" outlineLevel="0" collapsed="false">
      <c r="A1094" s="13" t="s">
        <v>828</v>
      </c>
      <c r="B1094" s="13" t="s">
        <v>542</v>
      </c>
      <c r="C1094" s="13" t="s">
        <v>562</v>
      </c>
      <c r="D1094" s="61" t="n">
        <v>45977.9375</v>
      </c>
      <c r="E1094" s="61" t="n">
        <v>45977.9375</v>
      </c>
      <c r="F1094" s="61" t="n">
        <v>45978.3194444444</v>
      </c>
      <c r="G1094" s="62" t="n">
        <v>0.381944444445253</v>
      </c>
      <c r="H1094" s="13" t="s">
        <v>248</v>
      </c>
      <c r="J1094" s="13" t="s">
        <v>256</v>
      </c>
      <c r="K1094" s="13" t="s">
        <v>430</v>
      </c>
      <c r="L1094" s="13" t="s">
        <v>1000</v>
      </c>
      <c r="M1094" s="66" t="s">
        <v>258</v>
      </c>
      <c r="N1094" s="66" t="s">
        <v>379</v>
      </c>
      <c r="O1094" s="66" t="s">
        <v>399</v>
      </c>
      <c r="P1094" s="0" t="s">
        <v>2195</v>
      </c>
      <c r="Q1094" s="66" t="s">
        <v>995</v>
      </c>
    </row>
    <row r="1095" customFormat="false" ht="14.25" hidden="false" customHeight="false" outlineLevel="0" collapsed="false">
      <c r="A1095" s="13" t="s">
        <v>828</v>
      </c>
      <c r="B1095" s="13" t="s">
        <v>542</v>
      </c>
      <c r="C1095" s="13" t="s">
        <v>563</v>
      </c>
      <c r="D1095" s="61" t="n">
        <v>45977.9375</v>
      </c>
      <c r="E1095" s="61" t="n">
        <v>45977.9375</v>
      </c>
      <c r="F1095" s="61" t="n">
        <v>45978.3194444444</v>
      </c>
      <c r="G1095" s="62" t="n">
        <v>0.381944444445253</v>
      </c>
      <c r="H1095" s="13" t="s">
        <v>248</v>
      </c>
      <c r="J1095" s="13" t="s">
        <v>256</v>
      </c>
      <c r="K1095" s="13" t="s">
        <v>430</v>
      </c>
      <c r="L1095" s="13" t="s">
        <v>1000</v>
      </c>
      <c r="M1095" s="66" t="s">
        <v>258</v>
      </c>
      <c r="N1095" s="66" t="s">
        <v>379</v>
      </c>
      <c r="O1095" s="66" t="s">
        <v>399</v>
      </c>
      <c r="P1095" s="0" t="s">
        <v>2196</v>
      </c>
      <c r="Q1095" s="66" t="s">
        <v>995</v>
      </c>
    </row>
    <row r="1096" customFormat="false" ht="14.25" hidden="false" customHeight="false" outlineLevel="0" collapsed="false">
      <c r="A1096" s="13" t="s">
        <v>829</v>
      </c>
      <c r="B1096" s="13" t="s">
        <v>542</v>
      </c>
      <c r="C1096" s="13" t="s">
        <v>564</v>
      </c>
      <c r="D1096" s="61" t="n">
        <v>45977.9375</v>
      </c>
      <c r="E1096" s="61" t="n">
        <v>45977.9375</v>
      </c>
      <c r="F1096" s="61" t="n">
        <v>45978.3194444444</v>
      </c>
      <c r="G1096" s="62" t="n">
        <v>0.381944444445253</v>
      </c>
      <c r="H1096" s="13" t="s">
        <v>248</v>
      </c>
      <c r="J1096" s="13" t="s">
        <v>256</v>
      </c>
      <c r="K1096" s="13" t="s">
        <v>430</v>
      </c>
      <c r="L1096" s="13" t="s">
        <v>1000</v>
      </c>
      <c r="M1096" s="66" t="s">
        <v>258</v>
      </c>
      <c r="N1096" s="66" t="s">
        <v>379</v>
      </c>
      <c r="O1096" s="66" t="s">
        <v>399</v>
      </c>
      <c r="P1096" s="0" t="s">
        <v>2197</v>
      </c>
      <c r="Q1096" s="66" t="s">
        <v>995</v>
      </c>
    </row>
    <row r="1097" customFormat="false" ht="14.25" hidden="false" customHeight="false" outlineLevel="0" collapsed="false">
      <c r="A1097" s="13" t="s">
        <v>829</v>
      </c>
      <c r="B1097" s="13" t="s">
        <v>542</v>
      </c>
      <c r="C1097" s="13" t="s">
        <v>565</v>
      </c>
      <c r="D1097" s="61" t="n">
        <v>45977.9375</v>
      </c>
      <c r="E1097" s="61" t="n">
        <v>45977.9375</v>
      </c>
      <c r="F1097" s="61" t="n">
        <v>45978.3194444444</v>
      </c>
      <c r="G1097" s="62" t="n">
        <v>0.381944444445253</v>
      </c>
      <c r="H1097" s="13" t="s">
        <v>248</v>
      </c>
      <c r="J1097" s="13" t="s">
        <v>256</v>
      </c>
      <c r="K1097" s="13" t="s">
        <v>430</v>
      </c>
      <c r="L1097" s="13" t="s">
        <v>1000</v>
      </c>
      <c r="M1097" s="66" t="s">
        <v>258</v>
      </c>
      <c r="N1097" s="66" t="s">
        <v>379</v>
      </c>
      <c r="O1097" s="66" t="s">
        <v>399</v>
      </c>
      <c r="P1097" s="0" t="s">
        <v>2198</v>
      </c>
      <c r="Q1097" s="66" t="s">
        <v>995</v>
      </c>
    </row>
    <row r="1098" customFormat="false" ht="14.25" hidden="false" customHeight="false" outlineLevel="0" collapsed="false">
      <c r="A1098" s="13" t="s">
        <v>829</v>
      </c>
      <c r="B1098" s="13" t="s">
        <v>542</v>
      </c>
      <c r="C1098" s="13" t="s">
        <v>566</v>
      </c>
      <c r="D1098" s="61" t="n">
        <v>45977.9375</v>
      </c>
      <c r="E1098" s="61" t="n">
        <v>45977.9375</v>
      </c>
      <c r="F1098" s="61" t="n">
        <v>45978.3194444444</v>
      </c>
      <c r="G1098" s="62" t="n">
        <v>0.381944444445253</v>
      </c>
      <c r="H1098" s="13" t="s">
        <v>248</v>
      </c>
      <c r="J1098" s="13" t="s">
        <v>256</v>
      </c>
      <c r="K1098" s="13" t="s">
        <v>430</v>
      </c>
      <c r="L1098" s="13" t="s">
        <v>1000</v>
      </c>
      <c r="M1098" s="66" t="s">
        <v>258</v>
      </c>
      <c r="N1098" s="66" t="s">
        <v>379</v>
      </c>
      <c r="O1098" s="66" t="s">
        <v>399</v>
      </c>
      <c r="P1098" s="0" t="s">
        <v>2199</v>
      </c>
      <c r="Q1098" s="66" t="s">
        <v>995</v>
      </c>
    </row>
    <row r="1099" customFormat="false" ht="14.25" hidden="false" customHeight="false" outlineLevel="0" collapsed="false">
      <c r="A1099" s="13" t="s">
        <v>829</v>
      </c>
      <c r="B1099" s="13" t="s">
        <v>542</v>
      </c>
      <c r="C1099" s="13" t="s">
        <v>567</v>
      </c>
      <c r="D1099" s="61" t="n">
        <v>45977.9375</v>
      </c>
      <c r="E1099" s="61" t="n">
        <v>45977.9375</v>
      </c>
      <c r="F1099" s="61" t="n">
        <v>45978.3194444444</v>
      </c>
      <c r="G1099" s="62" t="n">
        <v>0.381944444445253</v>
      </c>
      <c r="H1099" s="13" t="s">
        <v>248</v>
      </c>
      <c r="J1099" s="13" t="s">
        <v>256</v>
      </c>
      <c r="K1099" s="13" t="s">
        <v>430</v>
      </c>
      <c r="L1099" s="13" t="s">
        <v>1000</v>
      </c>
      <c r="M1099" s="66" t="s">
        <v>258</v>
      </c>
      <c r="N1099" s="66" t="s">
        <v>379</v>
      </c>
      <c r="O1099" s="66" t="s">
        <v>399</v>
      </c>
      <c r="P1099" s="0" t="s">
        <v>2200</v>
      </c>
      <c r="Q1099" s="66" t="s">
        <v>995</v>
      </c>
    </row>
    <row r="1100" customFormat="false" ht="14.25" hidden="false" customHeight="false" outlineLevel="0" collapsed="false">
      <c r="A1100" s="13" t="s">
        <v>830</v>
      </c>
      <c r="B1100" s="13" t="s">
        <v>542</v>
      </c>
      <c r="C1100" s="13" t="s">
        <v>568</v>
      </c>
      <c r="D1100" s="61" t="n">
        <v>45977.9375</v>
      </c>
      <c r="E1100" s="61" t="n">
        <v>45977.9375</v>
      </c>
      <c r="F1100" s="61" t="n">
        <v>45978.3194444444</v>
      </c>
      <c r="G1100" s="62" t="n">
        <v>0.381944444445253</v>
      </c>
      <c r="H1100" s="13" t="s">
        <v>248</v>
      </c>
      <c r="J1100" s="13" t="s">
        <v>256</v>
      </c>
      <c r="K1100" s="13" t="s">
        <v>430</v>
      </c>
      <c r="L1100" s="13" t="s">
        <v>1000</v>
      </c>
      <c r="M1100" s="66" t="s">
        <v>258</v>
      </c>
      <c r="N1100" s="66" t="s">
        <v>379</v>
      </c>
      <c r="O1100" s="66" t="s">
        <v>399</v>
      </c>
      <c r="P1100" s="0" t="s">
        <v>2201</v>
      </c>
      <c r="Q1100" s="66" t="s">
        <v>995</v>
      </c>
    </row>
    <row r="1101" customFormat="false" ht="14.25" hidden="false" customHeight="false" outlineLevel="0" collapsed="false">
      <c r="A1101" s="13" t="s">
        <v>830</v>
      </c>
      <c r="B1101" s="13" t="s">
        <v>542</v>
      </c>
      <c r="C1101" s="13" t="s">
        <v>569</v>
      </c>
      <c r="D1101" s="61" t="n">
        <v>45977.9375</v>
      </c>
      <c r="E1101" s="61" t="n">
        <v>45977.9375</v>
      </c>
      <c r="F1101" s="61" t="n">
        <v>45978.3194444444</v>
      </c>
      <c r="G1101" s="62" t="n">
        <v>0.381944444445253</v>
      </c>
      <c r="H1101" s="13" t="s">
        <v>248</v>
      </c>
      <c r="J1101" s="13" t="s">
        <v>256</v>
      </c>
      <c r="K1101" s="13" t="s">
        <v>430</v>
      </c>
      <c r="L1101" s="13" t="s">
        <v>1000</v>
      </c>
      <c r="M1101" s="66" t="s">
        <v>258</v>
      </c>
      <c r="N1101" s="66" t="s">
        <v>379</v>
      </c>
      <c r="O1101" s="66" t="s">
        <v>399</v>
      </c>
      <c r="P1101" s="0" t="s">
        <v>2202</v>
      </c>
      <c r="Q1101" s="66" t="s">
        <v>995</v>
      </c>
    </row>
    <row r="1102" customFormat="false" ht="14.25" hidden="false" customHeight="false" outlineLevel="0" collapsed="false">
      <c r="A1102" s="13" t="s">
        <v>830</v>
      </c>
      <c r="B1102" s="13" t="s">
        <v>542</v>
      </c>
      <c r="C1102" s="13" t="s">
        <v>570</v>
      </c>
      <c r="D1102" s="61" t="n">
        <v>45977.9375</v>
      </c>
      <c r="E1102" s="61" t="n">
        <v>45977.9375</v>
      </c>
      <c r="F1102" s="61" t="n">
        <v>45978.3194444444</v>
      </c>
      <c r="G1102" s="62" t="n">
        <v>0.381944444445253</v>
      </c>
      <c r="H1102" s="13" t="s">
        <v>248</v>
      </c>
      <c r="J1102" s="13" t="s">
        <v>256</v>
      </c>
      <c r="K1102" s="13" t="s">
        <v>430</v>
      </c>
      <c r="L1102" s="13" t="s">
        <v>1000</v>
      </c>
      <c r="M1102" s="66" t="s">
        <v>258</v>
      </c>
      <c r="N1102" s="66" t="s">
        <v>379</v>
      </c>
      <c r="O1102" s="66" t="s">
        <v>399</v>
      </c>
      <c r="P1102" s="0" t="s">
        <v>2203</v>
      </c>
      <c r="Q1102" s="66" t="s">
        <v>995</v>
      </c>
    </row>
    <row r="1103" customFormat="false" ht="14.25" hidden="false" customHeight="false" outlineLevel="0" collapsed="false">
      <c r="A1103" s="13" t="s">
        <v>830</v>
      </c>
      <c r="B1103" s="13" t="s">
        <v>542</v>
      </c>
      <c r="C1103" s="13" t="s">
        <v>571</v>
      </c>
      <c r="D1103" s="61" t="n">
        <v>45977.9375</v>
      </c>
      <c r="E1103" s="61" t="n">
        <v>45977.9375</v>
      </c>
      <c r="F1103" s="61" t="n">
        <v>45978.3194444444</v>
      </c>
      <c r="G1103" s="62" t="n">
        <v>0.381944444445253</v>
      </c>
      <c r="H1103" s="13" t="s">
        <v>248</v>
      </c>
      <c r="J1103" s="13" t="s">
        <v>256</v>
      </c>
      <c r="K1103" s="13" t="s">
        <v>430</v>
      </c>
      <c r="L1103" s="13" t="s">
        <v>1000</v>
      </c>
      <c r="M1103" s="66" t="s">
        <v>258</v>
      </c>
      <c r="N1103" s="66" t="s">
        <v>379</v>
      </c>
      <c r="O1103" s="66" t="s">
        <v>399</v>
      </c>
      <c r="P1103" s="0" t="s">
        <v>2204</v>
      </c>
      <c r="Q1103" s="66" t="s">
        <v>995</v>
      </c>
    </row>
    <row r="1104" customFormat="false" ht="14.25" hidden="false" customHeight="false" outlineLevel="0" collapsed="false">
      <c r="A1104" s="13" t="s">
        <v>830</v>
      </c>
      <c r="B1104" s="13" t="s">
        <v>542</v>
      </c>
      <c r="C1104" s="13" t="s">
        <v>572</v>
      </c>
      <c r="D1104" s="61" t="n">
        <v>45977.9375</v>
      </c>
      <c r="E1104" s="61" t="n">
        <v>45977.9375</v>
      </c>
      <c r="F1104" s="61" t="n">
        <v>45978.3194444444</v>
      </c>
      <c r="G1104" s="62" t="n">
        <v>0.381944444445253</v>
      </c>
      <c r="H1104" s="13" t="s">
        <v>248</v>
      </c>
      <c r="J1104" s="13" t="s">
        <v>256</v>
      </c>
      <c r="K1104" s="13" t="s">
        <v>430</v>
      </c>
      <c r="L1104" s="13" t="s">
        <v>1000</v>
      </c>
      <c r="M1104" s="66" t="s">
        <v>258</v>
      </c>
      <c r="N1104" s="66" t="s">
        <v>379</v>
      </c>
      <c r="O1104" s="66" t="s">
        <v>399</v>
      </c>
      <c r="P1104" s="0" t="s">
        <v>2205</v>
      </c>
      <c r="Q1104" s="66" t="s">
        <v>995</v>
      </c>
    </row>
    <row r="1105" customFormat="false" ht="14.25" hidden="false" customHeight="false" outlineLevel="0" collapsed="false">
      <c r="A1105" s="13" t="s">
        <v>578</v>
      </c>
      <c r="B1105" s="13" t="s">
        <v>578</v>
      </c>
      <c r="C1105" s="13" t="s">
        <v>396</v>
      </c>
      <c r="D1105" s="61" t="n">
        <v>45977.9375</v>
      </c>
      <c r="E1105" s="61" t="n">
        <v>45977.9375</v>
      </c>
      <c r="F1105" s="61" t="n">
        <v>45978.3194444444</v>
      </c>
      <c r="G1105" s="62" t="n">
        <v>0.381944444445253</v>
      </c>
      <c r="H1105" s="13" t="s">
        <v>248</v>
      </c>
      <c r="J1105" s="13" t="s">
        <v>256</v>
      </c>
      <c r="K1105" s="13" t="s">
        <v>430</v>
      </c>
      <c r="L1105" s="13" t="s">
        <v>1000</v>
      </c>
      <c r="M1105" s="66" t="s">
        <v>258</v>
      </c>
      <c r="N1105" s="66" t="s">
        <v>379</v>
      </c>
      <c r="O1105" s="66" t="s">
        <v>399</v>
      </c>
      <c r="P1105" s="0" t="s">
        <v>2206</v>
      </c>
      <c r="Q1105" s="66" t="s">
        <v>995</v>
      </c>
    </row>
    <row r="1106" customFormat="false" ht="14.25" hidden="false" customHeight="false" outlineLevel="0" collapsed="false">
      <c r="A1106" s="13" t="s">
        <v>578</v>
      </c>
      <c r="B1106" s="13" t="s">
        <v>578</v>
      </c>
      <c r="C1106" s="13" t="s">
        <v>397</v>
      </c>
      <c r="D1106" s="61" t="n">
        <v>45977.9375</v>
      </c>
      <c r="E1106" s="61" t="n">
        <v>45977.9375</v>
      </c>
      <c r="F1106" s="61" t="n">
        <v>45978.3194444444</v>
      </c>
      <c r="G1106" s="62" t="n">
        <v>0.381944444445253</v>
      </c>
      <c r="H1106" s="13" t="s">
        <v>248</v>
      </c>
      <c r="J1106" s="13" t="s">
        <v>256</v>
      </c>
      <c r="K1106" s="13" t="s">
        <v>430</v>
      </c>
      <c r="L1106" s="13" t="s">
        <v>1000</v>
      </c>
      <c r="M1106" s="66" t="s">
        <v>258</v>
      </c>
      <c r="N1106" s="66" t="s">
        <v>379</v>
      </c>
      <c r="O1106" s="66" t="s">
        <v>399</v>
      </c>
      <c r="P1106" s="0" t="s">
        <v>2207</v>
      </c>
      <c r="Q1106" s="66" t="s">
        <v>995</v>
      </c>
    </row>
    <row r="1107" customFormat="false" ht="14.25" hidden="false" customHeight="false" outlineLevel="0" collapsed="false">
      <c r="A1107" s="13" t="s">
        <v>578</v>
      </c>
      <c r="B1107" s="13" t="s">
        <v>578</v>
      </c>
      <c r="C1107" s="13" t="s">
        <v>394</v>
      </c>
      <c r="D1107" s="61" t="n">
        <v>45977.9375</v>
      </c>
      <c r="E1107" s="61" t="n">
        <v>45977.9375</v>
      </c>
      <c r="F1107" s="61" t="n">
        <v>45978.3194444444</v>
      </c>
      <c r="G1107" s="62" t="n">
        <v>0.381944444445253</v>
      </c>
      <c r="H1107" s="13" t="s">
        <v>248</v>
      </c>
      <c r="J1107" s="13" t="s">
        <v>256</v>
      </c>
      <c r="K1107" s="13" t="s">
        <v>430</v>
      </c>
      <c r="L1107" s="13" t="s">
        <v>1000</v>
      </c>
      <c r="M1107" s="66" t="s">
        <v>258</v>
      </c>
      <c r="N1107" s="66" t="s">
        <v>379</v>
      </c>
      <c r="O1107" s="66" t="s">
        <v>399</v>
      </c>
      <c r="P1107" s="0" t="s">
        <v>2208</v>
      </c>
      <c r="Q1107" s="66" t="s">
        <v>995</v>
      </c>
    </row>
    <row r="1108" customFormat="false" ht="14.25" hidden="false" customHeight="false" outlineLevel="0" collapsed="false">
      <c r="A1108" s="13" t="s">
        <v>578</v>
      </c>
      <c r="B1108" s="13" t="s">
        <v>578</v>
      </c>
      <c r="C1108" s="13" t="s">
        <v>395</v>
      </c>
      <c r="D1108" s="61" t="n">
        <v>45977.9375</v>
      </c>
      <c r="E1108" s="61" t="n">
        <v>45977.9375</v>
      </c>
      <c r="F1108" s="61" t="n">
        <v>45978.3194444444</v>
      </c>
      <c r="G1108" s="62" t="n">
        <v>0.381944444445253</v>
      </c>
      <c r="H1108" s="13" t="s">
        <v>248</v>
      </c>
      <c r="J1108" s="13" t="s">
        <v>256</v>
      </c>
      <c r="K1108" s="13" t="s">
        <v>430</v>
      </c>
      <c r="L1108" s="13" t="s">
        <v>1000</v>
      </c>
      <c r="M1108" s="66" t="s">
        <v>258</v>
      </c>
      <c r="N1108" s="66" t="s">
        <v>379</v>
      </c>
      <c r="O1108" s="66" t="s">
        <v>399</v>
      </c>
      <c r="P1108" s="0" t="s">
        <v>2209</v>
      </c>
      <c r="Q1108" s="66" t="s">
        <v>995</v>
      </c>
    </row>
    <row r="1109" customFormat="false" ht="14.25" hidden="false" customHeight="false" outlineLevel="0" collapsed="false">
      <c r="A1109" s="13" t="s">
        <v>578</v>
      </c>
      <c r="B1109" s="13" t="s">
        <v>578</v>
      </c>
      <c r="C1109" s="13" t="s">
        <v>391</v>
      </c>
      <c r="D1109" s="61" t="n">
        <v>45977.9375</v>
      </c>
      <c r="E1109" s="61" t="n">
        <v>45977.9375</v>
      </c>
      <c r="F1109" s="61" t="n">
        <v>45978.3194444444</v>
      </c>
      <c r="G1109" s="62" t="n">
        <v>0.381944444445253</v>
      </c>
      <c r="H1109" s="13" t="s">
        <v>248</v>
      </c>
      <c r="J1109" s="13" t="s">
        <v>256</v>
      </c>
      <c r="K1109" s="13" t="s">
        <v>430</v>
      </c>
      <c r="L1109" s="13" t="s">
        <v>1000</v>
      </c>
      <c r="M1109" s="66" t="s">
        <v>258</v>
      </c>
      <c r="N1109" s="66" t="s">
        <v>379</v>
      </c>
      <c r="O1109" s="66" t="s">
        <v>399</v>
      </c>
      <c r="P1109" s="0" t="s">
        <v>2210</v>
      </c>
      <c r="Q1109" s="66" t="s">
        <v>995</v>
      </c>
    </row>
    <row r="1110" customFormat="false" ht="14.25" hidden="false" customHeight="false" outlineLevel="0" collapsed="false">
      <c r="A1110" s="13" t="s">
        <v>579</v>
      </c>
      <c r="B1110" s="13" t="s">
        <v>579</v>
      </c>
      <c r="C1110" s="13" t="s">
        <v>396</v>
      </c>
      <c r="D1110" s="61" t="n">
        <v>45977.9375</v>
      </c>
      <c r="E1110" s="61" t="n">
        <v>45977.9375</v>
      </c>
      <c r="F1110" s="61" t="n">
        <v>45978.3194444444</v>
      </c>
      <c r="G1110" s="62" t="n">
        <v>0.381944444445253</v>
      </c>
      <c r="H1110" s="13" t="s">
        <v>248</v>
      </c>
      <c r="J1110" s="13" t="s">
        <v>256</v>
      </c>
      <c r="K1110" s="13" t="s">
        <v>430</v>
      </c>
      <c r="L1110" s="13" t="s">
        <v>1000</v>
      </c>
      <c r="M1110" s="66" t="s">
        <v>258</v>
      </c>
      <c r="N1110" s="66" t="s">
        <v>379</v>
      </c>
      <c r="O1110" s="66" t="s">
        <v>399</v>
      </c>
      <c r="P1110" s="0" t="s">
        <v>2211</v>
      </c>
      <c r="Q1110" s="66" t="s">
        <v>995</v>
      </c>
    </row>
    <row r="1111" customFormat="false" ht="14.25" hidden="false" customHeight="false" outlineLevel="0" collapsed="false">
      <c r="A1111" s="13" t="s">
        <v>579</v>
      </c>
      <c r="B1111" s="13" t="s">
        <v>579</v>
      </c>
      <c r="C1111" s="13" t="s">
        <v>397</v>
      </c>
      <c r="D1111" s="61" t="n">
        <v>45977.9375</v>
      </c>
      <c r="E1111" s="61" t="n">
        <v>45977.9375</v>
      </c>
      <c r="F1111" s="61" t="n">
        <v>45978.3194444444</v>
      </c>
      <c r="G1111" s="62" t="n">
        <v>0.381944444445253</v>
      </c>
      <c r="H1111" s="13" t="s">
        <v>248</v>
      </c>
      <c r="J1111" s="13" t="s">
        <v>256</v>
      </c>
      <c r="K1111" s="13" t="s">
        <v>430</v>
      </c>
      <c r="L1111" s="13" t="s">
        <v>1000</v>
      </c>
      <c r="M1111" s="66" t="s">
        <v>258</v>
      </c>
      <c r="N1111" s="66" t="s">
        <v>379</v>
      </c>
      <c r="O1111" s="66" t="s">
        <v>399</v>
      </c>
      <c r="P1111" s="0" t="s">
        <v>2212</v>
      </c>
      <c r="Q1111" s="66" t="s">
        <v>995</v>
      </c>
    </row>
    <row r="1112" customFormat="false" ht="14.25" hidden="false" customHeight="false" outlineLevel="0" collapsed="false">
      <c r="A1112" s="13" t="s">
        <v>579</v>
      </c>
      <c r="B1112" s="13" t="s">
        <v>579</v>
      </c>
      <c r="C1112" s="13" t="s">
        <v>394</v>
      </c>
      <c r="D1112" s="61" t="n">
        <v>45977.9375</v>
      </c>
      <c r="E1112" s="61" t="n">
        <v>45977.9375</v>
      </c>
      <c r="F1112" s="61" t="n">
        <v>45978.3194444444</v>
      </c>
      <c r="G1112" s="62" t="n">
        <v>0.381944444445253</v>
      </c>
      <c r="H1112" s="13" t="s">
        <v>248</v>
      </c>
      <c r="J1112" s="13" t="s">
        <v>256</v>
      </c>
      <c r="K1112" s="13" t="s">
        <v>430</v>
      </c>
      <c r="L1112" s="13" t="s">
        <v>1000</v>
      </c>
      <c r="M1112" s="66" t="s">
        <v>258</v>
      </c>
      <c r="N1112" s="66" t="s">
        <v>379</v>
      </c>
      <c r="O1112" s="66" t="s">
        <v>399</v>
      </c>
      <c r="P1112" s="0" t="s">
        <v>2213</v>
      </c>
      <c r="Q1112" s="66" t="s">
        <v>995</v>
      </c>
    </row>
    <row r="1113" customFormat="false" ht="14.25" hidden="false" customHeight="false" outlineLevel="0" collapsed="false">
      <c r="A1113" s="13" t="s">
        <v>579</v>
      </c>
      <c r="B1113" s="13" t="s">
        <v>579</v>
      </c>
      <c r="C1113" s="13" t="s">
        <v>395</v>
      </c>
      <c r="D1113" s="61" t="n">
        <v>45977.9375</v>
      </c>
      <c r="E1113" s="61" t="n">
        <v>45977.9375</v>
      </c>
      <c r="F1113" s="61" t="n">
        <v>45978.3194444444</v>
      </c>
      <c r="G1113" s="62" t="n">
        <v>0.381944444445253</v>
      </c>
      <c r="H1113" s="13" t="s">
        <v>248</v>
      </c>
      <c r="J1113" s="13" t="s">
        <v>256</v>
      </c>
      <c r="K1113" s="13" t="s">
        <v>430</v>
      </c>
      <c r="L1113" s="13" t="s">
        <v>1000</v>
      </c>
      <c r="M1113" s="66" t="s">
        <v>258</v>
      </c>
      <c r="N1113" s="66" t="s">
        <v>379</v>
      </c>
      <c r="O1113" s="66" t="s">
        <v>399</v>
      </c>
      <c r="P1113" s="0" t="s">
        <v>2214</v>
      </c>
      <c r="Q1113" s="66" t="s">
        <v>995</v>
      </c>
    </row>
    <row r="1114" customFormat="false" ht="14.25" hidden="false" customHeight="false" outlineLevel="0" collapsed="false">
      <c r="A1114" s="13" t="s">
        <v>579</v>
      </c>
      <c r="B1114" s="13" t="s">
        <v>579</v>
      </c>
      <c r="C1114" s="13" t="s">
        <v>391</v>
      </c>
      <c r="D1114" s="61" t="n">
        <v>45977.9375</v>
      </c>
      <c r="E1114" s="61" t="n">
        <v>45977.9375</v>
      </c>
      <c r="F1114" s="61" t="n">
        <v>45978.3194444444</v>
      </c>
      <c r="G1114" s="62" t="n">
        <v>0.381944444445253</v>
      </c>
      <c r="H1114" s="13" t="s">
        <v>248</v>
      </c>
      <c r="J1114" s="13" t="s">
        <v>256</v>
      </c>
      <c r="K1114" s="13" t="s">
        <v>430</v>
      </c>
      <c r="L1114" s="13" t="s">
        <v>1000</v>
      </c>
      <c r="M1114" s="66" t="s">
        <v>258</v>
      </c>
      <c r="N1114" s="66" t="s">
        <v>379</v>
      </c>
      <c r="O1114" s="66" t="s">
        <v>399</v>
      </c>
      <c r="P1114" s="0" t="s">
        <v>2215</v>
      </c>
      <c r="Q1114" s="66" t="s">
        <v>995</v>
      </c>
    </row>
    <row r="1115" customFormat="false" ht="14.25" hidden="false" customHeight="false" outlineLevel="0" collapsed="false">
      <c r="A1115" s="13" t="s">
        <v>580</v>
      </c>
      <c r="B1115" s="13" t="s">
        <v>580</v>
      </c>
      <c r="C1115" s="13" t="s">
        <v>396</v>
      </c>
      <c r="D1115" s="61" t="n">
        <v>45977.9375</v>
      </c>
      <c r="E1115" s="61" t="n">
        <v>45977.9375</v>
      </c>
      <c r="F1115" s="61" t="n">
        <v>45978.3194444444</v>
      </c>
      <c r="G1115" s="62" t="n">
        <v>0.381944444445253</v>
      </c>
      <c r="H1115" s="13" t="s">
        <v>248</v>
      </c>
      <c r="J1115" s="13" t="s">
        <v>256</v>
      </c>
      <c r="K1115" s="13" t="s">
        <v>430</v>
      </c>
      <c r="L1115" s="13" t="s">
        <v>1000</v>
      </c>
      <c r="M1115" s="66" t="s">
        <v>258</v>
      </c>
      <c r="N1115" s="66" t="s">
        <v>379</v>
      </c>
      <c r="O1115" s="66" t="s">
        <v>399</v>
      </c>
      <c r="P1115" s="0" t="s">
        <v>2216</v>
      </c>
      <c r="Q1115" s="66" t="s">
        <v>995</v>
      </c>
    </row>
    <row r="1116" customFormat="false" ht="14.25" hidden="false" customHeight="false" outlineLevel="0" collapsed="false">
      <c r="A1116" s="13" t="s">
        <v>580</v>
      </c>
      <c r="B1116" s="13" t="s">
        <v>580</v>
      </c>
      <c r="C1116" s="13" t="s">
        <v>397</v>
      </c>
      <c r="D1116" s="61" t="n">
        <v>45977.9375</v>
      </c>
      <c r="E1116" s="61" t="n">
        <v>45977.9375</v>
      </c>
      <c r="F1116" s="61" t="n">
        <v>45978.3194444444</v>
      </c>
      <c r="G1116" s="62" t="n">
        <v>0.381944444445253</v>
      </c>
      <c r="H1116" s="13" t="s">
        <v>248</v>
      </c>
      <c r="J1116" s="13" t="s">
        <v>256</v>
      </c>
      <c r="K1116" s="13" t="s">
        <v>430</v>
      </c>
      <c r="L1116" s="13" t="s">
        <v>1000</v>
      </c>
      <c r="M1116" s="66" t="s">
        <v>258</v>
      </c>
      <c r="N1116" s="66" t="s">
        <v>379</v>
      </c>
      <c r="O1116" s="66" t="s">
        <v>399</v>
      </c>
      <c r="P1116" s="0" t="s">
        <v>2217</v>
      </c>
      <c r="Q1116" s="66" t="s">
        <v>995</v>
      </c>
    </row>
    <row r="1117" customFormat="false" ht="14.25" hidden="false" customHeight="false" outlineLevel="0" collapsed="false">
      <c r="A1117" s="13" t="s">
        <v>580</v>
      </c>
      <c r="B1117" s="13" t="s">
        <v>580</v>
      </c>
      <c r="C1117" s="13" t="s">
        <v>394</v>
      </c>
      <c r="D1117" s="61" t="n">
        <v>45977.9375</v>
      </c>
      <c r="E1117" s="61" t="n">
        <v>45977.9375</v>
      </c>
      <c r="F1117" s="61" t="n">
        <v>45978.3194444444</v>
      </c>
      <c r="G1117" s="62" t="n">
        <v>0.381944444445253</v>
      </c>
      <c r="H1117" s="13" t="s">
        <v>248</v>
      </c>
      <c r="J1117" s="13" t="s">
        <v>256</v>
      </c>
      <c r="K1117" s="13" t="s">
        <v>430</v>
      </c>
      <c r="L1117" s="13" t="s">
        <v>1000</v>
      </c>
      <c r="M1117" s="66" t="s">
        <v>258</v>
      </c>
      <c r="N1117" s="66" t="s">
        <v>379</v>
      </c>
      <c r="O1117" s="66" t="s">
        <v>399</v>
      </c>
      <c r="P1117" s="0" t="s">
        <v>2218</v>
      </c>
      <c r="Q1117" s="66" t="s">
        <v>995</v>
      </c>
    </row>
    <row r="1118" customFormat="false" ht="14.25" hidden="false" customHeight="false" outlineLevel="0" collapsed="false">
      <c r="A1118" s="13" t="s">
        <v>580</v>
      </c>
      <c r="B1118" s="13" t="s">
        <v>580</v>
      </c>
      <c r="C1118" s="13" t="s">
        <v>395</v>
      </c>
      <c r="D1118" s="61" t="n">
        <v>45977.9375</v>
      </c>
      <c r="E1118" s="61" t="n">
        <v>45977.9375</v>
      </c>
      <c r="F1118" s="61" t="n">
        <v>45978.3194444444</v>
      </c>
      <c r="G1118" s="62" t="n">
        <v>0.381944444445253</v>
      </c>
      <c r="H1118" s="13" t="s">
        <v>248</v>
      </c>
      <c r="J1118" s="13" t="s">
        <v>256</v>
      </c>
      <c r="K1118" s="13" t="s">
        <v>430</v>
      </c>
      <c r="L1118" s="13" t="s">
        <v>1000</v>
      </c>
      <c r="M1118" s="66" t="s">
        <v>258</v>
      </c>
      <c r="N1118" s="66" t="s">
        <v>379</v>
      </c>
      <c r="O1118" s="66" t="s">
        <v>399</v>
      </c>
      <c r="P1118" s="0" t="s">
        <v>2219</v>
      </c>
      <c r="Q1118" s="66" t="s">
        <v>995</v>
      </c>
    </row>
    <row r="1119" customFormat="false" ht="14.25" hidden="false" customHeight="false" outlineLevel="0" collapsed="false">
      <c r="A1119" s="13" t="s">
        <v>580</v>
      </c>
      <c r="B1119" s="13" t="s">
        <v>580</v>
      </c>
      <c r="C1119" s="13" t="s">
        <v>391</v>
      </c>
      <c r="D1119" s="61" t="n">
        <v>45977.9375</v>
      </c>
      <c r="E1119" s="61" t="n">
        <v>45977.9375</v>
      </c>
      <c r="F1119" s="61" t="n">
        <v>45978.3194444444</v>
      </c>
      <c r="G1119" s="62" t="n">
        <v>0.381944444445253</v>
      </c>
      <c r="H1119" s="13" t="s">
        <v>248</v>
      </c>
      <c r="J1119" s="13" t="s">
        <v>256</v>
      </c>
      <c r="K1119" s="13" t="s">
        <v>430</v>
      </c>
      <c r="L1119" s="13" t="s">
        <v>1000</v>
      </c>
      <c r="M1119" s="66" t="s">
        <v>258</v>
      </c>
      <c r="N1119" s="66" t="s">
        <v>379</v>
      </c>
      <c r="O1119" s="66" t="s">
        <v>399</v>
      </c>
      <c r="P1119" s="0" t="s">
        <v>2220</v>
      </c>
      <c r="Q1119" s="66" t="s">
        <v>995</v>
      </c>
    </row>
    <row r="1120" customFormat="false" ht="14.25" hidden="false" customHeight="false" outlineLevel="0" collapsed="false">
      <c r="A1120" s="13" t="s">
        <v>878</v>
      </c>
      <c r="B1120" s="13" t="s">
        <v>504</v>
      </c>
      <c r="C1120" s="13" t="s">
        <v>1250</v>
      </c>
      <c r="D1120" s="61" t="n">
        <v>45978.2613541667</v>
      </c>
      <c r="E1120" s="61" t="n">
        <v>45978.2613541667</v>
      </c>
      <c r="F1120" s="61" t="n">
        <v>45978.268275463</v>
      </c>
      <c r="G1120" s="62" t="n">
        <v>0.00692129629896954</v>
      </c>
      <c r="H1120" s="13" t="s">
        <v>248</v>
      </c>
      <c r="J1120" s="13" t="s">
        <v>249</v>
      </c>
      <c r="K1120" s="13" t="s">
        <v>439</v>
      </c>
      <c r="L1120" s="13" t="s">
        <v>1251</v>
      </c>
      <c r="M1120" s="66" t="s">
        <v>251</v>
      </c>
      <c r="N1120" s="66" t="s">
        <v>625</v>
      </c>
      <c r="P1120" s="0" t="s">
        <v>2221</v>
      </c>
      <c r="Q1120" s="66" t="s">
        <v>1253</v>
      </c>
    </row>
    <row r="1121" customFormat="false" ht="14.25" hidden="false" customHeight="false" outlineLevel="0" collapsed="false">
      <c r="A1121" s="13" t="s">
        <v>878</v>
      </c>
      <c r="B1121" s="13" t="s">
        <v>504</v>
      </c>
      <c r="C1121" s="13" t="s">
        <v>1332</v>
      </c>
      <c r="D1121" s="61" t="n">
        <v>45978.2615509259</v>
      </c>
      <c r="E1121" s="61" t="n">
        <v>45978.2615509259</v>
      </c>
      <c r="F1121" s="61" t="n">
        <v>45978.2684953704</v>
      </c>
      <c r="G1121" s="62" t="n">
        <v>0.00694444444525288</v>
      </c>
      <c r="H1121" s="13" t="s">
        <v>248</v>
      </c>
      <c r="J1121" s="13" t="s">
        <v>249</v>
      </c>
      <c r="K1121" s="13" t="s">
        <v>439</v>
      </c>
      <c r="L1121" s="13" t="s">
        <v>1251</v>
      </c>
      <c r="M1121" s="66" t="s">
        <v>251</v>
      </c>
      <c r="N1121" s="66" t="s">
        <v>625</v>
      </c>
      <c r="P1121" s="0" t="s">
        <v>2222</v>
      </c>
      <c r="Q1121" s="66" t="s">
        <v>1253</v>
      </c>
    </row>
    <row r="1122" customFormat="false" ht="14.25" hidden="false" customHeight="false" outlineLevel="0" collapsed="false">
      <c r="A1122" s="13" t="s">
        <v>878</v>
      </c>
      <c r="B1122" s="13" t="s">
        <v>504</v>
      </c>
      <c r="C1122" s="13" t="s">
        <v>1334</v>
      </c>
      <c r="D1122" s="61" t="n">
        <v>45978.2616203704</v>
      </c>
      <c r="E1122" s="61" t="n">
        <v>45978.2616203704</v>
      </c>
      <c r="F1122" s="61" t="n">
        <v>45978.2685185185</v>
      </c>
      <c r="G1122" s="62" t="n">
        <v>0.00689814814541023</v>
      </c>
      <c r="H1122" s="13" t="s">
        <v>248</v>
      </c>
      <c r="J1122" s="13" t="s">
        <v>249</v>
      </c>
      <c r="K1122" s="13" t="s">
        <v>439</v>
      </c>
      <c r="L1122" s="13" t="s">
        <v>1251</v>
      </c>
      <c r="M1122" s="66" t="s">
        <v>251</v>
      </c>
      <c r="N1122" s="66" t="s">
        <v>625</v>
      </c>
      <c r="P1122" s="0" t="s">
        <v>2223</v>
      </c>
      <c r="Q1122" s="66" t="s">
        <v>1253</v>
      </c>
    </row>
    <row r="1123" customFormat="false" ht="14.25" hidden="false" customHeight="false" outlineLevel="0" collapsed="false">
      <c r="A1123" s="13" t="s">
        <v>878</v>
      </c>
      <c r="B1123" s="13" t="s">
        <v>504</v>
      </c>
      <c r="C1123" s="13" t="s">
        <v>1436</v>
      </c>
      <c r="D1123" s="61" t="n">
        <v>45978.2616435185</v>
      </c>
      <c r="E1123" s="61" t="n">
        <v>45978.2616435185</v>
      </c>
      <c r="F1123" s="61" t="n">
        <v>45978.2685416667</v>
      </c>
      <c r="G1123" s="62" t="n">
        <v>0.00689814814541023</v>
      </c>
      <c r="H1123" s="13" t="s">
        <v>248</v>
      </c>
      <c r="J1123" s="13" t="s">
        <v>249</v>
      </c>
      <c r="K1123" s="13" t="s">
        <v>439</v>
      </c>
      <c r="L1123" s="13" t="s">
        <v>1251</v>
      </c>
      <c r="M1123" s="66" t="s">
        <v>251</v>
      </c>
      <c r="N1123" s="66" t="s">
        <v>625</v>
      </c>
      <c r="P1123" s="0" t="s">
        <v>2224</v>
      </c>
      <c r="Q1123" s="66" t="s">
        <v>1253</v>
      </c>
    </row>
    <row r="1124" customFormat="false" ht="14.25" hidden="false" customHeight="false" outlineLevel="0" collapsed="false">
      <c r="A1124" s="13" t="s">
        <v>878</v>
      </c>
      <c r="B1124" s="13" t="s">
        <v>504</v>
      </c>
      <c r="C1124" s="13" t="s">
        <v>1563</v>
      </c>
      <c r="D1124" s="61" t="n">
        <v>45978.2616435185</v>
      </c>
      <c r="E1124" s="61" t="n">
        <v>45978.2616435185</v>
      </c>
      <c r="F1124" s="61" t="n">
        <v>45978.2686111111</v>
      </c>
      <c r="G1124" s="62" t="n">
        <v>0.00696759259153623</v>
      </c>
      <c r="H1124" s="13" t="s">
        <v>248</v>
      </c>
      <c r="J1124" s="13" t="s">
        <v>249</v>
      </c>
      <c r="K1124" s="13" t="s">
        <v>439</v>
      </c>
      <c r="L1124" s="13" t="s">
        <v>1251</v>
      </c>
      <c r="M1124" s="66" t="s">
        <v>251</v>
      </c>
      <c r="N1124" s="66" t="s">
        <v>625</v>
      </c>
      <c r="P1124" s="0" t="s">
        <v>2225</v>
      </c>
      <c r="Q1124" s="66" t="s">
        <v>1253</v>
      </c>
    </row>
    <row r="1125" customFormat="false" ht="14.25" hidden="false" customHeight="false" outlineLevel="0" collapsed="false">
      <c r="A1125" s="13" t="s">
        <v>878</v>
      </c>
      <c r="B1125" s="13" t="s">
        <v>504</v>
      </c>
      <c r="C1125" s="13" t="s">
        <v>1565</v>
      </c>
      <c r="D1125" s="61" t="n">
        <v>45978.261712963</v>
      </c>
      <c r="E1125" s="61" t="n">
        <v>45978.261712963</v>
      </c>
      <c r="F1125" s="61" t="n">
        <v>45978.2686574074</v>
      </c>
      <c r="G1125" s="62" t="n">
        <v>0.00694444444525288</v>
      </c>
      <c r="H1125" s="13" t="s">
        <v>248</v>
      </c>
      <c r="J1125" s="13" t="s">
        <v>249</v>
      </c>
      <c r="K1125" s="13" t="s">
        <v>439</v>
      </c>
      <c r="L1125" s="13" t="s">
        <v>1251</v>
      </c>
      <c r="M1125" s="66" t="s">
        <v>251</v>
      </c>
      <c r="N1125" s="66" t="s">
        <v>625</v>
      </c>
      <c r="P1125" s="0" t="s">
        <v>2226</v>
      </c>
      <c r="Q1125" s="66" t="s">
        <v>1253</v>
      </c>
    </row>
    <row r="1126" customFormat="false" ht="14.25" hidden="false" customHeight="false" outlineLevel="0" collapsed="false">
      <c r="A1126" s="13" t="s">
        <v>878</v>
      </c>
      <c r="B1126" s="13" t="s">
        <v>504</v>
      </c>
      <c r="C1126" s="13" t="s">
        <v>519</v>
      </c>
      <c r="D1126" s="61" t="n">
        <v>45978.2618055556</v>
      </c>
      <c r="E1126" s="61" t="n">
        <v>45978.2618055556</v>
      </c>
      <c r="F1126" s="61" t="n">
        <v>45978.2687615741</v>
      </c>
      <c r="G1126" s="62" t="n">
        <v>0.00695601851475658</v>
      </c>
      <c r="H1126" s="13" t="s">
        <v>248</v>
      </c>
      <c r="J1126" s="13" t="s">
        <v>249</v>
      </c>
      <c r="K1126" s="13" t="s">
        <v>439</v>
      </c>
      <c r="L1126" s="13" t="s">
        <v>1251</v>
      </c>
      <c r="M1126" s="66" t="s">
        <v>251</v>
      </c>
      <c r="N1126" s="66" t="s">
        <v>625</v>
      </c>
      <c r="P1126" s="0" t="s">
        <v>2227</v>
      </c>
      <c r="Q1126" s="66" t="s">
        <v>1253</v>
      </c>
    </row>
    <row r="1127" customFormat="false" ht="14.25" hidden="false" customHeight="false" outlineLevel="0" collapsed="false">
      <c r="A1127" s="13" t="s">
        <v>878</v>
      </c>
      <c r="B1127" s="13" t="s">
        <v>504</v>
      </c>
      <c r="C1127" s="13" t="s">
        <v>1250</v>
      </c>
      <c r="D1127" s="61" t="n">
        <v>45978.2899421296</v>
      </c>
      <c r="E1127" s="61" t="n">
        <v>45978.2899421296</v>
      </c>
      <c r="F1127" s="61" t="n">
        <v>45978.2969328704</v>
      </c>
      <c r="G1127" s="62" t="n">
        <v>0.00699074073781958</v>
      </c>
      <c r="H1127" s="13" t="s">
        <v>248</v>
      </c>
      <c r="J1127" s="13" t="s">
        <v>249</v>
      </c>
      <c r="K1127" s="13" t="s">
        <v>439</v>
      </c>
      <c r="L1127" s="13" t="s">
        <v>1251</v>
      </c>
      <c r="M1127" s="66" t="s">
        <v>251</v>
      </c>
      <c r="N1127" s="66" t="s">
        <v>625</v>
      </c>
      <c r="P1127" s="0" t="s">
        <v>2228</v>
      </c>
      <c r="Q1127" s="66" t="s">
        <v>1253</v>
      </c>
    </row>
    <row r="1128" customFormat="false" ht="14.25" hidden="false" customHeight="false" outlineLevel="0" collapsed="false">
      <c r="A1128" s="13" t="s">
        <v>878</v>
      </c>
      <c r="B1128" s="13" t="s">
        <v>504</v>
      </c>
      <c r="C1128" s="13" t="s">
        <v>1334</v>
      </c>
      <c r="D1128" s="61" t="n">
        <v>45978.290162037</v>
      </c>
      <c r="E1128" s="61" t="n">
        <v>45978.290162037</v>
      </c>
      <c r="F1128" s="61" t="n">
        <v>45978.2971296296</v>
      </c>
      <c r="G1128" s="62" t="n">
        <v>0.00696759259153623</v>
      </c>
      <c r="H1128" s="13" t="s">
        <v>248</v>
      </c>
      <c r="J1128" s="13" t="s">
        <v>249</v>
      </c>
      <c r="K1128" s="13" t="s">
        <v>439</v>
      </c>
      <c r="L1128" s="13" t="s">
        <v>1251</v>
      </c>
      <c r="M1128" s="66" t="s">
        <v>251</v>
      </c>
      <c r="N1128" s="66" t="s">
        <v>625</v>
      </c>
      <c r="P1128" s="0" t="s">
        <v>2229</v>
      </c>
      <c r="Q1128" s="66" t="s">
        <v>1253</v>
      </c>
    </row>
    <row r="1129" customFormat="false" ht="14.25" hidden="false" customHeight="false" outlineLevel="0" collapsed="false">
      <c r="A1129" s="13" t="s">
        <v>878</v>
      </c>
      <c r="B1129" s="13" t="s">
        <v>504</v>
      </c>
      <c r="C1129" s="13" t="s">
        <v>1332</v>
      </c>
      <c r="D1129" s="61" t="n">
        <v>45978.2901736111</v>
      </c>
      <c r="E1129" s="61" t="n">
        <v>45978.2901736111</v>
      </c>
      <c r="F1129" s="61" t="n">
        <v>45978.2971412037</v>
      </c>
      <c r="G1129" s="62" t="n">
        <v>0.00696759259153623</v>
      </c>
      <c r="H1129" s="13" t="s">
        <v>248</v>
      </c>
      <c r="J1129" s="13" t="s">
        <v>249</v>
      </c>
      <c r="K1129" s="13" t="s">
        <v>439</v>
      </c>
      <c r="L1129" s="13" t="s">
        <v>1251</v>
      </c>
      <c r="M1129" s="66" t="s">
        <v>251</v>
      </c>
      <c r="N1129" s="66" t="s">
        <v>625</v>
      </c>
      <c r="P1129" s="0" t="s">
        <v>2230</v>
      </c>
      <c r="Q1129" s="66" t="s">
        <v>1253</v>
      </c>
    </row>
    <row r="1130" customFormat="false" ht="14.25" hidden="false" customHeight="false" outlineLevel="0" collapsed="false">
      <c r="A1130" s="13" t="s">
        <v>878</v>
      </c>
      <c r="B1130" s="13" t="s">
        <v>504</v>
      </c>
      <c r="C1130" s="13" t="s">
        <v>1436</v>
      </c>
      <c r="D1130" s="61" t="n">
        <v>45978.2901851852</v>
      </c>
      <c r="E1130" s="61" t="n">
        <v>45978.2901851852</v>
      </c>
      <c r="F1130" s="61" t="n">
        <v>45978.2971412037</v>
      </c>
      <c r="G1130" s="62" t="n">
        <v>0.00695601851475658</v>
      </c>
      <c r="H1130" s="13" t="s">
        <v>248</v>
      </c>
      <c r="J1130" s="13" t="s">
        <v>249</v>
      </c>
      <c r="K1130" s="13" t="s">
        <v>439</v>
      </c>
      <c r="L1130" s="13" t="s">
        <v>1251</v>
      </c>
      <c r="M1130" s="66" t="s">
        <v>251</v>
      </c>
      <c r="N1130" s="66" t="s">
        <v>625</v>
      </c>
      <c r="P1130" s="0" t="s">
        <v>2231</v>
      </c>
      <c r="Q1130" s="66" t="s">
        <v>1253</v>
      </c>
    </row>
    <row r="1131" customFormat="false" ht="14.25" hidden="false" customHeight="false" outlineLevel="0" collapsed="false">
      <c r="A1131" s="13" t="s">
        <v>878</v>
      </c>
      <c r="B1131" s="13" t="s">
        <v>504</v>
      </c>
      <c r="C1131" s="13" t="s">
        <v>1563</v>
      </c>
      <c r="D1131" s="61" t="n">
        <v>45978.2902777778</v>
      </c>
      <c r="E1131" s="61" t="n">
        <v>45978.2902777778</v>
      </c>
      <c r="F1131" s="61" t="n">
        <v>45978.2972222222</v>
      </c>
      <c r="G1131" s="62" t="n">
        <v>0.00694444444525288</v>
      </c>
      <c r="H1131" s="13" t="s">
        <v>248</v>
      </c>
      <c r="J1131" s="13" t="s">
        <v>249</v>
      </c>
      <c r="K1131" s="13" t="s">
        <v>439</v>
      </c>
      <c r="L1131" s="13" t="s">
        <v>1251</v>
      </c>
      <c r="M1131" s="66" t="s">
        <v>251</v>
      </c>
      <c r="N1131" s="66" t="s">
        <v>625</v>
      </c>
      <c r="P1131" s="0" t="s">
        <v>2232</v>
      </c>
      <c r="Q1131" s="66" t="s">
        <v>1253</v>
      </c>
    </row>
    <row r="1132" customFormat="false" ht="14.25" hidden="false" customHeight="false" outlineLevel="0" collapsed="false">
      <c r="A1132" s="13" t="s">
        <v>878</v>
      </c>
      <c r="B1132" s="13" t="s">
        <v>504</v>
      </c>
      <c r="C1132" s="13" t="s">
        <v>1565</v>
      </c>
      <c r="D1132" s="61" t="n">
        <v>45978.2903472222</v>
      </c>
      <c r="E1132" s="61" t="n">
        <v>45978.2903472222</v>
      </c>
      <c r="F1132" s="61" t="n">
        <v>45978.2972916667</v>
      </c>
      <c r="G1132" s="62" t="n">
        <v>0.00694444444525288</v>
      </c>
      <c r="H1132" s="13" t="s">
        <v>248</v>
      </c>
      <c r="J1132" s="13" t="s">
        <v>249</v>
      </c>
      <c r="K1132" s="13" t="s">
        <v>439</v>
      </c>
      <c r="L1132" s="13" t="s">
        <v>1251</v>
      </c>
      <c r="M1132" s="66" t="s">
        <v>251</v>
      </c>
      <c r="N1132" s="66" t="s">
        <v>625</v>
      </c>
      <c r="P1132" s="0" t="s">
        <v>2233</v>
      </c>
      <c r="Q1132" s="66" t="s">
        <v>1253</v>
      </c>
    </row>
    <row r="1133" customFormat="false" ht="14.25" hidden="false" customHeight="false" outlineLevel="0" collapsed="false">
      <c r="A1133" s="13" t="s">
        <v>878</v>
      </c>
      <c r="B1133" s="13" t="s">
        <v>504</v>
      </c>
      <c r="C1133" s="13" t="s">
        <v>519</v>
      </c>
      <c r="D1133" s="61" t="n">
        <v>45978.2904050926</v>
      </c>
      <c r="E1133" s="61" t="n">
        <v>45978.2904050926</v>
      </c>
      <c r="F1133" s="61" t="n">
        <v>45978.2973726852</v>
      </c>
      <c r="G1133" s="62" t="n">
        <v>0.00696759259153623</v>
      </c>
      <c r="H1133" s="13" t="s">
        <v>248</v>
      </c>
      <c r="J1133" s="13" t="s">
        <v>249</v>
      </c>
      <c r="K1133" s="13" t="s">
        <v>439</v>
      </c>
      <c r="L1133" s="13" t="s">
        <v>1251</v>
      </c>
      <c r="M1133" s="66" t="s">
        <v>251</v>
      </c>
      <c r="N1133" s="66" t="s">
        <v>625</v>
      </c>
      <c r="P1133" s="0" t="s">
        <v>2234</v>
      </c>
      <c r="Q1133" s="66" t="s">
        <v>1253</v>
      </c>
    </row>
    <row r="1134" customFormat="false" ht="14.25" hidden="false" customHeight="false" outlineLevel="0" collapsed="false">
      <c r="A1134" s="13" t="s">
        <v>614</v>
      </c>
      <c r="B1134" s="13" t="s">
        <v>614</v>
      </c>
      <c r="C1134" s="13" t="s">
        <v>2060</v>
      </c>
      <c r="D1134" s="61" t="n">
        <v>45978.3631944444</v>
      </c>
      <c r="E1134" s="61" t="n">
        <v>45978.3631944444</v>
      </c>
      <c r="F1134" s="61" t="n">
        <v>45978.4305555556</v>
      </c>
      <c r="G1134" s="62" t="n">
        <v>0.0673611111124046</v>
      </c>
      <c r="H1134" s="13" t="s">
        <v>445</v>
      </c>
      <c r="I1134" s="13" t="s">
        <v>263</v>
      </c>
      <c r="J1134" s="13" t="s">
        <v>264</v>
      </c>
      <c r="K1134" s="13" t="s">
        <v>456</v>
      </c>
      <c r="L1134" s="13" t="s">
        <v>2080</v>
      </c>
      <c r="M1134" s="66" t="s">
        <v>266</v>
      </c>
      <c r="N1134" s="66" t="s">
        <v>252</v>
      </c>
      <c r="O1134" s="66" t="s">
        <v>2235</v>
      </c>
      <c r="P1134" s="0" t="s">
        <v>2236</v>
      </c>
      <c r="Q1134" s="66" t="s">
        <v>1430</v>
      </c>
    </row>
    <row r="1135" customFormat="false" ht="14.25" hidden="false" customHeight="false" outlineLevel="0" collapsed="false">
      <c r="A1135" s="13" t="s">
        <v>614</v>
      </c>
      <c r="B1135" s="13" t="s">
        <v>614</v>
      </c>
      <c r="C1135" s="13" t="s">
        <v>2062</v>
      </c>
      <c r="D1135" s="61" t="n">
        <v>45978.3631944444</v>
      </c>
      <c r="E1135" s="61" t="n">
        <v>45978.3631944444</v>
      </c>
      <c r="F1135" s="61" t="n">
        <v>45978.4305555556</v>
      </c>
      <c r="G1135" s="62" t="n">
        <v>0.0673611111124046</v>
      </c>
      <c r="H1135" s="13" t="s">
        <v>445</v>
      </c>
      <c r="I1135" s="13" t="s">
        <v>263</v>
      </c>
      <c r="J1135" s="13" t="s">
        <v>264</v>
      </c>
      <c r="K1135" s="13" t="s">
        <v>456</v>
      </c>
      <c r="L1135" s="13" t="s">
        <v>2080</v>
      </c>
      <c r="M1135" s="66" t="s">
        <v>266</v>
      </c>
      <c r="N1135" s="66" t="s">
        <v>252</v>
      </c>
      <c r="O1135" s="66" t="s">
        <v>2235</v>
      </c>
      <c r="P1135" s="0" t="s">
        <v>2237</v>
      </c>
      <c r="Q1135" s="66" t="s">
        <v>1430</v>
      </c>
    </row>
    <row r="1136" customFormat="false" ht="14.25" hidden="false" customHeight="false" outlineLevel="0" collapsed="false">
      <c r="A1136" s="13" t="s">
        <v>614</v>
      </c>
      <c r="B1136" s="13" t="s">
        <v>614</v>
      </c>
      <c r="C1136" s="13" t="s">
        <v>2064</v>
      </c>
      <c r="D1136" s="61" t="n">
        <v>45978.3631944444</v>
      </c>
      <c r="E1136" s="61" t="n">
        <v>45978.3631944444</v>
      </c>
      <c r="F1136" s="61" t="n">
        <v>45978.4305555556</v>
      </c>
      <c r="G1136" s="62" t="n">
        <v>0.0673611111124046</v>
      </c>
      <c r="H1136" s="13" t="s">
        <v>445</v>
      </c>
      <c r="I1136" s="13" t="s">
        <v>263</v>
      </c>
      <c r="J1136" s="13" t="s">
        <v>264</v>
      </c>
      <c r="K1136" s="13" t="s">
        <v>456</v>
      </c>
      <c r="L1136" s="13" t="s">
        <v>2080</v>
      </c>
      <c r="M1136" s="66" t="s">
        <v>266</v>
      </c>
      <c r="N1136" s="66" t="s">
        <v>252</v>
      </c>
      <c r="O1136" s="66" t="s">
        <v>2235</v>
      </c>
      <c r="P1136" s="0" t="s">
        <v>2238</v>
      </c>
      <c r="Q1136" s="66" t="s">
        <v>1430</v>
      </c>
    </row>
    <row r="1137" customFormat="false" ht="14.25" hidden="false" customHeight="false" outlineLevel="0" collapsed="false">
      <c r="A1137" s="13" t="s">
        <v>614</v>
      </c>
      <c r="B1137" s="13" t="s">
        <v>614</v>
      </c>
      <c r="C1137" s="13" t="s">
        <v>2066</v>
      </c>
      <c r="D1137" s="61" t="n">
        <v>45978.3631944444</v>
      </c>
      <c r="E1137" s="61" t="n">
        <v>45978.3631944444</v>
      </c>
      <c r="F1137" s="61" t="n">
        <v>45978.4305555556</v>
      </c>
      <c r="G1137" s="62" t="n">
        <v>0.0673611111124046</v>
      </c>
      <c r="H1137" s="13" t="s">
        <v>445</v>
      </c>
      <c r="I1137" s="13" t="s">
        <v>263</v>
      </c>
      <c r="J1137" s="13" t="s">
        <v>264</v>
      </c>
      <c r="K1137" s="13" t="s">
        <v>456</v>
      </c>
      <c r="L1137" s="13" t="s">
        <v>2080</v>
      </c>
      <c r="M1137" s="66" t="s">
        <v>266</v>
      </c>
      <c r="N1137" s="66" t="s">
        <v>252</v>
      </c>
      <c r="O1137" s="66" t="s">
        <v>2235</v>
      </c>
      <c r="P1137" s="0" t="s">
        <v>2239</v>
      </c>
      <c r="Q1137" s="66" t="s">
        <v>1430</v>
      </c>
    </row>
    <row r="1138" customFormat="false" ht="14.25" hidden="false" customHeight="false" outlineLevel="0" collapsed="false">
      <c r="A1138" s="13" t="s">
        <v>614</v>
      </c>
      <c r="B1138" s="13" t="s">
        <v>614</v>
      </c>
      <c r="C1138" s="13" t="s">
        <v>2068</v>
      </c>
      <c r="D1138" s="61" t="n">
        <v>45978.3631944444</v>
      </c>
      <c r="E1138" s="61" t="n">
        <v>45978.3631944444</v>
      </c>
      <c r="F1138" s="61" t="n">
        <v>45978.4305555556</v>
      </c>
      <c r="G1138" s="62" t="n">
        <v>0.0673611111124046</v>
      </c>
      <c r="H1138" s="13" t="s">
        <v>445</v>
      </c>
      <c r="I1138" s="13" t="s">
        <v>263</v>
      </c>
      <c r="J1138" s="13" t="s">
        <v>264</v>
      </c>
      <c r="K1138" s="13" t="s">
        <v>456</v>
      </c>
      <c r="L1138" s="13" t="s">
        <v>2080</v>
      </c>
      <c r="M1138" s="66" t="s">
        <v>266</v>
      </c>
      <c r="N1138" s="66" t="s">
        <v>252</v>
      </c>
      <c r="O1138" s="66" t="s">
        <v>2235</v>
      </c>
      <c r="P1138" s="0" t="s">
        <v>2240</v>
      </c>
      <c r="Q1138" s="66" t="s">
        <v>1430</v>
      </c>
    </row>
    <row r="1139" customFormat="false" ht="14.25" hidden="false" customHeight="false" outlineLevel="0" collapsed="false">
      <c r="A1139" s="13" t="s">
        <v>814</v>
      </c>
      <c r="B1139" s="13" t="s">
        <v>542</v>
      </c>
      <c r="C1139" s="13" t="s">
        <v>543</v>
      </c>
      <c r="D1139" s="61" t="n">
        <v>45978.5208333333</v>
      </c>
      <c r="E1139" s="61" t="n">
        <v>45978.5208333333</v>
      </c>
      <c r="F1139" s="61" t="n">
        <v>45978.6388888889</v>
      </c>
      <c r="G1139" s="62" t="n">
        <v>0.118055555554747</v>
      </c>
      <c r="H1139" s="13" t="s">
        <v>248</v>
      </c>
      <c r="J1139" s="13" t="s">
        <v>256</v>
      </c>
      <c r="K1139" s="13" t="s">
        <v>430</v>
      </c>
      <c r="L1139" s="13" t="s">
        <v>1000</v>
      </c>
      <c r="M1139" s="66" t="s">
        <v>258</v>
      </c>
      <c r="N1139" s="66" t="s">
        <v>379</v>
      </c>
      <c r="O1139" s="66" t="s">
        <v>399</v>
      </c>
      <c r="P1139" s="0" t="s">
        <v>2241</v>
      </c>
      <c r="Q1139" s="66" t="s">
        <v>995</v>
      </c>
    </row>
    <row r="1140" customFormat="false" ht="14.25" hidden="false" customHeight="false" outlineLevel="0" collapsed="false">
      <c r="A1140" s="13" t="s">
        <v>814</v>
      </c>
      <c r="B1140" s="13" t="s">
        <v>542</v>
      </c>
      <c r="C1140" s="13" t="s">
        <v>545</v>
      </c>
      <c r="D1140" s="61" t="n">
        <v>45978.5208333333</v>
      </c>
      <c r="E1140" s="61" t="n">
        <v>45978.5208333333</v>
      </c>
      <c r="F1140" s="61" t="n">
        <v>45978.6388888889</v>
      </c>
      <c r="G1140" s="62" t="n">
        <v>0.118055555554747</v>
      </c>
      <c r="H1140" s="13" t="s">
        <v>248</v>
      </c>
      <c r="J1140" s="13" t="s">
        <v>256</v>
      </c>
      <c r="K1140" s="13" t="s">
        <v>430</v>
      </c>
      <c r="L1140" s="13" t="s">
        <v>1000</v>
      </c>
      <c r="M1140" s="66" t="s">
        <v>258</v>
      </c>
      <c r="N1140" s="66" t="s">
        <v>379</v>
      </c>
      <c r="O1140" s="66" t="s">
        <v>399</v>
      </c>
      <c r="P1140" s="0" t="s">
        <v>2242</v>
      </c>
      <c r="Q1140" s="66" t="s">
        <v>995</v>
      </c>
    </row>
    <row r="1141" customFormat="false" ht="14.25" hidden="false" customHeight="false" outlineLevel="0" collapsed="false">
      <c r="A1141" s="13" t="s">
        <v>814</v>
      </c>
      <c r="B1141" s="13" t="s">
        <v>542</v>
      </c>
      <c r="C1141" s="13" t="s">
        <v>546</v>
      </c>
      <c r="D1141" s="61" t="n">
        <v>45978.5208333333</v>
      </c>
      <c r="E1141" s="61" t="n">
        <v>45978.5208333333</v>
      </c>
      <c r="F1141" s="61" t="n">
        <v>45978.6388888889</v>
      </c>
      <c r="G1141" s="62" t="n">
        <v>0.118055555554747</v>
      </c>
      <c r="H1141" s="13" t="s">
        <v>248</v>
      </c>
      <c r="J1141" s="13" t="s">
        <v>256</v>
      </c>
      <c r="K1141" s="13" t="s">
        <v>430</v>
      </c>
      <c r="L1141" s="13" t="s">
        <v>1000</v>
      </c>
      <c r="M1141" s="66" t="s">
        <v>258</v>
      </c>
      <c r="N1141" s="66" t="s">
        <v>379</v>
      </c>
      <c r="O1141" s="66" t="s">
        <v>399</v>
      </c>
      <c r="P1141" s="0" t="s">
        <v>2243</v>
      </c>
      <c r="Q1141" s="66" t="s">
        <v>995</v>
      </c>
    </row>
    <row r="1142" customFormat="false" ht="14.25" hidden="false" customHeight="false" outlineLevel="0" collapsed="false">
      <c r="A1142" s="13" t="s">
        <v>814</v>
      </c>
      <c r="B1142" s="13" t="s">
        <v>542</v>
      </c>
      <c r="C1142" s="13" t="s">
        <v>547</v>
      </c>
      <c r="D1142" s="61" t="n">
        <v>45978.5208333333</v>
      </c>
      <c r="E1142" s="61" t="n">
        <v>45978.5208333333</v>
      </c>
      <c r="F1142" s="61" t="n">
        <v>45978.6388888889</v>
      </c>
      <c r="G1142" s="62" t="n">
        <v>0.118055555554747</v>
      </c>
      <c r="H1142" s="13" t="s">
        <v>248</v>
      </c>
      <c r="J1142" s="13" t="s">
        <v>256</v>
      </c>
      <c r="K1142" s="13" t="s">
        <v>430</v>
      </c>
      <c r="L1142" s="13" t="s">
        <v>1000</v>
      </c>
      <c r="M1142" s="66" t="s">
        <v>258</v>
      </c>
      <c r="N1142" s="66" t="s">
        <v>379</v>
      </c>
      <c r="O1142" s="66" t="s">
        <v>399</v>
      </c>
      <c r="P1142" s="0" t="s">
        <v>2244</v>
      </c>
      <c r="Q1142" s="66" t="s">
        <v>995</v>
      </c>
    </row>
    <row r="1143" customFormat="false" ht="14.25" hidden="false" customHeight="false" outlineLevel="0" collapsed="false">
      <c r="A1143" s="13" t="s">
        <v>814</v>
      </c>
      <c r="B1143" s="13" t="s">
        <v>542</v>
      </c>
      <c r="C1143" s="13" t="s">
        <v>548</v>
      </c>
      <c r="D1143" s="61" t="n">
        <v>45978.5208333333</v>
      </c>
      <c r="E1143" s="61" t="n">
        <v>45978.5208333333</v>
      </c>
      <c r="F1143" s="61" t="n">
        <v>45978.6388888889</v>
      </c>
      <c r="G1143" s="62" t="n">
        <v>0.118055555554747</v>
      </c>
      <c r="H1143" s="13" t="s">
        <v>248</v>
      </c>
      <c r="J1143" s="13" t="s">
        <v>256</v>
      </c>
      <c r="K1143" s="13" t="s">
        <v>430</v>
      </c>
      <c r="L1143" s="13" t="s">
        <v>1000</v>
      </c>
      <c r="M1143" s="66" t="s">
        <v>258</v>
      </c>
      <c r="N1143" s="66" t="s">
        <v>379</v>
      </c>
      <c r="O1143" s="66" t="s">
        <v>399</v>
      </c>
      <c r="P1143" s="0" t="s">
        <v>2245</v>
      </c>
      <c r="Q1143" s="66" t="s">
        <v>995</v>
      </c>
    </row>
    <row r="1144" customFormat="false" ht="14.25" hidden="false" customHeight="false" outlineLevel="0" collapsed="false">
      <c r="A1144" s="13" t="s">
        <v>814</v>
      </c>
      <c r="B1144" s="13" t="s">
        <v>542</v>
      </c>
      <c r="C1144" s="13" t="s">
        <v>549</v>
      </c>
      <c r="D1144" s="61" t="n">
        <v>45978.5208333333</v>
      </c>
      <c r="E1144" s="61" t="n">
        <v>45978.5208333333</v>
      </c>
      <c r="F1144" s="61" t="n">
        <v>45978.6388888889</v>
      </c>
      <c r="G1144" s="62" t="n">
        <v>0.118055555554747</v>
      </c>
      <c r="H1144" s="13" t="s">
        <v>248</v>
      </c>
      <c r="J1144" s="13" t="s">
        <v>256</v>
      </c>
      <c r="K1144" s="13" t="s">
        <v>430</v>
      </c>
      <c r="L1144" s="13" t="s">
        <v>1000</v>
      </c>
      <c r="M1144" s="66" t="s">
        <v>258</v>
      </c>
      <c r="N1144" s="66" t="s">
        <v>379</v>
      </c>
      <c r="O1144" s="66" t="s">
        <v>399</v>
      </c>
      <c r="P1144" s="0" t="s">
        <v>2246</v>
      </c>
      <c r="Q1144" s="66" t="s">
        <v>995</v>
      </c>
    </row>
    <row r="1145" customFormat="false" ht="14.25" hidden="false" customHeight="false" outlineLevel="0" collapsed="false">
      <c r="A1145" s="13" t="s">
        <v>814</v>
      </c>
      <c r="B1145" s="13" t="s">
        <v>542</v>
      </c>
      <c r="C1145" s="13" t="s">
        <v>550</v>
      </c>
      <c r="D1145" s="61" t="n">
        <v>45978.5208333333</v>
      </c>
      <c r="E1145" s="61" t="n">
        <v>45978.5208333333</v>
      </c>
      <c r="F1145" s="61" t="n">
        <v>45978.6388888889</v>
      </c>
      <c r="G1145" s="62" t="n">
        <v>0.118055555554747</v>
      </c>
      <c r="H1145" s="13" t="s">
        <v>248</v>
      </c>
      <c r="J1145" s="13" t="s">
        <v>256</v>
      </c>
      <c r="K1145" s="13" t="s">
        <v>430</v>
      </c>
      <c r="L1145" s="13" t="s">
        <v>1000</v>
      </c>
      <c r="M1145" s="66" t="s">
        <v>258</v>
      </c>
      <c r="N1145" s="66" t="s">
        <v>379</v>
      </c>
      <c r="O1145" s="66" t="s">
        <v>399</v>
      </c>
      <c r="P1145" s="0" t="s">
        <v>2247</v>
      </c>
      <c r="Q1145" s="66" t="s">
        <v>995</v>
      </c>
    </row>
    <row r="1146" customFormat="false" ht="14.25" hidden="false" customHeight="false" outlineLevel="0" collapsed="false">
      <c r="A1146" s="13" t="s">
        <v>814</v>
      </c>
      <c r="B1146" s="13" t="s">
        <v>542</v>
      </c>
      <c r="C1146" s="13" t="s">
        <v>551</v>
      </c>
      <c r="D1146" s="61" t="n">
        <v>45978.5208333333</v>
      </c>
      <c r="E1146" s="61" t="n">
        <v>45978.5208333333</v>
      </c>
      <c r="F1146" s="61" t="n">
        <v>45978.6388888889</v>
      </c>
      <c r="G1146" s="62" t="n">
        <v>0.118055555554747</v>
      </c>
      <c r="H1146" s="13" t="s">
        <v>248</v>
      </c>
      <c r="J1146" s="13" t="s">
        <v>256</v>
      </c>
      <c r="K1146" s="13" t="s">
        <v>430</v>
      </c>
      <c r="L1146" s="13" t="s">
        <v>1000</v>
      </c>
      <c r="M1146" s="66" t="s">
        <v>258</v>
      </c>
      <c r="N1146" s="66" t="s">
        <v>379</v>
      </c>
      <c r="O1146" s="66" t="s">
        <v>399</v>
      </c>
      <c r="P1146" s="0" t="s">
        <v>2248</v>
      </c>
      <c r="Q1146" s="66" t="s">
        <v>995</v>
      </c>
    </row>
    <row r="1147" customFormat="false" ht="14.25" hidden="false" customHeight="false" outlineLevel="0" collapsed="false">
      <c r="A1147" s="13" t="s">
        <v>815</v>
      </c>
      <c r="B1147" s="13" t="s">
        <v>542</v>
      </c>
      <c r="C1147" s="13" t="s">
        <v>552</v>
      </c>
      <c r="D1147" s="61" t="n">
        <v>45978.5208333333</v>
      </c>
      <c r="E1147" s="61" t="n">
        <v>45978.5208333333</v>
      </c>
      <c r="F1147" s="61" t="n">
        <v>45978.6388888889</v>
      </c>
      <c r="G1147" s="62" t="n">
        <v>0.118055555554747</v>
      </c>
      <c r="H1147" s="13" t="s">
        <v>248</v>
      </c>
      <c r="J1147" s="13" t="s">
        <v>256</v>
      </c>
      <c r="K1147" s="13" t="s">
        <v>430</v>
      </c>
      <c r="L1147" s="13" t="s">
        <v>1000</v>
      </c>
      <c r="M1147" s="66" t="s">
        <v>258</v>
      </c>
      <c r="N1147" s="66" t="s">
        <v>379</v>
      </c>
      <c r="O1147" s="66" t="s">
        <v>399</v>
      </c>
      <c r="P1147" s="0" t="s">
        <v>2249</v>
      </c>
      <c r="Q1147" s="66" t="s">
        <v>995</v>
      </c>
    </row>
    <row r="1148" customFormat="false" ht="14.25" hidden="false" customHeight="false" outlineLevel="0" collapsed="false">
      <c r="A1148" s="13" t="s">
        <v>815</v>
      </c>
      <c r="B1148" s="13" t="s">
        <v>542</v>
      </c>
      <c r="C1148" s="13" t="s">
        <v>553</v>
      </c>
      <c r="D1148" s="61" t="n">
        <v>45978.5208333333</v>
      </c>
      <c r="E1148" s="61" t="n">
        <v>45978.5208333333</v>
      </c>
      <c r="F1148" s="61" t="n">
        <v>45978.6388888889</v>
      </c>
      <c r="G1148" s="62" t="n">
        <v>0.118055555554747</v>
      </c>
      <c r="H1148" s="13" t="s">
        <v>248</v>
      </c>
      <c r="J1148" s="13" t="s">
        <v>256</v>
      </c>
      <c r="K1148" s="13" t="s">
        <v>430</v>
      </c>
      <c r="L1148" s="13" t="s">
        <v>1000</v>
      </c>
      <c r="M1148" s="66" t="s">
        <v>258</v>
      </c>
      <c r="N1148" s="66" t="s">
        <v>379</v>
      </c>
      <c r="O1148" s="66" t="s">
        <v>399</v>
      </c>
      <c r="P1148" s="0" t="s">
        <v>2250</v>
      </c>
      <c r="Q1148" s="66" t="s">
        <v>995</v>
      </c>
    </row>
    <row r="1149" customFormat="false" ht="14.25" hidden="false" customHeight="false" outlineLevel="0" collapsed="false">
      <c r="A1149" s="13" t="s">
        <v>815</v>
      </c>
      <c r="B1149" s="13" t="s">
        <v>542</v>
      </c>
      <c r="C1149" s="13" t="s">
        <v>554</v>
      </c>
      <c r="D1149" s="61" t="n">
        <v>45978.5208333333</v>
      </c>
      <c r="E1149" s="61" t="n">
        <v>45978.5208333333</v>
      </c>
      <c r="F1149" s="61" t="n">
        <v>45978.6388888889</v>
      </c>
      <c r="G1149" s="62" t="n">
        <v>0.118055555554747</v>
      </c>
      <c r="H1149" s="13" t="s">
        <v>248</v>
      </c>
      <c r="J1149" s="13" t="s">
        <v>256</v>
      </c>
      <c r="K1149" s="13" t="s">
        <v>430</v>
      </c>
      <c r="L1149" s="13" t="s">
        <v>1000</v>
      </c>
      <c r="M1149" s="66" t="s">
        <v>258</v>
      </c>
      <c r="N1149" s="66" t="s">
        <v>379</v>
      </c>
      <c r="O1149" s="66" t="s">
        <v>399</v>
      </c>
      <c r="P1149" s="0" t="s">
        <v>2251</v>
      </c>
      <c r="Q1149" s="66" t="s">
        <v>995</v>
      </c>
    </row>
    <row r="1150" customFormat="false" ht="14.25" hidden="false" customHeight="false" outlineLevel="0" collapsed="false">
      <c r="A1150" s="13" t="s">
        <v>815</v>
      </c>
      <c r="B1150" s="13" t="s">
        <v>542</v>
      </c>
      <c r="C1150" s="13" t="s">
        <v>555</v>
      </c>
      <c r="D1150" s="61" t="n">
        <v>45978.5208333333</v>
      </c>
      <c r="E1150" s="61" t="n">
        <v>45978.5208333333</v>
      </c>
      <c r="F1150" s="61" t="n">
        <v>45978.6388888889</v>
      </c>
      <c r="G1150" s="62" t="n">
        <v>0.118055555554747</v>
      </c>
      <c r="H1150" s="13" t="s">
        <v>248</v>
      </c>
      <c r="J1150" s="13" t="s">
        <v>256</v>
      </c>
      <c r="K1150" s="13" t="s">
        <v>430</v>
      </c>
      <c r="L1150" s="13" t="s">
        <v>1000</v>
      </c>
      <c r="M1150" s="66" t="s">
        <v>258</v>
      </c>
      <c r="N1150" s="66" t="s">
        <v>379</v>
      </c>
      <c r="O1150" s="66" t="s">
        <v>399</v>
      </c>
      <c r="P1150" s="0" t="s">
        <v>2252</v>
      </c>
      <c r="Q1150" s="66" t="s">
        <v>995</v>
      </c>
    </row>
    <row r="1151" customFormat="false" ht="14.25" hidden="false" customHeight="false" outlineLevel="0" collapsed="false">
      <c r="A1151" s="13" t="s">
        <v>815</v>
      </c>
      <c r="B1151" s="13" t="s">
        <v>542</v>
      </c>
      <c r="C1151" s="13" t="s">
        <v>556</v>
      </c>
      <c r="D1151" s="61" t="n">
        <v>45978.5208333333</v>
      </c>
      <c r="E1151" s="61" t="n">
        <v>45978.5208333333</v>
      </c>
      <c r="F1151" s="61" t="n">
        <v>45978.6388888889</v>
      </c>
      <c r="G1151" s="62" t="n">
        <v>0.118055555554747</v>
      </c>
      <c r="H1151" s="13" t="s">
        <v>248</v>
      </c>
      <c r="J1151" s="13" t="s">
        <v>256</v>
      </c>
      <c r="K1151" s="13" t="s">
        <v>430</v>
      </c>
      <c r="L1151" s="13" t="s">
        <v>1000</v>
      </c>
      <c r="M1151" s="66" t="s">
        <v>258</v>
      </c>
      <c r="N1151" s="66" t="s">
        <v>379</v>
      </c>
      <c r="O1151" s="66" t="s">
        <v>399</v>
      </c>
      <c r="P1151" s="0" t="s">
        <v>2253</v>
      </c>
      <c r="Q1151" s="66" t="s">
        <v>995</v>
      </c>
    </row>
    <row r="1152" customFormat="false" ht="14.25" hidden="false" customHeight="false" outlineLevel="0" collapsed="false">
      <c r="A1152" s="13" t="s">
        <v>815</v>
      </c>
      <c r="B1152" s="13" t="s">
        <v>542</v>
      </c>
      <c r="C1152" s="13" t="s">
        <v>557</v>
      </c>
      <c r="D1152" s="61" t="n">
        <v>45978.5208333333</v>
      </c>
      <c r="E1152" s="61" t="n">
        <v>45978.5208333333</v>
      </c>
      <c r="F1152" s="61" t="n">
        <v>45978.6388888889</v>
      </c>
      <c r="G1152" s="62" t="n">
        <v>0.118055555554747</v>
      </c>
      <c r="H1152" s="13" t="s">
        <v>248</v>
      </c>
      <c r="J1152" s="13" t="s">
        <v>256</v>
      </c>
      <c r="K1152" s="13" t="s">
        <v>430</v>
      </c>
      <c r="L1152" s="13" t="s">
        <v>1000</v>
      </c>
      <c r="M1152" s="66" t="s">
        <v>258</v>
      </c>
      <c r="N1152" s="66" t="s">
        <v>379</v>
      </c>
      <c r="O1152" s="66" t="s">
        <v>399</v>
      </c>
      <c r="P1152" s="0" t="s">
        <v>2254</v>
      </c>
      <c r="Q1152" s="66" t="s">
        <v>995</v>
      </c>
    </row>
    <row r="1153" customFormat="false" ht="14.25" hidden="false" customHeight="false" outlineLevel="0" collapsed="false">
      <c r="A1153" s="13" t="s">
        <v>815</v>
      </c>
      <c r="B1153" s="13" t="s">
        <v>542</v>
      </c>
      <c r="C1153" s="13" t="s">
        <v>558</v>
      </c>
      <c r="D1153" s="61" t="n">
        <v>45978.5208333333</v>
      </c>
      <c r="E1153" s="61" t="n">
        <v>45978.5208333333</v>
      </c>
      <c r="F1153" s="61" t="n">
        <v>45978.6388888889</v>
      </c>
      <c r="G1153" s="62" t="n">
        <v>0.118055555554747</v>
      </c>
      <c r="H1153" s="13" t="s">
        <v>248</v>
      </c>
      <c r="J1153" s="13" t="s">
        <v>256</v>
      </c>
      <c r="K1153" s="13" t="s">
        <v>430</v>
      </c>
      <c r="L1153" s="13" t="s">
        <v>1000</v>
      </c>
      <c r="M1153" s="66" t="s">
        <v>258</v>
      </c>
      <c r="N1153" s="66" t="s">
        <v>379</v>
      </c>
      <c r="O1153" s="66" t="s">
        <v>399</v>
      </c>
      <c r="P1153" s="0" t="s">
        <v>2255</v>
      </c>
      <c r="Q1153" s="66" t="s">
        <v>995</v>
      </c>
    </row>
    <row r="1154" customFormat="false" ht="14.25" hidden="false" customHeight="false" outlineLevel="0" collapsed="false">
      <c r="A1154" s="13" t="s">
        <v>828</v>
      </c>
      <c r="B1154" s="13" t="s">
        <v>542</v>
      </c>
      <c r="C1154" s="13" t="s">
        <v>559</v>
      </c>
      <c r="D1154" s="61" t="n">
        <v>45978.5208333333</v>
      </c>
      <c r="E1154" s="61" t="n">
        <v>45978.5208333333</v>
      </c>
      <c r="F1154" s="61" t="n">
        <v>45978.6388888889</v>
      </c>
      <c r="G1154" s="62" t="n">
        <v>0.118055555554747</v>
      </c>
      <c r="H1154" s="13" t="s">
        <v>248</v>
      </c>
      <c r="J1154" s="13" t="s">
        <v>256</v>
      </c>
      <c r="K1154" s="13" t="s">
        <v>430</v>
      </c>
      <c r="L1154" s="13" t="s">
        <v>1000</v>
      </c>
      <c r="M1154" s="66" t="s">
        <v>258</v>
      </c>
      <c r="N1154" s="66" t="s">
        <v>379</v>
      </c>
      <c r="O1154" s="66" t="s">
        <v>399</v>
      </c>
      <c r="P1154" s="0" t="s">
        <v>2256</v>
      </c>
      <c r="Q1154" s="66" t="s">
        <v>995</v>
      </c>
    </row>
    <row r="1155" customFormat="false" ht="14.25" hidden="false" customHeight="false" outlineLevel="0" collapsed="false">
      <c r="A1155" s="13" t="s">
        <v>828</v>
      </c>
      <c r="B1155" s="13" t="s">
        <v>542</v>
      </c>
      <c r="C1155" s="13" t="s">
        <v>560</v>
      </c>
      <c r="D1155" s="61" t="n">
        <v>45978.5208333333</v>
      </c>
      <c r="E1155" s="61" t="n">
        <v>45978.5208333333</v>
      </c>
      <c r="F1155" s="61" t="n">
        <v>45978.6388888889</v>
      </c>
      <c r="G1155" s="62" t="n">
        <v>0.118055555554747</v>
      </c>
      <c r="H1155" s="13" t="s">
        <v>248</v>
      </c>
      <c r="J1155" s="13" t="s">
        <v>256</v>
      </c>
      <c r="K1155" s="13" t="s">
        <v>430</v>
      </c>
      <c r="L1155" s="13" t="s">
        <v>1000</v>
      </c>
      <c r="M1155" s="66" t="s">
        <v>258</v>
      </c>
      <c r="N1155" s="66" t="s">
        <v>379</v>
      </c>
      <c r="O1155" s="66" t="s">
        <v>399</v>
      </c>
      <c r="P1155" s="0" t="s">
        <v>2257</v>
      </c>
      <c r="Q1155" s="66" t="s">
        <v>995</v>
      </c>
    </row>
    <row r="1156" customFormat="false" ht="14.25" hidden="false" customHeight="false" outlineLevel="0" collapsed="false">
      <c r="A1156" s="13" t="s">
        <v>828</v>
      </c>
      <c r="B1156" s="13" t="s">
        <v>542</v>
      </c>
      <c r="C1156" s="13" t="s">
        <v>561</v>
      </c>
      <c r="D1156" s="61" t="n">
        <v>45978.5208333333</v>
      </c>
      <c r="E1156" s="61" t="n">
        <v>45978.5208333333</v>
      </c>
      <c r="F1156" s="61" t="n">
        <v>45978.6388888889</v>
      </c>
      <c r="G1156" s="62" t="n">
        <v>0.118055555554747</v>
      </c>
      <c r="H1156" s="13" t="s">
        <v>248</v>
      </c>
      <c r="J1156" s="13" t="s">
        <v>256</v>
      </c>
      <c r="K1156" s="13" t="s">
        <v>430</v>
      </c>
      <c r="L1156" s="13" t="s">
        <v>1000</v>
      </c>
      <c r="M1156" s="66" t="s">
        <v>258</v>
      </c>
      <c r="N1156" s="66" t="s">
        <v>379</v>
      </c>
      <c r="O1156" s="66" t="s">
        <v>399</v>
      </c>
      <c r="P1156" s="0" t="s">
        <v>2258</v>
      </c>
      <c r="Q1156" s="66" t="s">
        <v>995</v>
      </c>
    </row>
    <row r="1157" customFormat="false" ht="14.25" hidden="false" customHeight="false" outlineLevel="0" collapsed="false">
      <c r="A1157" s="13" t="s">
        <v>828</v>
      </c>
      <c r="B1157" s="13" t="s">
        <v>542</v>
      </c>
      <c r="C1157" s="13" t="s">
        <v>562</v>
      </c>
      <c r="D1157" s="61" t="n">
        <v>45978.5208333333</v>
      </c>
      <c r="E1157" s="61" t="n">
        <v>45978.5208333333</v>
      </c>
      <c r="F1157" s="61" t="n">
        <v>45978.6388888889</v>
      </c>
      <c r="G1157" s="62" t="n">
        <v>0.118055555554747</v>
      </c>
      <c r="H1157" s="13" t="s">
        <v>248</v>
      </c>
      <c r="J1157" s="13" t="s">
        <v>256</v>
      </c>
      <c r="K1157" s="13" t="s">
        <v>430</v>
      </c>
      <c r="L1157" s="13" t="s">
        <v>1000</v>
      </c>
      <c r="M1157" s="66" t="s">
        <v>258</v>
      </c>
      <c r="N1157" s="66" t="s">
        <v>379</v>
      </c>
      <c r="O1157" s="66" t="s">
        <v>399</v>
      </c>
      <c r="P1157" s="0" t="s">
        <v>2259</v>
      </c>
      <c r="Q1157" s="66" t="s">
        <v>995</v>
      </c>
    </row>
    <row r="1158" customFormat="false" ht="14.25" hidden="false" customHeight="false" outlineLevel="0" collapsed="false">
      <c r="A1158" s="13" t="s">
        <v>828</v>
      </c>
      <c r="B1158" s="13" t="s">
        <v>542</v>
      </c>
      <c r="C1158" s="13" t="s">
        <v>563</v>
      </c>
      <c r="D1158" s="61" t="n">
        <v>45978.5208333333</v>
      </c>
      <c r="E1158" s="61" t="n">
        <v>45978.5208333333</v>
      </c>
      <c r="F1158" s="61" t="n">
        <v>45978.6388888889</v>
      </c>
      <c r="G1158" s="62" t="n">
        <v>0.118055555554747</v>
      </c>
      <c r="H1158" s="13" t="s">
        <v>248</v>
      </c>
      <c r="J1158" s="13" t="s">
        <v>256</v>
      </c>
      <c r="K1158" s="13" t="s">
        <v>430</v>
      </c>
      <c r="L1158" s="13" t="s">
        <v>1000</v>
      </c>
      <c r="M1158" s="66" t="s">
        <v>258</v>
      </c>
      <c r="N1158" s="66" t="s">
        <v>379</v>
      </c>
      <c r="O1158" s="66" t="s">
        <v>399</v>
      </c>
      <c r="P1158" s="0" t="s">
        <v>2260</v>
      </c>
      <c r="Q1158" s="66" t="s">
        <v>995</v>
      </c>
    </row>
    <row r="1159" customFormat="false" ht="14.25" hidden="false" customHeight="false" outlineLevel="0" collapsed="false">
      <c r="A1159" s="13" t="s">
        <v>829</v>
      </c>
      <c r="B1159" s="13" t="s">
        <v>542</v>
      </c>
      <c r="C1159" s="13" t="s">
        <v>564</v>
      </c>
      <c r="D1159" s="61" t="n">
        <v>45978.5208333333</v>
      </c>
      <c r="E1159" s="61" t="n">
        <v>45978.5208333333</v>
      </c>
      <c r="F1159" s="61" t="n">
        <v>45978.6388888889</v>
      </c>
      <c r="G1159" s="62" t="n">
        <v>0.118055555554747</v>
      </c>
      <c r="H1159" s="13" t="s">
        <v>248</v>
      </c>
      <c r="J1159" s="13" t="s">
        <v>256</v>
      </c>
      <c r="K1159" s="13" t="s">
        <v>430</v>
      </c>
      <c r="L1159" s="13" t="s">
        <v>1000</v>
      </c>
      <c r="M1159" s="66" t="s">
        <v>258</v>
      </c>
      <c r="N1159" s="66" t="s">
        <v>379</v>
      </c>
      <c r="O1159" s="66" t="s">
        <v>399</v>
      </c>
      <c r="P1159" s="0" t="s">
        <v>2261</v>
      </c>
      <c r="Q1159" s="66" t="s">
        <v>995</v>
      </c>
    </row>
    <row r="1160" customFormat="false" ht="14.25" hidden="false" customHeight="false" outlineLevel="0" collapsed="false">
      <c r="A1160" s="13" t="s">
        <v>829</v>
      </c>
      <c r="B1160" s="13" t="s">
        <v>542</v>
      </c>
      <c r="C1160" s="13" t="s">
        <v>565</v>
      </c>
      <c r="D1160" s="61" t="n">
        <v>45978.5208333333</v>
      </c>
      <c r="E1160" s="61" t="n">
        <v>45978.5208333333</v>
      </c>
      <c r="F1160" s="61" t="n">
        <v>45978.6388888889</v>
      </c>
      <c r="G1160" s="62" t="n">
        <v>0.118055555554747</v>
      </c>
      <c r="H1160" s="13" t="s">
        <v>248</v>
      </c>
      <c r="J1160" s="13" t="s">
        <v>256</v>
      </c>
      <c r="K1160" s="13" t="s">
        <v>430</v>
      </c>
      <c r="L1160" s="13" t="s">
        <v>1000</v>
      </c>
      <c r="M1160" s="66" t="s">
        <v>258</v>
      </c>
      <c r="N1160" s="66" t="s">
        <v>379</v>
      </c>
      <c r="O1160" s="66" t="s">
        <v>399</v>
      </c>
      <c r="P1160" s="0" t="s">
        <v>2262</v>
      </c>
      <c r="Q1160" s="66" t="s">
        <v>995</v>
      </c>
    </row>
    <row r="1161" customFormat="false" ht="14.25" hidden="false" customHeight="false" outlineLevel="0" collapsed="false">
      <c r="A1161" s="13" t="s">
        <v>829</v>
      </c>
      <c r="B1161" s="13" t="s">
        <v>542</v>
      </c>
      <c r="C1161" s="13" t="s">
        <v>566</v>
      </c>
      <c r="D1161" s="61" t="n">
        <v>45978.5208333333</v>
      </c>
      <c r="E1161" s="61" t="n">
        <v>45978.5208333333</v>
      </c>
      <c r="F1161" s="61" t="n">
        <v>45978.6388888889</v>
      </c>
      <c r="G1161" s="62" t="n">
        <v>0.118055555554747</v>
      </c>
      <c r="H1161" s="13" t="s">
        <v>248</v>
      </c>
      <c r="J1161" s="13" t="s">
        <v>256</v>
      </c>
      <c r="K1161" s="13" t="s">
        <v>430</v>
      </c>
      <c r="L1161" s="13" t="s">
        <v>1000</v>
      </c>
      <c r="M1161" s="66" t="s">
        <v>258</v>
      </c>
      <c r="N1161" s="66" t="s">
        <v>379</v>
      </c>
      <c r="O1161" s="66" t="s">
        <v>399</v>
      </c>
      <c r="P1161" s="0" t="s">
        <v>2263</v>
      </c>
      <c r="Q1161" s="66" t="s">
        <v>995</v>
      </c>
    </row>
    <row r="1162" customFormat="false" ht="14.25" hidden="false" customHeight="false" outlineLevel="0" collapsed="false">
      <c r="A1162" s="13" t="s">
        <v>829</v>
      </c>
      <c r="B1162" s="13" t="s">
        <v>542</v>
      </c>
      <c r="C1162" s="13" t="s">
        <v>567</v>
      </c>
      <c r="D1162" s="61" t="n">
        <v>45978.5208333333</v>
      </c>
      <c r="E1162" s="61" t="n">
        <v>45978.5208333333</v>
      </c>
      <c r="F1162" s="61" t="n">
        <v>45978.6388888889</v>
      </c>
      <c r="G1162" s="62" t="n">
        <v>0.118055555554747</v>
      </c>
      <c r="H1162" s="13" t="s">
        <v>248</v>
      </c>
      <c r="J1162" s="13" t="s">
        <v>256</v>
      </c>
      <c r="K1162" s="13" t="s">
        <v>430</v>
      </c>
      <c r="L1162" s="13" t="s">
        <v>1000</v>
      </c>
      <c r="M1162" s="66" t="s">
        <v>258</v>
      </c>
      <c r="N1162" s="66" t="s">
        <v>379</v>
      </c>
      <c r="O1162" s="66" t="s">
        <v>399</v>
      </c>
      <c r="P1162" s="0" t="s">
        <v>2264</v>
      </c>
      <c r="Q1162" s="66" t="s">
        <v>995</v>
      </c>
    </row>
    <row r="1163" customFormat="false" ht="14.25" hidden="false" customHeight="false" outlineLevel="0" collapsed="false">
      <c r="A1163" s="13" t="s">
        <v>830</v>
      </c>
      <c r="B1163" s="13" t="s">
        <v>542</v>
      </c>
      <c r="C1163" s="13" t="s">
        <v>568</v>
      </c>
      <c r="D1163" s="61" t="n">
        <v>45978.5208333333</v>
      </c>
      <c r="E1163" s="61" t="n">
        <v>45978.5208333333</v>
      </c>
      <c r="F1163" s="61" t="n">
        <v>45978.6388888889</v>
      </c>
      <c r="G1163" s="62" t="n">
        <v>0.118055555554747</v>
      </c>
      <c r="H1163" s="13" t="s">
        <v>248</v>
      </c>
      <c r="J1163" s="13" t="s">
        <v>256</v>
      </c>
      <c r="K1163" s="13" t="s">
        <v>430</v>
      </c>
      <c r="L1163" s="13" t="s">
        <v>1000</v>
      </c>
      <c r="M1163" s="66" t="s">
        <v>258</v>
      </c>
      <c r="N1163" s="66" t="s">
        <v>379</v>
      </c>
      <c r="O1163" s="66" t="s">
        <v>399</v>
      </c>
      <c r="P1163" s="0" t="s">
        <v>2265</v>
      </c>
      <c r="Q1163" s="66" t="s">
        <v>995</v>
      </c>
    </row>
    <row r="1164" customFormat="false" ht="14.25" hidden="false" customHeight="false" outlineLevel="0" collapsed="false">
      <c r="A1164" s="13" t="s">
        <v>830</v>
      </c>
      <c r="B1164" s="13" t="s">
        <v>542</v>
      </c>
      <c r="C1164" s="13" t="s">
        <v>569</v>
      </c>
      <c r="D1164" s="61" t="n">
        <v>45978.5208333333</v>
      </c>
      <c r="E1164" s="61" t="n">
        <v>45978.5208333333</v>
      </c>
      <c r="F1164" s="61" t="n">
        <v>45978.6388888889</v>
      </c>
      <c r="G1164" s="62" t="n">
        <v>0.118055555554747</v>
      </c>
      <c r="H1164" s="13" t="s">
        <v>248</v>
      </c>
      <c r="J1164" s="13" t="s">
        <v>256</v>
      </c>
      <c r="K1164" s="13" t="s">
        <v>430</v>
      </c>
      <c r="L1164" s="13" t="s">
        <v>1000</v>
      </c>
      <c r="M1164" s="66" t="s">
        <v>258</v>
      </c>
      <c r="N1164" s="66" t="s">
        <v>379</v>
      </c>
      <c r="O1164" s="66" t="s">
        <v>399</v>
      </c>
      <c r="P1164" s="0" t="s">
        <v>2266</v>
      </c>
      <c r="Q1164" s="66" t="s">
        <v>995</v>
      </c>
    </row>
    <row r="1165" customFormat="false" ht="14.25" hidden="false" customHeight="false" outlineLevel="0" collapsed="false">
      <c r="A1165" s="13" t="s">
        <v>830</v>
      </c>
      <c r="B1165" s="13" t="s">
        <v>542</v>
      </c>
      <c r="C1165" s="13" t="s">
        <v>570</v>
      </c>
      <c r="D1165" s="61" t="n">
        <v>45978.5208333333</v>
      </c>
      <c r="E1165" s="61" t="n">
        <v>45978.5208333333</v>
      </c>
      <c r="F1165" s="61" t="n">
        <v>45978.6388888889</v>
      </c>
      <c r="G1165" s="62" t="n">
        <v>0.118055555554747</v>
      </c>
      <c r="H1165" s="13" t="s">
        <v>248</v>
      </c>
      <c r="J1165" s="13" t="s">
        <v>256</v>
      </c>
      <c r="K1165" s="13" t="s">
        <v>430</v>
      </c>
      <c r="L1165" s="13" t="s">
        <v>1000</v>
      </c>
      <c r="M1165" s="66" t="s">
        <v>258</v>
      </c>
      <c r="N1165" s="66" t="s">
        <v>379</v>
      </c>
      <c r="O1165" s="66" t="s">
        <v>399</v>
      </c>
      <c r="P1165" s="0" t="s">
        <v>2267</v>
      </c>
      <c r="Q1165" s="66" t="s">
        <v>995</v>
      </c>
    </row>
    <row r="1166" customFormat="false" ht="14.25" hidden="false" customHeight="false" outlineLevel="0" collapsed="false">
      <c r="A1166" s="13" t="s">
        <v>830</v>
      </c>
      <c r="B1166" s="13" t="s">
        <v>542</v>
      </c>
      <c r="C1166" s="13" t="s">
        <v>571</v>
      </c>
      <c r="D1166" s="61" t="n">
        <v>45978.5208333333</v>
      </c>
      <c r="E1166" s="61" t="n">
        <v>45978.5208333333</v>
      </c>
      <c r="F1166" s="61" t="n">
        <v>45978.6388888889</v>
      </c>
      <c r="G1166" s="62" t="n">
        <v>0.118055555554747</v>
      </c>
      <c r="H1166" s="13" t="s">
        <v>248</v>
      </c>
      <c r="J1166" s="13" t="s">
        <v>256</v>
      </c>
      <c r="K1166" s="13" t="s">
        <v>430</v>
      </c>
      <c r="L1166" s="13" t="s">
        <v>1000</v>
      </c>
      <c r="M1166" s="66" t="s">
        <v>258</v>
      </c>
      <c r="N1166" s="66" t="s">
        <v>379</v>
      </c>
      <c r="O1166" s="66" t="s">
        <v>399</v>
      </c>
      <c r="P1166" s="0" t="s">
        <v>2268</v>
      </c>
      <c r="Q1166" s="66" t="s">
        <v>995</v>
      </c>
    </row>
    <row r="1167" customFormat="false" ht="14.25" hidden="false" customHeight="false" outlineLevel="0" collapsed="false">
      <c r="A1167" s="13" t="s">
        <v>830</v>
      </c>
      <c r="B1167" s="13" t="s">
        <v>542</v>
      </c>
      <c r="C1167" s="13" t="s">
        <v>572</v>
      </c>
      <c r="D1167" s="61" t="n">
        <v>45978.5208333333</v>
      </c>
      <c r="E1167" s="61" t="n">
        <v>45978.5208333333</v>
      </c>
      <c r="F1167" s="61" t="n">
        <v>45978.6388888889</v>
      </c>
      <c r="G1167" s="62" t="n">
        <v>0.118055555554747</v>
      </c>
      <c r="H1167" s="13" t="s">
        <v>248</v>
      </c>
      <c r="J1167" s="13" t="s">
        <v>256</v>
      </c>
      <c r="K1167" s="13" t="s">
        <v>430</v>
      </c>
      <c r="L1167" s="13" t="s">
        <v>1000</v>
      </c>
      <c r="M1167" s="66" t="s">
        <v>258</v>
      </c>
      <c r="N1167" s="66" t="s">
        <v>379</v>
      </c>
      <c r="O1167" s="66" t="s">
        <v>399</v>
      </c>
      <c r="P1167" s="0" t="s">
        <v>2269</v>
      </c>
      <c r="Q1167" s="66" t="s">
        <v>995</v>
      </c>
    </row>
    <row r="1168" customFormat="false" ht="14.25" hidden="false" customHeight="false" outlineLevel="0" collapsed="false">
      <c r="A1168" s="13" t="s">
        <v>578</v>
      </c>
      <c r="B1168" s="13" t="s">
        <v>578</v>
      </c>
      <c r="C1168" s="13" t="s">
        <v>396</v>
      </c>
      <c r="D1168" s="61" t="n">
        <v>45978.5208333333</v>
      </c>
      <c r="E1168" s="61" t="n">
        <v>45978.5208333333</v>
      </c>
      <c r="F1168" s="61" t="n">
        <v>45978.6388888889</v>
      </c>
      <c r="G1168" s="62" t="n">
        <v>0.118055555554747</v>
      </c>
      <c r="H1168" s="13" t="s">
        <v>248</v>
      </c>
      <c r="J1168" s="13" t="s">
        <v>256</v>
      </c>
      <c r="K1168" s="13" t="s">
        <v>430</v>
      </c>
      <c r="L1168" s="13" t="s">
        <v>1000</v>
      </c>
      <c r="M1168" s="66" t="s">
        <v>258</v>
      </c>
      <c r="N1168" s="66" t="s">
        <v>379</v>
      </c>
      <c r="O1168" s="66" t="s">
        <v>399</v>
      </c>
      <c r="P1168" s="0" t="s">
        <v>2270</v>
      </c>
      <c r="Q1168" s="66" t="s">
        <v>995</v>
      </c>
    </row>
    <row r="1169" customFormat="false" ht="14.25" hidden="false" customHeight="false" outlineLevel="0" collapsed="false">
      <c r="A1169" s="13" t="s">
        <v>578</v>
      </c>
      <c r="B1169" s="13" t="s">
        <v>578</v>
      </c>
      <c r="C1169" s="13" t="s">
        <v>397</v>
      </c>
      <c r="D1169" s="61" t="n">
        <v>45978.5208333333</v>
      </c>
      <c r="E1169" s="61" t="n">
        <v>45978.5208333333</v>
      </c>
      <c r="F1169" s="61" t="n">
        <v>45978.6388888889</v>
      </c>
      <c r="G1169" s="62" t="n">
        <v>0.118055555554747</v>
      </c>
      <c r="H1169" s="13" t="s">
        <v>248</v>
      </c>
      <c r="J1169" s="13" t="s">
        <v>256</v>
      </c>
      <c r="K1169" s="13" t="s">
        <v>430</v>
      </c>
      <c r="L1169" s="13" t="s">
        <v>1000</v>
      </c>
      <c r="M1169" s="66" t="s">
        <v>258</v>
      </c>
      <c r="N1169" s="66" t="s">
        <v>379</v>
      </c>
      <c r="O1169" s="66" t="s">
        <v>399</v>
      </c>
      <c r="P1169" s="0" t="s">
        <v>2271</v>
      </c>
      <c r="Q1169" s="66" t="s">
        <v>995</v>
      </c>
    </row>
    <row r="1170" customFormat="false" ht="14.25" hidden="false" customHeight="false" outlineLevel="0" collapsed="false">
      <c r="A1170" s="13" t="s">
        <v>578</v>
      </c>
      <c r="B1170" s="13" t="s">
        <v>578</v>
      </c>
      <c r="C1170" s="13" t="s">
        <v>394</v>
      </c>
      <c r="D1170" s="61" t="n">
        <v>45978.5208333333</v>
      </c>
      <c r="E1170" s="61" t="n">
        <v>45978.5208333333</v>
      </c>
      <c r="F1170" s="61" t="n">
        <v>45978.6388888889</v>
      </c>
      <c r="G1170" s="62" t="n">
        <v>0.118055555554747</v>
      </c>
      <c r="H1170" s="13" t="s">
        <v>248</v>
      </c>
      <c r="J1170" s="13" t="s">
        <v>256</v>
      </c>
      <c r="K1170" s="13" t="s">
        <v>430</v>
      </c>
      <c r="L1170" s="13" t="s">
        <v>1000</v>
      </c>
      <c r="M1170" s="66" t="s">
        <v>258</v>
      </c>
      <c r="N1170" s="66" t="s">
        <v>379</v>
      </c>
      <c r="O1170" s="66" t="s">
        <v>399</v>
      </c>
      <c r="P1170" s="0" t="s">
        <v>2272</v>
      </c>
      <c r="Q1170" s="66" t="s">
        <v>995</v>
      </c>
    </row>
    <row r="1171" customFormat="false" ht="14.25" hidden="false" customHeight="false" outlineLevel="0" collapsed="false">
      <c r="A1171" s="13" t="s">
        <v>578</v>
      </c>
      <c r="B1171" s="13" t="s">
        <v>578</v>
      </c>
      <c r="C1171" s="13" t="s">
        <v>395</v>
      </c>
      <c r="D1171" s="61" t="n">
        <v>45978.5208333333</v>
      </c>
      <c r="E1171" s="61" t="n">
        <v>45978.5208333333</v>
      </c>
      <c r="F1171" s="61" t="n">
        <v>45978.6388888889</v>
      </c>
      <c r="G1171" s="62" t="n">
        <v>0.118055555554747</v>
      </c>
      <c r="H1171" s="13" t="s">
        <v>248</v>
      </c>
      <c r="J1171" s="13" t="s">
        <v>256</v>
      </c>
      <c r="K1171" s="13" t="s">
        <v>430</v>
      </c>
      <c r="L1171" s="13" t="s">
        <v>1000</v>
      </c>
      <c r="M1171" s="66" t="s">
        <v>258</v>
      </c>
      <c r="N1171" s="66" t="s">
        <v>379</v>
      </c>
      <c r="O1171" s="66" t="s">
        <v>399</v>
      </c>
      <c r="P1171" s="0" t="s">
        <v>2273</v>
      </c>
      <c r="Q1171" s="66" t="s">
        <v>995</v>
      </c>
    </row>
    <row r="1172" customFormat="false" ht="14.25" hidden="false" customHeight="false" outlineLevel="0" collapsed="false">
      <c r="A1172" s="13" t="s">
        <v>578</v>
      </c>
      <c r="B1172" s="13" t="s">
        <v>578</v>
      </c>
      <c r="C1172" s="13" t="s">
        <v>391</v>
      </c>
      <c r="D1172" s="61" t="n">
        <v>45978.5208333333</v>
      </c>
      <c r="E1172" s="61" t="n">
        <v>45978.5208333333</v>
      </c>
      <c r="F1172" s="61" t="n">
        <v>45978.6388888889</v>
      </c>
      <c r="G1172" s="62" t="n">
        <v>0.118055555554747</v>
      </c>
      <c r="H1172" s="13" t="s">
        <v>248</v>
      </c>
      <c r="J1172" s="13" t="s">
        <v>256</v>
      </c>
      <c r="K1172" s="13" t="s">
        <v>430</v>
      </c>
      <c r="L1172" s="13" t="s">
        <v>1000</v>
      </c>
      <c r="M1172" s="66" t="s">
        <v>258</v>
      </c>
      <c r="N1172" s="66" t="s">
        <v>379</v>
      </c>
      <c r="O1172" s="66" t="s">
        <v>399</v>
      </c>
      <c r="P1172" s="0" t="s">
        <v>2274</v>
      </c>
      <c r="Q1172" s="66" t="s">
        <v>995</v>
      </c>
    </row>
    <row r="1173" customFormat="false" ht="14.25" hidden="false" customHeight="false" outlineLevel="0" collapsed="false">
      <c r="A1173" s="13" t="s">
        <v>579</v>
      </c>
      <c r="B1173" s="13" t="s">
        <v>579</v>
      </c>
      <c r="C1173" s="13" t="s">
        <v>396</v>
      </c>
      <c r="D1173" s="61" t="n">
        <v>45978.5208333333</v>
      </c>
      <c r="E1173" s="61" t="n">
        <v>45978.5208333333</v>
      </c>
      <c r="F1173" s="61" t="n">
        <v>45978.6388888889</v>
      </c>
      <c r="G1173" s="62" t="n">
        <v>0.118055555554747</v>
      </c>
      <c r="H1173" s="13" t="s">
        <v>248</v>
      </c>
      <c r="J1173" s="13" t="s">
        <v>256</v>
      </c>
      <c r="K1173" s="13" t="s">
        <v>430</v>
      </c>
      <c r="L1173" s="13" t="s">
        <v>1000</v>
      </c>
      <c r="M1173" s="66" t="s">
        <v>258</v>
      </c>
      <c r="N1173" s="66" t="s">
        <v>379</v>
      </c>
      <c r="O1173" s="66" t="s">
        <v>399</v>
      </c>
      <c r="P1173" s="0" t="s">
        <v>2275</v>
      </c>
      <c r="Q1173" s="66" t="s">
        <v>995</v>
      </c>
    </row>
    <row r="1174" customFormat="false" ht="14.25" hidden="false" customHeight="false" outlineLevel="0" collapsed="false">
      <c r="A1174" s="13" t="s">
        <v>579</v>
      </c>
      <c r="B1174" s="13" t="s">
        <v>579</v>
      </c>
      <c r="C1174" s="13" t="s">
        <v>397</v>
      </c>
      <c r="D1174" s="61" t="n">
        <v>45978.5208333333</v>
      </c>
      <c r="E1174" s="61" t="n">
        <v>45978.5208333333</v>
      </c>
      <c r="F1174" s="61" t="n">
        <v>45978.6388888889</v>
      </c>
      <c r="G1174" s="62" t="n">
        <v>0.118055555554747</v>
      </c>
      <c r="H1174" s="13" t="s">
        <v>248</v>
      </c>
      <c r="J1174" s="13" t="s">
        <v>256</v>
      </c>
      <c r="K1174" s="13" t="s">
        <v>430</v>
      </c>
      <c r="L1174" s="13" t="s">
        <v>1000</v>
      </c>
      <c r="M1174" s="66" t="s">
        <v>258</v>
      </c>
      <c r="N1174" s="66" t="s">
        <v>379</v>
      </c>
      <c r="O1174" s="66" t="s">
        <v>399</v>
      </c>
      <c r="P1174" s="0" t="s">
        <v>2276</v>
      </c>
      <c r="Q1174" s="66" t="s">
        <v>995</v>
      </c>
    </row>
    <row r="1175" customFormat="false" ht="14.25" hidden="false" customHeight="false" outlineLevel="0" collapsed="false">
      <c r="A1175" s="13" t="s">
        <v>579</v>
      </c>
      <c r="B1175" s="13" t="s">
        <v>579</v>
      </c>
      <c r="C1175" s="13" t="s">
        <v>394</v>
      </c>
      <c r="D1175" s="61" t="n">
        <v>45978.5208333333</v>
      </c>
      <c r="E1175" s="61" t="n">
        <v>45978.5208333333</v>
      </c>
      <c r="F1175" s="61" t="n">
        <v>45978.6388888889</v>
      </c>
      <c r="G1175" s="62" t="n">
        <v>0.118055555554747</v>
      </c>
      <c r="H1175" s="13" t="s">
        <v>248</v>
      </c>
      <c r="J1175" s="13" t="s">
        <v>256</v>
      </c>
      <c r="K1175" s="13" t="s">
        <v>430</v>
      </c>
      <c r="L1175" s="13" t="s">
        <v>1000</v>
      </c>
      <c r="M1175" s="66" t="s">
        <v>258</v>
      </c>
      <c r="N1175" s="66" t="s">
        <v>379</v>
      </c>
      <c r="O1175" s="66" t="s">
        <v>399</v>
      </c>
      <c r="P1175" s="0" t="s">
        <v>2277</v>
      </c>
      <c r="Q1175" s="66" t="s">
        <v>995</v>
      </c>
    </row>
    <row r="1176" customFormat="false" ht="14.25" hidden="false" customHeight="false" outlineLevel="0" collapsed="false">
      <c r="A1176" s="13" t="s">
        <v>579</v>
      </c>
      <c r="B1176" s="13" t="s">
        <v>579</v>
      </c>
      <c r="C1176" s="13" t="s">
        <v>395</v>
      </c>
      <c r="D1176" s="61" t="n">
        <v>45978.5208333333</v>
      </c>
      <c r="E1176" s="61" t="n">
        <v>45978.5208333333</v>
      </c>
      <c r="F1176" s="61" t="n">
        <v>45978.6388888889</v>
      </c>
      <c r="G1176" s="62" t="n">
        <v>0.118055555554747</v>
      </c>
      <c r="H1176" s="13" t="s">
        <v>248</v>
      </c>
      <c r="J1176" s="13" t="s">
        <v>256</v>
      </c>
      <c r="K1176" s="13" t="s">
        <v>430</v>
      </c>
      <c r="L1176" s="13" t="s">
        <v>1000</v>
      </c>
      <c r="M1176" s="66" t="s">
        <v>258</v>
      </c>
      <c r="N1176" s="66" t="s">
        <v>379</v>
      </c>
      <c r="O1176" s="66" t="s">
        <v>399</v>
      </c>
      <c r="P1176" s="0" t="s">
        <v>2278</v>
      </c>
      <c r="Q1176" s="66" t="s">
        <v>995</v>
      </c>
    </row>
    <row r="1177" customFormat="false" ht="14.25" hidden="false" customHeight="false" outlineLevel="0" collapsed="false">
      <c r="A1177" s="13" t="s">
        <v>579</v>
      </c>
      <c r="B1177" s="13" t="s">
        <v>579</v>
      </c>
      <c r="C1177" s="13" t="s">
        <v>391</v>
      </c>
      <c r="D1177" s="61" t="n">
        <v>45978.5208333333</v>
      </c>
      <c r="E1177" s="61" t="n">
        <v>45978.5208333333</v>
      </c>
      <c r="F1177" s="61" t="n">
        <v>45978.6388888889</v>
      </c>
      <c r="G1177" s="62" t="n">
        <v>0.118055555554747</v>
      </c>
      <c r="H1177" s="13" t="s">
        <v>248</v>
      </c>
      <c r="J1177" s="13" t="s">
        <v>256</v>
      </c>
      <c r="K1177" s="13" t="s">
        <v>430</v>
      </c>
      <c r="L1177" s="13" t="s">
        <v>1000</v>
      </c>
      <c r="M1177" s="66" t="s">
        <v>258</v>
      </c>
      <c r="N1177" s="66" t="s">
        <v>379</v>
      </c>
      <c r="O1177" s="66" t="s">
        <v>399</v>
      </c>
      <c r="P1177" s="0" t="s">
        <v>2279</v>
      </c>
      <c r="Q1177" s="66" t="s">
        <v>995</v>
      </c>
    </row>
    <row r="1178" customFormat="false" ht="14.25" hidden="false" customHeight="false" outlineLevel="0" collapsed="false">
      <c r="A1178" s="13" t="s">
        <v>580</v>
      </c>
      <c r="B1178" s="13" t="s">
        <v>580</v>
      </c>
      <c r="C1178" s="13" t="s">
        <v>396</v>
      </c>
      <c r="D1178" s="61" t="n">
        <v>45978.5208333333</v>
      </c>
      <c r="E1178" s="61" t="n">
        <v>45978.5208333333</v>
      </c>
      <c r="F1178" s="61" t="n">
        <v>45978.6388888889</v>
      </c>
      <c r="G1178" s="62" t="n">
        <v>0.118055555554747</v>
      </c>
      <c r="H1178" s="13" t="s">
        <v>248</v>
      </c>
      <c r="J1178" s="13" t="s">
        <v>256</v>
      </c>
      <c r="K1178" s="13" t="s">
        <v>430</v>
      </c>
      <c r="L1178" s="13" t="s">
        <v>1000</v>
      </c>
      <c r="M1178" s="66" t="s">
        <v>258</v>
      </c>
      <c r="N1178" s="66" t="s">
        <v>379</v>
      </c>
      <c r="O1178" s="66" t="s">
        <v>399</v>
      </c>
      <c r="P1178" s="0" t="s">
        <v>2280</v>
      </c>
      <c r="Q1178" s="66" t="s">
        <v>995</v>
      </c>
    </row>
    <row r="1179" customFormat="false" ht="14.25" hidden="false" customHeight="false" outlineLevel="0" collapsed="false">
      <c r="A1179" s="13" t="s">
        <v>580</v>
      </c>
      <c r="B1179" s="13" t="s">
        <v>580</v>
      </c>
      <c r="C1179" s="13" t="s">
        <v>397</v>
      </c>
      <c r="D1179" s="61" t="n">
        <v>45978.5208333333</v>
      </c>
      <c r="E1179" s="61" t="n">
        <v>45978.5208333333</v>
      </c>
      <c r="F1179" s="61" t="n">
        <v>45978.6388888889</v>
      </c>
      <c r="G1179" s="62" t="n">
        <v>0.118055555554747</v>
      </c>
      <c r="H1179" s="13" t="s">
        <v>248</v>
      </c>
      <c r="J1179" s="13" t="s">
        <v>256</v>
      </c>
      <c r="K1179" s="13" t="s">
        <v>430</v>
      </c>
      <c r="L1179" s="13" t="s">
        <v>1000</v>
      </c>
      <c r="M1179" s="66" t="s">
        <v>258</v>
      </c>
      <c r="N1179" s="66" t="s">
        <v>379</v>
      </c>
      <c r="O1179" s="66" t="s">
        <v>399</v>
      </c>
      <c r="P1179" s="0" t="s">
        <v>2281</v>
      </c>
      <c r="Q1179" s="66" t="s">
        <v>995</v>
      </c>
    </row>
    <row r="1180" customFormat="false" ht="14.25" hidden="false" customHeight="false" outlineLevel="0" collapsed="false">
      <c r="A1180" s="13" t="s">
        <v>580</v>
      </c>
      <c r="B1180" s="13" t="s">
        <v>580</v>
      </c>
      <c r="C1180" s="13" t="s">
        <v>394</v>
      </c>
      <c r="D1180" s="61" t="n">
        <v>45978.5208333333</v>
      </c>
      <c r="E1180" s="61" t="n">
        <v>45978.5208333333</v>
      </c>
      <c r="F1180" s="61" t="n">
        <v>45978.6388888889</v>
      </c>
      <c r="G1180" s="62" t="n">
        <v>0.118055555554747</v>
      </c>
      <c r="H1180" s="13" t="s">
        <v>248</v>
      </c>
      <c r="J1180" s="13" t="s">
        <v>256</v>
      </c>
      <c r="K1180" s="13" t="s">
        <v>430</v>
      </c>
      <c r="L1180" s="13" t="s">
        <v>1000</v>
      </c>
      <c r="M1180" s="66" t="s">
        <v>258</v>
      </c>
      <c r="N1180" s="66" t="s">
        <v>379</v>
      </c>
      <c r="O1180" s="66" t="s">
        <v>399</v>
      </c>
      <c r="P1180" s="0" t="s">
        <v>2282</v>
      </c>
      <c r="Q1180" s="66" t="s">
        <v>995</v>
      </c>
    </row>
    <row r="1181" customFormat="false" ht="14.25" hidden="false" customHeight="false" outlineLevel="0" collapsed="false">
      <c r="A1181" s="13" t="s">
        <v>580</v>
      </c>
      <c r="B1181" s="13" t="s">
        <v>580</v>
      </c>
      <c r="C1181" s="13" t="s">
        <v>395</v>
      </c>
      <c r="D1181" s="61" t="n">
        <v>45978.5208333333</v>
      </c>
      <c r="E1181" s="61" t="n">
        <v>45978.5208333333</v>
      </c>
      <c r="F1181" s="61" t="n">
        <v>45978.6388888889</v>
      </c>
      <c r="G1181" s="62" t="n">
        <v>0.118055555554747</v>
      </c>
      <c r="H1181" s="13" t="s">
        <v>248</v>
      </c>
      <c r="J1181" s="13" t="s">
        <v>256</v>
      </c>
      <c r="K1181" s="13" t="s">
        <v>430</v>
      </c>
      <c r="L1181" s="13" t="s">
        <v>1000</v>
      </c>
      <c r="M1181" s="66" t="s">
        <v>258</v>
      </c>
      <c r="N1181" s="66" t="s">
        <v>379</v>
      </c>
      <c r="O1181" s="66" t="s">
        <v>399</v>
      </c>
      <c r="P1181" s="0" t="s">
        <v>2283</v>
      </c>
      <c r="Q1181" s="66" t="s">
        <v>995</v>
      </c>
    </row>
    <row r="1182" customFormat="false" ht="14.25" hidden="false" customHeight="false" outlineLevel="0" collapsed="false">
      <c r="A1182" s="13" t="s">
        <v>580</v>
      </c>
      <c r="B1182" s="13" t="s">
        <v>580</v>
      </c>
      <c r="C1182" s="13" t="s">
        <v>391</v>
      </c>
      <c r="D1182" s="61" t="n">
        <v>45978.5208333333</v>
      </c>
      <c r="E1182" s="61" t="n">
        <v>45978.5208333333</v>
      </c>
      <c r="F1182" s="61" t="n">
        <v>45978.6388888889</v>
      </c>
      <c r="G1182" s="62" t="n">
        <v>0.118055555554747</v>
      </c>
      <c r="H1182" s="13" t="s">
        <v>248</v>
      </c>
      <c r="J1182" s="13" t="s">
        <v>256</v>
      </c>
      <c r="K1182" s="13" t="s">
        <v>430</v>
      </c>
      <c r="L1182" s="13" t="s">
        <v>1000</v>
      </c>
      <c r="M1182" s="66" t="s">
        <v>258</v>
      </c>
      <c r="N1182" s="66" t="s">
        <v>379</v>
      </c>
      <c r="O1182" s="66" t="s">
        <v>399</v>
      </c>
      <c r="P1182" s="0" t="s">
        <v>2284</v>
      </c>
      <c r="Q1182" s="66" t="s">
        <v>995</v>
      </c>
    </row>
    <row r="1183" customFormat="false" ht="14.25" hidden="false" customHeight="false" outlineLevel="0" collapsed="false">
      <c r="A1183" s="13" t="s">
        <v>614</v>
      </c>
      <c r="B1183" s="13" t="s">
        <v>614</v>
      </c>
      <c r="C1183" s="13" t="s">
        <v>2060</v>
      </c>
      <c r="D1183" s="61" t="n">
        <v>45978.5548611111</v>
      </c>
      <c r="E1183" s="61" t="n">
        <v>45978.5548611111</v>
      </c>
      <c r="F1183" s="61" t="n">
        <v>45979.2916666667</v>
      </c>
      <c r="G1183" s="62" t="n">
        <v>0.736805555556202</v>
      </c>
      <c r="H1183" s="13" t="s">
        <v>445</v>
      </c>
      <c r="I1183" s="13" t="s">
        <v>263</v>
      </c>
      <c r="J1183" s="13" t="s">
        <v>264</v>
      </c>
      <c r="K1183" s="13" t="s">
        <v>456</v>
      </c>
      <c r="L1183" s="13" t="s">
        <v>2050</v>
      </c>
      <c r="M1183" s="66" t="s">
        <v>266</v>
      </c>
      <c r="N1183" s="66" t="s">
        <v>252</v>
      </c>
      <c r="O1183" s="66" t="s">
        <v>2285</v>
      </c>
      <c r="P1183" s="0" t="s">
        <v>2286</v>
      </c>
      <c r="Q1183" s="66" t="s">
        <v>1430</v>
      </c>
    </row>
    <row r="1184" customFormat="false" ht="14.25" hidden="false" customHeight="false" outlineLevel="0" collapsed="false">
      <c r="A1184" s="13" t="s">
        <v>614</v>
      </c>
      <c r="B1184" s="13" t="s">
        <v>614</v>
      </c>
      <c r="C1184" s="13" t="s">
        <v>2062</v>
      </c>
      <c r="D1184" s="61" t="n">
        <v>45978.5548611111</v>
      </c>
      <c r="E1184" s="61" t="n">
        <v>45978.5548611111</v>
      </c>
      <c r="F1184" s="61" t="n">
        <v>45979.2916666667</v>
      </c>
      <c r="G1184" s="62" t="n">
        <v>0.736805555556202</v>
      </c>
      <c r="H1184" s="13" t="s">
        <v>445</v>
      </c>
      <c r="I1184" s="13" t="s">
        <v>263</v>
      </c>
      <c r="J1184" s="13" t="s">
        <v>264</v>
      </c>
      <c r="K1184" s="13" t="s">
        <v>456</v>
      </c>
      <c r="L1184" s="13" t="s">
        <v>2050</v>
      </c>
      <c r="M1184" s="66" t="s">
        <v>266</v>
      </c>
      <c r="N1184" s="66" t="s">
        <v>252</v>
      </c>
      <c r="O1184" s="66" t="s">
        <v>2285</v>
      </c>
      <c r="P1184" s="0" t="s">
        <v>2287</v>
      </c>
      <c r="Q1184" s="66" t="s">
        <v>1430</v>
      </c>
    </row>
    <row r="1185" customFormat="false" ht="14.25" hidden="false" customHeight="false" outlineLevel="0" collapsed="false">
      <c r="A1185" s="13" t="s">
        <v>614</v>
      </c>
      <c r="B1185" s="13" t="s">
        <v>614</v>
      </c>
      <c r="C1185" s="13" t="s">
        <v>2064</v>
      </c>
      <c r="D1185" s="61" t="n">
        <v>45978.5548611111</v>
      </c>
      <c r="E1185" s="61" t="n">
        <v>45978.5548611111</v>
      </c>
      <c r="F1185" s="61" t="n">
        <v>45979.2916666667</v>
      </c>
      <c r="G1185" s="62" t="n">
        <v>0.736805555556202</v>
      </c>
      <c r="H1185" s="13" t="s">
        <v>445</v>
      </c>
      <c r="I1185" s="13" t="s">
        <v>263</v>
      </c>
      <c r="J1185" s="13" t="s">
        <v>264</v>
      </c>
      <c r="K1185" s="13" t="s">
        <v>456</v>
      </c>
      <c r="L1185" s="13" t="s">
        <v>2050</v>
      </c>
      <c r="M1185" s="66" t="s">
        <v>266</v>
      </c>
      <c r="N1185" s="66" t="s">
        <v>252</v>
      </c>
      <c r="O1185" s="66" t="s">
        <v>2285</v>
      </c>
      <c r="P1185" s="0" t="s">
        <v>2288</v>
      </c>
      <c r="Q1185" s="66" t="s">
        <v>1430</v>
      </c>
    </row>
    <row r="1186" customFormat="false" ht="14.25" hidden="false" customHeight="false" outlineLevel="0" collapsed="false">
      <c r="A1186" s="13" t="s">
        <v>614</v>
      </c>
      <c r="B1186" s="13" t="s">
        <v>614</v>
      </c>
      <c r="C1186" s="13" t="s">
        <v>2066</v>
      </c>
      <c r="D1186" s="61" t="n">
        <v>45978.5548611111</v>
      </c>
      <c r="E1186" s="61" t="n">
        <v>45978.5548611111</v>
      </c>
      <c r="F1186" s="61" t="n">
        <v>45979.2916666667</v>
      </c>
      <c r="G1186" s="62" t="n">
        <v>0.736805555556202</v>
      </c>
      <c r="H1186" s="13" t="s">
        <v>445</v>
      </c>
      <c r="I1186" s="13" t="s">
        <v>263</v>
      </c>
      <c r="J1186" s="13" t="s">
        <v>264</v>
      </c>
      <c r="K1186" s="13" t="s">
        <v>456</v>
      </c>
      <c r="L1186" s="13" t="s">
        <v>2050</v>
      </c>
      <c r="M1186" s="66" t="s">
        <v>266</v>
      </c>
      <c r="N1186" s="66" t="s">
        <v>252</v>
      </c>
      <c r="O1186" s="66" t="s">
        <v>2285</v>
      </c>
      <c r="P1186" s="0" t="s">
        <v>2289</v>
      </c>
      <c r="Q1186" s="66" t="s">
        <v>1430</v>
      </c>
    </row>
    <row r="1187" customFormat="false" ht="14.25" hidden="false" customHeight="false" outlineLevel="0" collapsed="false">
      <c r="A1187" s="13" t="s">
        <v>614</v>
      </c>
      <c r="B1187" s="13" t="s">
        <v>614</v>
      </c>
      <c r="C1187" s="13" t="s">
        <v>2068</v>
      </c>
      <c r="D1187" s="61" t="n">
        <v>45978.5548611111</v>
      </c>
      <c r="E1187" s="61" t="n">
        <v>45978.5548611111</v>
      </c>
      <c r="F1187" s="61" t="n">
        <v>45979.2916666667</v>
      </c>
      <c r="G1187" s="62" t="n">
        <v>0.736805555556202</v>
      </c>
      <c r="H1187" s="13" t="s">
        <v>445</v>
      </c>
      <c r="I1187" s="13" t="s">
        <v>263</v>
      </c>
      <c r="J1187" s="13" t="s">
        <v>264</v>
      </c>
      <c r="K1187" s="13" t="s">
        <v>456</v>
      </c>
      <c r="L1187" s="13" t="s">
        <v>2050</v>
      </c>
      <c r="M1187" s="66" t="s">
        <v>266</v>
      </c>
      <c r="N1187" s="66" t="s">
        <v>252</v>
      </c>
      <c r="O1187" s="66" t="s">
        <v>2285</v>
      </c>
      <c r="P1187" s="0" t="s">
        <v>2290</v>
      </c>
      <c r="Q1187" s="66" t="s">
        <v>1430</v>
      </c>
    </row>
    <row r="1188" customFormat="false" ht="14.25" hidden="false" customHeight="false" outlineLevel="0" collapsed="false">
      <c r="A1188" s="13" t="s">
        <v>254</v>
      </c>
      <c r="B1188" s="13" t="s">
        <v>254</v>
      </c>
      <c r="C1188" s="13" t="s">
        <v>255</v>
      </c>
      <c r="D1188" s="61" t="n">
        <v>45978.6166666667</v>
      </c>
      <c r="E1188" s="61" t="n">
        <v>45978.6166666667</v>
      </c>
      <c r="F1188" s="61" t="n">
        <v>45978.6243055556</v>
      </c>
      <c r="G1188" s="62" t="n">
        <v>0.007638888884685</v>
      </c>
      <c r="H1188" s="13" t="s">
        <v>248</v>
      </c>
      <c r="J1188" s="13" t="s">
        <v>256</v>
      </c>
      <c r="K1188" s="13" t="s">
        <v>430</v>
      </c>
      <c r="L1188" s="13" t="s">
        <v>881</v>
      </c>
      <c r="M1188" s="66" t="s">
        <v>258</v>
      </c>
      <c r="N1188" s="66" t="s">
        <v>379</v>
      </c>
      <c r="O1188" s="66" t="s">
        <v>399</v>
      </c>
      <c r="P1188" s="0" t="s">
        <v>2291</v>
      </c>
      <c r="Q1188" s="66" t="s">
        <v>995</v>
      </c>
    </row>
    <row r="1189" customFormat="false" ht="14.25" hidden="false" customHeight="false" outlineLevel="0" collapsed="false">
      <c r="A1189" s="13" t="s">
        <v>307</v>
      </c>
      <c r="B1189" s="13" t="s">
        <v>307</v>
      </c>
      <c r="C1189" s="13" t="s">
        <v>255</v>
      </c>
      <c r="D1189" s="61" t="n">
        <v>45978.6166666667</v>
      </c>
      <c r="E1189" s="61" t="n">
        <v>45978.6166666667</v>
      </c>
      <c r="F1189" s="61" t="n">
        <v>45978.6243055556</v>
      </c>
      <c r="G1189" s="62" t="n">
        <v>0.007638888884685</v>
      </c>
      <c r="H1189" s="13" t="s">
        <v>248</v>
      </c>
      <c r="J1189" s="13" t="s">
        <v>256</v>
      </c>
      <c r="K1189" s="13" t="s">
        <v>430</v>
      </c>
      <c r="L1189" s="13" t="s">
        <v>881</v>
      </c>
      <c r="M1189" s="66" t="s">
        <v>258</v>
      </c>
      <c r="N1189" s="66" t="s">
        <v>379</v>
      </c>
      <c r="O1189" s="66" t="s">
        <v>399</v>
      </c>
      <c r="P1189" s="0" t="s">
        <v>2292</v>
      </c>
      <c r="Q1189" s="66" t="s">
        <v>995</v>
      </c>
    </row>
    <row r="1190" customFormat="false" ht="14.25" hidden="false" customHeight="false" outlineLevel="0" collapsed="false">
      <c r="A1190" s="13" t="s">
        <v>308</v>
      </c>
      <c r="B1190" s="13" t="s">
        <v>308</v>
      </c>
      <c r="C1190" s="13" t="s">
        <v>255</v>
      </c>
      <c r="D1190" s="61" t="n">
        <v>45978.6166666667</v>
      </c>
      <c r="E1190" s="61" t="n">
        <v>45978.6166666667</v>
      </c>
      <c r="F1190" s="61" t="n">
        <v>45978.6243055556</v>
      </c>
      <c r="G1190" s="62" t="n">
        <v>0.007638888884685</v>
      </c>
      <c r="H1190" s="13" t="s">
        <v>248</v>
      </c>
      <c r="J1190" s="13" t="s">
        <v>256</v>
      </c>
      <c r="K1190" s="13" t="s">
        <v>430</v>
      </c>
      <c r="L1190" s="13" t="s">
        <v>881</v>
      </c>
      <c r="M1190" s="66" t="s">
        <v>258</v>
      </c>
      <c r="N1190" s="66" t="s">
        <v>379</v>
      </c>
      <c r="O1190" s="66" t="s">
        <v>399</v>
      </c>
      <c r="P1190" s="0" t="s">
        <v>2293</v>
      </c>
      <c r="Q1190" s="66" t="s">
        <v>995</v>
      </c>
    </row>
    <row r="1191" customFormat="false" ht="14.25" hidden="false" customHeight="false" outlineLevel="0" collapsed="false">
      <c r="A1191" s="13" t="s">
        <v>309</v>
      </c>
      <c r="B1191" s="13" t="s">
        <v>309</v>
      </c>
      <c r="C1191" s="13" t="s">
        <v>255</v>
      </c>
      <c r="D1191" s="61" t="n">
        <v>45978.6166666667</v>
      </c>
      <c r="E1191" s="61" t="n">
        <v>45978.6166666667</v>
      </c>
      <c r="F1191" s="61" t="n">
        <v>45978.6243055556</v>
      </c>
      <c r="G1191" s="62" t="n">
        <v>0.007638888884685</v>
      </c>
      <c r="H1191" s="13" t="s">
        <v>248</v>
      </c>
      <c r="J1191" s="13" t="s">
        <v>256</v>
      </c>
      <c r="K1191" s="13" t="s">
        <v>430</v>
      </c>
      <c r="L1191" s="13" t="s">
        <v>881</v>
      </c>
      <c r="M1191" s="66" t="s">
        <v>258</v>
      </c>
      <c r="N1191" s="66" t="s">
        <v>379</v>
      </c>
      <c r="O1191" s="66" t="s">
        <v>399</v>
      </c>
      <c r="P1191" s="0" t="s">
        <v>2294</v>
      </c>
      <c r="Q1191" s="66" t="s">
        <v>995</v>
      </c>
    </row>
    <row r="1192" customFormat="false" ht="14.25" hidden="false" customHeight="false" outlineLevel="0" collapsed="false">
      <c r="A1192" s="13" t="s">
        <v>310</v>
      </c>
      <c r="B1192" s="13" t="s">
        <v>310</v>
      </c>
      <c r="C1192" s="13" t="s">
        <v>255</v>
      </c>
      <c r="D1192" s="61" t="n">
        <v>45978.6166666667</v>
      </c>
      <c r="E1192" s="61" t="n">
        <v>45978.6166666667</v>
      </c>
      <c r="F1192" s="61" t="n">
        <v>45978.6243055556</v>
      </c>
      <c r="G1192" s="62" t="n">
        <v>0.007638888884685</v>
      </c>
      <c r="H1192" s="13" t="s">
        <v>248</v>
      </c>
      <c r="J1192" s="13" t="s">
        <v>256</v>
      </c>
      <c r="K1192" s="13" t="s">
        <v>430</v>
      </c>
      <c r="L1192" s="13" t="s">
        <v>881</v>
      </c>
      <c r="M1192" s="66" t="s">
        <v>258</v>
      </c>
      <c r="N1192" s="66" t="s">
        <v>379</v>
      </c>
      <c r="O1192" s="66" t="s">
        <v>399</v>
      </c>
      <c r="P1192" s="0" t="s">
        <v>2295</v>
      </c>
      <c r="Q1192" s="66" t="s">
        <v>995</v>
      </c>
    </row>
    <row r="1193" customFormat="false" ht="14.25" hidden="false" customHeight="false" outlineLevel="0" collapsed="false">
      <c r="A1193" s="13" t="s">
        <v>879</v>
      </c>
      <c r="B1193" s="13" t="s">
        <v>512</v>
      </c>
      <c r="C1193" s="13" t="s">
        <v>516</v>
      </c>
      <c r="D1193" s="61" t="n">
        <v>45978.6381944444</v>
      </c>
      <c r="E1193" s="61" t="n">
        <v>45978.6381944444</v>
      </c>
      <c r="F1193" s="61" t="n">
        <v>45986.6354166667</v>
      </c>
      <c r="G1193" s="62" t="n">
        <v>7.99722222222044</v>
      </c>
      <c r="H1193" s="13" t="s">
        <v>248</v>
      </c>
      <c r="J1193" s="13" t="s">
        <v>249</v>
      </c>
      <c r="K1193" s="13" t="s">
        <v>439</v>
      </c>
      <c r="L1193" s="13" t="s">
        <v>2296</v>
      </c>
      <c r="M1193" s="66" t="s">
        <v>288</v>
      </c>
      <c r="N1193" s="66" t="s">
        <v>289</v>
      </c>
      <c r="O1193" s="66" t="s">
        <v>927</v>
      </c>
      <c r="P1193" s="0" t="s">
        <v>2297</v>
      </c>
      <c r="Q1193" s="66" t="s">
        <v>1253</v>
      </c>
    </row>
    <row r="1194" customFormat="false" ht="14.25" hidden="false" customHeight="false" outlineLevel="0" collapsed="false">
      <c r="A1194" s="13" t="s">
        <v>758</v>
      </c>
      <c r="B1194" s="13" t="s">
        <v>758</v>
      </c>
      <c r="C1194" s="13" t="s">
        <v>799</v>
      </c>
      <c r="D1194" s="61" t="n">
        <v>45978.9166666667</v>
      </c>
      <c r="E1194" s="61" t="n">
        <v>45978.9166666667</v>
      </c>
      <c r="F1194" s="61" t="n">
        <v>45978.9444444444</v>
      </c>
      <c r="G1194" s="62" t="n">
        <v>0.0277777777810115</v>
      </c>
      <c r="H1194" s="13" t="s">
        <v>248</v>
      </c>
      <c r="J1194" s="13" t="s">
        <v>256</v>
      </c>
      <c r="K1194" s="13" t="s">
        <v>430</v>
      </c>
      <c r="L1194" s="13" t="s">
        <v>686</v>
      </c>
      <c r="M1194" s="66" t="s">
        <v>258</v>
      </c>
      <c r="N1194" s="66" t="s">
        <v>379</v>
      </c>
      <c r="O1194" s="66" t="s">
        <v>687</v>
      </c>
      <c r="P1194" s="0" t="s">
        <v>2298</v>
      </c>
      <c r="Q1194" s="66" t="s">
        <v>995</v>
      </c>
    </row>
    <row r="1195" customFormat="false" ht="14.25" hidden="false" customHeight="false" outlineLevel="0" collapsed="false">
      <c r="A1195" s="13" t="s">
        <v>758</v>
      </c>
      <c r="B1195" s="13" t="s">
        <v>758</v>
      </c>
      <c r="C1195" s="13" t="s">
        <v>759</v>
      </c>
      <c r="D1195" s="61" t="n">
        <v>45978.9166666667</v>
      </c>
      <c r="E1195" s="61" t="n">
        <v>45978.9166666667</v>
      </c>
      <c r="F1195" s="61" t="n">
        <v>45978.9444444444</v>
      </c>
      <c r="G1195" s="62" t="n">
        <v>0.0277777777810115</v>
      </c>
      <c r="H1195" s="13" t="s">
        <v>248</v>
      </c>
      <c r="J1195" s="13" t="s">
        <v>256</v>
      </c>
      <c r="K1195" s="13" t="s">
        <v>430</v>
      </c>
      <c r="L1195" s="13" t="s">
        <v>686</v>
      </c>
      <c r="M1195" s="66" t="s">
        <v>258</v>
      </c>
      <c r="N1195" s="66" t="s">
        <v>379</v>
      </c>
      <c r="O1195" s="66" t="s">
        <v>687</v>
      </c>
      <c r="P1195" s="0" t="s">
        <v>2299</v>
      </c>
      <c r="Q1195" s="66" t="s">
        <v>995</v>
      </c>
    </row>
    <row r="1196" customFormat="false" ht="14.25" hidden="false" customHeight="false" outlineLevel="0" collapsed="false">
      <c r="A1196" s="13" t="s">
        <v>758</v>
      </c>
      <c r="B1196" s="13" t="s">
        <v>758</v>
      </c>
      <c r="C1196" s="13" t="s">
        <v>761</v>
      </c>
      <c r="D1196" s="61" t="n">
        <v>45978.9166666667</v>
      </c>
      <c r="E1196" s="61" t="n">
        <v>45978.9166666667</v>
      </c>
      <c r="F1196" s="61" t="n">
        <v>45978.9444444444</v>
      </c>
      <c r="G1196" s="62" t="n">
        <v>0.0277777777810115</v>
      </c>
      <c r="H1196" s="13" t="s">
        <v>248</v>
      </c>
      <c r="J1196" s="13" t="s">
        <v>256</v>
      </c>
      <c r="K1196" s="13" t="s">
        <v>430</v>
      </c>
      <c r="L1196" s="13" t="s">
        <v>686</v>
      </c>
      <c r="M1196" s="66" t="s">
        <v>258</v>
      </c>
      <c r="N1196" s="66" t="s">
        <v>379</v>
      </c>
      <c r="O1196" s="66" t="s">
        <v>687</v>
      </c>
      <c r="P1196" s="0" t="s">
        <v>2300</v>
      </c>
      <c r="Q1196" s="66" t="s">
        <v>995</v>
      </c>
    </row>
    <row r="1197" customFormat="false" ht="14.25" hidden="false" customHeight="false" outlineLevel="0" collapsed="false">
      <c r="A1197" s="13" t="s">
        <v>758</v>
      </c>
      <c r="B1197" s="13" t="s">
        <v>758</v>
      </c>
      <c r="C1197" s="13" t="s">
        <v>762</v>
      </c>
      <c r="D1197" s="61" t="n">
        <v>45978.9166666667</v>
      </c>
      <c r="E1197" s="61" t="n">
        <v>45978.9166666667</v>
      </c>
      <c r="F1197" s="61" t="n">
        <v>45978.9444444444</v>
      </c>
      <c r="G1197" s="62" t="n">
        <v>0.0277777777810115</v>
      </c>
      <c r="H1197" s="13" t="s">
        <v>248</v>
      </c>
      <c r="J1197" s="13" t="s">
        <v>256</v>
      </c>
      <c r="K1197" s="13" t="s">
        <v>430</v>
      </c>
      <c r="L1197" s="13" t="s">
        <v>686</v>
      </c>
      <c r="M1197" s="66" t="s">
        <v>258</v>
      </c>
      <c r="N1197" s="66" t="s">
        <v>379</v>
      </c>
      <c r="O1197" s="66" t="s">
        <v>687</v>
      </c>
      <c r="P1197" s="0" t="s">
        <v>2301</v>
      </c>
      <c r="Q1197" s="66" t="s">
        <v>995</v>
      </c>
    </row>
    <row r="1198" customFormat="false" ht="14.25" hidden="false" customHeight="false" outlineLevel="0" collapsed="false">
      <c r="A1198" s="13" t="s">
        <v>758</v>
      </c>
      <c r="B1198" s="13" t="s">
        <v>758</v>
      </c>
      <c r="C1198" s="13" t="s">
        <v>763</v>
      </c>
      <c r="D1198" s="61" t="n">
        <v>45978.9166666667</v>
      </c>
      <c r="E1198" s="61" t="n">
        <v>45978.9166666667</v>
      </c>
      <c r="F1198" s="61" t="n">
        <v>45978.9444444444</v>
      </c>
      <c r="G1198" s="62" t="n">
        <v>0.0277777777810115</v>
      </c>
      <c r="H1198" s="13" t="s">
        <v>248</v>
      </c>
      <c r="J1198" s="13" t="s">
        <v>256</v>
      </c>
      <c r="K1198" s="13" t="s">
        <v>430</v>
      </c>
      <c r="L1198" s="13" t="s">
        <v>686</v>
      </c>
      <c r="M1198" s="66" t="s">
        <v>258</v>
      </c>
      <c r="N1198" s="66" t="s">
        <v>379</v>
      </c>
      <c r="O1198" s="66" t="s">
        <v>687</v>
      </c>
      <c r="P1198" s="0" t="s">
        <v>2302</v>
      </c>
      <c r="Q1198" s="66" t="s">
        <v>995</v>
      </c>
    </row>
    <row r="1199" customFormat="false" ht="14.25" hidden="false" customHeight="false" outlineLevel="0" collapsed="false">
      <c r="A1199" s="13" t="s">
        <v>764</v>
      </c>
      <c r="B1199" s="13" t="s">
        <v>764</v>
      </c>
      <c r="C1199" s="13" t="s">
        <v>269</v>
      </c>
      <c r="D1199" s="61" t="n">
        <v>45978.9166666667</v>
      </c>
      <c r="E1199" s="61" t="n">
        <v>45978.9166666667</v>
      </c>
      <c r="F1199" s="61" t="n">
        <v>45978.9444444444</v>
      </c>
      <c r="G1199" s="62" t="n">
        <v>0.0277777777810115</v>
      </c>
      <c r="H1199" s="13" t="s">
        <v>248</v>
      </c>
      <c r="J1199" s="13" t="s">
        <v>256</v>
      </c>
      <c r="K1199" s="13" t="s">
        <v>430</v>
      </c>
      <c r="L1199" s="13" t="s">
        <v>686</v>
      </c>
      <c r="M1199" s="66" t="s">
        <v>258</v>
      </c>
      <c r="N1199" s="66" t="s">
        <v>379</v>
      </c>
      <c r="O1199" s="66" t="s">
        <v>687</v>
      </c>
      <c r="P1199" s="0" t="s">
        <v>2303</v>
      </c>
      <c r="Q1199" s="66" t="s">
        <v>995</v>
      </c>
    </row>
    <row r="1200" customFormat="false" ht="14.25" hidden="false" customHeight="false" outlineLevel="0" collapsed="false">
      <c r="A1200" s="13" t="s">
        <v>764</v>
      </c>
      <c r="B1200" s="13" t="s">
        <v>764</v>
      </c>
      <c r="C1200" s="13" t="s">
        <v>262</v>
      </c>
      <c r="D1200" s="61" t="n">
        <v>45978.9166666667</v>
      </c>
      <c r="E1200" s="61" t="n">
        <v>45978.9166666667</v>
      </c>
      <c r="F1200" s="61" t="n">
        <v>45978.9444444444</v>
      </c>
      <c r="G1200" s="62" t="n">
        <v>0.0277777777810115</v>
      </c>
      <c r="H1200" s="13" t="s">
        <v>248</v>
      </c>
      <c r="J1200" s="13" t="s">
        <v>256</v>
      </c>
      <c r="K1200" s="13" t="s">
        <v>430</v>
      </c>
      <c r="L1200" s="13" t="s">
        <v>686</v>
      </c>
      <c r="M1200" s="66" t="s">
        <v>258</v>
      </c>
      <c r="N1200" s="66" t="s">
        <v>379</v>
      </c>
      <c r="O1200" s="66" t="s">
        <v>687</v>
      </c>
      <c r="P1200" s="0" t="s">
        <v>2304</v>
      </c>
      <c r="Q1200" s="66" t="s">
        <v>995</v>
      </c>
    </row>
    <row r="1201" customFormat="false" ht="14.25" hidden="false" customHeight="false" outlineLevel="0" collapsed="false">
      <c r="A1201" s="13" t="s">
        <v>764</v>
      </c>
      <c r="B1201" s="13" t="s">
        <v>764</v>
      </c>
      <c r="C1201" s="13" t="s">
        <v>270</v>
      </c>
      <c r="D1201" s="61" t="n">
        <v>45978.9166666667</v>
      </c>
      <c r="E1201" s="61" t="n">
        <v>45978.9166666667</v>
      </c>
      <c r="F1201" s="61" t="n">
        <v>45978.9444444444</v>
      </c>
      <c r="G1201" s="62" t="n">
        <v>0.0277777777810115</v>
      </c>
      <c r="H1201" s="13" t="s">
        <v>248</v>
      </c>
      <c r="J1201" s="13" t="s">
        <v>256</v>
      </c>
      <c r="K1201" s="13" t="s">
        <v>430</v>
      </c>
      <c r="L1201" s="13" t="s">
        <v>686</v>
      </c>
      <c r="M1201" s="66" t="s">
        <v>258</v>
      </c>
      <c r="N1201" s="66" t="s">
        <v>379</v>
      </c>
      <c r="O1201" s="66" t="s">
        <v>687</v>
      </c>
      <c r="P1201" s="0" t="s">
        <v>2305</v>
      </c>
      <c r="Q1201" s="66" t="s">
        <v>995</v>
      </c>
    </row>
    <row r="1202" customFormat="false" ht="14.25" hidden="false" customHeight="false" outlineLevel="0" collapsed="false">
      <c r="A1202" s="13" t="s">
        <v>764</v>
      </c>
      <c r="B1202" s="13" t="s">
        <v>764</v>
      </c>
      <c r="C1202" s="13" t="s">
        <v>272</v>
      </c>
      <c r="D1202" s="61" t="n">
        <v>45978.9166666667</v>
      </c>
      <c r="E1202" s="61" t="n">
        <v>45978.9166666667</v>
      </c>
      <c r="F1202" s="61" t="n">
        <v>45978.9444444444</v>
      </c>
      <c r="G1202" s="62" t="n">
        <v>0.0277777777810115</v>
      </c>
      <c r="H1202" s="13" t="s">
        <v>248</v>
      </c>
      <c r="J1202" s="13" t="s">
        <v>256</v>
      </c>
      <c r="K1202" s="13" t="s">
        <v>430</v>
      </c>
      <c r="L1202" s="13" t="s">
        <v>686</v>
      </c>
      <c r="M1202" s="66" t="s">
        <v>258</v>
      </c>
      <c r="N1202" s="66" t="s">
        <v>379</v>
      </c>
      <c r="O1202" s="66" t="s">
        <v>687</v>
      </c>
      <c r="P1202" s="0" t="s">
        <v>2306</v>
      </c>
      <c r="Q1202" s="66" t="s">
        <v>995</v>
      </c>
    </row>
    <row r="1203" customFormat="false" ht="14.25" hidden="false" customHeight="false" outlineLevel="0" collapsed="false">
      <c r="A1203" s="13" t="s">
        <v>764</v>
      </c>
      <c r="B1203" s="13" t="s">
        <v>764</v>
      </c>
      <c r="C1203" s="13" t="s">
        <v>271</v>
      </c>
      <c r="D1203" s="61" t="n">
        <v>45978.9166666667</v>
      </c>
      <c r="E1203" s="61" t="n">
        <v>45978.9166666667</v>
      </c>
      <c r="F1203" s="61" t="n">
        <v>45978.9444444444</v>
      </c>
      <c r="G1203" s="62" t="n">
        <v>0.0277777777810115</v>
      </c>
      <c r="H1203" s="13" t="s">
        <v>248</v>
      </c>
      <c r="J1203" s="13" t="s">
        <v>256</v>
      </c>
      <c r="K1203" s="13" t="s">
        <v>430</v>
      </c>
      <c r="L1203" s="13" t="s">
        <v>686</v>
      </c>
      <c r="M1203" s="66" t="s">
        <v>258</v>
      </c>
      <c r="N1203" s="66" t="s">
        <v>379</v>
      </c>
      <c r="O1203" s="66" t="s">
        <v>687</v>
      </c>
      <c r="P1203" s="0" t="s">
        <v>2307</v>
      </c>
      <c r="Q1203" s="66" t="s">
        <v>995</v>
      </c>
    </row>
    <row r="1204" customFormat="false" ht="14.25" hidden="false" customHeight="false" outlineLevel="0" collapsed="false">
      <c r="A1204" s="13" t="s">
        <v>765</v>
      </c>
      <c r="B1204" s="13" t="s">
        <v>765</v>
      </c>
      <c r="C1204" s="13" t="s">
        <v>604</v>
      </c>
      <c r="D1204" s="61" t="n">
        <v>45978.9166666667</v>
      </c>
      <c r="E1204" s="61" t="n">
        <v>45978.9166666667</v>
      </c>
      <c r="F1204" s="61" t="n">
        <v>45978.9444444444</v>
      </c>
      <c r="G1204" s="62" t="n">
        <v>0.0277777777810115</v>
      </c>
      <c r="H1204" s="13" t="s">
        <v>248</v>
      </c>
      <c r="J1204" s="13" t="s">
        <v>256</v>
      </c>
      <c r="K1204" s="13" t="s">
        <v>430</v>
      </c>
      <c r="L1204" s="13" t="s">
        <v>686</v>
      </c>
      <c r="M1204" s="66" t="s">
        <v>258</v>
      </c>
      <c r="N1204" s="66" t="s">
        <v>379</v>
      </c>
      <c r="O1204" s="66" t="s">
        <v>687</v>
      </c>
      <c r="P1204" s="0" t="s">
        <v>2308</v>
      </c>
      <c r="Q1204" s="66" t="s">
        <v>995</v>
      </c>
    </row>
    <row r="1205" customFormat="false" ht="14.25" hidden="false" customHeight="false" outlineLevel="0" collapsed="false">
      <c r="A1205" s="13" t="s">
        <v>765</v>
      </c>
      <c r="B1205" s="13" t="s">
        <v>765</v>
      </c>
      <c r="C1205" s="13" t="s">
        <v>499</v>
      </c>
      <c r="D1205" s="61" t="n">
        <v>45978.9166666667</v>
      </c>
      <c r="E1205" s="61" t="n">
        <v>45978.9166666667</v>
      </c>
      <c r="F1205" s="61" t="n">
        <v>45978.9444444444</v>
      </c>
      <c r="G1205" s="62" t="n">
        <v>0.0277777777810115</v>
      </c>
      <c r="H1205" s="13" t="s">
        <v>248</v>
      </c>
      <c r="J1205" s="13" t="s">
        <v>256</v>
      </c>
      <c r="K1205" s="13" t="s">
        <v>430</v>
      </c>
      <c r="L1205" s="13" t="s">
        <v>686</v>
      </c>
      <c r="M1205" s="66" t="s">
        <v>258</v>
      </c>
      <c r="N1205" s="66" t="s">
        <v>379</v>
      </c>
      <c r="O1205" s="66" t="s">
        <v>687</v>
      </c>
      <c r="P1205" s="0" t="s">
        <v>2309</v>
      </c>
      <c r="Q1205" s="66" t="s">
        <v>995</v>
      </c>
    </row>
    <row r="1206" customFormat="false" ht="14.25" hidden="false" customHeight="false" outlineLevel="0" collapsed="false">
      <c r="A1206" s="13" t="s">
        <v>765</v>
      </c>
      <c r="B1206" s="13" t="s">
        <v>765</v>
      </c>
      <c r="C1206" s="13" t="s">
        <v>607</v>
      </c>
      <c r="D1206" s="61" t="n">
        <v>45978.9166666667</v>
      </c>
      <c r="E1206" s="61" t="n">
        <v>45978.9166666667</v>
      </c>
      <c r="F1206" s="61" t="n">
        <v>45978.9444444444</v>
      </c>
      <c r="G1206" s="62" t="n">
        <v>0.0277777777810115</v>
      </c>
      <c r="H1206" s="13" t="s">
        <v>248</v>
      </c>
      <c r="J1206" s="13" t="s">
        <v>256</v>
      </c>
      <c r="K1206" s="13" t="s">
        <v>430</v>
      </c>
      <c r="L1206" s="13" t="s">
        <v>686</v>
      </c>
      <c r="M1206" s="66" t="s">
        <v>258</v>
      </c>
      <c r="N1206" s="66" t="s">
        <v>379</v>
      </c>
      <c r="O1206" s="66" t="s">
        <v>687</v>
      </c>
      <c r="P1206" s="0" t="s">
        <v>2310</v>
      </c>
      <c r="Q1206" s="66" t="s">
        <v>995</v>
      </c>
    </row>
    <row r="1207" customFormat="false" ht="14.25" hidden="false" customHeight="false" outlineLevel="0" collapsed="false">
      <c r="A1207" s="13" t="s">
        <v>766</v>
      </c>
      <c r="B1207" s="13" t="s">
        <v>766</v>
      </c>
      <c r="C1207" s="13" t="s">
        <v>767</v>
      </c>
      <c r="D1207" s="61" t="n">
        <v>45978.9166666667</v>
      </c>
      <c r="E1207" s="61" t="n">
        <v>45978.9166666667</v>
      </c>
      <c r="F1207" s="61" t="n">
        <v>45978.9444444444</v>
      </c>
      <c r="G1207" s="62" t="n">
        <v>0.0277777777810115</v>
      </c>
      <c r="H1207" s="13" t="s">
        <v>248</v>
      </c>
      <c r="J1207" s="13" t="s">
        <v>256</v>
      </c>
      <c r="K1207" s="13" t="s">
        <v>430</v>
      </c>
      <c r="L1207" s="13" t="s">
        <v>686</v>
      </c>
      <c r="M1207" s="66" t="s">
        <v>258</v>
      </c>
      <c r="N1207" s="66" t="s">
        <v>379</v>
      </c>
      <c r="O1207" s="66" t="s">
        <v>687</v>
      </c>
      <c r="P1207" s="0" t="s">
        <v>2311</v>
      </c>
      <c r="Q1207" s="66" t="s">
        <v>995</v>
      </c>
    </row>
    <row r="1208" customFormat="false" ht="14.25" hidden="false" customHeight="false" outlineLevel="0" collapsed="false">
      <c r="A1208" s="13" t="s">
        <v>766</v>
      </c>
      <c r="B1208" s="13" t="s">
        <v>766</v>
      </c>
      <c r="C1208" s="13" t="s">
        <v>280</v>
      </c>
      <c r="D1208" s="61" t="n">
        <v>45978.9166666667</v>
      </c>
      <c r="E1208" s="61" t="n">
        <v>45978.9166666667</v>
      </c>
      <c r="F1208" s="61" t="n">
        <v>45978.9444444444</v>
      </c>
      <c r="G1208" s="62" t="n">
        <v>0.0277777777810115</v>
      </c>
      <c r="H1208" s="13" t="s">
        <v>248</v>
      </c>
      <c r="J1208" s="13" t="s">
        <v>256</v>
      </c>
      <c r="K1208" s="13" t="s">
        <v>430</v>
      </c>
      <c r="L1208" s="13" t="s">
        <v>686</v>
      </c>
      <c r="M1208" s="66" t="s">
        <v>258</v>
      </c>
      <c r="N1208" s="66" t="s">
        <v>379</v>
      </c>
      <c r="O1208" s="66" t="s">
        <v>687</v>
      </c>
      <c r="P1208" s="0" t="s">
        <v>2312</v>
      </c>
      <c r="Q1208" s="66" t="s">
        <v>995</v>
      </c>
    </row>
    <row r="1209" customFormat="false" ht="14.25" hidden="false" customHeight="false" outlineLevel="0" collapsed="false">
      <c r="A1209" s="13" t="s">
        <v>766</v>
      </c>
      <c r="B1209" s="13" t="s">
        <v>766</v>
      </c>
      <c r="C1209" s="13" t="s">
        <v>690</v>
      </c>
      <c r="D1209" s="61" t="n">
        <v>45978.9166666667</v>
      </c>
      <c r="E1209" s="61" t="n">
        <v>45978.9166666667</v>
      </c>
      <c r="F1209" s="61" t="n">
        <v>45978.9444444444</v>
      </c>
      <c r="G1209" s="62" t="n">
        <v>0.0277777777810115</v>
      </c>
      <c r="H1209" s="13" t="s">
        <v>248</v>
      </c>
      <c r="J1209" s="13" t="s">
        <v>256</v>
      </c>
      <c r="K1209" s="13" t="s">
        <v>430</v>
      </c>
      <c r="L1209" s="13" t="s">
        <v>686</v>
      </c>
      <c r="M1209" s="66" t="s">
        <v>258</v>
      </c>
      <c r="N1209" s="66" t="s">
        <v>379</v>
      </c>
      <c r="O1209" s="66" t="s">
        <v>687</v>
      </c>
      <c r="P1209" s="0" t="s">
        <v>2313</v>
      </c>
      <c r="Q1209" s="66" t="s">
        <v>995</v>
      </c>
    </row>
    <row r="1210" customFormat="false" ht="14.25" hidden="false" customHeight="false" outlineLevel="0" collapsed="false">
      <c r="A1210" s="13" t="s">
        <v>766</v>
      </c>
      <c r="B1210" s="13" t="s">
        <v>766</v>
      </c>
      <c r="C1210" s="13" t="s">
        <v>768</v>
      </c>
      <c r="D1210" s="61" t="n">
        <v>45978.9166666667</v>
      </c>
      <c r="E1210" s="61" t="n">
        <v>45978.9166666667</v>
      </c>
      <c r="F1210" s="61" t="n">
        <v>45978.9444444444</v>
      </c>
      <c r="G1210" s="62" t="n">
        <v>0.0277777777810115</v>
      </c>
      <c r="H1210" s="13" t="s">
        <v>248</v>
      </c>
      <c r="J1210" s="13" t="s">
        <v>256</v>
      </c>
      <c r="K1210" s="13" t="s">
        <v>430</v>
      </c>
      <c r="L1210" s="13" t="s">
        <v>686</v>
      </c>
      <c r="M1210" s="66" t="s">
        <v>258</v>
      </c>
      <c r="N1210" s="66" t="s">
        <v>379</v>
      </c>
      <c r="O1210" s="66" t="s">
        <v>687</v>
      </c>
      <c r="P1210" s="0" t="s">
        <v>2314</v>
      </c>
      <c r="Q1210" s="66" t="s">
        <v>995</v>
      </c>
    </row>
    <row r="1211" customFormat="false" ht="14.25" hidden="false" customHeight="false" outlineLevel="0" collapsed="false">
      <c r="A1211" s="13" t="s">
        <v>766</v>
      </c>
      <c r="B1211" s="13" t="s">
        <v>766</v>
      </c>
      <c r="C1211" s="13" t="s">
        <v>279</v>
      </c>
      <c r="D1211" s="61" t="n">
        <v>45978.9166666667</v>
      </c>
      <c r="E1211" s="61" t="n">
        <v>45978.9166666667</v>
      </c>
      <c r="F1211" s="61" t="n">
        <v>45978.9444444444</v>
      </c>
      <c r="G1211" s="62" t="n">
        <v>0.0277777777810115</v>
      </c>
      <c r="H1211" s="13" t="s">
        <v>248</v>
      </c>
      <c r="J1211" s="13" t="s">
        <v>256</v>
      </c>
      <c r="K1211" s="13" t="s">
        <v>430</v>
      </c>
      <c r="L1211" s="13" t="s">
        <v>686</v>
      </c>
      <c r="M1211" s="66" t="s">
        <v>258</v>
      </c>
      <c r="N1211" s="66" t="s">
        <v>379</v>
      </c>
      <c r="O1211" s="66" t="s">
        <v>687</v>
      </c>
      <c r="P1211" s="0" t="s">
        <v>2315</v>
      </c>
      <c r="Q1211" s="66" t="s">
        <v>995</v>
      </c>
    </row>
    <row r="1212" customFormat="false" ht="14.25" hidden="false" customHeight="false" outlineLevel="0" collapsed="false">
      <c r="A1212" s="13" t="s">
        <v>261</v>
      </c>
      <c r="B1212" s="13" t="s">
        <v>261</v>
      </c>
      <c r="C1212" s="13" t="s">
        <v>271</v>
      </c>
      <c r="D1212" s="61" t="n">
        <v>45978.9166666667</v>
      </c>
      <c r="E1212" s="61" t="n">
        <v>45978.9166666667</v>
      </c>
      <c r="F1212" s="61" t="n">
        <v>45978.9444444444</v>
      </c>
      <c r="G1212" s="62" t="n">
        <v>0.0277777777810115</v>
      </c>
      <c r="H1212" s="13" t="s">
        <v>248</v>
      </c>
      <c r="J1212" s="13" t="s">
        <v>256</v>
      </c>
      <c r="K1212" s="13" t="s">
        <v>430</v>
      </c>
      <c r="L1212" s="13" t="s">
        <v>686</v>
      </c>
      <c r="M1212" s="66" t="s">
        <v>258</v>
      </c>
      <c r="N1212" s="66" t="s">
        <v>379</v>
      </c>
      <c r="O1212" s="66" t="s">
        <v>687</v>
      </c>
      <c r="P1212" s="0" t="s">
        <v>2316</v>
      </c>
      <c r="Q1212" s="66" t="s">
        <v>995</v>
      </c>
    </row>
    <row r="1213" customFormat="false" ht="14.25" hidden="false" customHeight="false" outlineLevel="0" collapsed="false">
      <c r="A1213" s="13" t="s">
        <v>261</v>
      </c>
      <c r="B1213" s="13" t="s">
        <v>261</v>
      </c>
      <c r="C1213" s="13" t="s">
        <v>272</v>
      </c>
      <c r="D1213" s="61" t="n">
        <v>45978.9166666667</v>
      </c>
      <c r="E1213" s="61" t="n">
        <v>45978.9166666667</v>
      </c>
      <c r="F1213" s="61" t="n">
        <v>45978.9444444444</v>
      </c>
      <c r="G1213" s="62" t="n">
        <v>0.0277777777810115</v>
      </c>
      <c r="H1213" s="13" t="s">
        <v>248</v>
      </c>
      <c r="J1213" s="13" t="s">
        <v>256</v>
      </c>
      <c r="K1213" s="13" t="s">
        <v>430</v>
      </c>
      <c r="L1213" s="13" t="s">
        <v>686</v>
      </c>
      <c r="M1213" s="66" t="s">
        <v>258</v>
      </c>
      <c r="N1213" s="66" t="s">
        <v>379</v>
      </c>
      <c r="O1213" s="66" t="s">
        <v>687</v>
      </c>
      <c r="P1213" s="0" t="s">
        <v>2317</v>
      </c>
      <c r="Q1213" s="66" t="s">
        <v>995</v>
      </c>
    </row>
    <row r="1214" customFormat="false" ht="14.25" hidden="false" customHeight="false" outlineLevel="0" collapsed="false">
      <c r="A1214" s="13" t="s">
        <v>261</v>
      </c>
      <c r="B1214" s="13" t="s">
        <v>261</v>
      </c>
      <c r="C1214" s="13" t="s">
        <v>270</v>
      </c>
      <c r="D1214" s="61" t="n">
        <v>45978.9166666667</v>
      </c>
      <c r="E1214" s="61" t="n">
        <v>45978.9166666667</v>
      </c>
      <c r="F1214" s="61" t="n">
        <v>45978.9444444444</v>
      </c>
      <c r="G1214" s="62" t="n">
        <v>0.0277777777810115</v>
      </c>
      <c r="H1214" s="13" t="s">
        <v>248</v>
      </c>
      <c r="J1214" s="13" t="s">
        <v>256</v>
      </c>
      <c r="K1214" s="13" t="s">
        <v>430</v>
      </c>
      <c r="L1214" s="13" t="s">
        <v>686</v>
      </c>
      <c r="M1214" s="66" t="s">
        <v>258</v>
      </c>
      <c r="N1214" s="66" t="s">
        <v>379</v>
      </c>
      <c r="O1214" s="66" t="s">
        <v>687</v>
      </c>
      <c r="P1214" s="0" t="s">
        <v>2318</v>
      </c>
      <c r="Q1214" s="66" t="s">
        <v>995</v>
      </c>
    </row>
    <row r="1215" customFormat="false" ht="14.25" hidden="false" customHeight="false" outlineLevel="0" collapsed="false">
      <c r="A1215" s="13" t="s">
        <v>261</v>
      </c>
      <c r="B1215" s="13" t="s">
        <v>261</v>
      </c>
      <c r="C1215" s="13" t="s">
        <v>262</v>
      </c>
      <c r="D1215" s="61" t="n">
        <v>45978.9166666667</v>
      </c>
      <c r="E1215" s="61" t="n">
        <v>45978.9166666667</v>
      </c>
      <c r="F1215" s="61" t="n">
        <v>45978.9444444444</v>
      </c>
      <c r="G1215" s="62" t="n">
        <v>0.0277777777810115</v>
      </c>
      <c r="H1215" s="13" t="s">
        <v>248</v>
      </c>
      <c r="J1215" s="13" t="s">
        <v>256</v>
      </c>
      <c r="K1215" s="13" t="s">
        <v>430</v>
      </c>
      <c r="L1215" s="13" t="s">
        <v>686</v>
      </c>
      <c r="M1215" s="66" t="s">
        <v>258</v>
      </c>
      <c r="N1215" s="66" t="s">
        <v>379</v>
      </c>
      <c r="O1215" s="66" t="s">
        <v>687</v>
      </c>
      <c r="P1215" s="0" t="s">
        <v>2319</v>
      </c>
      <c r="Q1215" s="66" t="s">
        <v>995</v>
      </c>
    </row>
    <row r="1216" customFormat="false" ht="14.25" hidden="false" customHeight="false" outlineLevel="0" collapsed="false">
      <c r="A1216" s="13" t="s">
        <v>261</v>
      </c>
      <c r="B1216" s="13" t="s">
        <v>261</v>
      </c>
      <c r="C1216" s="13" t="s">
        <v>269</v>
      </c>
      <c r="D1216" s="61" t="n">
        <v>45978.9166666667</v>
      </c>
      <c r="E1216" s="61" t="n">
        <v>45978.9166666667</v>
      </c>
      <c r="F1216" s="61" t="n">
        <v>45978.9444444444</v>
      </c>
      <c r="G1216" s="62" t="n">
        <v>0.0277777777810115</v>
      </c>
      <c r="H1216" s="13" t="s">
        <v>248</v>
      </c>
      <c r="J1216" s="13" t="s">
        <v>256</v>
      </c>
      <c r="K1216" s="13" t="s">
        <v>430</v>
      </c>
      <c r="L1216" s="13" t="s">
        <v>686</v>
      </c>
      <c r="M1216" s="66" t="s">
        <v>258</v>
      </c>
      <c r="N1216" s="66" t="s">
        <v>379</v>
      </c>
      <c r="O1216" s="66" t="s">
        <v>687</v>
      </c>
      <c r="P1216" s="0" t="s">
        <v>2320</v>
      </c>
      <c r="Q1216" s="66" t="s">
        <v>995</v>
      </c>
    </row>
    <row r="1217" customFormat="false" ht="14.25" hidden="false" customHeight="false" outlineLevel="0" collapsed="false">
      <c r="A1217" s="13" t="s">
        <v>498</v>
      </c>
      <c r="B1217" s="13" t="s">
        <v>498</v>
      </c>
      <c r="C1217" s="13" t="s">
        <v>499</v>
      </c>
      <c r="D1217" s="61" t="n">
        <v>45978.9166666667</v>
      </c>
      <c r="E1217" s="61" t="n">
        <v>45978.9166666667</v>
      </c>
      <c r="F1217" s="61" t="n">
        <v>45978.9444444444</v>
      </c>
      <c r="G1217" s="62" t="n">
        <v>0.0277777777810115</v>
      </c>
      <c r="H1217" s="13" t="s">
        <v>248</v>
      </c>
      <c r="J1217" s="13" t="s">
        <v>256</v>
      </c>
      <c r="K1217" s="13" t="s">
        <v>430</v>
      </c>
      <c r="L1217" s="13" t="s">
        <v>686</v>
      </c>
      <c r="M1217" s="66" t="s">
        <v>258</v>
      </c>
      <c r="N1217" s="66" t="s">
        <v>379</v>
      </c>
      <c r="O1217" s="66" t="s">
        <v>687</v>
      </c>
      <c r="P1217" s="0" t="s">
        <v>2321</v>
      </c>
      <c r="Q1217" s="66" t="s">
        <v>995</v>
      </c>
    </row>
    <row r="1218" customFormat="false" ht="14.25" hidden="false" customHeight="false" outlineLevel="0" collapsed="false">
      <c r="A1218" s="13" t="s">
        <v>498</v>
      </c>
      <c r="B1218" s="13" t="s">
        <v>498</v>
      </c>
      <c r="C1218" s="13" t="s">
        <v>607</v>
      </c>
      <c r="D1218" s="61" t="n">
        <v>45978.9166666667</v>
      </c>
      <c r="E1218" s="61" t="n">
        <v>45978.9166666667</v>
      </c>
      <c r="F1218" s="61" t="n">
        <v>45978.9444444444</v>
      </c>
      <c r="G1218" s="62" t="n">
        <v>0.0277777777810115</v>
      </c>
      <c r="H1218" s="13" t="s">
        <v>248</v>
      </c>
      <c r="J1218" s="13" t="s">
        <v>256</v>
      </c>
      <c r="K1218" s="13" t="s">
        <v>430</v>
      </c>
      <c r="L1218" s="13" t="s">
        <v>686</v>
      </c>
      <c r="M1218" s="66" t="s">
        <v>258</v>
      </c>
      <c r="N1218" s="66" t="s">
        <v>379</v>
      </c>
      <c r="O1218" s="66" t="s">
        <v>687</v>
      </c>
      <c r="P1218" s="0" t="s">
        <v>2322</v>
      </c>
      <c r="Q1218" s="66" t="s">
        <v>995</v>
      </c>
    </row>
    <row r="1219" customFormat="false" ht="14.25" hidden="false" customHeight="false" outlineLevel="0" collapsed="false">
      <c r="A1219" s="13" t="s">
        <v>498</v>
      </c>
      <c r="B1219" s="13" t="s">
        <v>498</v>
      </c>
      <c r="C1219" s="13" t="s">
        <v>604</v>
      </c>
      <c r="D1219" s="61" t="n">
        <v>45978.9166666667</v>
      </c>
      <c r="E1219" s="61" t="n">
        <v>45978.9166666667</v>
      </c>
      <c r="F1219" s="61" t="n">
        <v>45978.9444444444</v>
      </c>
      <c r="G1219" s="62" t="n">
        <v>0.0277777777810115</v>
      </c>
      <c r="H1219" s="13" t="s">
        <v>248</v>
      </c>
      <c r="J1219" s="13" t="s">
        <v>256</v>
      </c>
      <c r="K1219" s="13" t="s">
        <v>430</v>
      </c>
      <c r="L1219" s="13" t="s">
        <v>686</v>
      </c>
      <c r="M1219" s="66" t="s">
        <v>258</v>
      </c>
      <c r="N1219" s="66" t="s">
        <v>379</v>
      </c>
      <c r="O1219" s="66" t="s">
        <v>687</v>
      </c>
      <c r="P1219" s="0" t="s">
        <v>2323</v>
      </c>
      <c r="Q1219" s="66" t="s">
        <v>995</v>
      </c>
    </row>
    <row r="1220" customFormat="false" ht="14.25" hidden="false" customHeight="false" outlineLevel="0" collapsed="false">
      <c r="A1220" s="13" t="s">
        <v>726</v>
      </c>
      <c r="B1220" s="13" t="s">
        <v>726</v>
      </c>
      <c r="C1220" s="13" t="s">
        <v>277</v>
      </c>
      <c r="D1220" s="61" t="n">
        <v>45979.20625</v>
      </c>
      <c r="E1220" s="61" t="n">
        <v>45979.20625</v>
      </c>
      <c r="F1220" s="61" t="n">
        <v>45979.2791666667</v>
      </c>
      <c r="G1220" s="62" t="n">
        <v>0.0729166666642414</v>
      </c>
      <c r="H1220" s="13" t="s">
        <v>445</v>
      </c>
      <c r="I1220" s="13" t="s">
        <v>263</v>
      </c>
      <c r="J1220" s="13" t="s">
        <v>417</v>
      </c>
      <c r="K1220" s="13" t="s">
        <v>1405</v>
      </c>
      <c r="L1220" s="13" t="s">
        <v>420</v>
      </c>
      <c r="M1220" s="66" t="s">
        <v>418</v>
      </c>
      <c r="N1220" s="66" t="s">
        <v>252</v>
      </c>
      <c r="O1220" s="66" t="s">
        <v>791</v>
      </c>
      <c r="P1220" s="0" t="s">
        <v>2324</v>
      </c>
      <c r="Q1220" s="66" t="s">
        <v>1407</v>
      </c>
    </row>
    <row r="1221" customFormat="false" ht="14.25" hidden="false" customHeight="false" outlineLevel="0" collapsed="false">
      <c r="A1221" s="13" t="s">
        <v>726</v>
      </c>
      <c r="B1221" s="13" t="s">
        <v>726</v>
      </c>
      <c r="C1221" s="13" t="s">
        <v>247</v>
      </c>
      <c r="D1221" s="61" t="n">
        <v>45979.20625</v>
      </c>
      <c r="E1221" s="61" t="n">
        <v>45979.20625</v>
      </c>
      <c r="F1221" s="61" t="n">
        <v>45979.2791666667</v>
      </c>
      <c r="G1221" s="62" t="n">
        <v>0.0729166666642414</v>
      </c>
      <c r="H1221" s="13" t="s">
        <v>445</v>
      </c>
      <c r="I1221" s="13" t="s">
        <v>263</v>
      </c>
      <c r="J1221" s="13" t="s">
        <v>417</v>
      </c>
      <c r="K1221" s="13" t="s">
        <v>1405</v>
      </c>
      <c r="L1221" s="13" t="s">
        <v>420</v>
      </c>
      <c r="M1221" s="66" t="s">
        <v>418</v>
      </c>
      <c r="N1221" s="66" t="s">
        <v>252</v>
      </c>
      <c r="O1221" s="66" t="s">
        <v>791</v>
      </c>
      <c r="P1221" s="0" t="s">
        <v>2325</v>
      </c>
      <c r="Q1221" s="66" t="s">
        <v>1407</v>
      </c>
    </row>
    <row r="1222" customFormat="false" ht="14.25" hidden="false" customHeight="false" outlineLevel="0" collapsed="false">
      <c r="A1222" s="13" t="s">
        <v>726</v>
      </c>
      <c r="B1222" s="13" t="s">
        <v>726</v>
      </c>
      <c r="C1222" s="13" t="s">
        <v>729</v>
      </c>
      <c r="D1222" s="61" t="n">
        <v>45979.20625</v>
      </c>
      <c r="E1222" s="61" t="n">
        <v>45979.20625</v>
      </c>
      <c r="F1222" s="61" t="n">
        <v>45979.2791666667</v>
      </c>
      <c r="G1222" s="62" t="n">
        <v>0.0729166666642414</v>
      </c>
      <c r="H1222" s="13" t="s">
        <v>445</v>
      </c>
      <c r="I1222" s="13" t="s">
        <v>263</v>
      </c>
      <c r="J1222" s="13" t="s">
        <v>417</v>
      </c>
      <c r="K1222" s="13" t="s">
        <v>1405</v>
      </c>
      <c r="L1222" s="13" t="s">
        <v>420</v>
      </c>
      <c r="M1222" s="66" t="s">
        <v>418</v>
      </c>
      <c r="N1222" s="66" t="s">
        <v>252</v>
      </c>
      <c r="O1222" s="66" t="s">
        <v>791</v>
      </c>
      <c r="P1222" s="0" t="s">
        <v>2326</v>
      </c>
      <c r="Q1222" s="66" t="s">
        <v>1407</v>
      </c>
    </row>
    <row r="1223" customFormat="false" ht="14.25" hidden="false" customHeight="false" outlineLevel="0" collapsed="false">
      <c r="A1223" s="13" t="s">
        <v>726</v>
      </c>
      <c r="B1223" s="13" t="s">
        <v>726</v>
      </c>
      <c r="C1223" s="13" t="s">
        <v>730</v>
      </c>
      <c r="D1223" s="61" t="n">
        <v>45979.20625</v>
      </c>
      <c r="E1223" s="61" t="n">
        <v>45979.20625</v>
      </c>
      <c r="F1223" s="61" t="n">
        <v>45979.2791666667</v>
      </c>
      <c r="G1223" s="62" t="n">
        <v>0.0729166666642414</v>
      </c>
      <c r="H1223" s="13" t="s">
        <v>445</v>
      </c>
      <c r="I1223" s="13" t="s">
        <v>263</v>
      </c>
      <c r="J1223" s="13" t="s">
        <v>417</v>
      </c>
      <c r="K1223" s="13" t="s">
        <v>1405</v>
      </c>
      <c r="L1223" s="13" t="s">
        <v>420</v>
      </c>
      <c r="M1223" s="66" t="s">
        <v>418</v>
      </c>
      <c r="N1223" s="66" t="s">
        <v>252</v>
      </c>
      <c r="O1223" s="66" t="s">
        <v>791</v>
      </c>
      <c r="P1223" s="0" t="s">
        <v>2327</v>
      </c>
      <c r="Q1223" s="66" t="s">
        <v>1407</v>
      </c>
    </row>
    <row r="1224" customFormat="false" ht="14.25" hidden="false" customHeight="false" outlineLevel="0" collapsed="false">
      <c r="A1224" s="13" t="s">
        <v>726</v>
      </c>
      <c r="B1224" s="13" t="s">
        <v>726</v>
      </c>
      <c r="C1224" s="13" t="s">
        <v>690</v>
      </c>
      <c r="D1224" s="61" t="n">
        <v>45979.20625</v>
      </c>
      <c r="E1224" s="61" t="n">
        <v>45979.20625</v>
      </c>
      <c r="F1224" s="61" t="n">
        <v>45979.2791666667</v>
      </c>
      <c r="G1224" s="62" t="n">
        <v>0.0729166666642414</v>
      </c>
      <c r="H1224" s="13" t="s">
        <v>445</v>
      </c>
      <c r="I1224" s="13" t="s">
        <v>263</v>
      </c>
      <c r="J1224" s="13" t="s">
        <v>417</v>
      </c>
      <c r="K1224" s="13" t="s">
        <v>1405</v>
      </c>
      <c r="L1224" s="13" t="s">
        <v>420</v>
      </c>
      <c r="M1224" s="66" t="s">
        <v>418</v>
      </c>
      <c r="N1224" s="66" t="s">
        <v>252</v>
      </c>
      <c r="O1224" s="66" t="s">
        <v>791</v>
      </c>
      <c r="P1224" s="0" t="s">
        <v>2328</v>
      </c>
      <c r="Q1224" s="66" t="s">
        <v>1407</v>
      </c>
    </row>
    <row r="1225" customFormat="false" ht="14.25" hidden="false" customHeight="false" outlineLevel="0" collapsed="false">
      <c r="A1225" s="13" t="s">
        <v>731</v>
      </c>
      <c r="B1225" s="13" t="s">
        <v>731</v>
      </c>
      <c r="C1225" s="13" t="s">
        <v>732</v>
      </c>
      <c r="D1225" s="61" t="n">
        <v>45979.20625</v>
      </c>
      <c r="E1225" s="61" t="n">
        <v>45979.20625</v>
      </c>
      <c r="F1225" s="61" t="n">
        <v>45979.2791666667</v>
      </c>
      <c r="G1225" s="62" t="n">
        <v>0.0729166666642414</v>
      </c>
      <c r="H1225" s="13" t="s">
        <v>445</v>
      </c>
      <c r="I1225" s="13" t="s">
        <v>263</v>
      </c>
      <c r="J1225" s="13" t="s">
        <v>417</v>
      </c>
      <c r="K1225" s="13" t="s">
        <v>1405</v>
      </c>
      <c r="L1225" s="13" t="s">
        <v>420</v>
      </c>
      <c r="M1225" s="66" t="s">
        <v>418</v>
      </c>
      <c r="N1225" s="66" t="s">
        <v>252</v>
      </c>
      <c r="O1225" s="66" t="s">
        <v>791</v>
      </c>
      <c r="P1225" s="0" t="s">
        <v>2329</v>
      </c>
      <c r="Q1225" s="66" t="s">
        <v>1407</v>
      </c>
    </row>
    <row r="1226" customFormat="false" ht="14.25" hidden="false" customHeight="false" outlineLevel="0" collapsed="false">
      <c r="A1226" s="13" t="s">
        <v>731</v>
      </c>
      <c r="B1226" s="13" t="s">
        <v>731</v>
      </c>
      <c r="C1226" s="13" t="s">
        <v>733</v>
      </c>
      <c r="D1226" s="61" t="n">
        <v>45979.20625</v>
      </c>
      <c r="E1226" s="61" t="n">
        <v>45979.20625</v>
      </c>
      <c r="F1226" s="61" t="n">
        <v>45979.2791666667</v>
      </c>
      <c r="G1226" s="62" t="n">
        <v>0.0729166666642414</v>
      </c>
      <c r="H1226" s="13" t="s">
        <v>445</v>
      </c>
      <c r="I1226" s="13" t="s">
        <v>263</v>
      </c>
      <c r="J1226" s="13" t="s">
        <v>417</v>
      </c>
      <c r="K1226" s="13" t="s">
        <v>1405</v>
      </c>
      <c r="L1226" s="13" t="s">
        <v>420</v>
      </c>
      <c r="M1226" s="66" t="s">
        <v>418</v>
      </c>
      <c r="N1226" s="66" t="s">
        <v>252</v>
      </c>
      <c r="O1226" s="66" t="s">
        <v>791</v>
      </c>
      <c r="P1226" s="0" t="s">
        <v>2330</v>
      </c>
      <c r="Q1226" s="66" t="s">
        <v>1407</v>
      </c>
    </row>
    <row r="1227" customFormat="false" ht="14.25" hidden="false" customHeight="false" outlineLevel="0" collapsed="false">
      <c r="A1227" s="13" t="s">
        <v>731</v>
      </c>
      <c r="B1227" s="13" t="s">
        <v>731</v>
      </c>
      <c r="C1227" s="13" t="s">
        <v>734</v>
      </c>
      <c r="D1227" s="61" t="n">
        <v>45979.20625</v>
      </c>
      <c r="E1227" s="61" t="n">
        <v>45979.20625</v>
      </c>
      <c r="F1227" s="61" t="n">
        <v>45979.2791666667</v>
      </c>
      <c r="G1227" s="62" t="n">
        <v>0.0729166666642414</v>
      </c>
      <c r="H1227" s="13" t="s">
        <v>445</v>
      </c>
      <c r="I1227" s="13" t="s">
        <v>263</v>
      </c>
      <c r="J1227" s="13" t="s">
        <v>417</v>
      </c>
      <c r="K1227" s="13" t="s">
        <v>1405</v>
      </c>
      <c r="L1227" s="13" t="s">
        <v>420</v>
      </c>
      <c r="M1227" s="66" t="s">
        <v>418</v>
      </c>
      <c r="N1227" s="66" t="s">
        <v>252</v>
      </c>
      <c r="O1227" s="66" t="s">
        <v>791</v>
      </c>
      <c r="P1227" s="0" t="s">
        <v>2331</v>
      </c>
      <c r="Q1227" s="66" t="s">
        <v>1407</v>
      </c>
    </row>
    <row r="1228" customFormat="false" ht="14.25" hidden="false" customHeight="false" outlineLevel="0" collapsed="false">
      <c r="A1228" s="13" t="s">
        <v>685</v>
      </c>
      <c r="B1228" s="13" t="s">
        <v>685</v>
      </c>
      <c r="C1228" s="13" t="s">
        <v>255</v>
      </c>
      <c r="D1228" s="61" t="n">
        <v>45979.3125</v>
      </c>
      <c r="E1228" s="61" t="n">
        <v>45979.3125</v>
      </c>
      <c r="F1228" s="61" t="n">
        <v>45979.4861111111</v>
      </c>
      <c r="G1228" s="62" t="n">
        <v>0.173611111109494</v>
      </c>
      <c r="H1228" s="13" t="s">
        <v>248</v>
      </c>
      <c r="J1228" s="13" t="s">
        <v>256</v>
      </c>
      <c r="K1228" s="13" t="s">
        <v>430</v>
      </c>
      <c r="L1228" s="13" t="s">
        <v>2332</v>
      </c>
      <c r="M1228" s="66" t="s">
        <v>258</v>
      </c>
      <c r="N1228" s="66" t="s">
        <v>379</v>
      </c>
      <c r="O1228" s="66" t="s">
        <v>687</v>
      </c>
      <c r="P1228" s="0" t="s">
        <v>2333</v>
      </c>
      <c r="Q1228" s="66" t="s">
        <v>995</v>
      </c>
    </row>
    <row r="1229" customFormat="false" ht="14.25" hidden="false" customHeight="false" outlineLevel="0" collapsed="false">
      <c r="A1229" s="13" t="s">
        <v>685</v>
      </c>
      <c r="B1229" s="13" t="s">
        <v>685</v>
      </c>
      <c r="C1229" s="13" t="s">
        <v>396</v>
      </c>
      <c r="D1229" s="61" t="n">
        <v>45979.3125</v>
      </c>
      <c r="E1229" s="61" t="n">
        <v>45979.3125</v>
      </c>
      <c r="F1229" s="61" t="n">
        <v>45979.4861111111</v>
      </c>
      <c r="G1229" s="62" t="n">
        <v>0.173611111109494</v>
      </c>
      <c r="H1229" s="13" t="s">
        <v>248</v>
      </c>
      <c r="J1229" s="13" t="s">
        <v>256</v>
      </c>
      <c r="K1229" s="13" t="s">
        <v>430</v>
      </c>
      <c r="L1229" s="13" t="s">
        <v>2332</v>
      </c>
      <c r="M1229" s="66" t="s">
        <v>258</v>
      </c>
      <c r="N1229" s="66" t="s">
        <v>379</v>
      </c>
      <c r="O1229" s="66" t="s">
        <v>687</v>
      </c>
      <c r="P1229" s="0" t="s">
        <v>2334</v>
      </c>
      <c r="Q1229" s="66" t="s">
        <v>995</v>
      </c>
    </row>
    <row r="1230" customFormat="false" ht="14.25" hidden="false" customHeight="false" outlineLevel="0" collapsed="false">
      <c r="A1230" s="13" t="s">
        <v>685</v>
      </c>
      <c r="B1230" s="13" t="s">
        <v>685</v>
      </c>
      <c r="C1230" s="13" t="s">
        <v>397</v>
      </c>
      <c r="D1230" s="61" t="n">
        <v>45979.3125</v>
      </c>
      <c r="E1230" s="61" t="n">
        <v>45979.3125</v>
      </c>
      <c r="F1230" s="61" t="n">
        <v>45979.4861111111</v>
      </c>
      <c r="G1230" s="62" t="n">
        <v>0.173611111109494</v>
      </c>
      <c r="H1230" s="13" t="s">
        <v>248</v>
      </c>
      <c r="J1230" s="13" t="s">
        <v>256</v>
      </c>
      <c r="K1230" s="13" t="s">
        <v>430</v>
      </c>
      <c r="L1230" s="13" t="s">
        <v>2332</v>
      </c>
      <c r="M1230" s="66" t="s">
        <v>258</v>
      </c>
      <c r="N1230" s="66" t="s">
        <v>379</v>
      </c>
      <c r="O1230" s="66" t="s">
        <v>687</v>
      </c>
      <c r="P1230" s="0" t="s">
        <v>2335</v>
      </c>
      <c r="Q1230" s="66" t="s">
        <v>995</v>
      </c>
    </row>
    <row r="1231" customFormat="false" ht="14.25" hidden="false" customHeight="false" outlineLevel="0" collapsed="false">
      <c r="A1231" s="13" t="s">
        <v>685</v>
      </c>
      <c r="B1231" s="13" t="s">
        <v>685</v>
      </c>
      <c r="C1231" s="13" t="s">
        <v>391</v>
      </c>
      <c r="D1231" s="61" t="n">
        <v>45979.3125</v>
      </c>
      <c r="E1231" s="61" t="n">
        <v>45979.3125</v>
      </c>
      <c r="F1231" s="61" t="n">
        <v>45979.4861111111</v>
      </c>
      <c r="G1231" s="62" t="n">
        <v>0.173611111109494</v>
      </c>
      <c r="H1231" s="13" t="s">
        <v>248</v>
      </c>
      <c r="J1231" s="13" t="s">
        <v>256</v>
      </c>
      <c r="K1231" s="13" t="s">
        <v>430</v>
      </c>
      <c r="L1231" s="13" t="s">
        <v>2332</v>
      </c>
      <c r="M1231" s="66" t="s">
        <v>258</v>
      </c>
      <c r="N1231" s="66" t="s">
        <v>379</v>
      </c>
      <c r="O1231" s="66" t="s">
        <v>687</v>
      </c>
      <c r="P1231" s="0" t="s">
        <v>2336</v>
      </c>
      <c r="Q1231" s="66" t="s">
        <v>995</v>
      </c>
    </row>
    <row r="1232" customFormat="false" ht="14.25" hidden="false" customHeight="false" outlineLevel="0" collapsed="false">
      <c r="A1232" s="13" t="s">
        <v>685</v>
      </c>
      <c r="B1232" s="13" t="s">
        <v>685</v>
      </c>
      <c r="C1232" s="13" t="s">
        <v>395</v>
      </c>
      <c r="D1232" s="61" t="n">
        <v>45979.3125</v>
      </c>
      <c r="E1232" s="61" t="n">
        <v>45979.3125</v>
      </c>
      <c r="F1232" s="61" t="n">
        <v>45979.4861111111</v>
      </c>
      <c r="G1232" s="62" t="n">
        <v>0.173611111109494</v>
      </c>
      <c r="H1232" s="13" t="s">
        <v>248</v>
      </c>
      <c r="J1232" s="13" t="s">
        <v>256</v>
      </c>
      <c r="K1232" s="13" t="s">
        <v>430</v>
      </c>
      <c r="L1232" s="13" t="s">
        <v>2332</v>
      </c>
      <c r="M1232" s="66" t="s">
        <v>258</v>
      </c>
      <c r="N1232" s="66" t="s">
        <v>379</v>
      </c>
      <c r="O1232" s="66" t="s">
        <v>687</v>
      </c>
      <c r="P1232" s="0" t="s">
        <v>2337</v>
      </c>
      <c r="Q1232" s="66" t="s">
        <v>995</v>
      </c>
    </row>
    <row r="1233" customFormat="false" ht="14.25" hidden="false" customHeight="false" outlineLevel="0" collapsed="false">
      <c r="A1233" s="13" t="s">
        <v>688</v>
      </c>
      <c r="B1233" s="13" t="s">
        <v>688</v>
      </c>
      <c r="C1233" s="13" t="s">
        <v>689</v>
      </c>
      <c r="D1233" s="61" t="n">
        <v>45979.3125</v>
      </c>
      <c r="E1233" s="61" t="n">
        <v>45979.3125</v>
      </c>
      <c r="F1233" s="61" t="n">
        <v>45979.4861111111</v>
      </c>
      <c r="G1233" s="62" t="n">
        <v>0.173611111109494</v>
      </c>
      <c r="H1233" s="13" t="s">
        <v>248</v>
      </c>
      <c r="J1233" s="13" t="s">
        <v>256</v>
      </c>
      <c r="K1233" s="13" t="s">
        <v>430</v>
      </c>
      <c r="L1233" s="13" t="s">
        <v>2332</v>
      </c>
      <c r="M1233" s="66" t="s">
        <v>258</v>
      </c>
      <c r="N1233" s="66" t="s">
        <v>379</v>
      </c>
      <c r="O1233" s="66" t="s">
        <v>687</v>
      </c>
      <c r="P1233" s="0" t="s">
        <v>2338</v>
      </c>
      <c r="Q1233" s="66" t="s">
        <v>995</v>
      </c>
    </row>
    <row r="1234" customFormat="false" ht="14.25" hidden="false" customHeight="false" outlineLevel="0" collapsed="false">
      <c r="A1234" s="13" t="s">
        <v>688</v>
      </c>
      <c r="B1234" s="13" t="s">
        <v>688</v>
      </c>
      <c r="C1234" s="13" t="s">
        <v>690</v>
      </c>
      <c r="D1234" s="61" t="n">
        <v>45979.3125</v>
      </c>
      <c r="E1234" s="61" t="n">
        <v>45979.3125</v>
      </c>
      <c r="F1234" s="61" t="n">
        <v>45979.4861111111</v>
      </c>
      <c r="G1234" s="62" t="n">
        <v>0.173611111109494</v>
      </c>
      <c r="H1234" s="13" t="s">
        <v>248</v>
      </c>
      <c r="J1234" s="13" t="s">
        <v>256</v>
      </c>
      <c r="K1234" s="13" t="s">
        <v>430</v>
      </c>
      <c r="L1234" s="13" t="s">
        <v>2332</v>
      </c>
      <c r="M1234" s="66" t="s">
        <v>258</v>
      </c>
      <c r="N1234" s="66" t="s">
        <v>379</v>
      </c>
      <c r="O1234" s="66" t="s">
        <v>687</v>
      </c>
      <c r="P1234" s="0" t="s">
        <v>2339</v>
      </c>
      <c r="Q1234" s="66" t="s">
        <v>995</v>
      </c>
    </row>
    <row r="1235" customFormat="false" ht="14.25" hidden="false" customHeight="false" outlineLevel="0" collapsed="false">
      <c r="A1235" s="13" t="s">
        <v>688</v>
      </c>
      <c r="B1235" s="13" t="s">
        <v>688</v>
      </c>
      <c r="C1235" s="13" t="s">
        <v>277</v>
      </c>
      <c r="D1235" s="61" t="n">
        <v>45979.3125</v>
      </c>
      <c r="E1235" s="61" t="n">
        <v>45979.3125</v>
      </c>
      <c r="F1235" s="61" t="n">
        <v>45979.4861111111</v>
      </c>
      <c r="G1235" s="62" t="n">
        <v>0.173611111109494</v>
      </c>
      <c r="H1235" s="13" t="s">
        <v>248</v>
      </c>
      <c r="J1235" s="13" t="s">
        <v>256</v>
      </c>
      <c r="K1235" s="13" t="s">
        <v>430</v>
      </c>
      <c r="L1235" s="13" t="s">
        <v>2332</v>
      </c>
      <c r="M1235" s="66" t="s">
        <v>258</v>
      </c>
      <c r="N1235" s="66" t="s">
        <v>379</v>
      </c>
      <c r="O1235" s="66" t="s">
        <v>687</v>
      </c>
      <c r="P1235" s="0" t="s">
        <v>2340</v>
      </c>
      <c r="Q1235" s="66" t="s">
        <v>995</v>
      </c>
    </row>
    <row r="1236" customFormat="false" ht="14.25" hidden="false" customHeight="false" outlineLevel="0" collapsed="false">
      <c r="A1236" s="13" t="s">
        <v>688</v>
      </c>
      <c r="B1236" s="13" t="s">
        <v>688</v>
      </c>
      <c r="C1236" s="13" t="s">
        <v>691</v>
      </c>
      <c r="D1236" s="61" t="n">
        <v>45979.3125</v>
      </c>
      <c r="E1236" s="61" t="n">
        <v>45979.3125</v>
      </c>
      <c r="F1236" s="61" t="n">
        <v>45979.4861111111</v>
      </c>
      <c r="G1236" s="62" t="n">
        <v>0.173611111109494</v>
      </c>
      <c r="H1236" s="13" t="s">
        <v>248</v>
      </c>
      <c r="J1236" s="13" t="s">
        <v>256</v>
      </c>
      <c r="K1236" s="13" t="s">
        <v>430</v>
      </c>
      <c r="L1236" s="13" t="s">
        <v>2332</v>
      </c>
      <c r="M1236" s="66" t="s">
        <v>258</v>
      </c>
      <c r="N1236" s="66" t="s">
        <v>379</v>
      </c>
      <c r="O1236" s="66" t="s">
        <v>687</v>
      </c>
      <c r="P1236" s="0" t="s">
        <v>2341</v>
      </c>
      <c r="Q1236" s="66" t="s">
        <v>995</v>
      </c>
    </row>
    <row r="1237" customFormat="false" ht="14.25" hidden="false" customHeight="false" outlineLevel="0" collapsed="false">
      <c r="A1237" s="13" t="s">
        <v>688</v>
      </c>
      <c r="B1237" s="13" t="s">
        <v>688</v>
      </c>
      <c r="C1237" s="13" t="s">
        <v>255</v>
      </c>
      <c r="D1237" s="61" t="n">
        <v>45979.3125</v>
      </c>
      <c r="E1237" s="61" t="n">
        <v>45979.3125</v>
      </c>
      <c r="F1237" s="61" t="n">
        <v>45979.4861111111</v>
      </c>
      <c r="G1237" s="62" t="n">
        <v>0.173611111109494</v>
      </c>
      <c r="H1237" s="13" t="s">
        <v>248</v>
      </c>
      <c r="J1237" s="13" t="s">
        <v>256</v>
      </c>
      <c r="K1237" s="13" t="s">
        <v>430</v>
      </c>
      <c r="L1237" s="13" t="s">
        <v>2332</v>
      </c>
      <c r="M1237" s="66" t="s">
        <v>258</v>
      </c>
      <c r="N1237" s="66" t="s">
        <v>379</v>
      </c>
      <c r="O1237" s="66" t="s">
        <v>687</v>
      </c>
      <c r="P1237" s="0" t="s">
        <v>2342</v>
      </c>
      <c r="Q1237" s="66" t="s">
        <v>995</v>
      </c>
    </row>
    <row r="1238" customFormat="false" ht="14.25" hidden="false" customHeight="false" outlineLevel="0" collapsed="false">
      <c r="A1238" s="13" t="s">
        <v>390</v>
      </c>
      <c r="B1238" s="13" t="s">
        <v>390</v>
      </c>
      <c r="C1238" s="13" t="s">
        <v>391</v>
      </c>
      <c r="D1238" s="61" t="n">
        <v>45979.3125</v>
      </c>
      <c r="E1238" s="61" t="n">
        <v>45979.3125</v>
      </c>
      <c r="F1238" s="61" t="n">
        <v>45979.4861111111</v>
      </c>
      <c r="G1238" s="62" t="n">
        <v>0.173611111109494</v>
      </c>
      <c r="H1238" s="13" t="s">
        <v>248</v>
      </c>
      <c r="J1238" s="13" t="s">
        <v>256</v>
      </c>
      <c r="K1238" s="13" t="s">
        <v>430</v>
      </c>
      <c r="L1238" s="13" t="s">
        <v>2332</v>
      </c>
      <c r="M1238" s="66" t="s">
        <v>258</v>
      </c>
      <c r="N1238" s="66" t="s">
        <v>379</v>
      </c>
      <c r="O1238" s="66" t="s">
        <v>687</v>
      </c>
      <c r="P1238" s="0" t="s">
        <v>2343</v>
      </c>
      <c r="Q1238" s="66" t="s">
        <v>995</v>
      </c>
    </row>
    <row r="1239" customFormat="false" ht="14.25" hidden="false" customHeight="false" outlineLevel="0" collapsed="false">
      <c r="A1239" s="13" t="s">
        <v>390</v>
      </c>
      <c r="B1239" s="13" t="s">
        <v>390</v>
      </c>
      <c r="C1239" s="13" t="s">
        <v>394</v>
      </c>
      <c r="D1239" s="61" t="n">
        <v>45979.3125</v>
      </c>
      <c r="E1239" s="61" t="n">
        <v>45979.3125</v>
      </c>
      <c r="F1239" s="61" t="n">
        <v>45979.4861111111</v>
      </c>
      <c r="G1239" s="62" t="n">
        <v>0.173611111109494</v>
      </c>
      <c r="H1239" s="13" t="s">
        <v>248</v>
      </c>
      <c r="J1239" s="13" t="s">
        <v>256</v>
      </c>
      <c r="K1239" s="13" t="s">
        <v>430</v>
      </c>
      <c r="L1239" s="13" t="s">
        <v>2332</v>
      </c>
      <c r="M1239" s="66" t="s">
        <v>258</v>
      </c>
      <c r="N1239" s="66" t="s">
        <v>379</v>
      </c>
      <c r="O1239" s="66" t="s">
        <v>687</v>
      </c>
      <c r="P1239" s="0" t="s">
        <v>2344</v>
      </c>
      <c r="Q1239" s="66" t="s">
        <v>995</v>
      </c>
    </row>
    <row r="1240" customFormat="false" ht="14.25" hidden="false" customHeight="false" outlineLevel="0" collapsed="false">
      <c r="A1240" s="13" t="s">
        <v>390</v>
      </c>
      <c r="B1240" s="13" t="s">
        <v>390</v>
      </c>
      <c r="C1240" s="13" t="s">
        <v>395</v>
      </c>
      <c r="D1240" s="61" t="n">
        <v>45979.3125</v>
      </c>
      <c r="E1240" s="61" t="n">
        <v>45979.3125</v>
      </c>
      <c r="F1240" s="61" t="n">
        <v>45979.4861111111</v>
      </c>
      <c r="G1240" s="62" t="n">
        <v>0.173611111109494</v>
      </c>
      <c r="H1240" s="13" t="s">
        <v>248</v>
      </c>
      <c r="J1240" s="13" t="s">
        <v>256</v>
      </c>
      <c r="K1240" s="13" t="s">
        <v>430</v>
      </c>
      <c r="L1240" s="13" t="s">
        <v>2332</v>
      </c>
      <c r="M1240" s="66" t="s">
        <v>258</v>
      </c>
      <c r="N1240" s="66" t="s">
        <v>379</v>
      </c>
      <c r="O1240" s="66" t="s">
        <v>687</v>
      </c>
      <c r="P1240" s="0" t="s">
        <v>2345</v>
      </c>
      <c r="Q1240" s="66" t="s">
        <v>995</v>
      </c>
    </row>
    <row r="1241" customFormat="false" ht="14.25" hidden="false" customHeight="false" outlineLevel="0" collapsed="false">
      <c r="A1241" s="13" t="s">
        <v>390</v>
      </c>
      <c r="B1241" s="13" t="s">
        <v>390</v>
      </c>
      <c r="C1241" s="13" t="s">
        <v>396</v>
      </c>
      <c r="D1241" s="61" t="n">
        <v>45979.3125</v>
      </c>
      <c r="E1241" s="61" t="n">
        <v>45979.3125</v>
      </c>
      <c r="F1241" s="61" t="n">
        <v>45979.4861111111</v>
      </c>
      <c r="G1241" s="62" t="n">
        <v>0.173611111109494</v>
      </c>
      <c r="H1241" s="13" t="s">
        <v>248</v>
      </c>
      <c r="J1241" s="13" t="s">
        <v>256</v>
      </c>
      <c r="K1241" s="13" t="s">
        <v>430</v>
      </c>
      <c r="L1241" s="13" t="s">
        <v>2332</v>
      </c>
      <c r="M1241" s="66" t="s">
        <v>258</v>
      </c>
      <c r="N1241" s="66" t="s">
        <v>379</v>
      </c>
      <c r="O1241" s="66" t="s">
        <v>687</v>
      </c>
      <c r="P1241" s="0" t="s">
        <v>2346</v>
      </c>
      <c r="Q1241" s="66" t="s">
        <v>995</v>
      </c>
    </row>
    <row r="1242" customFormat="false" ht="14.25" hidden="false" customHeight="false" outlineLevel="0" collapsed="false">
      <c r="A1242" s="13" t="s">
        <v>390</v>
      </c>
      <c r="B1242" s="13" t="s">
        <v>390</v>
      </c>
      <c r="C1242" s="13" t="s">
        <v>397</v>
      </c>
      <c r="D1242" s="61" t="n">
        <v>45979.3125</v>
      </c>
      <c r="E1242" s="61" t="n">
        <v>45979.3125</v>
      </c>
      <c r="F1242" s="61" t="n">
        <v>45979.4861111111</v>
      </c>
      <c r="G1242" s="62" t="n">
        <v>0.173611111109494</v>
      </c>
      <c r="H1242" s="13" t="s">
        <v>248</v>
      </c>
      <c r="J1242" s="13" t="s">
        <v>256</v>
      </c>
      <c r="K1242" s="13" t="s">
        <v>430</v>
      </c>
      <c r="L1242" s="13" t="s">
        <v>2332</v>
      </c>
      <c r="M1242" s="66" t="s">
        <v>258</v>
      </c>
      <c r="N1242" s="66" t="s">
        <v>379</v>
      </c>
      <c r="O1242" s="66" t="s">
        <v>687</v>
      </c>
      <c r="P1242" s="0" t="s">
        <v>2347</v>
      </c>
      <c r="Q1242" s="66" t="s">
        <v>995</v>
      </c>
    </row>
    <row r="1243" customFormat="false" ht="14.25" hidden="false" customHeight="false" outlineLevel="0" collapsed="false">
      <c r="A1243" s="13" t="s">
        <v>692</v>
      </c>
      <c r="B1243" s="13" t="s">
        <v>692</v>
      </c>
      <c r="C1243" s="13" t="s">
        <v>693</v>
      </c>
      <c r="D1243" s="61" t="n">
        <v>45979.3125</v>
      </c>
      <c r="E1243" s="61" t="n">
        <v>45979.3125</v>
      </c>
      <c r="F1243" s="61" t="n">
        <v>45979.4861111111</v>
      </c>
      <c r="G1243" s="62" t="n">
        <v>0.173611111109494</v>
      </c>
      <c r="H1243" s="13" t="s">
        <v>248</v>
      </c>
      <c r="J1243" s="13" t="s">
        <v>256</v>
      </c>
      <c r="K1243" s="13" t="s">
        <v>430</v>
      </c>
      <c r="L1243" s="13" t="s">
        <v>2332</v>
      </c>
      <c r="M1243" s="66" t="s">
        <v>258</v>
      </c>
      <c r="N1243" s="66" t="s">
        <v>379</v>
      </c>
      <c r="O1243" s="66" t="s">
        <v>687</v>
      </c>
      <c r="P1243" s="0" t="s">
        <v>2348</v>
      </c>
      <c r="Q1243" s="66" t="s">
        <v>995</v>
      </c>
    </row>
    <row r="1244" customFormat="false" ht="14.25" hidden="false" customHeight="false" outlineLevel="0" collapsed="false">
      <c r="A1244" s="13" t="s">
        <v>692</v>
      </c>
      <c r="B1244" s="13" t="s">
        <v>692</v>
      </c>
      <c r="C1244" s="13" t="s">
        <v>394</v>
      </c>
      <c r="D1244" s="61" t="n">
        <v>45979.3125</v>
      </c>
      <c r="E1244" s="61" t="n">
        <v>45979.3125</v>
      </c>
      <c r="F1244" s="61" t="n">
        <v>45979.4861111111</v>
      </c>
      <c r="G1244" s="62" t="n">
        <v>0.173611111109494</v>
      </c>
      <c r="H1244" s="13" t="s">
        <v>248</v>
      </c>
      <c r="J1244" s="13" t="s">
        <v>256</v>
      </c>
      <c r="K1244" s="13" t="s">
        <v>430</v>
      </c>
      <c r="L1244" s="13" t="s">
        <v>2332</v>
      </c>
      <c r="M1244" s="66" t="s">
        <v>258</v>
      </c>
      <c r="N1244" s="66" t="s">
        <v>379</v>
      </c>
      <c r="O1244" s="66" t="s">
        <v>687</v>
      </c>
      <c r="P1244" s="0" t="s">
        <v>2349</v>
      </c>
      <c r="Q1244" s="66" t="s">
        <v>995</v>
      </c>
    </row>
    <row r="1245" customFormat="false" ht="14.25" hidden="false" customHeight="false" outlineLevel="0" collapsed="false">
      <c r="A1245" s="13" t="s">
        <v>692</v>
      </c>
      <c r="B1245" s="13" t="s">
        <v>692</v>
      </c>
      <c r="C1245" s="13" t="s">
        <v>397</v>
      </c>
      <c r="D1245" s="61" t="n">
        <v>45979.3125</v>
      </c>
      <c r="E1245" s="61" t="n">
        <v>45979.3125</v>
      </c>
      <c r="F1245" s="61" t="n">
        <v>45979.4861111111</v>
      </c>
      <c r="G1245" s="62" t="n">
        <v>0.173611111109494</v>
      </c>
      <c r="H1245" s="13" t="s">
        <v>248</v>
      </c>
      <c r="J1245" s="13" t="s">
        <v>256</v>
      </c>
      <c r="K1245" s="13" t="s">
        <v>430</v>
      </c>
      <c r="L1245" s="13" t="s">
        <v>2332</v>
      </c>
      <c r="M1245" s="66" t="s">
        <v>258</v>
      </c>
      <c r="N1245" s="66" t="s">
        <v>379</v>
      </c>
      <c r="O1245" s="66" t="s">
        <v>687</v>
      </c>
      <c r="P1245" s="0" t="s">
        <v>2350</v>
      </c>
      <c r="Q1245" s="66" t="s">
        <v>995</v>
      </c>
    </row>
    <row r="1246" customFormat="false" ht="14.25" hidden="false" customHeight="false" outlineLevel="0" collapsed="false">
      <c r="A1246" s="13" t="s">
        <v>692</v>
      </c>
      <c r="B1246" s="13" t="s">
        <v>692</v>
      </c>
      <c r="C1246" s="13" t="s">
        <v>391</v>
      </c>
      <c r="D1246" s="61" t="n">
        <v>45979.3125</v>
      </c>
      <c r="E1246" s="61" t="n">
        <v>45979.3125</v>
      </c>
      <c r="F1246" s="61" t="n">
        <v>45979.4861111111</v>
      </c>
      <c r="G1246" s="62" t="n">
        <v>0.173611111109494</v>
      </c>
      <c r="H1246" s="13" t="s">
        <v>248</v>
      </c>
      <c r="J1246" s="13" t="s">
        <v>256</v>
      </c>
      <c r="K1246" s="13" t="s">
        <v>430</v>
      </c>
      <c r="L1246" s="13" t="s">
        <v>2332</v>
      </c>
      <c r="M1246" s="66" t="s">
        <v>258</v>
      </c>
      <c r="N1246" s="66" t="s">
        <v>379</v>
      </c>
      <c r="O1246" s="66" t="s">
        <v>687</v>
      </c>
      <c r="P1246" s="0" t="s">
        <v>2351</v>
      </c>
      <c r="Q1246" s="66" t="s">
        <v>995</v>
      </c>
    </row>
    <row r="1247" customFormat="false" ht="14.25" hidden="false" customHeight="false" outlineLevel="0" collapsed="false">
      <c r="A1247" s="13" t="s">
        <v>692</v>
      </c>
      <c r="B1247" s="13" t="s">
        <v>692</v>
      </c>
      <c r="C1247" s="13" t="s">
        <v>395</v>
      </c>
      <c r="D1247" s="61" t="n">
        <v>45979.3125</v>
      </c>
      <c r="E1247" s="61" t="n">
        <v>45979.3125</v>
      </c>
      <c r="F1247" s="61" t="n">
        <v>45979.4861111111</v>
      </c>
      <c r="G1247" s="62" t="n">
        <v>0.173611111109494</v>
      </c>
      <c r="H1247" s="13" t="s">
        <v>248</v>
      </c>
      <c r="J1247" s="13" t="s">
        <v>256</v>
      </c>
      <c r="K1247" s="13" t="s">
        <v>430</v>
      </c>
      <c r="L1247" s="13" t="s">
        <v>2332</v>
      </c>
      <c r="M1247" s="66" t="s">
        <v>258</v>
      </c>
      <c r="N1247" s="66" t="s">
        <v>379</v>
      </c>
      <c r="O1247" s="66" t="s">
        <v>687</v>
      </c>
      <c r="P1247" s="0" t="s">
        <v>2352</v>
      </c>
      <c r="Q1247" s="66" t="s">
        <v>995</v>
      </c>
    </row>
    <row r="1248" customFormat="false" ht="14.25" hidden="false" customHeight="false" outlineLevel="0" collapsed="false">
      <c r="A1248" s="13" t="s">
        <v>694</v>
      </c>
      <c r="B1248" s="13" t="s">
        <v>694</v>
      </c>
      <c r="C1248" s="13" t="s">
        <v>395</v>
      </c>
      <c r="D1248" s="61" t="n">
        <v>45979.3125</v>
      </c>
      <c r="E1248" s="61" t="n">
        <v>45979.3125</v>
      </c>
      <c r="F1248" s="61" t="n">
        <v>45979.4861111111</v>
      </c>
      <c r="G1248" s="62" t="n">
        <v>0.173611111109494</v>
      </c>
      <c r="H1248" s="13" t="s">
        <v>248</v>
      </c>
      <c r="J1248" s="13" t="s">
        <v>256</v>
      </c>
      <c r="K1248" s="13" t="s">
        <v>430</v>
      </c>
      <c r="L1248" s="13" t="s">
        <v>2332</v>
      </c>
      <c r="M1248" s="66" t="s">
        <v>258</v>
      </c>
      <c r="N1248" s="66" t="s">
        <v>379</v>
      </c>
      <c r="O1248" s="66" t="s">
        <v>687</v>
      </c>
      <c r="P1248" s="0" t="s">
        <v>2353</v>
      </c>
      <c r="Q1248" s="66" t="s">
        <v>995</v>
      </c>
    </row>
    <row r="1249" customFormat="false" ht="14.25" hidden="false" customHeight="false" outlineLevel="0" collapsed="false">
      <c r="A1249" s="13" t="s">
        <v>694</v>
      </c>
      <c r="B1249" s="13" t="s">
        <v>694</v>
      </c>
      <c r="C1249" s="13" t="s">
        <v>255</v>
      </c>
      <c r="D1249" s="61" t="n">
        <v>45979.3125</v>
      </c>
      <c r="E1249" s="61" t="n">
        <v>45979.3125</v>
      </c>
      <c r="F1249" s="61" t="n">
        <v>45979.4861111111</v>
      </c>
      <c r="G1249" s="62" t="n">
        <v>0.173611111109494</v>
      </c>
      <c r="H1249" s="13" t="s">
        <v>248</v>
      </c>
      <c r="J1249" s="13" t="s">
        <v>256</v>
      </c>
      <c r="K1249" s="13" t="s">
        <v>430</v>
      </c>
      <c r="L1249" s="13" t="s">
        <v>2332</v>
      </c>
      <c r="M1249" s="66" t="s">
        <v>258</v>
      </c>
      <c r="N1249" s="66" t="s">
        <v>379</v>
      </c>
      <c r="O1249" s="66" t="s">
        <v>687</v>
      </c>
      <c r="P1249" s="0" t="s">
        <v>2354</v>
      </c>
      <c r="Q1249" s="66" t="s">
        <v>995</v>
      </c>
    </row>
    <row r="1250" customFormat="false" ht="14.25" hidden="false" customHeight="false" outlineLevel="0" collapsed="false">
      <c r="A1250" s="13" t="s">
        <v>694</v>
      </c>
      <c r="B1250" s="13" t="s">
        <v>694</v>
      </c>
      <c r="C1250" s="13" t="s">
        <v>397</v>
      </c>
      <c r="D1250" s="61" t="n">
        <v>45979.3125</v>
      </c>
      <c r="E1250" s="61" t="n">
        <v>45979.3125</v>
      </c>
      <c r="F1250" s="61" t="n">
        <v>45979.4861111111</v>
      </c>
      <c r="G1250" s="62" t="n">
        <v>0.173611111109494</v>
      </c>
      <c r="H1250" s="13" t="s">
        <v>248</v>
      </c>
      <c r="J1250" s="13" t="s">
        <v>256</v>
      </c>
      <c r="K1250" s="13" t="s">
        <v>430</v>
      </c>
      <c r="L1250" s="13" t="s">
        <v>2332</v>
      </c>
      <c r="M1250" s="66" t="s">
        <v>258</v>
      </c>
      <c r="N1250" s="66" t="s">
        <v>379</v>
      </c>
      <c r="O1250" s="66" t="s">
        <v>687</v>
      </c>
      <c r="P1250" s="0" t="s">
        <v>2355</v>
      </c>
      <c r="Q1250" s="66" t="s">
        <v>995</v>
      </c>
    </row>
    <row r="1251" customFormat="false" ht="14.25" hidden="false" customHeight="false" outlineLevel="0" collapsed="false">
      <c r="A1251" s="13" t="s">
        <v>694</v>
      </c>
      <c r="B1251" s="13" t="s">
        <v>694</v>
      </c>
      <c r="C1251" s="13" t="s">
        <v>396</v>
      </c>
      <c r="D1251" s="61" t="n">
        <v>45979.3125</v>
      </c>
      <c r="E1251" s="61" t="n">
        <v>45979.3125</v>
      </c>
      <c r="F1251" s="61" t="n">
        <v>45979.4861111111</v>
      </c>
      <c r="G1251" s="62" t="n">
        <v>0.173611111109494</v>
      </c>
      <c r="H1251" s="13" t="s">
        <v>248</v>
      </c>
      <c r="J1251" s="13" t="s">
        <v>256</v>
      </c>
      <c r="K1251" s="13" t="s">
        <v>430</v>
      </c>
      <c r="L1251" s="13" t="s">
        <v>2332</v>
      </c>
      <c r="M1251" s="66" t="s">
        <v>258</v>
      </c>
      <c r="N1251" s="66" t="s">
        <v>379</v>
      </c>
      <c r="O1251" s="66" t="s">
        <v>687</v>
      </c>
      <c r="P1251" s="0" t="s">
        <v>2356</v>
      </c>
      <c r="Q1251" s="66" t="s">
        <v>995</v>
      </c>
    </row>
    <row r="1252" customFormat="false" ht="14.25" hidden="false" customHeight="false" outlineLevel="0" collapsed="false">
      <c r="A1252" s="13" t="s">
        <v>694</v>
      </c>
      <c r="B1252" s="13" t="s">
        <v>694</v>
      </c>
      <c r="C1252" s="13" t="s">
        <v>280</v>
      </c>
      <c r="D1252" s="61" t="n">
        <v>45979.3125</v>
      </c>
      <c r="E1252" s="61" t="n">
        <v>45979.3125</v>
      </c>
      <c r="F1252" s="61" t="n">
        <v>45979.4861111111</v>
      </c>
      <c r="G1252" s="62" t="n">
        <v>0.173611111109494</v>
      </c>
      <c r="H1252" s="13" t="s">
        <v>248</v>
      </c>
      <c r="J1252" s="13" t="s">
        <v>256</v>
      </c>
      <c r="K1252" s="13" t="s">
        <v>430</v>
      </c>
      <c r="L1252" s="13" t="s">
        <v>2332</v>
      </c>
      <c r="M1252" s="66" t="s">
        <v>258</v>
      </c>
      <c r="N1252" s="66" t="s">
        <v>379</v>
      </c>
      <c r="O1252" s="66" t="s">
        <v>687</v>
      </c>
      <c r="P1252" s="0" t="s">
        <v>2357</v>
      </c>
      <c r="Q1252" s="66" t="s">
        <v>995</v>
      </c>
    </row>
    <row r="1253" customFormat="false" ht="14.25" hidden="false" customHeight="false" outlineLevel="0" collapsed="false">
      <c r="A1253" s="13" t="s">
        <v>578</v>
      </c>
      <c r="B1253" s="13" t="s">
        <v>578</v>
      </c>
      <c r="C1253" s="13" t="s">
        <v>396</v>
      </c>
      <c r="D1253" s="61" t="n">
        <v>45979.3965277778</v>
      </c>
      <c r="E1253" s="61" t="n">
        <v>45979.3965277778</v>
      </c>
      <c r="F1253" s="61" t="n">
        <v>45979.4986111111</v>
      </c>
      <c r="G1253" s="62" t="n">
        <v>0.102083333338669</v>
      </c>
      <c r="H1253" s="13" t="s">
        <v>248</v>
      </c>
      <c r="J1253" s="13" t="s">
        <v>256</v>
      </c>
      <c r="K1253" s="13" t="s">
        <v>430</v>
      </c>
      <c r="L1253" s="13" t="s">
        <v>1000</v>
      </c>
      <c r="M1253" s="66" t="s">
        <v>258</v>
      </c>
      <c r="N1253" s="66" t="s">
        <v>379</v>
      </c>
      <c r="O1253" s="66" t="s">
        <v>399</v>
      </c>
      <c r="P1253" s="0" t="s">
        <v>2358</v>
      </c>
      <c r="Q1253" s="66" t="s">
        <v>995</v>
      </c>
    </row>
    <row r="1254" customFormat="false" ht="14.25" hidden="false" customHeight="false" outlineLevel="0" collapsed="false">
      <c r="A1254" s="13" t="s">
        <v>578</v>
      </c>
      <c r="B1254" s="13" t="s">
        <v>578</v>
      </c>
      <c r="C1254" s="13" t="s">
        <v>397</v>
      </c>
      <c r="D1254" s="61" t="n">
        <v>45979.3965277778</v>
      </c>
      <c r="E1254" s="61" t="n">
        <v>45979.3965277778</v>
      </c>
      <c r="F1254" s="61" t="n">
        <v>45979.4986111111</v>
      </c>
      <c r="G1254" s="62" t="n">
        <v>0.102083333338669</v>
      </c>
      <c r="H1254" s="13" t="s">
        <v>248</v>
      </c>
      <c r="J1254" s="13" t="s">
        <v>256</v>
      </c>
      <c r="K1254" s="13" t="s">
        <v>430</v>
      </c>
      <c r="L1254" s="13" t="s">
        <v>1000</v>
      </c>
      <c r="M1254" s="66" t="s">
        <v>258</v>
      </c>
      <c r="N1254" s="66" t="s">
        <v>379</v>
      </c>
      <c r="O1254" s="66" t="s">
        <v>399</v>
      </c>
      <c r="P1254" s="0" t="s">
        <v>2359</v>
      </c>
      <c r="Q1254" s="66" t="s">
        <v>995</v>
      </c>
    </row>
    <row r="1255" customFormat="false" ht="14.25" hidden="false" customHeight="false" outlineLevel="0" collapsed="false">
      <c r="A1255" s="13" t="s">
        <v>578</v>
      </c>
      <c r="B1255" s="13" t="s">
        <v>578</v>
      </c>
      <c r="C1255" s="13" t="s">
        <v>394</v>
      </c>
      <c r="D1255" s="61" t="n">
        <v>45979.3965277778</v>
      </c>
      <c r="E1255" s="61" t="n">
        <v>45979.3965277778</v>
      </c>
      <c r="F1255" s="61" t="n">
        <v>45979.4986111111</v>
      </c>
      <c r="G1255" s="62" t="n">
        <v>0.102083333338669</v>
      </c>
      <c r="H1255" s="13" t="s">
        <v>248</v>
      </c>
      <c r="J1255" s="13" t="s">
        <v>256</v>
      </c>
      <c r="K1255" s="13" t="s">
        <v>430</v>
      </c>
      <c r="L1255" s="13" t="s">
        <v>1000</v>
      </c>
      <c r="M1255" s="66" t="s">
        <v>258</v>
      </c>
      <c r="N1255" s="66" t="s">
        <v>379</v>
      </c>
      <c r="O1255" s="66" t="s">
        <v>399</v>
      </c>
      <c r="P1255" s="0" t="s">
        <v>2360</v>
      </c>
      <c r="Q1255" s="66" t="s">
        <v>995</v>
      </c>
    </row>
    <row r="1256" customFormat="false" ht="14.25" hidden="false" customHeight="false" outlineLevel="0" collapsed="false">
      <c r="A1256" s="13" t="s">
        <v>578</v>
      </c>
      <c r="B1256" s="13" t="s">
        <v>578</v>
      </c>
      <c r="C1256" s="13" t="s">
        <v>395</v>
      </c>
      <c r="D1256" s="61" t="n">
        <v>45979.3965277778</v>
      </c>
      <c r="E1256" s="61" t="n">
        <v>45979.3965277778</v>
      </c>
      <c r="F1256" s="61" t="n">
        <v>45979.4986111111</v>
      </c>
      <c r="G1256" s="62" t="n">
        <v>0.102083333338669</v>
      </c>
      <c r="H1256" s="13" t="s">
        <v>248</v>
      </c>
      <c r="J1256" s="13" t="s">
        <v>256</v>
      </c>
      <c r="K1256" s="13" t="s">
        <v>430</v>
      </c>
      <c r="L1256" s="13" t="s">
        <v>1000</v>
      </c>
      <c r="M1256" s="66" t="s">
        <v>258</v>
      </c>
      <c r="N1256" s="66" t="s">
        <v>379</v>
      </c>
      <c r="O1256" s="66" t="s">
        <v>399</v>
      </c>
      <c r="P1256" s="0" t="s">
        <v>2361</v>
      </c>
      <c r="Q1256" s="66" t="s">
        <v>995</v>
      </c>
    </row>
    <row r="1257" customFormat="false" ht="14.25" hidden="false" customHeight="false" outlineLevel="0" collapsed="false">
      <c r="A1257" s="13" t="s">
        <v>578</v>
      </c>
      <c r="B1257" s="13" t="s">
        <v>578</v>
      </c>
      <c r="C1257" s="13" t="s">
        <v>391</v>
      </c>
      <c r="D1257" s="61" t="n">
        <v>45979.3965277778</v>
      </c>
      <c r="E1257" s="61" t="n">
        <v>45979.3965277778</v>
      </c>
      <c r="F1257" s="61" t="n">
        <v>45979.4986111111</v>
      </c>
      <c r="G1257" s="62" t="n">
        <v>0.102083333338669</v>
      </c>
      <c r="H1257" s="13" t="s">
        <v>248</v>
      </c>
      <c r="J1257" s="13" t="s">
        <v>256</v>
      </c>
      <c r="K1257" s="13" t="s">
        <v>430</v>
      </c>
      <c r="L1257" s="13" t="s">
        <v>1000</v>
      </c>
      <c r="M1257" s="66" t="s">
        <v>258</v>
      </c>
      <c r="N1257" s="66" t="s">
        <v>379</v>
      </c>
      <c r="O1257" s="66" t="s">
        <v>399</v>
      </c>
      <c r="P1257" s="0" t="s">
        <v>2362</v>
      </c>
      <c r="Q1257" s="66" t="s">
        <v>995</v>
      </c>
    </row>
    <row r="1258" customFormat="false" ht="14.25" hidden="false" customHeight="false" outlineLevel="0" collapsed="false">
      <c r="A1258" s="13" t="s">
        <v>254</v>
      </c>
      <c r="B1258" s="13" t="s">
        <v>254</v>
      </c>
      <c r="C1258" s="13" t="s">
        <v>255</v>
      </c>
      <c r="D1258" s="61" t="n">
        <v>45979.5430555556</v>
      </c>
      <c r="E1258" s="61" t="n">
        <v>45979.5430555556</v>
      </c>
      <c r="F1258" s="61" t="n">
        <v>45979.5555555556</v>
      </c>
      <c r="G1258" s="62" t="n">
        <v>0.0124999999970896</v>
      </c>
      <c r="H1258" s="13" t="s">
        <v>248</v>
      </c>
      <c r="J1258" s="13" t="s">
        <v>256</v>
      </c>
      <c r="K1258" s="13" t="s">
        <v>430</v>
      </c>
      <c r="L1258" s="13" t="s">
        <v>881</v>
      </c>
      <c r="M1258" s="66" t="s">
        <v>258</v>
      </c>
      <c r="N1258" s="66" t="s">
        <v>379</v>
      </c>
      <c r="O1258" s="66" t="s">
        <v>399</v>
      </c>
      <c r="P1258" s="0" t="s">
        <v>2363</v>
      </c>
      <c r="Q1258" s="66" t="s">
        <v>995</v>
      </c>
    </row>
    <row r="1259" customFormat="false" ht="14.25" hidden="false" customHeight="false" outlineLevel="0" collapsed="false">
      <c r="A1259" s="13" t="s">
        <v>307</v>
      </c>
      <c r="B1259" s="13" t="s">
        <v>307</v>
      </c>
      <c r="C1259" s="13" t="s">
        <v>255</v>
      </c>
      <c r="D1259" s="61" t="n">
        <v>45979.5430555556</v>
      </c>
      <c r="E1259" s="61" t="n">
        <v>45979.5430555556</v>
      </c>
      <c r="F1259" s="61" t="n">
        <v>45979.5555555556</v>
      </c>
      <c r="G1259" s="62" t="n">
        <v>0.0124999999970896</v>
      </c>
      <c r="H1259" s="13" t="s">
        <v>248</v>
      </c>
      <c r="J1259" s="13" t="s">
        <v>256</v>
      </c>
      <c r="K1259" s="13" t="s">
        <v>430</v>
      </c>
      <c r="L1259" s="13" t="s">
        <v>881</v>
      </c>
      <c r="M1259" s="66" t="s">
        <v>258</v>
      </c>
      <c r="N1259" s="66" t="s">
        <v>379</v>
      </c>
      <c r="O1259" s="66" t="s">
        <v>399</v>
      </c>
      <c r="P1259" s="0" t="s">
        <v>2364</v>
      </c>
      <c r="Q1259" s="66" t="s">
        <v>995</v>
      </c>
    </row>
    <row r="1260" customFormat="false" ht="14.25" hidden="false" customHeight="false" outlineLevel="0" collapsed="false">
      <c r="A1260" s="13" t="s">
        <v>308</v>
      </c>
      <c r="B1260" s="13" t="s">
        <v>308</v>
      </c>
      <c r="C1260" s="13" t="s">
        <v>255</v>
      </c>
      <c r="D1260" s="61" t="n">
        <v>45979.5430555556</v>
      </c>
      <c r="E1260" s="61" t="n">
        <v>45979.5430555556</v>
      </c>
      <c r="F1260" s="61" t="n">
        <v>45979.5555555556</v>
      </c>
      <c r="G1260" s="62" t="n">
        <v>0.0124999999970896</v>
      </c>
      <c r="H1260" s="13" t="s">
        <v>248</v>
      </c>
      <c r="J1260" s="13" t="s">
        <v>256</v>
      </c>
      <c r="K1260" s="13" t="s">
        <v>430</v>
      </c>
      <c r="L1260" s="13" t="s">
        <v>881</v>
      </c>
      <c r="M1260" s="66" t="s">
        <v>258</v>
      </c>
      <c r="N1260" s="66" t="s">
        <v>379</v>
      </c>
      <c r="O1260" s="66" t="s">
        <v>399</v>
      </c>
      <c r="P1260" s="0" t="s">
        <v>2365</v>
      </c>
      <c r="Q1260" s="66" t="s">
        <v>995</v>
      </c>
    </row>
    <row r="1261" customFormat="false" ht="14.25" hidden="false" customHeight="false" outlineLevel="0" collapsed="false">
      <c r="A1261" s="13" t="s">
        <v>309</v>
      </c>
      <c r="B1261" s="13" t="s">
        <v>309</v>
      </c>
      <c r="C1261" s="13" t="s">
        <v>255</v>
      </c>
      <c r="D1261" s="61" t="n">
        <v>45979.5430555556</v>
      </c>
      <c r="E1261" s="61" t="n">
        <v>45979.5430555556</v>
      </c>
      <c r="F1261" s="61" t="n">
        <v>45979.5555555556</v>
      </c>
      <c r="G1261" s="62" t="n">
        <v>0.0124999999970896</v>
      </c>
      <c r="H1261" s="13" t="s">
        <v>248</v>
      </c>
      <c r="J1261" s="13" t="s">
        <v>256</v>
      </c>
      <c r="K1261" s="13" t="s">
        <v>430</v>
      </c>
      <c r="L1261" s="13" t="s">
        <v>881</v>
      </c>
      <c r="M1261" s="66" t="s">
        <v>258</v>
      </c>
      <c r="N1261" s="66" t="s">
        <v>379</v>
      </c>
      <c r="O1261" s="66" t="s">
        <v>399</v>
      </c>
      <c r="P1261" s="0" t="s">
        <v>2366</v>
      </c>
      <c r="Q1261" s="66" t="s">
        <v>995</v>
      </c>
    </row>
    <row r="1262" customFormat="false" ht="14.25" hidden="false" customHeight="false" outlineLevel="0" collapsed="false">
      <c r="A1262" s="13" t="s">
        <v>310</v>
      </c>
      <c r="B1262" s="13" t="s">
        <v>310</v>
      </c>
      <c r="C1262" s="13" t="s">
        <v>255</v>
      </c>
      <c r="D1262" s="61" t="n">
        <v>45979.5430555556</v>
      </c>
      <c r="E1262" s="61" t="n">
        <v>45979.5430555556</v>
      </c>
      <c r="F1262" s="61" t="n">
        <v>45979.5555555556</v>
      </c>
      <c r="G1262" s="62" t="n">
        <v>0.0124999999970896</v>
      </c>
      <c r="H1262" s="13" t="s">
        <v>248</v>
      </c>
      <c r="J1262" s="13" t="s">
        <v>256</v>
      </c>
      <c r="K1262" s="13" t="s">
        <v>430</v>
      </c>
      <c r="L1262" s="13" t="s">
        <v>881</v>
      </c>
      <c r="M1262" s="66" t="s">
        <v>258</v>
      </c>
      <c r="N1262" s="66" t="s">
        <v>379</v>
      </c>
      <c r="O1262" s="66" t="s">
        <v>399</v>
      </c>
      <c r="P1262" s="0" t="s">
        <v>2367</v>
      </c>
      <c r="Q1262" s="66" t="s">
        <v>995</v>
      </c>
    </row>
    <row r="1263" customFormat="false" ht="14.25" hidden="false" customHeight="false" outlineLevel="0" collapsed="false">
      <c r="A1263" s="13" t="s">
        <v>938</v>
      </c>
      <c r="B1263" s="13" t="s">
        <v>701</v>
      </c>
      <c r="C1263" s="13" t="s">
        <v>702</v>
      </c>
      <c r="D1263" s="61" t="n">
        <v>45979.5541666667</v>
      </c>
      <c r="E1263" s="61" t="n">
        <v>45979.5541666667</v>
      </c>
      <c r="F1263" s="61" t="n">
        <v>45979.5694444444</v>
      </c>
      <c r="G1263" s="62" t="n">
        <v>0.015277777776646</v>
      </c>
      <c r="H1263" s="13" t="s">
        <v>445</v>
      </c>
      <c r="I1263" s="13" t="s">
        <v>263</v>
      </c>
      <c r="J1263" s="13" t="s">
        <v>264</v>
      </c>
      <c r="K1263" s="13" t="s">
        <v>456</v>
      </c>
      <c r="L1263" s="13" t="s">
        <v>2368</v>
      </c>
      <c r="M1263" s="66" t="s">
        <v>266</v>
      </c>
      <c r="N1263" s="66" t="s">
        <v>252</v>
      </c>
      <c r="O1263" s="66" t="s">
        <v>794</v>
      </c>
      <c r="P1263" s="0" t="s">
        <v>2369</v>
      </c>
      <c r="Q1263" s="66" t="s">
        <v>1430</v>
      </c>
    </row>
    <row r="1264" customFormat="false" ht="14.25" hidden="false" customHeight="false" outlineLevel="0" collapsed="false">
      <c r="A1264" s="13" t="s">
        <v>938</v>
      </c>
      <c r="B1264" s="13" t="s">
        <v>701</v>
      </c>
      <c r="C1264" s="13" t="s">
        <v>706</v>
      </c>
      <c r="D1264" s="61" t="n">
        <v>45979.5541666667</v>
      </c>
      <c r="E1264" s="61" t="n">
        <v>45979.5541666667</v>
      </c>
      <c r="F1264" s="61" t="n">
        <v>45979.5694444444</v>
      </c>
      <c r="G1264" s="62" t="n">
        <v>0.015277777776646</v>
      </c>
      <c r="H1264" s="13" t="s">
        <v>445</v>
      </c>
      <c r="I1264" s="13" t="s">
        <v>263</v>
      </c>
      <c r="J1264" s="13" t="s">
        <v>264</v>
      </c>
      <c r="K1264" s="13" t="s">
        <v>456</v>
      </c>
      <c r="L1264" s="13" t="s">
        <v>2368</v>
      </c>
      <c r="M1264" s="66" t="s">
        <v>266</v>
      </c>
      <c r="N1264" s="66" t="s">
        <v>252</v>
      </c>
      <c r="O1264" s="66" t="s">
        <v>794</v>
      </c>
      <c r="P1264" s="0" t="s">
        <v>2370</v>
      </c>
      <c r="Q1264" s="66" t="s">
        <v>1430</v>
      </c>
    </row>
    <row r="1265" customFormat="false" ht="14.25" hidden="false" customHeight="false" outlineLevel="0" collapsed="false">
      <c r="A1265" s="13" t="s">
        <v>938</v>
      </c>
      <c r="B1265" s="13" t="s">
        <v>701</v>
      </c>
      <c r="C1265" s="13" t="s">
        <v>707</v>
      </c>
      <c r="D1265" s="61" t="n">
        <v>45979.5541666667</v>
      </c>
      <c r="E1265" s="61" t="n">
        <v>45979.5541666667</v>
      </c>
      <c r="F1265" s="61" t="n">
        <v>45979.5694444444</v>
      </c>
      <c r="G1265" s="62" t="n">
        <v>0.015277777776646</v>
      </c>
      <c r="H1265" s="13" t="s">
        <v>445</v>
      </c>
      <c r="I1265" s="13" t="s">
        <v>263</v>
      </c>
      <c r="J1265" s="13" t="s">
        <v>264</v>
      </c>
      <c r="K1265" s="13" t="s">
        <v>456</v>
      </c>
      <c r="L1265" s="13" t="s">
        <v>2368</v>
      </c>
      <c r="M1265" s="66" t="s">
        <v>266</v>
      </c>
      <c r="N1265" s="66" t="s">
        <v>252</v>
      </c>
      <c r="O1265" s="66" t="s">
        <v>794</v>
      </c>
      <c r="P1265" s="0" t="s">
        <v>2371</v>
      </c>
      <c r="Q1265" s="66" t="s">
        <v>1430</v>
      </c>
    </row>
    <row r="1266" customFormat="false" ht="14.25" hidden="false" customHeight="false" outlineLevel="0" collapsed="false">
      <c r="A1266" s="13" t="s">
        <v>938</v>
      </c>
      <c r="B1266" s="13" t="s">
        <v>701</v>
      </c>
      <c r="C1266" s="13" t="s">
        <v>708</v>
      </c>
      <c r="D1266" s="61" t="n">
        <v>45979.5541666667</v>
      </c>
      <c r="E1266" s="61" t="n">
        <v>45979.5541666667</v>
      </c>
      <c r="F1266" s="61" t="n">
        <v>45979.5694444444</v>
      </c>
      <c r="G1266" s="62" t="n">
        <v>0.015277777776646</v>
      </c>
      <c r="H1266" s="13" t="s">
        <v>445</v>
      </c>
      <c r="I1266" s="13" t="s">
        <v>263</v>
      </c>
      <c r="J1266" s="13" t="s">
        <v>264</v>
      </c>
      <c r="K1266" s="13" t="s">
        <v>456</v>
      </c>
      <c r="L1266" s="13" t="s">
        <v>2368</v>
      </c>
      <c r="M1266" s="66" t="s">
        <v>266</v>
      </c>
      <c r="N1266" s="66" t="s">
        <v>252</v>
      </c>
      <c r="O1266" s="66" t="s">
        <v>794</v>
      </c>
      <c r="P1266" s="0" t="s">
        <v>2372</v>
      </c>
      <c r="Q1266" s="66" t="s">
        <v>1430</v>
      </c>
    </row>
    <row r="1267" customFormat="false" ht="14.25" hidden="false" customHeight="false" outlineLevel="0" collapsed="false">
      <c r="A1267" s="13" t="s">
        <v>938</v>
      </c>
      <c r="B1267" s="13" t="s">
        <v>701</v>
      </c>
      <c r="C1267" s="13" t="s">
        <v>709</v>
      </c>
      <c r="D1267" s="61" t="n">
        <v>45979.5541666667</v>
      </c>
      <c r="E1267" s="61" t="n">
        <v>45979.5541666667</v>
      </c>
      <c r="F1267" s="61" t="n">
        <v>45979.5694444444</v>
      </c>
      <c r="G1267" s="62" t="n">
        <v>0.015277777776646</v>
      </c>
      <c r="H1267" s="13" t="s">
        <v>445</v>
      </c>
      <c r="I1267" s="13" t="s">
        <v>263</v>
      </c>
      <c r="J1267" s="13" t="s">
        <v>264</v>
      </c>
      <c r="K1267" s="13" t="s">
        <v>456</v>
      </c>
      <c r="L1267" s="13" t="s">
        <v>2368</v>
      </c>
      <c r="M1267" s="66" t="s">
        <v>266</v>
      </c>
      <c r="N1267" s="66" t="s">
        <v>252</v>
      </c>
      <c r="O1267" s="66" t="s">
        <v>794</v>
      </c>
      <c r="P1267" s="0" t="s">
        <v>2373</v>
      </c>
      <c r="Q1267" s="66" t="s">
        <v>1430</v>
      </c>
    </row>
    <row r="1268" customFormat="false" ht="14.25" hidden="false" customHeight="false" outlineLevel="0" collapsed="false">
      <c r="A1268" s="13" t="s">
        <v>938</v>
      </c>
      <c r="B1268" s="13" t="s">
        <v>701</v>
      </c>
      <c r="C1268" s="13" t="s">
        <v>710</v>
      </c>
      <c r="D1268" s="61" t="n">
        <v>45979.5541666667</v>
      </c>
      <c r="E1268" s="61" t="n">
        <v>45979.5541666667</v>
      </c>
      <c r="F1268" s="61" t="n">
        <v>45979.5694444444</v>
      </c>
      <c r="G1268" s="62" t="n">
        <v>0.015277777776646</v>
      </c>
      <c r="H1268" s="13" t="s">
        <v>445</v>
      </c>
      <c r="I1268" s="13" t="s">
        <v>263</v>
      </c>
      <c r="J1268" s="13" t="s">
        <v>264</v>
      </c>
      <c r="K1268" s="13" t="s">
        <v>456</v>
      </c>
      <c r="L1268" s="13" t="s">
        <v>2368</v>
      </c>
      <c r="M1268" s="66" t="s">
        <v>266</v>
      </c>
      <c r="N1268" s="66" t="s">
        <v>252</v>
      </c>
      <c r="O1268" s="66" t="s">
        <v>794</v>
      </c>
      <c r="P1268" s="0" t="s">
        <v>2374</v>
      </c>
      <c r="Q1268" s="66" t="s">
        <v>1430</v>
      </c>
    </row>
    <row r="1269" customFormat="false" ht="14.25" hidden="false" customHeight="false" outlineLevel="0" collapsed="false">
      <c r="A1269" s="13" t="s">
        <v>938</v>
      </c>
      <c r="B1269" s="13" t="s">
        <v>701</v>
      </c>
      <c r="C1269" s="13" t="s">
        <v>711</v>
      </c>
      <c r="D1269" s="61" t="n">
        <v>45979.5541666667</v>
      </c>
      <c r="E1269" s="61" t="n">
        <v>45979.5541666667</v>
      </c>
      <c r="F1269" s="61" t="n">
        <v>45979.5694444444</v>
      </c>
      <c r="G1269" s="62" t="n">
        <v>0.015277777776646</v>
      </c>
      <c r="H1269" s="13" t="s">
        <v>445</v>
      </c>
      <c r="I1269" s="13" t="s">
        <v>263</v>
      </c>
      <c r="J1269" s="13" t="s">
        <v>264</v>
      </c>
      <c r="K1269" s="13" t="s">
        <v>456</v>
      </c>
      <c r="L1269" s="13" t="s">
        <v>2368</v>
      </c>
      <c r="M1269" s="66" t="s">
        <v>266</v>
      </c>
      <c r="N1269" s="66" t="s">
        <v>252</v>
      </c>
      <c r="O1269" s="66" t="s">
        <v>794</v>
      </c>
      <c r="P1269" s="0" t="s">
        <v>2375</v>
      </c>
      <c r="Q1269" s="66" t="s">
        <v>1430</v>
      </c>
    </row>
    <row r="1270" customFormat="false" ht="14.25" hidden="false" customHeight="false" outlineLevel="0" collapsed="false">
      <c r="A1270" s="13" t="s">
        <v>938</v>
      </c>
      <c r="B1270" s="13" t="s">
        <v>701</v>
      </c>
      <c r="C1270" s="13" t="s">
        <v>712</v>
      </c>
      <c r="D1270" s="61" t="n">
        <v>45979.5541666667</v>
      </c>
      <c r="E1270" s="61" t="n">
        <v>45979.5541666667</v>
      </c>
      <c r="F1270" s="61" t="n">
        <v>45979.5694444444</v>
      </c>
      <c r="G1270" s="62" t="n">
        <v>0.015277777776646</v>
      </c>
      <c r="H1270" s="13" t="s">
        <v>445</v>
      </c>
      <c r="I1270" s="13" t="s">
        <v>263</v>
      </c>
      <c r="J1270" s="13" t="s">
        <v>264</v>
      </c>
      <c r="K1270" s="13" t="s">
        <v>456</v>
      </c>
      <c r="L1270" s="13" t="s">
        <v>2368</v>
      </c>
      <c r="M1270" s="66" t="s">
        <v>266</v>
      </c>
      <c r="N1270" s="66" t="s">
        <v>252</v>
      </c>
      <c r="O1270" s="66" t="s">
        <v>794</v>
      </c>
      <c r="P1270" s="0" t="s">
        <v>2376</v>
      </c>
      <c r="Q1270" s="66" t="s">
        <v>1430</v>
      </c>
    </row>
    <row r="1271" customFormat="false" ht="14.25" hidden="false" customHeight="false" outlineLevel="0" collapsed="false">
      <c r="A1271" s="13" t="s">
        <v>938</v>
      </c>
      <c r="B1271" s="13" t="s">
        <v>701</v>
      </c>
      <c r="C1271" s="13" t="s">
        <v>713</v>
      </c>
      <c r="D1271" s="61" t="n">
        <v>45979.5541666667</v>
      </c>
      <c r="E1271" s="61" t="n">
        <v>45979.5541666667</v>
      </c>
      <c r="F1271" s="61" t="n">
        <v>45979.5694444444</v>
      </c>
      <c r="G1271" s="62" t="n">
        <v>0.015277777776646</v>
      </c>
      <c r="H1271" s="13" t="s">
        <v>445</v>
      </c>
      <c r="I1271" s="13" t="s">
        <v>263</v>
      </c>
      <c r="J1271" s="13" t="s">
        <v>264</v>
      </c>
      <c r="K1271" s="13" t="s">
        <v>456</v>
      </c>
      <c r="L1271" s="13" t="s">
        <v>2368</v>
      </c>
      <c r="M1271" s="66" t="s">
        <v>266</v>
      </c>
      <c r="N1271" s="66" t="s">
        <v>252</v>
      </c>
      <c r="O1271" s="66" t="s">
        <v>794</v>
      </c>
      <c r="P1271" s="0" t="s">
        <v>2377</v>
      </c>
      <c r="Q1271" s="66" t="s">
        <v>1430</v>
      </c>
    </row>
    <row r="1272" customFormat="false" ht="14.25" hidden="false" customHeight="false" outlineLevel="0" collapsed="false">
      <c r="A1272" s="13" t="s">
        <v>938</v>
      </c>
      <c r="B1272" s="13" t="s">
        <v>701</v>
      </c>
      <c r="C1272" s="13" t="s">
        <v>714</v>
      </c>
      <c r="D1272" s="61" t="n">
        <v>45979.5541666667</v>
      </c>
      <c r="E1272" s="61" t="n">
        <v>45979.5541666667</v>
      </c>
      <c r="F1272" s="61" t="n">
        <v>45979.5694444444</v>
      </c>
      <c r="G1272" s="62" t="n">
        <v>0.015277777776646</v>
      </c>
      <c r="H1272" s="13" t="s">
        <v>445</v>
      </c>
      <c r="I1272" s="13" t="s">
        <v>263</v>
      </c>
      <c r="J1272" s="13" t="s">
        <v>264</v>
      </c>
      <c r="K1272" s="13" t="s">
        <v>456</v>
      </c>
      <c r="L1272" s="13" t="s">
        <v>2368</v>
      </c>
      <c r="M1272" s="66" t="s">
        <v>266</v>
      </c>
      <c r="N1272" s="66" t="s">
        <v>252</v>
      </c>
      <c r="O1272" s="66" t="s">
        <v>794</v>
      </c>
      <c r="P1272" s="0" t="s">
        <v>2378</v>
      </c>
      <c r="Q1272" s="66" t="s">
        <v>1430</v>
      </c>
    </row>
    <row r="1273" customFormat="false" ht="14.25" hidden="false" customHeight="false" outlineLevel="0" collapsed="false">
      <c r="A1273" s="13" t="s">
        <v>938</v>
      </c>
      <c r="B1273" s="13" t="s">
        <v>701</v>
      </c>
      <c r="C1273" s="13" t="s">
        <v>715</v>
      </c>
      <c r="D1273" s="61" t="n">
        <v>45979.5541666667</v>
      </c>
      <c r="E1273" s="61" t="n">
        <v>45979.5541666667</v>
      </c>
      <c r="F1273" s="61" t="n">
        <v>45979.5694444444</v>
      </c>
      <c r="G1273" s="62" t="n">
        <v>0.015277777776646</v>
      </c>
      <c r="H1273" s="13" t="s">
        <v>445</v>
      </c>
      <c r="I1273" s="13" t="s">
        <v>263</v>
      </c>
      <c r="J1273" s="13" t="s">
        <v>264</v>
      </c>
      <c r="K1273" s="13" t="s">
        <v>456</v>
      </c>
      <c r="L1273" s="13" t="s">
        <v>2368</v>
      </c>
      <c r="M1273" s="66" t="s">
        <v>266</v>
      </c>
      <c r="N1273" s="66" t="s">
        <v>252</v>
      </c>
      <c r="O1273" s="66" t="s">
        <v>794</v>
      </c>
      <c r="P1273" s="0" t="s">
        <v>2379</v>
      </c>
      <c r="Q1273" s="66" t="s">
        <v>1430</v>
      </c>
    </row>
    <row r="1274" customFormat="false" ht="14.25" hidden="false" customHeight="false" outlineLevel="0" collapsed="false">
      <c r="A1274" s="13" t="s">
        <v>938</v>
      </c>
      <c r="B1274" s="13" t="s">
        <v>701</v>
      </c>
      <c r="C1274" s="13" t="s">
        <v>274</v>
      </c>
      <c r="D1274" s="61" t="n">
        <v>45979.5541666667</v>
      </c>
      <c r="E1274" s="61" t="n">
        <v>45979.5541666667</v>
      </c>
      <c r="F1274" s="61" t="n">
        <v>45979.5694444444</v>
      </c>
      <c r="G1274" s="62" t="n">
        <v>0.015277777776646</v>
      </c>
      <c r="H1274" s="13" t="s">
        <v>445</v>
      </c>
      <c r="I1274" s="13" t="s">
        <v>263</v>
      </c>
      <c r="J1274" s="13" t="s">
        <v>264</v>
      </c>
      <c r="K1274" s="13" t="s">
        <v>456</v>
      </c>
      <c r="L1274" s="13" t="s">
        <v>2368</v>
      </c>
      <c r="M1274" s="66" t="s">
        <v>266</v>
      </c>
      <c r="N1274" s="66" t="s">
        <v>252</v>
      </c>
      <c r="O1274" s="66" t="s">
        <v>794</v>
      </c>
      <c r="P1274" s="0" t="s">
        <v>2380</v>
      </c>
      <c r="Q1274" s="66" t="s">
        <v>1430</v>
      </c>
    </row>
    <row r="1275" customFormat="false" ht="14.25" hidden="false" customHeight="false" outlineLevel="0" collapsed="false">
      <c r="A1275" s="13" t="s">
        <v>938</v>
      </c>
      <c r="B1275" s="13" t="s">
        <v>701</v>
      </c>
      <c r="C1275" s="13" t="s">
        <v>608</v>
      </c>
      <c r="D1275" s="61" t="n">
        <v>45979.5541666667</v>
      </c>
      <c r="E1275" s="61" t="n">
        <v>45979.5541666667</v>
      </c>
      <c r="F1275" s="61" t="n">
        <v>45979.5694444444</v>
      </c>
      <c r="G1275" s="62" t="n">
        <v>0.015277777776646</v>
      </c>
      <c r="H1275" s="13" t="s">
        <v>445</v>
      </c>
      <c r="I1275" s="13" t="s">
        <v>263</v>
      </c>
      <c r="J1275" s="13" t="s">
        <v>264</v>
      </c>
      <c r="K1275" s="13" t="s">
        <v>456</v>
      </c>
      <c r="L1275" s="13" t="s">
        <v>2368</v>
      </c>
      <c r="M1275" s="66" t="s">
        <v>266</v>
      </c>
      <c r="N1275" s="66" t="s">
        <v>252</v>
      </c>
      <c r="O1275" s="66" t="s">
        <v>794</v>
      </c>
      <c r="P1275" s="0" t="s">
        <v>2381</v>
      </c>
      <c r="Q1275" s="66" t="s">
        <v>1430</v>
      </c>
    </row>
    <row r="1276" customFormat="false" ht="14.25" hidden="false" customHeight="false" outlineLevel="0" collapsed="false">
      <c r="A1276" s="13" t="s">
        <v>938</v>
      </c>
      <c r="B1276" s="13" t="s">
        <v>701</v>
      </c>
      <c r="C1276" s="13" t="s">
        <v>716</v>
      </c>
      <c r="D1276" s="61" t="n">
        <v>45979.5541666667</v>
      </c>
      <c r="E1276" s="61" t="n">
        <v>45979.5541666667</v>
      </c>
      <c r="F1276" s="61" t="n">
        <v>45979.5694444444</v>
      </c>
      <c r="G1276" s="62" t="n">
        <v>0.015277777776646</v>
      </c>
      <c r="H1276" s="13" t="s">
        <v>445</v>
      </c>
      <c r="I1276" s="13" t="s">
        <v>263</v>
      </c>
      <c r="J1276" s="13" t="s">
        <v>264</v>
      </c>
      <c r="K1276" s="13" t="s">
        <v>456</v>
      </c>
      <c r="L1276" s="13" t="s">
        <v>2368</v>
      </c>
      <c r="M1276" s="66" t="s">
        <v>266</v>
      </c>
      <c r="N1276" s="66" t="s">
        <v>252</v>
      </c>
      <c r="O1276" s="66" t="s">
        <v>794</v>
      </c>
      <c r="P1276" s="0" t="s">
        <v>2382</v>
      </c>
      <c r="Q1276" s="66" t="s">
        <v>1430</v>
      </c>
    </row>
    <row r="1277" customFormat="false" ht="14.25" hidden="false" customHeight="false" outlineLevel="0" collapsed="false">
      <c r="A1277" s="13" t="s">
        <v>938</v>
      </c>
      <c r="B1277" s="13" t="s">
        <v>701</v>
      </c>
      <c r="C1277" s="13" t="s">
        <v>717</v>
      </c>
      <c r="D1277" s="61" t="n">
        <v>45979.5541666667</v>
      </c>
      <c r="E1277" s="61" t="n">
        <v>45979.5541666667</v>
      </c>
      <c r="F1277" s="61" t="n">
        <v>45979.5694444444</v>
      </c>
      <c r="G1277" s="62" t="n">
        <v>0.015277777776646</v>
      </c>
      <c r="H1277" s="13" t="s">
        <v>445</v>
      </c>
      <c r="I1277" s="13" t="s">
        <v>263</v>
      </c>
      <c r="J1277" s="13" t="s">
        <v>264</v>
      </c>
      <c r="K1277" s="13" t="s">
        <v>456</v>
      </c>
      <c r="L1277" s="13" t="s">
        <v>2368</v>
      </c>
      <c r="M1277" s="66" t="s">
        <v>266</v>
      </c>
      <c r="N1277" s="66" t="s">
        <v>252</v>
      </c>
      <c r="O1277" s="66" t="s">
        <v>794</v>
      </c>
      <c r="P1277" s="0" t="s">
        <v>2383</v>
      </c>
      <c r="Q1277" s="66" t="s">
        <v>1430</v>
      </c>
    </row>
    <row r="1278" customFormat="false" ht="14.25" hidden="false" customHeight="false" outlineLevel="0" collapsed="false">
      <c r="A1278" s="13" t="s">
        <v>938</v>
      </c>
      <c r="B1278" s="13" t="s">
        <v>701</v>
      </c>
      <c r="C1278" s="13" t="s">
        <v>718</v>
      </c>
      <c r="D1278" s="61" t="n">
        <v>45979.5541666667</v>
      </c>
      <c r="E1278" s="61" t="n">
        <v>45979.5541666667</v>
      </c>
      <c r="F1278" s="61" t="n">
        <v>45979.5694444444</v>
      </c>
      <c r="G1278" s="62" t="n">
        <v>0.015277777776646</v>
      </c>
      <c r="H1278" s="13" t="s">
        <v>445</v>
      </c>
      <c r="I1278" s="13" t="s">
        <v>263</v>
      </c>
      <c r="J1278" s="13" t="s">
        <v>264</v>
      </c>
      <c r="K1278" s="13" t="s">
        <v>456</v>
      </c>
      <c r="L1278" s="13" t="s">
        <v>2368</v>
      </c>
      <c r="M1278" s="66" t="s">
        <v>266</v>
      </c>
      <c r="N1278" s="66" t="s">
        <v>252</v>
      </c>
      <c r="O1278" s="66" t="s">
        <v>794</v>
      </c>
      <c r="P1278" s="0" t="s">
        <v>2384</v>
      </c>
      <c r="Q1278" s="66" t="s">
        <v>1430</v>
      </c>
    </row>
    <row r="1279" customFormat="false" ht="14.25" hidden="false" customHeight="false" outlineLevel="0" collapsed="false">
      <c r="A1279" s="13" t="s">
        <v>938</v>
      </c>
      <c r="B1279" s="13" t="s">
        <v>701</v>
      </c>
      <c r="C1279" s="13" t="s">
        <v>719</v>
      </c>
      <c r="D1279" s="61" t="n">
        <v>45979.5541666667</v>
      </c>
      <c r="E1279" s="61" t="n">
        <v>45979.5541666667</v>
      </c>
      <c r="F1279" s="61" t="n">
        <v>45979.5694444444</v>
      </c>
      <c r="G1279" s="62" t="n">
        <v>0.015277777776646</v>
      </c>
      <c r="H1279" s="13" t="s">
        <v>445</v>
      </c>
      <c r="I1279" s="13" t="s">
        <v>263</v>
      </c>
      <c r="J1279" s="13" t="s">
        <v>264</v>
      </c>
      <c r="K1279" s="13" t="s">
        <v>456</v>
      </c>
      <c r="L1279" s="13" t="s">
        <v>2368</v>
      </c>
      <c r="M1279" s="66" t="s">
        <v>266</v>
      </c>
      <c r="N1279" s="66" t="s">
        <v>252</v>
      </c>
      <c r="O1279" s="66" t="s">
        <v>794</v>
      </c>
      <c r="P1279" s="0" t="s">
        <v>2385</v>
      </c>
      <c r="Q1279" s="66" t="s">
        <v>1430</v>
      </c>
    </row>
    <row r="1280" customFormat="false" ht="14.25" hidden="false" customHeight="false" outlineLevel="0" collapsed="false">
      <c r="A1280" s="13" t="s">
        <v>941</v>
      </c>
      <c r="B1280" s="13" t="s">
        <v>1196</v>
      </c>
      <c r="C1280" s="13" t="s">
        <v>942</v>
      </c>
      <c r="D1280" s="61" t="n">
        <v>45979.5541666667</v>
      </c>
      <c r="E1280" s="61" t="n">
        <v>45979.5541666667</v>
      </c>
      <c r="F1280" s="61" t="n">
        <v>45979.5694444444</v>
      </c>
      <c r="G1280" s="62" t="n">
        <v>0.015277777776646</v>
      </c>
      <c r="H1280" s="13" t="s">
        <v>445</v>
      </c>
      <c r="I1280" s="13" t="s">
        <v>263</v>
      </c>
      <c r="J1280" s="13" t="s">
        <v>264</v>
      </c>
      <c r="K1280" s="13" t="s">
        <v>456</v>
      </c>
      <c r="L1280" s="13" t="s">
        <v>2368</v>
      </c>
      <c r="M1280" s="66" t="s">
        <v>266</v>
      </c>
      <c r="N1280" s="66" t="s">
        <v>252</v>
      </c>
      <c r="O1280" s="66" t="s">
        <v>794</v>
      </c>
      <c r="P1280" s="0" t="s">
        <v>2386</v>
      </c>
      <c r="Q1280" s="66" t="s">
        <v>1430</v>
      </c>
    </row>
    <row r="1281" customFormat="false" ht="14.25" hidden="false" customHeight="false" outlineLevel="0" collapsed="false">
      <c r="A1281" s="13" t="s">
        <v>941</v>
      </c>
      <c r="B1281" s="13" t="s">
        <v>1196</v>
      </c>
      <c r="C1281" s="13" t="s">
        <v>943</v>
      </c>
      <c r="D1281" s="61" t="n">
        <v>45979.5541666667</v>
      </c>
      <c r="E1281" s="61" t="n">
        <v>45979.5541666667</v>
      </c>
      <c r="F1281" s="61" t="n">
        <v>45979.5694444444</v>
      </c>
      <c r="G1281" s="62" t="n">
        <v>0.015277777776646</v>
      </c>
      <c r="H1281" s="13" t="s">
        <v>445</v>
      </c>
      <c r="I1281" s="13" t="s">
        <v>263</v>
      </c>
      <c r="J1281" s="13" t="s">
        <v>264</v>
      </c>
      <c r="K1281" s="13" t="s">
        <v>456</v>
      </c>
      <c r="L1281" s="13" t="s">
        <v>2368</v>
      </c>
      <c r="M1281" s="66" t="s">
        <v>266</v>
      </c>
      <c r="N1281" s="66" t="s">
        <v>252</v>
      </c>
      <c r="O1281" s="66" t="s">
        <v>794</v>
      </c>
      <c r="P1281" s="0" t="s">
        <v>2387</v>
      </c>
      <c r="Q1281" s="66" t="s">
        <v>1430</v>
      </c>
    </row>
    <row r="1282" customFormat="false" ht="14.25" hidden="false" customHeight="false" outlineLevel="0" collapsed="false">
      <c r="A1282" s="13" t="s">
        <v>941</v>
      </c>
      <c r="B1282" s="13" t="s">
        <v>1196</v>
      </c>
      <c r="C1282" s="13" t="s">
        <v>944</v>
      </c>
      <c r="D1282" s="61" t="n">
        <v>45979.5541666667</v>
      </c>
      <c r="E1282" s="61" t="n">
        <v>45979.5541666667</v>
      </c>
      <c r="F1282" s="61" t="n">
        <v>45979.5694444444</v>
      </c>
      <c r="G1282" s="62" t="n">
        <v>0.015277777776646</v>
      </c>
      <c r="H1282" s="13" t="s">
        <v>445</v>
      </c>
      <c r="I1282" s="13" t="s">
        <v>263</v>
      </c>
      <c r="J1282" s="13" t="s">
        <v>264</v>
      </c>
      <c r="K1282" s="13" t="s">
        <v>456</v>
      </c>
      <c r="L1282" s="13" t="s">
        <v>2368</v>
      </c>
      <c r="M1282" s="66" t="s">
        <v>266</v>
      </c>
      <c r="N1282" s="66" t="s">
        <v>252</v>
      </c>
      <c r="O1282" s="66" t="s">
        <v>794</v>
      </c>
      <c r="P1282" s="0" t="s">
        <v>2388</v>
      </c>
      <c r="Q1282" s="66" t="s">
        <v>1430</v>
      </c>
    </row>
    <row r="1283" customFormat="false" ht="14.25" hidden="false" customHeight="false" outlineLevel="0" collapsed="false">
      <c r="A1283" s="13" t="s">
        <v>941</v>
      </c>
      <c r="B1283" s="13" t="s">
        <v>1196</v>
      </c>
      <c r="C1283" s="13" t="s">
        <v>945</v>
      </c>
      <c r="D1283" s="61" t="n">
        <v>45979.5541666667</v>
      </c>
      <c r="E1283" s="61" t="n">
        <v>45979.5541666667</v>
      </c>
      <c r="F1283" s="61" t="n">
        <v>45979.5694444444</v>
      </c>
      <c r="G1283" s="62" t="n">
        <v>0.015277777776646</v>
      </c>
      <c r="H1283" s="13" t="s">
        <v>445</v>
      </c>
      <c r="I1283" s="13" t="s">
        <v>263</v>
      </c>
      <c r="J1283" s="13" t="s">
        <v>264</v>
      </c>
      <c r="K1283" s="13" t="s">
        <v>456</v>
      </c>
      <c r="L1283" s="13" t="s">
        <v>2368</v>
      </c>
      <c r="M1283" s="66" t="s">
        <v>266</v>
      </c>
      <c r="N1283" s="66" t="s">
        <v>252</v>
      </c>
      <c r="O1283" s="66" t="s">
        <v>794</v>
      </c>
      <c r="P1283" s="0" t="s">
        <v>2389</v>
      </c>
      <c r="Q1283" s="66" t="s">
        <v>1430</v>
      </c>
    </row>
    <row r="1284" customFormat="false" ht="14.25" hidden="false" customHeight="false" outlineLevel="0" collapsed="false">
      <c r="A1284" s="13" t="s">
        <v>941</v>
      </c>
      <c r="B1284" s="13" t="s">
        <v>1196</v>
      </c>
      <c r="C1284" s="13" t="s">
        <v>946</v>
      </c>
      <c r="D1284" s="61" t="n">
        <v>45979.5541666667</v>
      </c>
      <c r="E1284" s="61" t="n">
        <v>45979.5541666667</v>
      </c>
      <c r="F1284" s="61" t="n">
        <v>45979.5694444444</v>
      </c>
      <c r="G1284" s="62" t="n">
        <v>0.015277777776646</v>
      </c>
      <c r="H1284" s="13" t="s">
        <v>445</v>
      </c>
      <c r="I1284" s="13" t="s">
        <v>263</v>
      </c>
      <c r="J1284" s="13" t="s">
        <v>264</v>
      </c>
      <c r="K1284" s="13" t="s">
        <v>456</v>
      </c>
      <c r="L1284" s="13" t="s">
        <v>2368</v>
      </c>
      <c r="M1284" s="66" t="s">
        <v>266</v>
      </c>
      <c r="N1284" s="66" t="s">
        <v>252</v>
      </c>
      <c r="O1284" s="66" t="s">
        <v>794</v>
      </c>
      <c r="P1284" s="0" t="s">
        <v>2390</v>
      </c>
      <c r="Q1284" s="66" t="s">
        <v>1430</v>
      </c>
    </row>
    <row r="1285" customFormat="false" ht="14.25" hidden="false" customHeight="false" outlineLevel="0" collapsed="false">
      <c r="A1285" s="13" t="s">
        <v>941</v>
      </c>
      <c r="B1285" s="13" t="s">
        <v>1196</v>
      </c>
      <c r="C1285" s="13" t="s">
        <v>947</v>
      </c>
      <c r="D1285" s="61" t="n">
        <v>45979.5541666667</v>
      </c>
      <c r="E1285" s="61" t="n">
        <v>45979.5541666667</v>
      </c>
      <c r="F1285" s="61" t="n">
        <v>45979.5694444444</v>
      </c>
      <c r="G1285" s="62" t="n">
        <v>0.015277777776646</v>
      </c>
      <c r="H1285" s="13" t="s">
        <v>445</v>
      </c>
      <c r="I1285" s="13" t="s">
        <v>263</v>
      </c>
      <c r="J1285" s="13" t="s">
        <v>264</v>
      </c>
      <c r="K1285" s="13" t="s">
        <v>456</v>
      </c>
      <c r="L1285" s="13" t="s">
        <v>2368</v>
      </c>
      <c r="M1285" s="66" t="s">
        <v>266</v>
      </c>
      <c r="N1285" s="66" t="s">
        <v>252</v>
      </c>
      <c r="O1285" s="66" t="s">
        <v>794</v>
      </c>
      <c r="P1285" s="0" t="s">
        <v>2391</v>
      </c>
      <c r="Q1285" s="66" t="s">
        <v>1430</v>
      </c>
    </row>
    <row r="1286" customFormat="false" ht="14.25" hidden="false" customHeight="false" outlineLevel="0" collapsed="false">
      <c r="A1286" s="13" t="s">
        <v>941</v>
      </c>
      <c r="B1286" s="13" t="s">
        <v>1196</v>
      </c>
      <c r="C1286" s="13" t="s">
        <v>948</v>
      </c>
      <c r="D1286" s="61" t="n">
        <v>45979.5541666667</v>
      </c>
      <c r="E1286" s="61" t="n">
        <v>45979.5541666667</v>
      </c>
      <c r="F1286" s="61" t="n">
        <v>45979.5694444444</v>
      </c>
      <c r="G1286" s="62" t="n">
        <v>0.015277777776646</v>
      </c>
      <c r="H1286" s="13" t="s">
        <v>445</v>
      </c>
      <c r="I1286" s="13" t="s">
        <v>263</v>
      </c>
      <c r="J1286" s="13" t="s">
        <v>264</v>
      </c>
      <c r="K1286" s="13" t="s">
        <v>456</v>
      </c>
      <c r="L1286" s="13" t="s">
        <v>2368</v>
      </c>
      <c r="M1286" s="66" t="s">
        <v>266</v>
      </c>
      <c r="N1286" s="66" t="s">
        <v>252</v>
      </c>
      <c r="O1286" s="66" t="s">
        <v>794</v>
      </c>
      <c r="P1286" s="0" t="s">
        <v>2392</v>
      </c>
      <c r="Q1286" s="66" t="s">
        <v>1430</v>
      </c>
    </row>
    <row r="1287" customFormat="false" ht="14.25" hidden="false" customHeight="false" outlineLevel="0" collapsed="false">
      <c r="A1287" s="13" t="s">
        <v>941</v>
      </c>
      <c r="B1287" s="13" t="s">
        <v>1196</v>
      </c>
      <c r="C1287" s="13" t="s">
        <v>949</v>
      </c>
      <c r="D1287" s="61" t="n">
        <v>45979.5541666667</v>
      </c>
      <c r="E1287" s="61" t="n">
        <v>45979.5541666667</v>
      </c>
      <c r="F1287" s="61" t="n">
        <v>45979.5694444444</v>
      </c>
      <c r="G1287" s="62" t="n">
        <v>0.015277777776646</v>
      </c>
      <c r="H1287" s="13" t="s">
        <v>445</v>
      </c>
      <c r="I1287" s="13" t="s">
        <v>263</v>
      </c>
      <c r="J1287" s="13" t="s">
        <v>264</v>
      </c>
      <c r="K1287" s="13" t="s">
        <v>456</v>
      </c>
      <c r="L1287" s="13" t="s">
        <v>2368</v>
      </c>
      <c r="M1287" s="66" t="s">
        <v>266</v>
      </c>
      <c r="N1287" s="66" t="s">
        <v>252</v>
      </c>
      <c r="O1287" s="66" t="s">
        <v>794</v>
      </c>
      <c r="P1287" s="0" t="s">
        <v>2393</v>
      </c>
      <c r="Q1287" s="66" t="s">
        <v>1430</v>
      </c>
    </row>
    <row r="1288" customFormat="false" ht="14.25" hidden="false" customHeight="false" outlineLevel="0" collapsed="false">
      <c r="A1288" s="13" t="s">
        <v>941</v>
      </c>
      <c r="B1288" s="13" t="s">
        <v>1196</v>
      </c>
      <c r="C1288" s="13" t="s">
        <v>950</v>
      </c>
      <c r="D1288" s="61" t="n">
        <v>45979.5541666667</v>
      </c>
      <c r="E1288" s="61" t="n">
        <v>45979.5541666667</v>
      </c>
      <c r="F1288" s="61" t="n">
        <v>45979.5694444444</v>
      </c>
      <c r="G1288" s="62" t="n">
        <v>0.015277777776646</v>
      </c>
      <c r="H1288" s="13" t="s">
        <v>445</v>
      </c>
      <c r="I1288" s="13" t="s">
        <v>263</v>
      </c>
      <c r="J1288" s="13" t="s">
        <v>264</v>
      </c>
      <c r="K1288" s="13" t="s">
        <v>456</v>
      </c>
      <c r="L1288" s="13" t="s">
        <v>2368</v>
      </c>
      <c r="M1288" s="66" t="s">
        <v>266</v>
      </c>
      <c r="N1288" s="66" t="s">
        <v>252</v>
      </c>
      <c r="O1288" s="66" t="s">
        <v>794</v>
      </c>
      <c r="P1288" s="0" t="s">
        <v>2394</v>
      </c>
      <c r="Q1288" s="66" t="s">
        <v>1430</v>
      </c>
    </row>
    <row r="1289" customFormat="false" ht="14.25" hidden="false" customHeight="false" outlineLevel="0" collapsed="false">
      <c r="A1289" s="13" t="s">
        <v>941</v>
      </c>
      <c r="B1289" s="13" t="s">
        <v>1196</v>
      </c>
      <c r="C1289" s="13" t="s">
        <v>951</v>
      </c>
      <c r="D1289" s="61" t="n">
        <v>45979.5541666667</v>
      </c>
      <c r="E1289" s="61" t="n">
        <v>45979.5541666667</v>
      </c>
      <c r="F1289" s="61" t="n">
        <v>45979.5694444444</v>
      </c>
      <c r="G1289" s="62" t="n">
        <v>0.015277777776646</v>
      </c>
      <c r="H1289" s="13" t="s">
        <v>445</v>
      </c>
      <c r="I1289" s="13" t="s">
        <v>263</v>
      </c>
      <c r="J1289" s="13" t="s">
        <v>264</v>
      </c>
      <c r="K1289" s="13" t="s">
        <v>456</v>
      </c>
      <c r="L1289" s="13" t="s">
        <v>2368</v>
      </c>
      <c r="M1289" s="66" t="s">
        <v>266</v>
      </c>
      <c r="N1289" s="66" t="s">
        <v>252</v>
      </c>
      <c r="O1289" s="66" t="s">
        <v>794</v>
      </c>
      <c r="P1289" s="0" t="s">
        <v>2395</v>
      </c>
      <c r="Q1289" s="66" t="s">
        <v>1430</v>
      </c>
    </row>
    <row r="1290" customFormat="false" ht="14.25" hidden="false" customHeight="false" outlineLevel="0" collapsed="false">
      <c r="A1290" s="13" t="s">
        <v>941</v>
      </c>
      <c r="B1290" s="13" t="s">
        <v>1196</v>
      </c>
      <c r="C1290" s="13" t="s">
        <v>952</v>
      </c>
      <c r="D1290" s="61" t="n">
        <v>45979.5541666667</v>
      </c>
      <c r="E1290" s="61" t="n">
        <v>45979.5541666667</v>
      </c>
      <c r="F1290" s="61" t="n">
        <v>45979.5694444444</v>
      </c>
      <c r="G1290" s="62" t="n">
        <v>0.015277777776646</v>
      </c>
      <c r="H1290" s="13" t="s">
        <v>445</v>
      </c>
      <c r="I1290" s="13" t="s">
        <v>263</v>
      </c>
      <c r="J1290" s="13" t="s">
        <v>264</v>
      </c>
      <c r="K1290" s="13" t="s">
        <v>456</v>
      </c>
      <c r="L1290" s="13" t="s">
        <v>2368</v>
      </c>
      <c r="M1290" s="66" t="s">
        <v>266</v>
      </c>
      <c r="N1290" s="66" t="s">
        <v>252</v>
      </c>
      <c r="O1290" s="66" t="s">
        <v>794</v>
      </c>
      <c r="P1290" s="0" t="s">
        <v>2396</v>
      </c>
      <c r="Q1290" s="66" t="s">
        <v>1430</v>
      </c>
    </row>
    <row r="1291" customFormat="false" ht="14.25" hidden="false" customHeight="false" outlineLevel="0" collapsed="false">
      <c r="A1291" s="13" t="s">
        <v>941</v>
      </c>
      <c r="B1291" s="13" t="s">
        <v>1196</v>
      </c>
      <c r="C1291" s="13" t="s">
        <v>953</v>
      </c>
      <c r="D1291" s="61" t="n">
        <v>45979.5541666667</v>
      </c>
      <c r="E1291" s="61" t="n">
        <v>45979.5541666667</v>
      </c>
      <c r="F1291" s="61" t="n">
        <v>45979.5694444444</v>
      </c>
      <c r="G1291" s="62" t="n">
        <v>0.015277777776646</v>
      </c>
      <c r="H1291" s="13" t="s">
        <v>445</v>
      </c>
      <c r="I1291" s="13" t="s">
        <v>263</v>
      </c>
      <c r="J1291" s="13" t="s">
        <v>264</v>
      </c>
      <c r="K1291" s="13" t="s">
        <v>456</v>
      </c>
      <c r="L1291" s="13" t="s">
        <v>2368</v>
      </c>
      <c r="M1291" s="66" t="s">
        <v>266</v>
      </c>
      <c r="N1291" s="66" t="s">
        <v>252</v>
      </c>
      <c r="O1291" s="66" t="s">
        <v>794</v>
      </c>
      <c r="P1291" s="0" t="s">
        <v>2397</v>
      </c>
      <c r="Q1291" s="66" t="s">
        <v>1430</v>
      </c>
    </row>
    <row r="1292" customFormat="false" ht="14.25" hidden="false" customHeight="false" outlineLevel="0" collapsed="false">
      <c r="A1292" s="13" t="s">
        <v>941</v>
      </c>
      <c r="B1292" s="13" t="s">
        <v>1196</v>
      </c>
      <c r="C1292" s="13" t="s">
        <v>954</v>
      </c>
      <c r="D1292" s="61" t="n">
        <v>45979.5541666667</v>
      </c>
      <c r="E1292" s="61" t="n">
        <v>45979.5541666667</v>
      </c>
      <c r="F1292" s="61" t="n">
        <v>45979.5694444444</v>
      </c>
      <c r="G1292" s="62" t="n">
        <v>0.015277777776646</v>
      </c>
      <c r="H1292" s="13" t="s">
        <v>445</v>
      </c>
      <c r="I1292" s="13" t="s">
        <v>263</v>
      </c>
      <c r="J1292" s="13" t="s">
        <v>264</v>
      </c>
      <c r="K1292" s="13" t="s">
        <v>456</v>
      </c>
      <c r="L1292" s="13" t="s">
        <v>2368</v>
      </c>
      <c r="M1292" s="66" t="s">
        <v>266</v>
      </c>
      <c r="N1292" s="66" t="s">
        <v>252</v>
      </c>
      <c r="O1292" s="66" t="s">
        <v>794</v>
      </c>
      <c r="P1292" s="0" t="s">
        <v>2398</v>
      </c>
      <c r="Q1292" s="66" t="s">
        <v>1430</v>
      </c>
    </row>
    <row r="1293" customFormat="false" ht="14.25" hidden="false" customHeight="false" outlineLevel="0" collapsed="false">
      <c r="A1293" s="13" t="s">
        <v>941</v>
      </c>
      <c r="B1293" s="13" t="s">
        <v>1196</v>
      </c>
      <c r="C1293" s="13" t="s">
        <v>955</v>
      </c>
      <c r="D1293" s="61" t="n">
        <v>45979.5541666667</v>
      </c>
      <c r="E1293" s="61" t="n">
        <v>45979.5541666667</v>
      </c>
      <c r="F1293" s="61" t="n">
        <v>45979.5694444444</v>
      </c>
      <c r="G1293" s="62" t="n">
        <v>0.015277777776646</v>
      </c>
      <c r="H1293" s="13" t="s">
        <v>445</v>
      </c>
      <c r="I1293" s="13" t="s">
        <v>263</v>
      </c>
      <c r="J1293" s="13" t="s">
        <v>264</v>
      </c>
      <c r="K1293" s="13" t="s">
        <v>456</v>
      </c>
      <c r="L1293" s="13" t="s">
        <v>2368</v>
      </c>
      <c r="M1293" s="66" t="s">
        <v>266</v>
      </c>
      <c r="N1293" s="66" t="s">
        <v>252</v>
      </c>
      <c r="O1293" s="66" t="s">
        <v>794</v>
      </c>
      <c r="P1293" s="0" t="s">
        <v>2399</v>
      </c>
      <c r="Q1293" s="66" t="s">
        <v>1430</v>
      </c>
    </row>
    <row r="1294" customFormat="false" ht="14.25" hidden="false" customHeight="false" outlineLevel="0" collapsed="false">
      <c r="A1294" s="13" t="s">
        <v>941</v>
      </c>
      <c r="B1294" s="13" t="s">
        <v>1196</v>
      </c>
      <c r="C1294" s="13" t="s">
        <v>956</v>
      </c>
      <c r="D1294" s="61" t="n">
        <v>45979.5541666667</v>
      </c>
      <c r="E1294" s="61" t="n">
        <v>45979.5541666667</v>
      </c>
      <c r="F1294" s="61" t="n">
        <v>45979.5694444444</v>
      </c>
      <c r="G1294" s="62" t="n">
        <v>0.015277777776646</v>
      </c>
      <c r="H1294" s="13" t="s">
        <v>445</v>
      </c>
      <c r="I1294" s="13" t="s">
        <v>263</v>
      </c>
      <c r="J1294" s="13" t="s">
        <v>264</v>
      </c>
      <c r="K1294" s="13" t="s">
        <v>456</v>
      </c>
      <c r="L1294" s="13" t="s">
        <v>2368</v>
      </c>
      <c r="M1294" s="66" t="s">
        <v>266</v>
      </c>
      <c r="N1294" s="66" t="s">
        <v>252</v>
      </c>
      <c r="O1294" s="66" t="s">
        <v>794</v>
      </c>
      <c r="P1294" s="0" t="s">
        <v>2400</v>
      </c>
      <c r="Q1294" s="66" t="s">
        <v>1430</v>
      </c>
    </row>
    <row r="1295" customFormat="false" ht="14.25" hidden="false" customHeight="false" outlineLevel="0" collapsed="false">
      <c r="A1295" s="13" t="s">
        <v>941</v>
      </c>
      <c r="B1295" s="13" t="s">
        <v>1196</v>
      </c>
      <c r="C1295" s="13" t="s">
        <v>957</v>
      </c>
      <c r="D1295" s="61" t="n">
        <v>45979.5541666667</v>
      </c>
      <c r="E1295" s="61" t="n">
        <v>45979.5541666667</v>
      </c>
      <c r="F1295" s="61" t="n">
        <v>45979.5694444444</v>
      </c>
      <c r="G1295" s="62" t="n">
        <v>0.015277777776646</v>
      </c>
      <c r="H1295" s="13" t="s">
        <v>445</v>
      </c>
      <c r="I1295" s="13" t="s">
        <v>263</v>
      </c>
      <c r="J1295" s="13" t="s">
        <v>264</v>
      </c>
      <c r="K1295" s="13" t="s">
        <v>456</v>
      </c>
      <c r="L1295" s="13" t="s">
        <v>2368</v>
      </c>
      <c r="M1295" s="66" t="s">
        <v>266</v>
      </c>
      <c r="N1295" s="66" t="s">
        <v>252</v>
      </c>
      <c r="O1295" s="66" t="s">
        <v>794</v>
      </c>
      <c r="P1295" s="0" t="s">
        <v>2401</v>
      </c>
      <c r="Q1295" s="66" t="s">
        <v>1430</v>
      </c>
    </row>
    <row r="1296" customFormat="false" ht="14.25" hidden="false" customHeight="false" outlineLevel="0" collapsed="false">
      <c r="A1296" s="13" t="s">
        <v>941</v>
      </c>
      <c r="B1296" s="13" t="s">
        <v>1196</v>
      </c>
      <c r="C1296" s="13" t="s">
        <v>958</v>
      </c>
      <c r="D1296" s="61" t="n">
        <v>45979.5541666667</v>
      </c>
      <c r="E1296" s="61" t="n">
        <v>45979.5541666667</v>
      </c>
      <c r="F1296" s="61" t="n">
        <v>45979.5694444444</v>
      </c>
      <c r="G1296" s="62" t="n">
        <v>0.015277777776646</v>
      </c>
      <c r="H1296" s="13" t="s">
        <v>445</v>
      </c>
      <c r="I1296" s="13" t="s">
        <v>263</v>
      </c>
      <c r="J1296" s="13" t="s">
        <v>264</v>
      </c>
      <c r="K1296" s="13" t="s">
        <v>456</v>
      </c>
      <c r="L1296" s="13" t="s">
        <v>2368</v>
      </c>
      <c r="M1296" s="66" t="s">
        <v>266</v>
      </c>
      <c r="N1296" s="66" t="s">
        <v>252</v>
      </c>
      <c r="O1296" s="66" t="s">
        <v>794</v>
      </c>
      <c r="P1296" s="0" t="s">
        <v>2402</v>
      </c>
      <c r="Q1296" s="66" t="s">
        <v>1430</v>
      </c>
    </row>
    <row r="1297" customFormat="false" ht="14.25" hidden="false" customHeight="false" outlineLevel="0" collapsed="false">
      <c r="A1297" s="13" t="s">
        <v>685</v>
      </c>
      <c r="B1297" s="13" t="s">
        <v>685</v>
      </c>
      <c r="C1297" s="13" t="s">
        <v>255</v>
      </c>
      <c r="D1297" s="61" t="n">
        <v>45980.2465277778</v>
      </c>
      <c r="E1297" s="61" t="n">
        <v>45980.2465277778</v>
      </c>
      <c r="F1297" s="61" t="n">
        <v>45980.3125</v>
      </c>
      <c r="G1297" s="62" t="n">
        <v>0.0659722222189885</v>
      </c>
      <c r="H1297" s="13" t="s">
        <v>248</v>
      </c>
      <c r="J1297" s="13" t="s">
        <v>256</v>
      </c>
      <c r="K1297" s="13" t="s">
        <v>430</v>
      </c>
      <c r="L1297" s="13" t="s">
        <v>686</v>
      </c>
      <c r="M1297" s="66" t="s">
        <v>258</v>
      </c>
      <c r="N1297" s="66" t="s">
        <v>379</v>
      </c>
      <c r="O1297" s="66" t="s">
        <v>687</v>
      </c>
      <c r="P1297" s="0" t="s">
        <v>2403</v>
      </c>
      <c r="Q1297" s="66" t="s">
        <v>995</v>
      </c>
    </row>
    <row r="1298" customFormat="false" ht="14.25" hidden="false" customHeight="false" outlineLevel="0" collapsed="false">
      <c r="A1298" s="13" t="s">
        <v>685</v>
      </c>
      <c r="B1298" s="13" t="s">
        <v>685</v>
      </c>
      <c r="C1298" s="13" t="s">
        <v>396</v>
      </c>
      <c r="D1298" s="61" t="n">
        <v>45980.2465277778</v>
      </c>
      <c r="E1298" s="61" t="n">
        <v>45980.2465277778</v>
      </c>
      <c r="F1298" s="61" t="n">
        <v>45980.3125</v>
      </c>
      <c r="G1298" s="62" t="n">
        <v>0.0659722222189885</v>
      </c>
      <c r="H1298" s="13" t="s">
        <v>248</v>
      </c>
      <c r="J1298" s="13" t="s">
        <v>256</v>
      </c>
      <c r="K1298" s="13" t="s">
        <v>430</v>
      </c>
      <c r="L1298" s="13" t="s">
        <v>686</v>
      </c>
      <c r="M1298" s="66" t="s">
        <v>258</v>
      </c>
      <c r="N1298" s="66" t="s">
        <v>379</v>
      </c>
      <c r="O1298" s="66" t="s">
        <v>687</v>
      </c>
      <c r="P1298" s="0" t="s">
        <v>2404</v>
      </c>
      <c r="Q1298" s="66" t="s">
        <v>995</v>
      </c>
    </row>
    <row r="1299" customFormat="false" ht="14.25" hidden="false" customHeight="false" outlineLevel="0" collapsed="false">
      <c r="A1299" s="13" t="s">
        <v>685</v>
      </c>
      <c r="B1299" s="13" t="s">
        <v>685</v>
      </c>
      <c r="C1299" s="13" t="s">
        <v>397</v>
      </c>
      <c r="D1299" s="61" t="n">
        <v>45980.2465277778</v>
      </c>
      <c r="E1299" s="61" t="n">
        <v>45980.2465277778</v>
      </c>
      <c r="F1299" s="61" t="n">
        <v>45980.3125</v>
      </c>
      <c r="G1299" s="62" t="n">
        <v>0.0659722222189885</v>
      </c>
      <c r="H1299" s="13" t="s">
        <v>248</v>
      </c>
      <c r="J1299" s="13" t="s">
        <v>256</v>
      </c>
      <c r="K1299" s="13" t="s">
        <v>430</v>
      </c>
      <c r="L1299" s="13" t="s">
        <v>686</v>
      </c>
      <c r="M1299" s="66" t="s">
        <v>258</v>
      </c>
      <c r="N1299" s="66" t="s">
        <v>379</v>
      </c>
      <c r="O1299" s="66" t="s">
        <v>687</v>
      </c>
      <c r="P1299" s="0" t="s">
        <v>2405</v>
      </c>
      <c r="Q1299" s="66" t="s">
        <v>995</v>
      </c>
    </row>
    <row r="1300" customFormat="false" ht="14.25" hidden="false" customHeight="false" outlineLevel="0" collapsed="false">
      <c r="A1300" s="13" t="s">
        <v>685</v>
      </c>
      <c r="B1300" s="13" t="s">
        <v>685</v>
      </c>
      <c r="C1300" s="13" t="s">
        <v>391</v>
      </c>
      <c r="D1300" s="61" t="n">
        <v>45980.2465277778</v>
      </c>
      <c r="E1300" s="61" t="n">
        <v>45980.2465277778</v>
      </c>
      <c r="F1300" s="61" t="n">
        <v>45980.3125</v>
      </c>
      <c r="G1300" s="62" t="n">
        <v>0.0659722222189885</v>
      </c>
      <c r="H1300" s="13" t="s">
        <v>248</v>
      </c>
      <c r="J1300" s="13" t="s">
        <v>256</v>
      </c>
      <c r="K1300" s="13" t="s">
        <v>430</v>
      </c>
      <c r="L1300" s="13" t="s">
        <v>686</v>
      </c>
      <c r="M1300" s="66" t="s">
        <v>258</v>
      </c>
      <c r="N1300" s="66" t="s">
        <v>379</v>
      </c>
      <c r="O1300" s="66" t="s">
        <v>687</v>
      </c>
      <c r="P1300" s="0" t="s">
        <v>2406</v>
      </c>
      <c r="Q1300" s="66" t="s">
        <v>995</v>
      </c>
    </row>
    <row r="1301" customFormat="false" ht="14.25" hidden="false" customHeight="false" outlineLevel="0" collapsed="false">
      <c r="A1301" s="13" t="s">
        <v>685</v>
      </c>
      <c r="B1301" s="13" t="s">
        <v>685</v>
      </c>
      <c r="C1301" s="13" t="s">
        <v>395</v>
      </c>
      <c r="D1301" s="61" t="n">
        <v>45980.2465277778</v>
      </c>
      <c r="E1301" s="61" t="n">
        <v>45980.2465277778</v>
      </c>
      <c r="F1301" s="61" t="n">
        <v>45980.3125</v>
      </c>
      <c r="G1301" s="62" t="n">
        <v>0.0659722222189885</v>
      </c>
      <c r="H1301" s="13" t="s">
        <v>248</v>
      </c>
      <c r="J1301" s="13" t="s">
        <v>256</v>
      </c>
      <c r="K1301" s="13" t="s">
        <v>430</v>
      </c>
      <c r="L1301" s="13" t="s">
        <v>686</v>
      </c>
      <c r="M1301" s="66" t="s">
        <v>258</v>
      </c>
      <c r="N1301" s="66" t="s">
        <v>379</v>
      </c>
      <c r="O1301" s="66" t="s">
        <v>687</v>
      </c>
      <c r="P1301" s="0" t="s">
        <v>2407</v>
      </c>
      <c r="Q1301" s="66" t="s">
        <v>995</v>
      </c>
    </row>
    <row r="1302" customFormat="false" ht="14.25" hidden="false" customHeight="false" outlineLevel="0" collapsed="false">
      <c r="A1302" s="13" t="s">
        <v>688</v>
      </c>
      <c r="B1302" s="13" t="s">
        <v>688</v>
      </c>
      <c r="C1302" s="13" t="s">
        <v>689</v>
      </c>
      <c r="D1302" s="61" t="n">
        <v>45980.2465277778</v>
      </c>
      <c r="E1302" s="61" t="n">
        <v>45980.2465277778</v>
      </c>
      <c r="F1302" s="61" t="n">
        <v>45980.3125</v>
      </c>
      <c r="G1302" s="62" t="n">
        <v>0.0659722222189885</v>
      </c>
      <c r="H1302" s="13" t="s">
        <v>248</v>
      </c>
      <c r="J1302" s="13" t="s">
        <v>256</v>
      </c>
      <c r="K1302" s="13" t="s">
        <v>430</v>
      </c>
      <c r="L1302" s="13" t="s">
        <v>686</v>
      </c>
      <c r="M1302" s="66" t="s">
        <v>258</v>
      </c>
      <c r="N1302" s="66" t="s">
        <v>379</v>
      </c>
      <c r="O1302" s="66" t="s">
        <v>687</v>
      </c>
      <c r="P1302" s="0" t="s">
        <v>2408</v>
      </c>
      <c r="Q1302" s="66" t="s">
        <v>995</v>
      </c>
    </row>
    <row r="1303" customFormat="false" ht="14.25" hidden="false" customHeight="false" outlineLevel="0" collapsed="false">
      <c r="A1303" s="13" t="s">
        <v>688</v>
      </c>
      <c r="B1303" s="13" t="s">
        <v>688</v>
      </c>
      <c r="C1303" s="13" t="s">
        <v>690</v>
      </c>
      <c r="D1303" s="61" t="n">
        <v>45980.2465277778</v>
      </c>
      <c r="E1303" s="61" t="n">
        <v>45980.2465277778</v>
      </c>
      <c r="F1303" s="61" t="n">
        <v>45980.3125</v>
      </c>
      <c r="G1303" s="62" t="n">
        <v>0.0659722222189885</v>
      </c>
      <c r="H1303" s="13" t="s">
        <v>248</v>
      </c>
      <c r="J1303" s="13" t="s">
        <v>256</v>
      </c>
      <c r="K1303" s="13" t="s">
        <v>430</v>
      </c>
      <c r="L1303" s="13" t="s">
        <v>686</v>
      </c>
      <c r="M1303" s="66" t="s">
        <v>258</v>
      </c>
      <c r="N1303" s="66" t="s">
        <v>379</v>
      </c>
      <c r="O1303" s="66" t="s">
        <v>687</v>
      </c>
      <c r="P1303" s="0" t="s">
        <v>2409</v>
      </c>
      <c r="Q1303" s="66" t="s">
        <v>995</v>
      </c>
    </row>
    <row r="1304" customFormat="false" ht="14.25" hidden="false" customHeight="false" outlineLevel="0" collapsed="false">
      <c r="A1304" s="13" t="s">
        <v>688</v>
      </c>
      <c r="B1304" s="13" t="s">
        <v>688</v>
      </c>
      <c r="C1304" s="13" t="s">
        <v>277</v>
      </c>
      <c r="D1304" s="61" t="n">
        <v>45980.2465277778</v>
      </c>
      <c r="E1304" s="61" t="n">
        <v>45980.2465277778</v>
      </c>
      <c r="F1304" s="61" t="n">
        <v>45980.3125</v>
      </c>
      <c r="G1304" s="62" t="n">
        <v>0.0659722222189885</v>
      </c>
      <c r="H1304" s="13" t="s">
        <v>248</v>
      </c>
      <c r="J1304" s="13" t="s">
        <v>256</v>
      </c>
      <c r="K1304" s="13" t="s">
        <v>430</v>
      </c>
      <c r="L1304" s="13" t="s">
        <v>686</v>
      </c>
      <c r="M1304" s="66" t="s">
        <v>258</v>
      </c>
      <c r="N1304" s="66" t="s">
        <v>379</v>
      </c>
      <c r="O1304" s="66" t="s">
        <v>687</v>
      </c>
      <c r="P1304" s="0" t="s">
        <v>2410</v>
      </c>
      <c r="Q1304" s="66" t="s">
        <v>995</v>
      </c>
    </row>
    <row r="1305" customFormat="false" ht="14.25" hidden="false" customHeight="false" outlineLevel="0" collapsed="false">
      <c r="A1305" s="13" t="s">
        <v>688</v>
      </c>
      <c r="B1305" s="13" t="s">
        <v>688</v>
      </c>
      <c r="C1305" s="13" t="s">
        <v>691</v>
      </c>
      <c r="D1305" s="61" t="n">
        <v>45980.2465277778</v>
      </c>
      <c r="E1305" s="61" t="n">
        <v>45980.2465277778</v>
      </c>
      <c r="F1305" s="61" t="n">
        <v>45980.3125</v>
      </c>
      <c r="G1305" s="62" t="n">
        <v>0.0659722222189885</v>
      </c>
      <c r="H1305" s="13" t="s">
        <v>248</v>
      </c>
      <c r="J1305" s="13" t="s">
        <v>256</v>
      </c>
      <c r="K1305" s="13" t="s">
        <v>430</v>
      </c>
      <c r="L1305" s="13" t="s">
        <v>686</v>
      </c>
      <c r="M1305" s="66" t="s">
        <v>258</v>
      </c>
      <c r="N1305" s="66" t="s">
        <v>379</v>
      </c>
      <c r="O1305" s="66" t="s">
        <v>687</v>
      </c>
      <c r="P1305" s="0" t="s">
        <v>2411</v>
      </c>
      <c r="Q1305" s="66" t="s">
        <v>995</v>
      </c>
    </row>
    <row r="1306" customFormat="false" ht="14.25" hidden="false" customHeight="false" outlineLevel="0" collapsed="false">
      <c r="A1306" s="13" t="s">
        <v>688</v>
      </c>
      <c r="B1306" s="13" t="s">
        <v>688</v>
      </c>
      <c r="C1306" s="13" t="s">
        <v>255</v>
      </c>
      <c r="D1306" s="61" t="n">
        <v>45980.2465277778</v>
      </c>
      <c r="E1306" s="61" t="n">
        <v>45980.2465277778</v>
      </c>
      <c r="F1306" s="61" t="n">
        <v>45980.3125</v>
      </c>
      <c r="G1306" s="62" t="n">
        <v>0.0659722222189885</v>
      </c>
      <c r="H1306" s="13" t="s">
        <v>248</v>
      </c>
      <c r="J1306" s="13" t="s">
        <v>256</v>
      </c>
      <c r="K1306" s="13" t="s">
        <v>430</v>
      </c>
      <c r="L1306" s="13" t="s">
        <v>686</v>
      </c>
      <c r="M1306" s="66" t="s">
        <v>258</v>
      </c>
      <c r="N1306" s="66" t="s">
        <v>379</v>
      </c>
      <c r="O1306" s="66" t="s">
        <v>687</v>
      </c>
      <c r="P1306" s="0" t="s">
        <v>2412</v>
      </c>
      <c r="Q1306" s="66" t="s">
        <v>995</v>
      </c>
    </row>
    <row r="1307" customFormat="false" ht="14.25" hidden="false" customHeight="false" outlineLevel="0" collapsed="false">
      <c r="A1307" s="13" t="s">
        <v>390</v>
      </c>
      <c r="B1307" s="13" t="s">
        <v>390</v>
      </c>
      <c r="C1307" s="13" t="s">
        <v>391</v>
      </c>
      <c r="D1307" s="61" t="n">
        <v>45980.2465277778</v>
      </c>
      <c r="E1307" s="61" t="n">
        <v>45980.2465277778</v>
      </c>
      <c r="F1307" s="61" t="n">
        <v>45980.3125</v>
      </c>
      <c r="G1307" s="62" t="n">
        <v>0.0659722222189885</v>
      </c>
      <c r="H1307" s="13" t="s">
        <v>248</v>
      </c>
      <c r="J1307" s="13" t="s">
        <v>256</v>
      </c>
      <c r="K1307" s="13" t="s">
        <v>430</v>
      </c>
      <c r="L1307" s="13" t="s">
        <v>686</v>
      </c>
      <c r="M1307" s="66" t="s">
        <v>258</v>
      </c>
      <c r="N1307" s="66" t="s">
        <v>379</v>
      </c>
      <c r="O1307" s="66" t="s">
        <v>687</v>
      </c>
      <c r="P1307" s="0" t="s">
        <v>2413</v>
      </c>
      <c r="Q1307" s="66" t="s">
        <v>995</v>
      </c>
    </row>
    <row r="1308" customFormat="false" ht="14.25" hidden="false" customHeight="false" outlineLevel="0" collapsed="false">
      <c r="A1308" s="13" t="s">
        <v>390</v>
      </c>
      <c r="B1308" s="13" t="s">
        <v>390</v>
      </c>
      <c r="C1308" s="13" t="s">
        <v>394</v>
      </c>
      <c r="D1308" s="61" t="n">
        <v>45980.2465277778</v>
      </c>
      <c r="E1308" s="61" t="n">
        <v>45980.2465277778</v>
      </c>
      <c r="F1308" s="61" t="n">
        <v>45980.3125</v>
      </c>
      <c r="G1308" s="62" t="n">
        <v>0.0659722222189885</v>
      </c>
      <c r="H1308" s="13" t="s">
        <v>248</v>
      </c>
      <c r="J1308" s="13" t="s">
        <v>256</v>
      </c>
      <c r="K1308" s="13" t="s">
        <v>430</v>
      </c>
      <c r="L1308" s="13" t="s">
        <v>686</v>
      </c>
      <c r="M1308" s="66" t="s">
        <v>258</v>
      </c>
      <c r="N1308" s="66" t="s">
        <v>379</v>
      </c>
      <c r="O1308" s="66" t="s">
        <v>687</v>
      </c>
      <c r="P1308" s="0" t="s">
        <v>2414</v>
      </c>
      <c r="Q1308" s="66" t="s">
        <v>995</v>
      </c>
    </row>
    <row r="1309" customFormat="false" ht="14.25" hidden="false" customHeight="false" outlineLevel="0" collapsed="false">
      <c r="A1309" s="13" t="s">
        <v>390</v>
      </c>
      <c r="B1309" s="13" t="s">
        <v>390</v>
      </c>
      <c r="C1309" s="13" t="s">
        <v>395</v>
      </c>
      <c r="D1309" s="61" t="n">
        <v>45980.2465277778</v>
      </c>
      <c r="E1309" s="61" t="n">
        <v>45980.2465277778</v>
      </c>
      <c r="F1309" s="61" t="n">
        <v>45980.3125</v>
      </c>
      <c r="G1309" s="62" t="n">
        <v>0.0659722222189885</v>
      </c>
      <c r="H1309" s="13" t="s">
        <v>248</v>
      </c>
      <c r="J1309" s="13" t="s">
        <v>256</v>
      </c>
      <c r="K1309" s="13" t="s">
        <v>430</v>
      </c>
      <c r="L1309" s="13" t="s">
        <v>686</v>
      </c>
      <c r="M1309" s="66" t="s">
        <v>258</v>
      </c>
      <c r="N1309" s="66" t="s">
        <v>379</v>
      </c>
      <c r="O1309" s="66" t="s">
        <v>687</v>
      </c>
      <c r="P1309" s="0" t="s">
        <v>2415</v>
      </c>
      <c r="Q1309" s="66" t="s">
        <v>995</v>
      </c>
    </row>
    <row r="1310" customFormat="false" ht="14.25" hidden="false" customHeight="false" outlineLevel="0" collapsed="false">
      <c r="A1310" s="13" t="s">
        <v>390</v>
      </c>
      <c r="B1310" s="13" t="s">
        <v>390</v>
      </c>
      <c r="C1310" s="13" t="s">
        <v>396</v>
      </c>
      <c r="D1310" s="61" t="n">
        <v>45980.2465277778</v>
      </c>
      <c r="E1310" s="61" t="n">
        <v>45980.2465277778</v>
      </c>
      <c r="F1310" s="61" t="n">
        <v>45980.3125</v>
      </c>
      <c r="G1310" s="62" t="n">
        <v>0.0659722222189885</v>
      </c>
      <c r="H1310" s="13" t="s">
        <v>248</v>
      </c>
      <c r="J1310" s="13" t="s">
        <v>256</v>
      </c>
      <c r="K1310" s="13" t="s">
        <v>430</v>
      </c>
      <c r="L1310" s="13" t="s">
        <v>686</v>
      </c>
      <c r="M1310" s="66" t="s">
        <v>258</v>
      </c>
      <c r="N1310" s="66" t="s">
        <v>379</v>
      </c>
      <c r="O1310" s="66" t="s">
        <v>687</v>
      </c>
      <c r="P1310" s="0" t="s">
        <v>2416</v>
      </c>
      <c r="Q1310" s="66" t="s">
        <v>995</v>
      </c>
    </row>
    <row r="1311" customFormat="false" ht="14.25" hidden="false" customHeight="false" outlineLevel="0" collapsed="false">
      <c r="A1311" s="13" t="s">
        <v>390</v>
      </c>
      <c r="B1311" s="13" t="s">
        <v>390</v>
      </c>
      <c r="C1311" s="13" t="s">
        <v>397</v>
      </c>
      <c r="D1311" s="61" t="n">
        <v>45980.2465277778</v>
      </c>
      <c r="E1311" s="61" t="n">
        <v>45980.2465277778</v>
      </c>
      <c r="F1311" s="61" t="n">
        <v>45980.3125</v>
      </c>
      <c r="G1311" s="62" t="n">
        <v>0.0659722222189885</v>
      </c>
      <c r="H1311" s="13" t="s">
        <v>248</v>
      </c>
      <c r="J1311" s="13" t="s">
        <v>256</v>
      </c>
      <c r="K1311" s="13" t="s">
        <v>430</v>
      </c>
      <c r="L1311" s="13" t="s">
        <v>686</v>
      </c>
      <c r="M1311" s="66" t="s">
        <v>258</v>
      </c>
      <c r="N1311" s="66" t="s">
        <v>379</v>
      </c>
      <c r="O1311" s="66" t="s">
        <v>687</v>
      </c>
      <c r="P1311" s="0" t="s">
        <v>2417</v>
      </c>
      <c r="Q1311" s="66" t="s">
        <v>995</v>
      </c>
    </row>
    <row r="1312" customFormat="false" ht="14.25" hidden="false" customHeight="false" outlineLevel="0" collapsed="false">
      <c r="A1312" s="13" t="s">
        <v>692</v>
      </c>
      <c r="B1312" s="13" t="s">
        <v>692</v>
      </c>
      <c r="C1312" s="13" t="s">
        <v>693</v>
      </c>
      <c r="D1312" s="61" t="n">
        <v>45980.2465277778</v>
      </c>
      <c r="E1312" s="61" t="n">
        <v>45980.2465277778</v>
      </c>
      <c r="F1312" s="61" t="n">
        <v>45980.3125</v>
      </c>
      <c r="G1312" s="62" t="n">
        <v>0.0659722222189885</v>
      </c>
      <c r="H1312" s="13" t="s">
        <v>248</v>
      </c>
      <c r="J1312" s="13" t="s">
        <v>256</v>
      </c>
      <c r="K1312" s="13" t="s">
        <v>430</v>
      </c>
      <c r="L1312" s="13" t="s">
        <v>686</v>
      </c>
      <c r="M1312" s="66" t="s">
        <v>258</v>
      </c>
      <c r="N1312" s="66" t="s">
        <v>379</v>
      </c>
      <c r="O1312" s="66" t="s">
        <v>687</v>
      </c>
      <c r="P1312" s="0" t="s">
        <v>2418</v>
      </c>
      <c r="Q1312" s="66" t="s">
        <v>995</v>
      </c>
    </row>
    <row r="1313" customFormat="false" ht="14.25" hidden="false" customHeight="false" outlineLevel="0" collapsed="false">
      <c r="A1313" s="13" t="s">
        <v>692</v>
      </c>
      <c r="B1313" s="13" t="s">
        <v>692</v>
      </c>
      <c r="C1313" s="13" t="s">
        <v>394</v>
      </c>
      <c r="D1313" s="61" t="n">
        <v>45980.2465277778</v>
      </c>
      <c r="E1313" s="61" t="n">
        <v>45980.2465277778</v>
      </c>
      <c r="F1313" s="61" t="n">
        <v>45980.3125</v>
      </c>
      <c r="G1313" s="62" t="n">
        <v>0.0659722222189885</v>
      </c>
      <c r="H1313" s="13" t="s">
        <v>248</v>
      </c>
      <c r="J1313" s="13" t="s">
        <v>256</v>
      </c>
      <c r="K1313" s="13" t="s">
        <v>430</v>
      </c>
      <c r="L1313" s="13" t="s">
        <v>686</v>
      </c>
      <c r="M1313" s="66" t="s">
        <v>258</v>
      </c>
      <c r="N1313" s="66" t="s">
        <v>379</v>
      </c>
      <c r="O1313" s="66" t="s">
        <v>687</v>
      </c>
      <c r="P1313" s="0" t="s">
        <v>2419</v>
      </c>
      <c r="Q1313" s="66" t="s">
        <v>995</v>
      </c>
    </row>
    <row r="1314" customFormat="false" ht="14.25" hidden="false" customHeight="false" outlineLevel="0" collapsed="false">
      <c r="A1314" s="13" t="s">
        <v>692</v>
      </c>
      <c r="B1314" s="13" t="s">
        <v>692</v>
      </c>
      <c r="C1314" s="13" t="s">
        <v>397</v>
      </c>
      <c r="D1314" s="61" t="n">
        <v>45980.2465277778</v>
      </c>
      <c r="E1314" s="61" t="n">
        <v>45980.2465277778</v>
      </c>
      <c r="F1314" s="61" t="n">
        <v>45980.3125</v>
      </c>
      <c r="G1314" s="62" t="n">
        <v>0.0659722222189885</v>
      </c>
      <c r="H1314" s="13" t="s">
        <v>248</v>
      </c>
      <c r="J1314" s="13" t="s">
        <v>256</v>
      </c>
      <c r="K1314" s="13" t="s">
        <v>430</v>
      </c>
      <c r="L1314" s="13" t="s">
        <v>686</v>
      </c>
      <c r="M1314" s="66" t="s">
        <v>258</v>
      </c>
      <c r="N1314" s="66" t="s">
        <v>379</v>
      </c>
      <c r="O1314" s="66" t="s">
        <v>687</v>
      </c>
      <c r="P1314" s="0" t="s">
        <v>2420</v>
      </c>
      <c r="Q1314" s="66" t="s">
        <v>995</v>
      </c>
    </row>
    <row r="1315" customFormat="false" ht="14.25" hidden="false" customHeight="false" outlineLevel="0" collapsed="false">
      <c r="A1315" s="13" t="s">
        <v>692</v>
      </c>
      <c r="B1315" s="13" t="s">
        <v>692</v>
      </c>
      <c r="C1315" s="13" t="s">
        <v>391</v>
      </c>
      <c r="D1315" s="61" t="n">
        <v>45980.2465277778</v>
      </c>
      <c r="E1315" s="61" t="n">
        <v>45980.2465277778</v>
      </c>
      <c r="F1315" s="61" t="n">
        <v>45980.3125</v>
      </c>
      <c r="G1315" s="62" t="n">
        <v>0.0659722222189885</v>
      </c>
      <c r="H1315" s="13" t="s">
        <v>248</v>
      </c>
      <c r="J1315" s="13" t="s">
        <v>256</v>
      </c>
      <c r="K1315" s="13" t="s">
        <v>430</v>
      </c>
      <c r="L1315" s="13" t="s">
        <v>686</v>
      </c>
      <c r="M1315" s="66" t="s">
        <v>258</v>
      </c>
      <c r="N1315" s="66" t="s">
        <v>379</v>
      </c>
      <c r="O1315" s="66" t="s">
        <v>687</v>
      </c>
      <c r="P1315" s="0" t="s">
        <v>2421</v>
      </c>
      <c r="Q1315" s="66" t="s">
        <v>995</v>
      </c>
    </row>
    <row r="1316" customFormat="false" ht="14.25" hidden="false" customHeight="false" outlineLevel="0" collapsed="false">
      <c r="A1316" s="13" t="s">
        <v>692</v>
      </c>
      <c r="B1316" s="13" t="s">
        <v>692</v>
      </c>
      <c r="C1316" s="13" t="s">
        <v>395</v>
      </c>
      <c r="D1316" s="61" t="n">
        <v>45980.2465277778</v>
      </c>
      <c r="E1316" s="61" t="n">
        <v>45980.2465277778</v>
      </c>
      <c r="F1316" s="61" t="n">
        <v>45980.3125</v>
      </c>
      <c r="G1316" s="62" t="n">
        <v>0.0659722222189885</v>
      </c>
      <c r="H1316" s="13" t="s">
        <v>248</v>
      </c>
      <c r="J1316" s="13" t="s">
        <v>256</v>
      </c>
      <c r="K1316" s="13" t="s">
        <v>430</v>
      </c>
      <c r="L1316" s="13" t="s">
        <v>686</v>
      </c>
      <c r="M1316" s="66" t="s">
        <v>258</v>
      </c>
      <c r="N1316" s="66" t="s">
        <v>379</v>
      </c>
      <c r="O1316" s="66" t="s">
        <v>687</v>
      </c>
      <c r="P1316" s="0" t="s">
        <v>2422</v>
      </c>
      <c r="Q1316" s="66" t="s">
        <v>995</v>
      </c>
    </row>
    <row r="1317" customFormat="false" ht="14.25" hidden="false" customHeight="false" outlineLevel="0" collapsed="false">
      <c r="A1317" s="13" t="s">
        <v>694</v>
      </c>
      <c r="B1317" s="13" t="s">
        <v>694</v>
      </c>
      <c r="C1317" s="13" t="s">
        <v>395</v>
      </c>
      <c r="D1317" s="61" t="n">
        <v>45980.2465277778</v>
      </c>
      <c r="E1317" s="61" t="n">
        <v>45980.2465277778</v>
      </c>
      <c r="F1317" s="61" t="n">
        <v>45980.3125</v>
      </c>
      <c r="G1317" s="62" t="n">
        <v>0.0659722222189885</v>
      </c>
      <c r="H1317" s="13" t="s">
        <v>248</v>
      </c>
      <c r="J1317" s="13" t="s">
        <v>256</v>
      </c>
      <c r="K1317" s="13" t="s">
        <v>430</v>
      </c>
      <c r="L1317" s="13" t="s">
        <v>686</v>
      </c>
      <c r="M1317" s="66" t="s">
        <v>258</v>
      </c>
      <c r="N1317" s="66" t="s">
        <v>379</v>
      </c>
      <c r="O1317" s="66" t="s">
        <v>687</v>
      </c>
      <c r="P1317" s="0" t="s">
        <v>2423</v>
      </c>
      <c r="Q1317" s="66" t="s">
        <v>995</v>
      </c>
    </row>
    <row r="1318" customFormat="false" ht="14.25" hidden="false" customHeight="false" outlineLevel="0" collapsed="false">
      <c r="A1318" s="13" t="s">
        <v>694</v>
      </c>
      <c r="B1318" s="13" t="s">
        <v>694</v>
      </c>
      <c r="C1318" s="13" t="s">
        <v>255</v>
      </c>
      <c r="D1318" s="61" t="n">
        <v>45980.2465277778</v>
      </c>
      <c r="E1318" s="61" t="n">
        <v>45980.2465277778</v>
      </c>
      <c r="F1318" s="61" t="n">
        <v>45980.3125</v>
      </c>
      <c r="G1318" s="62" t="n">
        <v>0.0659722222189885</v>
      </c>
      <c r="H1318" s="13" t="s">
        <v>248</v>
      </c>
      <c r="J1318" s="13" t="s">
        <v>256</v>
      </c>
      <c r="K1318" s="13" t="s">
        <v>430</v>
      </c>
      <c r="L1318" s="13" t="s">
        <v>686</v>
      </c>
      <c r="M1318" s="66" t="s">
        <v>258</v>
      </c>
      <c r="N1318" s="66" t="s">
        <v>379</v>
      </c>
      <c r="O1318" s="66" t="s">
        <v>687</v>
      </c>
      <c r="P1318" s="0" t="s">
        <v>2424</v>
      </c>
      <c r="Q1318" s="66" t="s">
        <v>995</v>
      </c>
    </row>
    <row r="1319" customFormat="false" ht="14.25" hidden="false" customHeight="false" outlineLevel="0" collapsed="false">
      <c r="A1319" s="13" t="s">
        <v>694</v>
      </c>
      <c r="B1319" s="13" t="s">
        <v>694</v>
      </c>
      <c r="C1319" s="13" t="s">
        <v>397</v>
      </c>
      <c r="D1319" s="61" t="n">
        <v>45980.2465277778</v>
      </c>
      <c r="E1319" s="61" t="n">
        <v>45980.2465277778</v>
      </c>
      <c r="F1319" s="61" t="n">
        <v>45980.3125</v>
      </c>
      <c r="G1319" s="62" t="n">
        <v>0.0659722222189885</v>
      </c>
      <c r="H1319" s="13" t="s">
        <v>248</v>
      </c>
      <c r="J1319" s="13" t="s">
        <v>256</v>
      </c>
      <c r="K1319" s="13" t="s">
        <v>430</v>
      </c>
      <c r="L1319" s="13" t="s">
        <v>686</v>
      </c>
      <c r="M1319" s="66" t="s">
        <v>258</v>
      </c>
      <c r="N1319" s="66" t="s">
        <v>379</v>
      </c>
      <c r="O1319" s="66" t="s">
        <v>687</v>
      </c>
      <c r="P1319" s="0" t="s">
        <v>2425</v>
      </c>
      <c r="Q1319" s="66" t="s">
        <v>995</v>
      </c>
    </row>
    <row r="1320" customFormat="false" ht="14.25" hidden="false" customHeight="false" outlineLevel="0" collapsed="false">
      <c r="A1320" s="13" t="s">
        <v>694</v>
      </c>
      <c r="B1320" s="13" t="s">
        <v>694</v>
      </c>
      <c r="C1320" s="13" t="s">
        <v>396</v>
      </c>
      <c r="D1320" s="61" t="n">
        <v>45980.2465277778</v>
      </c>
      <c r="E1320" s="61" t="n">
        <v>45980.2465277778</v>
      </c>
      <c r="F1320" s="61" t="n">
        <v>45980.3125</v>
      </c>
      <c r="G1320" s="62" t="n">
        <v>0.0659722222189885</v>
      </c>
      <c r="H1320" s="13" t="s">
        <v>248</v>
      </c>
      <c r="J1320" s="13" t="s">
        <v>256</v>
      </c>
      <c r="K1320" s="13" t="s">
        <v>430</v>
      </c>
      <c r="L1320" s="13" t="s">
        <v>686</v>
      </c>
      <c r="M1320" s="66" t="s">
        <v>258</v>
      </c>
      <c r="N1320" s="66" t="s">
        <v>379</v>
      </c>
      <c r="O1320" s="66" t="s">
        <v>687</v>
      </c>
      <c r="P1320" s="0" t="s">
        <v>2426</v>
      </c>
      <c r="Q1320" s="66" t="s">
        <v>995</v>
      </c>
    </row>
    <row r="1321" customFormat="false" ht="14.25" hidden="false" customHeight="false" outlineLevel="0" collapsed="false">
      <c r="A1321" s="13" t="s">
        <v>694</v>
      </c>
      <c r="B1321" s="13" t="s">
        <v>694</v>
      </c>
      <c r="C1321" s="13" t="s">
        <v>280</v>
      </c>
      <c r="D1321" s="61" t="n">
        <v>45980.2465277778</v>
      </c>
      <c r="E1321" s="61" t="n">
        <v>45980.2465277778</v>
      </c>
      <c r="F1321" s="61" t="n">
        <v>45980.3125</v>
      </c>
      <c r="G1321" s="62" t="n">
        <v>0.0659722222189885</v>
      </c>
      <c r="H1321" s="13" t="s">
        <v>248</v>
      </c>
      <c r="J1321" s="13" t="s">
        <v>256</v>
      </c>
      <c r="K1321" s="13" t="s">
        <v>430</v>
      </c>
      <c r="L1321" s="13" t="s">
        <v>686</v>
      </c>
      <c r="M1321" s="66" t="s">
        <v>258</v>
      </c>
      <c r="N1321" s="66" t="s">
        <v>379</v>
      </c>
      <c r="O1321" s="66" t="s">
        <v>687</v>
      </c>
      <c r="P1321" s="0" t="s">
        <v>2427</v>
      </c>
      <c r="Q1321" s="66" t="s">
        <v>995</v>
      </c>
    </row>
    <row r="1322" customFormat="false" ht="14.25" hidden="false" customHeight="false" outlineLevel="0" collapsed="false">
      <c r="A1322" s="13" t="s">
        <v>878</v>
      </c>
      <c r="B1322" s="13" t="s">
        <v>504</v>
      </c>
      <c r="C1322" s="13" t="s">
        <v>1250</v>
      </c>
      <c r="D1322" s="61" t="n">
        <v>45980.2552314815</v>
      </c>
      <c r="E1322" s="61" t="n">
        <v>45980.2552314815</v>
      </c>
      <c r="F1322" s="61" t="n">
        <v>45980.2621759259</v>
      </c>
      <c r="G1322" s="62" t="n">
        <v>0.00694444444525288</v>
      </c>
      <c r="H1322" s="13" t="s">
        <v>248</v>
      </c>
      <c r="J1322" s="13" t="s">
        <v>249</v>
      </c>
      <c r="K1322" s="13" t="s">
        <v>439</v>
      </c>
      <c r="L1322" s="13" t="s">
        <v>1251</v>
      </c>
      <c r="M1322" s="66" t="s">
        <v>251</v>
      </c>
      <c r="N1322" s="66" t="s">
        <v>625</v>
      </c>
      <c r="P1322" s="0" t="s">
        <v>2428</v>
      </c>
      <c r="Q1322" s="66" t="s">
        <v>1253</v>
      </c>
    </row>
    <row r="1323" customFormat="false" ht="14.25" hidden="false" customHeight="false" outlineLevel="0" collapsed="false">
      <c r="A1323" s="13" t="s">
        <v>878</v>
      </c>
      <c r="B1323" s="13" t="s">
        <v>504</v>
      </c>
      <c r="C1323" s="13" t="s">
        <v>1332</v>
      </c>
      <c r="D1323" s="61" t="n">
        <v>45980.255462963</v>
      </c>
      <c r="E1323" s="61" t="n">
        <v>45980.255462963</v>
      </c>
      <c r="F1323" s="61" t="n">
        <v>45980.2819791667</v>
      </c>
      <c r="G1323" s="62" t="n">
        <v>0.0265162037103437</v>
      </c>
      <c r="H1323" s="13" t="s">
        <v>248</v>
      </c>
      <c r="J1323" s="13" t="s">
        <v>249</v>
      </c>
      <c r="K1323" s="13" t="s">
        <v>439</v>
      </c>
      <c r="L1323" s="13" t="s">
        <v>1251</v>
      </c>
      <c r="M1323" s="66" t="s">
        <v>251</v>
      </c>
      <c r="N1323" s="66" t="s">
        <v>625</v>
      </c>
      <c r="P1323" s="0" t="s">
        <v>2429</v>
      </c>
      <c r="Q1323" s="66" t="s">
        <v>1253</v>
      </c>
    </row>
    <row r="1324" customFormat="false" ht="14.25" hidden="false" customHeight="false" outlineLevel="0" collapsed="false">
      <c r="A1324" s="13" t="s">
        <v>878</v>
      </c>
      <c r="B1324" s="13" t="s">
        <v>504</v>
      </c>
      <c r="C1324" s="13" t="s">
        <v>1436</v>
      </c>
      <c r="D1324" s="61" t="n">
        <v>45980.2554861111</v>
      </c>
      <c r="E1324" s="61" t="n">
        <v>45980.2554861111</v>
      </c>
      <c r="F1324" s="61" t="n">
        <v>45980.2819791667</v>
      </c>
      <c r="G1324" s="62" t="n">
        <v>0.0264930555567844</v>
      </c>
      <c r="H1324" s="13" t="s">
        <v>248</v>
      </c>
      <c r="J1324" s="13" t="s">
        <v>249</v>
      </c>
      <c r="K1324" s="13" t="s">
        <v>439</v>
      </c>
      <c r="L1324" s="13" t="s">
        <v>1251</v>
      </c>
      <c r="M1324" s="66" t="s">
        <v>251</v>
      </c>
      <c r="N1324" s="66" t="s">
        <v>625</v>
      </c>
      <c r="P1324" s="0" t="s">
        <v>2430</v>
      </c>
      <c r="Q1324" s="66" t="s">
        <v>1253</v>
      </c>
    </row>
    <row r="1325" customFormat="false" ht="14.25" hidden="false" customHeight="false" outlineLevel="0" collapsed="false">
      <c r="A1325" s="13" t="s">
        <v>878</v>
      </c>
      <c r="B1325" s="13" t="s">
        <v>504</v>
      </c>
      <c r="C1325" s="13" t="s">
        <v>1334</v>
      </c>
      <c r="D1325" s="61" t="n">
        <v>45980.2555208333</v>
      </c>
      <c r="E1325" s="61" t="n">
        <v>45980.2555208333</v>
      </c>
      <c r="F1325" s="61" t="n">
        <v>45980.2819791667</v>
      </c>
      <c r="G1325" s="62" t="n">
        <v>0.0264583333337214</v>
      </c>
      <c r="H1325" s="13" t="s">
        <v>248</v>
      </c>
      <c r="J1325" s="13" t="s">
        <v>249</v>
      </c>
      <c r="K1325" s="13" t="s">
        <v>439</v>
      </c>
      <c r="L1325" s="13" t="s">
        <v>1251</v>
      </c>
      <c r="M1325" s="66" t="s">
        <v>251</v>
      </c>
      <c r="N1325" s="66" t="s">
        <v>625</v>
      </c>
      <c r="P1325" s="0" t="s">
        <v>2431</v>
      </c>
      <c r="Q1325" s="66" t="s">
        <v>1253</v>
      </c>
    </row>
    <row r="1326" customFormat="false" ht="14.25" hidden="false" customHeight="false" outlineLevel="0" collapsed="false">
      <c r="A1326" s="13" t="s">
        <v>878</v>
      </c>
      <c r="B1326" s="13" t="s">
        <v>504</v>
      </c>
      <c r="C1326" s="13" t="s">
        <v>1563</v>
      </c>
      <c r="D1326" s="61" t="n">
        <v>45980.2555671296</v>
      </c>
      <c r="E1326" s="61" t="n">
        <v>45980.2555671296</v>
      </c>
      <c r="F1326" s="61" t="n">
        <v>45980.2819791667</v>
      </c>
      <c r="G1326" s="62" t="n">
        <v>0.0264120370411547</v>
      </c>
      <c r="H1326" s="13" t="s">
        <v>248</v>
      </c>
      <c r="J1326" s="13" t="s">
        <v>249</v>
      </c>
      <c r="K1326" s="13" t="s">
        <v>439</v>
      </c>
      <c r="L1326" s="13" t="s">
        <v>1251</v>
      </c>
      <c r="M1326" s="66" t="s">
        <v>251</v>
      </c>
      <c r="N1326" s="66" t="s">
        <v>625</v>
      </c>
      <c r="P1326" s="0" t="s">
        <v>2432</v>
      </c>
      <c r="Q1326" s="66" t="s">
        <v>1253</v>
      </c>
    </row>
    <row r="1327" customFormat="false" ht="14.25" hidden="false" customHeight="false" outlineLevel="0" collapsed="false">
      <c r="A1327" s="13" t="s">
        <v>380</v>
      </c>
      <c r="B1327" s="13" t="s">
        <v>380</v>
      </c>
      <c r="C1327" s="13" t="s">
        <v>277</v>
      </c>
      <c r="D1327" s="61" t="n">
        <v>45980.2777777778</v>
      </c>
      <c r="E1327" s="61" t="n">
        <v>45980.2777777778</v>
      </c>
      <c r="F1327" s="61" t="n">
        <v>45980.3194444444</v>
      </c>
      <c r="G1327" s="62" t="n">
        <v>0.0416666666642414</v>
      </c>
      <c r="H1327" s="13" t="s">
        <v>248</v>
      </c>
      <c r="J1327" s="13" t="s">
        <v>256</v>
      </c>
      <c r="K1327" s="13" t="s">
        <v>430</v>
      </c>
      <c r="L1327" s="13" t="s">
        <v>2433</v>
      </c>
      <c r="M1327" s="66" t="s">
        <v>787</v>
      </c>
      <c r="N1327" s="66" t="s">
        <v>379</v>
      </c>
      <c r="O1327" s="66" t="s">
        <v>2434</v>
      </c>
      <c r="P1327" s="0" t="s">
        <v>2435</v>
      </c>
      <c r="Q1327" s="66" t="s">
        <v>995</v>
      </c>
    </row>
    <row r="1328" customFormat="false" ht="14.25" hidden="false" customHeight="false" outlineLevel="0" collapsed="false">
      <c r="A1328" s="13" t="s">
        <v>380</v>
      </c>
      <c r="B1328" s="13" t="s">
        <v>380</v>
      </c>
      <c r="C1328" s="13" t="s">
        <v>247</v>
      </c>
      <c r="D1328" s="61" t="n">
        <v>45980.2777777778</v>
      </c>
      <c r="E1328" s="61" t="n">
        <v>45980.2777777778</v>
      </c>
      <c r="F1328" s="61" t="n">
        <v>45980.3194444444</v>
      </c>
      <c r="G1328" s="62" t="n">
        <v>0.0416666666642414</v>
      </c>
      <c r="H1328" s="13" t="s">
        <v>248</v>
      </c>
      <c r="J1328" s="13" t="s">
        <v>256</v>
      </c>
      <c r="K1328" s="13" t="s">
        <v>430</v>
      </c>
      <c r="L1328" s="13" t="s">
        <v>2433</v>
      </c>
      <c r="M1328" s="66" t="s">
        <v>787</v>
      </c>
      <c r="N1328" s="66" t="s">
        <v>379</v>
      </c>
      <c r="O1328" s="66" t="s">
        <v>2434</v>
      </c>
      <c r="P1328" s="0" t="s">
        <v>2436</v>
      </c>
      <c r="Q1328" s="66" t="s">
        <v>995</v>
      </c>
    </row>
    <row r="1329" customFormat="false" ht="14.25" hidden="false" customHeight="false" outlineLevel="0" collapsed="false">
      <c r="A1329" s="13" t="s">
        <v>380</v>
      </c>
      <c r="B1329" s="13" t="s">
        <v>380</v>
      </c>
      <c r="C1329" s="13" t="s">
        <v>280</v>
      </c>
      <c r="D1329" s="61" t="n">
        <v>45980.2777777778</v>
      </c>
      <c r="E1329" s="61" t="n">
        <v>45980.2777777778</v>
      </c>
      <c r="F1329" s="61" t="n">
        <v>45980.3194444444</v>
      </c>
      <c r="G1329" s="62" t="n">
        <v>0.0416666666642414</v>
      </c>
      <c r="H1329" s="13" t="s">
        <v>248</v>
      </c>
      <c r="J1329" s="13" t="s">
        <v>256</v>
      </c>
      <c r="K1329" s="13" t="s">
        <v>430</v>
      </c>
      <c r="L1329" s="13" t="s">
        <v>2433</v>
      </c>
      <c r="M1329" s="66" t="s">
        <v>787</v>
      </c>
      <c r="N1329" s="66" t="s">
        <v>379</v>
      </c>
      <c r="O1329" s="66" t="s">
        <v>2434</v>
      </c>
      <c r="P1329" s="0" t="s">
        <v>2437</v>
      </c>
      <c r="Q1329" s="66" t="s">
        <v>995</v>
      </c>
    </row>
    <row r="1330" customFormat="false" ht="14.25" hidden="false" customHeight="false" outlineLevel="0" collapsed="false">
      <c r="A1330" s="13" t="s">
        <v>380</v>
      </c>
      <c r="B1330" s="13" t="s">
        <v>380</v>
      </c>
      <c r="C1330" s="13" t="s">
        <v>279</v>
      </c>
      <c r="D1330" s="61" t="n">
        <v>45980.2777777778</v>
      </c>
      <c r="E1330" s="61" t="n">
        <v>45980.2777777778</v>
      </c>
      <c r="F1330" s="61" t="n">
        <v>45980.3194444444</v>
      </c>
      <c r="G1330" s="62" t="n">
        <v>0.0416666666642414</v>
      </c>
      <c r="H1330" s="13" t="s">
        <v>248</v>
      </c>
      <c r="J1330" s="13" t="s">
        <v>256</v>
      </c>
      <c r="K1330" s="13" t="s">
        <v>430</v>
      </c>
      <c r="L1330" s="13" t="s">
        <v>2433</v>
      </c>
      <c r="M1330" s="66" t="s">
        <v>787</v>
      </c>
      <c r="N1330" s="66" t="s">
        <v>379</v>
      </c>
      <c r="O1330" s="66" t="s">
        <v>2434</v>
      </c>
      <c r="P1330" s="0" t="s">
        <v>2438</v>
      </c>
      <c r="Q1330" s="66" t="s">
        <v>995</v>
      </c>
    </row>
    <row r="1331" customFormat="false" ht="14.25" hidden="false" customHeight="false" outlineLevel="0" collapsed="false">
      <c r="A1331" s="13" t="s">
        <v>381</v>
      </c>
      <c r="B1331" s="13" t="s">
        <v>381</v>
      </c>
      <c r="C1331" s="13" t="s">
        <v>277</v>
      </c>
      <c r="D1331" s="61" t="n">
        <v>45980.2777777778</v>
      </c>
      <c r="E1331" s="61" t="n">
        <v>45980.2777777778</v>
      </c>
      <c r="F1331" s="61" t="n">
        <v>45980.3194444444</v>
      </c>
      <c r="G1331" s="62" t="n">
        <v>0.0416666666642414</v>
      </c>
      <c r="H1331" s="13" t="s">
        <v>248</v>
      </c>
      <c r="J1331" s="13" t="s">
        <v>256</v>
      </c>
      <c r="K1331" s="13" t="s">
        <v>430</v>
      </c>
      <c r="L1331" s="13" t="s">
        <v>2433</v>
      </c>
      <c r="M1331" s="66" t="s">
        <v>787</v>
      </c>
      <c r="N1331" s="66" t="s">
        <v>379</v>
      </c>
      <c r="O1331" s="66" t="s">
        <v>2434</v>
      </c>
      <c r="P1331" s="0" t="s">
        <v>2439</v>
      </c>
      <c r="Q1331" s="66" t="s">
        <v>995</v>
      </c>
    </row>
    <row r="1332" customFormat="false" ht="14.25" hidden="false" customHeight="false" outlineLevel="0" collapsed="false">
      <c r="A1332" s="13" t="s">
        <v>381</v>
      </c>
      <c r="B1332" s="13" t="s">
        <v>381</v>
      </c>
      <c r="C1332" s="13" t="s">
        <v>247</v>
      </c>
      <c r="D1332" s="61" t="n">
        <v>45980.2777777778</v>
      </c>
      <c r="E1332" s="61" t="n">
        <v>45980.2777777778</v>
      </c>
      <c r="F1332" s="61" t="n">
        <v>45980.3194444444</v>
      </c>
      <c r="G1332" s="62" t="n">
        <v>0.0416666666642414</v>
      </c>
      <c r="H1332" s="13" t="s">
        <v>248</v>
      </c>
      <c r="J1332" s="13" t="s">
        <v>256</v>
      </c>
      <c r="K1332" s="13" t="s">
        <v>430</v>
      </c>
      <c r="L1332" s="13" t="s">
        <v>2433</v>
      </c>
      <c r="M1332" s="66" t="s">
        <v>787</v>
      </c>
      <c r="N1332" s="66" t="s">
        <v>379</v>
      </c>
      <c r="O1332" s="66" t="s">
        <v>2434</v>
      </c>
      <c r="P1332" s="0" t="s">
        <v>2440</v>
      </c>
      <c r="Q1332" s="66" t="s">
        <v>995</v>
      </c>
    </row>
    <row r="1333" customFormat="false" ht="14.25" hidden="false" customHeight="false" outlineLevel="0" collapsed="false">
      <c r="A1333" s="13" t="s">
        <v>381</v>
      </c>
      <c r="B1333" s="13" t="s">
        <v>381</v>
      </c>
      <c r="C1333" s="13" t="s">
        <v>280</v>
      </c>
      <c r="D1333" s="61" t="n">
        <v>45980.2777777778</v>
      </c>
      <c r="E1333" s="61" t="n">
        <v>45980.2777777778</v>
      </c>
      <c r="F1333" s="61" t="n">
        <v>45980.3194444444</v>
      </c>
      <c r="G1333" s="62" t="n">
        <v>0.0416666666642414</v>
      </c>
      <c r="H1333" s="13" t="s">
        <v>248</v>
      </c>
      <c r="J1333" s="13" t="s">
        <v>256</v>
      </c>
      <c r="K1333" s="13" t="s">
        <v>430</v>
      </c>
      <c r="L1333" s="13" t="s">
        <v>2433</v>
      </c>
      <c r="M1333" s="66" t="s">
        <v>787</v>
      </c>
      <c r="N1333" s="66" t="s">
        <v>379</v>
      </c>
      <c r="O1333" s="66" t="s">
        <v>2434</v>
      </c>
      <c r="P1333" s="0" t="s">
        <v>2441</v>
      </c>
      <c r="Q1333" s="66" t="s">
        <v>995</v>
      </c>
    </row>
    <row r="1334" customFormat="false" ht="14.25" hidden="false" customHeight="false" outlineLevel="0" collapsed="false">
      <c r="A1334" s="13" t="s">
        <v>381</v>
      </c>
      <c r="B1334" s="13" t="s">
        <v>381</v>
      </c>
      <c r="C1334" s="13" t="s">
        <v>279</v>
      </c>
      <c r="D1334" s="61" t="n">
        <v>45980.2777777778</v>
      </c>
      <c r="E1334" s="61" t="n">
        <v>45980.2777777778</v>
      </c>
      <c r="F1334" s="61" t="n">
        <v>45980.3194444444</v>
      </c>
      <c r="G1334" s="62" t="n">
        <v>0.0416666666642414</v>
      </c>
      <c r="H1334" s="13" t="s">
        <v>248</v>
      </c>
      <c r="J1334" s="13" t="s">
        <v>256</v>
      </c>
      <c r="K1334" s="13" t="s">
        <v>430</v>
      </c>
      <c r="L1334" s="13" t="s">
        <v>2433</v>
      </c>
      <c r="M1334" s="66" t="s">
        <v>787</v>
      </c>
      <c r="N1334" s="66" t="s">
        <v>379</v>
      </c>
      <c r="O1334" s="66" t="s">
        <v>2434</v>
      </c>
      <c r="P1334" s="0" t="s">
        <v>2442</v>
      </c>
      <c r="Q1334" s="66" t="s">
        <v>995</v>
      </c>
    </row>
    <row r="1335" customFormat="false" ht="14.25" hidden="false" customHeight="false" outlineLevel="0" collapsed="false">
      <c r="A1335" s="13" t="s">
        <v>382</v>
      </c>
      <c r="B1335" s="13" t="s">
        <v>382</v>
      </c>
      <c r="C1335" s="13" t="s">
        <v>383</v>
      </c>
      <c r="D1335" s="61" t="n">
        <v>45980.2777777778</v>
      </c>
      <c r="E1335" s="61" t="n">
        <v>45980.2777777778</v>
      </c>
      <c r="F1335" s="61" t="n">
        <v>45980.3194444444</v>
      </c>
      <c r="G1335" s="62" t="n">
        <v>0.0416666666642414</v>
      </c>
      <c r="H1335" s="13" t="s">
        <v>248</v>
      </c>
      <c r="J1335" s="13" t="s">
        <v>256</v>
      </c>
      <c r="K1335" s="13" t="s">
        <v>430</v>
      </c>
      <c r="L1335" s="13" t="s">
        <v>2433</v>
      </c>
      <c r="M1335" s="66" t="s">
        <v>787</v>
      </c>
      <c r="N1335" s="66" t="s">
        <v>379</v>
      </c>
      <c r="O1335" s="66" t="s">
        <v>2434</v>
      </c>
      <c r="P1335" s="0" t="s">
        <v>2443</v>
      </c>
      <c r="Q1335" s="66" t="s">
        <v>995</v>
      </c>
    </row>
    <row r="1336" customFormat="false" ht="14.25" hidden="false" customHeight="false" outlineLevel="0" collapsed="false">
      <c r="A1336" s="13" t="s">
        <v>382</v>
      </c>
      <c r="B1336" s="13" t="s">
        <v>382</v>
      </c>
      <c r="C1336" s="13" t="s">
        <v>255</v>
      </c>
      <c r="D1336" s="61" t="n">
        <v>45980.2777777778</v>
      </c>
      <c r="E1336" s="61" t="n">
        <v>45980.2777777778</v>
      </c>
      <c r="F1336" s="61" t="n">
        <v>45980.3194444444</v>
      </c>
      <c r="G1336" s="62" t="n">
        <v>0.0416666666642414</v>
      </c>
      <c r="H1336" s="13" t="s">
        <v>248</v>
      </c>
      <c r="J1336" s="13" t="s">
        <v>256</v>
      </c>
      <c r="K1336" s="13" t="s">
        <v>430</v>
      </c>
      <c r="L1336" s="13" t="s">
        <v>2433</v>
      </c>
      <c r="M1336" s="66" t="s">
        <v>787</v>
      </c>
      <c r="N1336" s="66" t="s">
        <v>379</v>
      </c>
      <c r="O1336" s="66" t="s">
        <v>2434</v>
      </c>
      <c r="P1336" s="0" t="s">
        <v>2444</v>
      </c>
      <c r="Q1336" s="66" t="s">
        <v>995</v>
      </c>
    </row>
    <row r="1337" customFormat="false" ht="14.25" hidden="false" customHeight="false" outlineLevel="0" collapsed="false">
      <c r="A1337" s="13" t="s">
        <v>878</v>
      </c>
      <c r="B1337" s="13" t="s">
        <v>504</v>
      </c>
      <c r="C1337" s="13" t="s">
        <v>1250</v>
      </c>
      <c r="D1337" s="61" t="n">
        <v>45980.2838657407</v>
      </c>
      <c r="E1337" s="61" t="n">
        <v>45980.2838657407</v>
      </c>
      <c r="F1337" s="61" t="n">
        <v>45980.290787037</v>
      </c>
      <c r="G1337" s="62" t="n">
        <v>0.00692129629896954</v>
      </c>
      <c r="H1337" s="13" t="s">
        <v>248</v>
      </c>
      <c r="J1337" s="13" t="s">
        <v>249</v>
      </c>
      <c r="K1337" s="13" t="s">
        <v>439</v>
      </c>
      <c r="L1337" s="13" t="s">
        <v>1251</v>
      </c>
      <c r="M1337" s="66" t="s">
        <v>251</v>
      </c>
      <c r="N1337" s="66" t="s">
        <v>625</v>
      </c>
      <c r="P1337" s="0" t="s">
        <v>2445</v>
      </c>
      <c r="Q1337" s="66" t="s">
        <v>1253</v>
      </c>
    </row>
    <row r="1338" customFormat="false" ht="14.25" hidden="false" customHeight="false" outlineLevel="0" collapsed="false">
      <c r="A1338" s="13" t="s">
        <v>878</v>
      </c>
      <c r="B1338" s="13" t="s">
        <v>504</v>
      </c>
      <c r="C1338" s="13" t="s">
        <v>1334</v>
      </c>
      <c r="D1338" s="61" t="n">
        <v>45980.2840740741</v>
      </c>
      <c r="E1338" s="61" t="n">
        <v>45980.2840740741</v>
      </c>
      <c r="F1338" s="61" t="n">
        <v>45980.2910069445</v>
      </c>
      <c r="G1338" s="62" t="n">
        <v>0.00693287037574919</v>
      </c>
      <c r="H1338" s="13" t="s">
        <v>248</v>
      </c>
      <c r="J1338" s="13" t="s">
        <v>249</v>
      </c>
      <c r="K1338" s="13" t="s">
        <v>439</v>
      </c>
      <c r="L1338" s="13" t="s">
        <v>1251</v>
      </c>
      <c r="M1338" s="66" t="s">
        <v>251</v>
      </c>
      <c r="N1338" s="66" t="s">
        <v>625</v>
      </c>
      <c r="P1338" s="0" t="s">
        <v>2446</v>
      </c>
      <c r="Q1338" s="66" t="s">
        <v>1253</v>
      </c>
    </row>
    <row r="1339" customFormat="false" ht="14.25" hidden="false" customHeight="false" outlineLevel="0" collapsed="false">
      <c r="A1339" s="13" t="s">
        <v>878</v>
      </c>
      <c r="B1339" s="13" t="s">
        <v>504</v>
      </c>
      <c r="C1339" s="13" t="s">
        <v>1332</v>
      </c>
      <c r="D1339" s="61" t="n">
        <v>45980.2840856482</v>
      </c>
      <c r="E1339" s="61" t="n">
        <v>45980.2840856482</v>
      </c>
      <c r="F1339" s="61" t="n">
        <v>45980.2910300926</v>
      </c>
      <c r="G1339" s="62" t="n">
        <v>0.00694444444525288</v>
      </c>
      <c r="H1339" s="13" t="s">
        <v>248</v>
      </c>
      <c r="J1339" s="13" t="s">
        <v>249</v>
      </c>
      <c r="K1339" s="13" t="s">
        <v>439</v>
      </c>
      <c r="L1339" s="13" t="s">
        <v>1251</v>
      </c>
      <c r="M1339" s="66" t="s">
        <v>251</v>
      </c>
      <c r="N1339" s="66" t="s">
        <v>625</v>
      </c>
      <c r="P1339" s="0" t="s">
        <v>2447</v>
      </c>
      <c r="Q1339" s="66" t="s">
        <v>1253</v>
      </c>
    </row>
    <row r="1340" customFormat="false" ht="14.25" hidden="false" customHeight="false" outlineLevel="0" collapsed="false">
      <c r="A1340" s="13" t="s">
        <v>878</v>
      </c>
      <c r="B1340" s="13" t="s">
        <v>504</v>
      </c>
      <c r="C1340" s="13" t="s">
        <v>1563</v>
      </c>
      <c r="D1340" s="61" t="n">
        <v>45980.2841319444</v>
      </c>
      <c r="E1340" s="61" t="n">
        <v>45980.2841319444</v>
      </c>
      <c r="F1340" s="61" t="n">
        <v>45980.291087963</v>
      </c>
      <c r="G1340" s="62" t="n">
        <v>0.00695601852203254</v>
      </c>
      <c r="H1340" s="13" t="s">
        <v>248</v>
      </c>
      <c r="J1340" s="13" t="s">
        <v>249</v>
      </c>
      <c r="K1340" s="13" t="s">
        <v>439</v>
      </c>
      <c r="L1340" s="13" t="s">
        <v>1251</v>
      </c>
      <c r="M1340" s="66" t="s">
        <v>251</v>
      </c>
      <c r="N1340" s="66" t="s">
        <v>625</v>
      </c>
      <c r="P1340" s="0" t="s">
        <v>2448</v>
      </c>
      <c r="Q1340" s="66" t="s">
        <v>1253</v>
      </c>
    </row>
    <row r="1341" customFormat="false" ht="14.25" hidden="false" customHeight="false" outlineLevel="0" collapsed="false">
      <c r="A1341" s="13" t="s">
        <v>878</v>
      </c>
      <c r="B1341" s="13" t="s">
        <v>504</v>
      </c>
      <c r="C1341" s="13" t="s">
        <v>1436</v>
      </c>
      <c r="D1341" s="61" t="n">
        <v>45980.2841319444</v>
      </c>
      <c r="E1341" s="61" t="n">
        <v>45980.2841319444</v>
      </c>
      <c r="F1341" s="61" t="n">
        <v>45980.2910648148</v>
      </c>
      <c r="G1341" s="62" t="n">
        <v>0.00693287037574919</v>
      </c>
      <c r="H1341" s="13" t="s">
        <v>248</v>
      </c>
      <c r="J1341" s="13" t="s">
        <v>249</v>
      </c>
      <c r="K1341" s="13" t="s">
        <v>439</v>
      </c>
      <c r="L1341" s="13" t="s">
        <v>1251</v>
      </c>
      <c r="M1341" s="66" t="s">
        <v>251</v>
      </c>
      <c r="N1341" s="66" t="s">
        <v>625</v>
      </c>
      <c r="P1341" s="0" t="s">
        <v>2449</v>
      </c>
      <c r="Q1341" s="66" t="s">
        <v>1253</v>
      </c>
    </row>
    <row r="1342" customFormat="false" ht="14.25" hidden="false" customHeight="false" outlineLevel="0" collapsed="false">
      <c r="A1342" s="13" t="s">
        <v>878</v>
      </c>
      <c r="B1342" s="13" t="s">
        <v>504</v>
      </c>
      <c r="C1342" s="13" t="s">
        <v>1565</v>
      </c>
      <c r="D1342" s="61" t="n">
        <v>45980.2842476852</v>
      </c>
      <c r="E1342" s="61" t="n">
        <v>45980.2842476852</v>
      </c>
      <c r="F1342" s="61" t="n">
        <v>45980.2912152778</v>
      </c>
      <c r="G1342" s="62" t="n">
        <v>0.00696759259153623</v>
      </c>
      <c r="H1342" s="13" t="s">
        <v>248</v>
      </c>
      <c r="J1342" s="13" t="s">
        <v>249</v>
      </c>
      <c r="K1342" s="13" t="s">
        <v>439</v>
      </c>
      <c r="L1342" s="13" t="s">
        <v>1251</v>
      </c>
      <c r="M1342" s="66" t="s">
        <v>251</v>
      </c>
      <c r="N1342" s="66" t="s">
        <v>625</v>
      </c>
      <c r="P1342" s="0" t="s">
        <v>2450</v>
      </c>
      <c r="Q1342" s="66" t="s">
        <v>1253</v>
      </c>
    </row>
    <row r="1343" customFormat="false" ht="14.25" hidden="false" customHeight="false" outlineLevel="0" collapsed="false">
      <c r="A1343" s="13" t="s">
        <v>878</v>
      </c>
      <c r="B1343" s="13" t="s">
        <v>504</v>
      </c>
      <c r="C1343" s="13" t="s">
        <v>519</v>
      </c>
      <c r="D1343" s="61" t="n">
        <v>45980.2842592593</v>
      </c>
      <c r="E1343" s="61" t="n">
        <v>45980.2842592593</v>
      </c>
      <c r="F1343" s="61" t="n">
        <v>45980.2912384259</v>
      </c>
      <c r="G1343" s="62" t="n">
        <v>0.00697916666831588</v>
      </c>
      <c r="H1343" s="13" t="s">
        <v>248</v>
      </c>
      <c r="J1343" s="13" t="s">
        <v>249</v>
      </c>
      <c r="K1343" s="13" t="s">
        <v>439</v>
      </c>
      <c r="L1343" s="13" t="s">
        <v>1251</v>
      </c>
      <c r="M1343" s="66" t="s">
        <v>251</v>
      </c>
      <c r="N1343" s="66" t="s">
        <v>625</v>
      </c>
      <c r="P1343" s="0" t="s">
        <v>2451</v>
      </c>
      <c r="Q1343" s="66" t="s">
        <v>1253</v>
      </c>
    </row>
    <row r="1344" customFormat="false" ht="14.25" hidden="false" customHeight="false" outlineLevel="0" collapsed="false">
      <c r="A1344" s="13" t="s">
        <v>878</v>
      </c>
      <c r="B1344" s="13" t="s">
        <v>504</v>
      </c>
      <c r="C1344" s="13" t="s">
        <v>1250</v>
      </c>
      <c r="D1344" s="61" t="n">
        <v>45981.2594560185</v>
      </c>
      <c r="E1344" s="61" t="n">
        <v>45981.2594560185</v>
      </c>
      <c r="F1344" s="61" t="n">
        <v>45981.266400463</v>
      </c>
      <c r="G1344" s="62" t="n">
        <v>0.00694444444525288</v>
      </c>
      <c r="H1344" s="13" t="s">
        <v>248</v>
      </c>
      <c r="J1344" s="13" t="s">
        <v>249</v>
      </c>
      <c r="K1344" s="13" t="s">
        <v>439</v>
      </c>
      <c r="L1344" s="13" t="s">
        <v>1251</v>
      </c>
      <c r="M1344" s="66" t="s">
        <v>251</v>
      </c>
      <c r="N1344" s="66" t="s">
        <v>625</v>
      </c>
      <c r="P1344" s="0" t="s">
        <v>2452</v>
      </c>
      <c r="Q1344" s="66" t="s">
        <v>1253</v>
      </c>
    </row>
    <row r="1345" customFormat="false" ht="14.25" hidden="false" customHeight="false" outlineLevel="0" collapsed="false">
      <c r="A1345" s="13" t="s">
        <v>878</v>
      </c>
      <c r="B1345" s="13" t="s">
        <v>504</v>
      </c>
      <c r="C1345" s="13" t="s">
        <v>1332</v>
      </c>
      <c r="D1345" s="61" t="n">
        <v>45981.2595023148</v>
      </c>
      <c r="E1345" s="61" t="n">
        <v>45981.2595023148</v>
      </c>
      <c r="F1345" s="61" t="n">
        <v>45981.2664814815</v>
      </c>
      <c r="G1345" s="62" t="n">
        <v>0.00697916666103993</v>
      </c>
      <c r="H1345" s="13" t="s">
        <v>248</v>
      </c>
      <c r="J1345" s="13" t="s">
        <v>249</v>
      </c>
      <c r="K1345" s="13" t="s">
        <v>439</v>
      </c>
      <c r="L1345" s="13" t="s">
        <v>1251</v>
      </c>
      <c r="M1345" s="66" t="s">
        <v>251</v>
      </c>
      <c r="N1345" s="66" t="s">
        <v>625</v>
      </c>
      <c r="P1345" s="0" t="s">
        <v>2453</v>
      </c>
      <c r="Q1345" s="66" t="s">
        <v>1253</v>
      </c>
    </row>
    <row r="1346" customFormat="false" ht="14.25" hidden="false" customHeight="false" outlineLevel="0" collapsed="false">
      <c r="A1346" s="13" t="s">
        <v>878</v>
      </c>
      <c r="B1346" s="13" t="s">
        <v>504</v>
      </c>
      <c r="C1346" s="13" t="s">
        <v>1334</v>
      </c>
      <c r="D1346" s="61" t="n">
        <v>45981.2599652778</v>
      </c>
      <c r="E1346" s="61" t="n">
        <v>45981.2599652778</v>
      </c>
      <c r="F1346" s="61" t="n">
        <v>45981.2820023148</v>
      </c>
      <c r="G1346" s="62" t="n">
        <v>0.0220370370370802</v>
      </c>
      <c r="H1346" s="13" t="s">
        <v>248</v>
      </c>
      <c r="J1346" s="13" t="s">
        <v>249</v>
      </c>
      <c r="K1346" s="13" t="s">
        <v>439</v>
      </c>
      <c r="L1346" s="13" t="s">
        <v>1251</v>
      </c>
      <c r="M1346" s="66" t="s">
        <v>251</v>
      </c>
      <c r="N1346" s="66" t="s">
        <v>625</v>
      </c>
      <c r="P1346" s="0" t="s">
        <v>2454</v>
      </c>
      <c r="Q1346" s="66" t="s">
        <v>1253</v>
      </c>
    </row>
    <row r="1347" customFormat="false" ht="14.25" hidden="false" customHeight="false" outlineLevel="0" collapsed="false">
      <c r="A1347" s="13" t="s">
        <v>878</v>
      </c>
      <c r="B1347" s="13" t="s">
        <v>504</v>
      </c>
      <c r="C1347" s="13" t="s">
        <v>1565</v>
      </c>
      <c r="D1347" s="61" t="n">
        <v>45981.260150463</v>
      </c>
      <c r="E1347" s="61" t="n">
        <v>45981.260150463</v>
      </c>
      <c r="F1347" s="61" t="n">
        <v>45981.2820023148</v>
      </c>
      <c r="G1347" s="62" t="n">
        <v>0.0218518518522615</v>
      </c>
      <c r="H1347" s="13" t="s">
        <v>248</v>
      </c>
      <c r="J1347" s="13" t="s">
        <v>249</v>
      </c>
      <c r="K1347" s="13" t="s">
        <v>439</v>
      </c>
      <c r="L1347" s="13" t="s">
        <v>1251</v>
      </c>
      <c r="M1347" s="66" t="s">
        <v>251</v>
      </c>
      <c r="N1347" s="66" t="s">
        <v>625</v>
      </c>
      <c r="P1347" s="0" t="s">
        <v>2455</v>
      </c>
      <c r="Q1347" s="66" t="s">
        <v>1253</v>
      </c>
    </row>
    <row r="1348" customFormat="false" ht="14.25" hidden="false" customHeight="false" outlineLevel="0" collapsed="false">
      <c r="A1348" s="13" t="s">
        <v>878</v>
      </c>
      <c r="B1348" s="13" t="s">
        <v>504</v>
      </c>
      <c r="C1348" s="13" t="s">
        <v>1436</v>
      </c>
      <c r="D1348" s="61" t="n">
        <v>45981.2601967593</v>
      </c>
      <c r="E1348" s="61" t="n">
        <v>45981.2601967593</v>
      </c>
      <c r="F1348" s="61" t="n">
        <v>45981.2820023148</v>
      </c>
      <c r="G1348" s="62" t="n">
        <v>0.0218055555596948</v>
      </c>
      <c r="H1348" s="13" t="s">
        <v>248</v>
      </c>
      <c r="J1348" s="13" t="s">
        <v>249</v>
      </c>
      <c r="K1348" s="13" t="s">
        <v>439</v>
      </c>
      <c r="L1348" s="13" t="s">
        <v>1251</v>
      </c>
      <c r="M1348" s="66" t="s">
        <v>251</v>
      </c>
      <c r="N1348" s="66" t="s">
        <v>625</v>
      </c>
      <c r="P1348" s="0" t="s">
        <v>2456</v>
      </c>
      <c r="Q1348" s="66" t="s">
        <v>1253</v>
      </c>
    </row>
    <row r="1349" customFormat="false" ht="14.25" hidden="false" customHeight="false" outlineLevel="0" collapsed="false">
      <c r="A1349" s="13" t="s">
        <v>878</v>
      </c>
      <c r="B1349" s="13" t="s">
        <v>504</v>
      </c>
      <c r="C1349" s="13" t="s">
        <v>1563</v>
      </c>
      <c r="D1349" s="61" t="n">
        <v>45981.2602546296</v>
      </c>
      <c r="E1349" s="61" t="n">
        <v>45981.2602546296</v>
      </c>
      <c r="F1349" s="61" t="n">
        <v>45981.2820023148</v>
      </c>
      <c r="G1349" s="62" t="n">
        <v>0.0217476851830725</v>
      </c>
      <c r="H1349" s="13" t="s">
        <v>248</v>
      </c>
      <c r="J1349" s="13" t="s">
        <v>249</v>
      </c>
      <c r="K1349" s="13" t="s">
        <v>439</v>
      </c>
      <c r="L1349" s="13" t="s">
        <v>1251</v>
      </c>
      <c r="M1349" s="66" t="s">
        <v>251</v>
      </c>
      <c r="N1349" s="66" t="s">
        <v>625</v>
      </c>
      <c r="P1349" s="0" t="s">
        <v>2457</v>
      </c>
      <c r="Q1349" s="66" t="s">
        <v>1253</v>
      </c>
    </row>
    <row r="1350" customFormat="false" ht="14.25" hidden="false" customHeight="false" outlineLevel="0" collapsed="false">
      <c r="A1350" s="13" t="s">
        <v>878</v>
      </c>
      <c r="B1350" s="13" t="s">
        <v>504</v>
      </c>
      <c r="C1350" s="13" t="s">
        <v>1565</v>
      </c>
      <c r="D1350" s="61" t="n">
        <v>45981.2888194444</v>
      </c>
      <c r="E1350" s="61" t="n">
        <v>45981.2888194444</v>
      </c>
      <c r="F1350" s="61" t="n">
        <v>45981.2958333333</v>
      </c>
      <c r="G1350" s="62" t="n">
        <v>0.00701388888410293</v>
      </c>
      <c r="H1350" s="13" t="s">
        <v>248</v>
      </c>
      <c r="J1350" s="13" t="s">
        <v>249</v>
      </c>
      <c r="K1350" s="13" t="s">
        <v>439</v>
      </c>
      <c r="L1350" s="13" t="s">
        <v>1251</v>
      </c>
      <c r="M1350" s="66" t="s">
        <v>251</v>
      </c>
      <c r="N1350" s="66" t="s">
        <v>625</v>
      </c>
      <c r="P1350" s="0" t="s">
        <v>2458</v>
      </c>
      <c r="Q1350" s="66" t="s">
        <v>1253</v>
      </c>
    </row>
    <row r="1351" customFormat="false" ht="14.25" hidden="false" customHeight="false" outlineLevel="0" collapsed="false">
      <c r="A1351" s="13" t="s">
        <v>878</v>
      </c>
      <c r="B1351" s="13" t="s">
        <v>504</v>
      </c>
      <c r="C1351" s="13" t="s">
        <v>1563</v>
      </c>
      <c r="D1351" s="61" t="n">
        <v>45981.288900463</v>
      </c>
      <c r="E1351" s="61" t="n">
        <v>45981.288900463</v>
      </c>
      <c r="F1351" s="61" t="n">
        <v>45981.2957986111</v>
      </c>
      <c r="G1351" s="62" t="n">
        <v>0.00689814815268619</v>
      </c>
      <c r="H1351" s="13" t="s">
        <v>248</v>
      </c>
      <c r="J1351" s="13" t="s">
        <v>249</v>
      </c>
      <c r="K1351" s="13" t="s">
        <v>439</v>
      </c>
      <c r="L1351" s="13" t="s">
        <v>1251</v>
      </c>
      <c r="M1351" s="66" t="s">
        <v>251</v>
      </c>
      <c r="N1351" s="66" t="s">
        <v>625</v>
      </c>
      <c r="P1351" s="0" t="s">
        <v>2459</v>
      </c>
      <c r="Q1351" s="66" t="s">
        <v>1253</v>
      </c>
    </row>
    <row r="1352" customFormat="false" ht="14.25" hidden="false" customHeight="false" outlineLevel="0" collapsed="false">
      <c r="A1352" s="13" t="s">
        <v>622</v>
      </c>
      <c r="B1352" s="13" t="s">
        <v>622</v>
      </c>
      <c r="C1352" s="13" t="s">
        <v>280</v>
      </c>
      <c r="D1352" s="61" t="n">
        <v>45982.2395833333</v>
      </c>
      <c r="E1352" s="61" t="n">
        <v>45982.2395833333</v>
      </c>
      <c r="F1352" s="61" t="n">
        <v>45982.3125</v>
      </c>
      <c r="G1352" s="62" t="n">
        <v>0.0729166666642414</v>
      </c>
      <c r="H1352" s="13" t="s">
        <v>248</v>
      </c>
      <c r="J1352" s="13" t="s">
        <v>230</v>
      </c>
      <c r="K1352" s="13" t="s">
        <v>230</v>
      </c>
      <c r="L1352" s="13" t="s">
        <v>2460</v>
      </c>
      <c r="M1352" s="66" t="s">
        <v>783</v>
      </c>
      <c r="N1352" s="66" t="s">
        <v>252</v>
      </c>
      <c r="O1352" s="66" t="s">
        <v>2434</v>
      </c>
      <c r="P1352" s="0" t="s">
        <v>2461</v>
      </c>
      <c r="Q1352" s="66" t="s">
        <v>1722</v>
      </c>
    </row>
    <row r="1353" customFormat="false" ht="14.25" hidden="false" customHeight="false" outlineLevel="0" collapsed="false">
      <c r="A1353" s="13" t="s">
        <v>622</v>
      </c>
      <c r="B1353" s="13" t="s">
        <v>622</v>
      </c>
      <c r="C1353" s="13" t="s">
        <v>247</v>
      </c>
      <c r="D1353" s="61" t="n">
        <v>45982.2395833333</v>
      </c>
      <c r="E1353" s="61" t="n">
        <v>45982.2395833333</v>
      </c>
      <c r="F1353" s="61" t="n">
        <v>45982.3125</v>
      </c>
      <c r="G1353" s="62" t="n">
        <v>0.0729166666642414</v>
      </c>
      <c r="H1353" s="13" t="s">
        <v>248</v>
      </c>
      <c r="J1353" s="13" t="s">
        <v>230</v>
      </c>
      <c r="K1353" s="13" t="s">
        <v>230</v>
      </c>
      <c r="L1353" s="13" t="s">
        <v>2460</v>
      </c>
      <c r="M1353" s="66" t="s">
        <v>783</v>
      </c>
      <c r="N1353" s="66" t="s">
        <v>252</v>
      </c>
      <c r="O1353" s="66" t="s">
        <v>2434</v>
      </c>
      <c r="P1353" s="0" t="s">
        <v>2462</v>
      </c>
      <c r="Q1353" s="66" t="s">
        <v>1722</v>
      </c>
    </row>
    <row r="1354" customFormat="false" ht="14.25" hidden="false" customHeight="false" outlineLevel="0" collapsed="false">
      <c r="A1354" s="13" t="s">
        <v>622</v>
      </c>
      <c r="B1354" s="13" t="s">
        <v>622</v>
      </c>
      <c r="C1354" s="13" t="s">
        <v>277</v>
      </c>
      <c r="D1354" s="61" t="n">
        <v>45982.2395833333</v>
      </c>
      <c r="E1354" s="61" t="n">
        <v>45982.2395833333</v>
      </c>
      <c r="F1354" s="61" t="n">
        <v>45982.3125</v>
      </c>
      <c r="G1354" s="62" t="n">
        <v>0.0729166666642414</v>
      </c>
      <c r="H1354" s="13" t="s">
        <v>248</v>
      </c>
      <c r="J1354" s="13" t="s">
        <v>230</v>
      </c>
      <c r="K1354" s="13" t="s">
        <v>230</v>
      </c>
      <c r="L1354" s="13" t="s">
        <v>2460</v>
      </c>
      <c r="M1354" s="66" t="s">
        <v>783</v>
      </c>
      <c r="N1354" s="66" t="s">
        <v>252</v>
      </c>
      <c r="O1354" s="66" t="s">
        <v>2434</v>
      </c>
      <c r="P1354" s="0" t="s">
        <v>2463</v>
      </c>
      <c r="Q1354" s="66" t="s">
        <v>1722</v>
      </c>
    </row>
    <row r="1355" customFormat="false" ht="14.25" hidden="false" customHeight="false" outlineLevel="0" collapsed="false">
      <c r="A1355" s="13" t="s">
        <v>622</v>
      </c>
      <c r="B1355" s="13" t="s">
        <v>622</v>
      </c>
      <c r="C1355" s="13" t="s">
        <v>255</v>
      </c>
      <c r="D1355" s="61" t="n">
        <v>45982.2395833333</v>
      </c>
      <c r="E1355" s="61" t="n">
        <v>45982.2395833333</v>
      </c>
      <c r="F1355" s="61" t="n">
        <v>45982.3125</v>
      </c>
      <c r="G1355" s="62" t="n">
        <v>0.0729166666642414</v>
      </c>
      <c r="H1355" s="13" t="s">
        <v>248</v>
      </c>
      <c r="J1355" s="13" t="s">
        <v>230</v>
      </c>
      <c r="K1355" s="13" t="s">
        <v>230</v>
      </c>
      <c r="L1355" s="13" t="s">
        <v>2460</v>
      </c>
      <c r="M1355" s="66" t="s">
        <v>783</v>
      </c>
      <c r="N1355" s="66" t="s">
        <v>252</v>
      </c>
      <c r="O1355" s="66" t="s">
        <v>2434</v>
      </c>
      <c r="P1355" s="0" t="s">
        <v>2464</v>
      </c>
      <c r="Q1355" s="66" t="s">
        <v>1722</v>
      </c>
    </row>
    <row r="1356" customFormat="false" ht="14.25" hidden="false" customHeight="false" outlineLevel="0" collapsed="false">
      <c r="A1356" s="13" t="s">
        <v>261</v>
      </c>
      <c r="B1356" s="13" t="s">
        <v>261</v>
      </c>
      <c r="C1356" s="13" t="s">
        <v>271</v>
      </c>
      <c r="D1356" s="61" t="n">
        <v>45982.3583333333</v>
      </c>
      <c r="E1356" s="61" t="n">
        <v>45982.3583333333</v>
      </c>
      <c r="F1356" s="61" t="n">
        <v>45982.3590277778</v>
      </c>
      <c r="G1356" s="62" t="n">
        <v>0.000694444446708076</v>
      </c>
      <c r="H1356" s="13" t="s">
        <v>445</v>
      </c>
      <c r="I1356" s="13" t="s">
        <v>263</v>
      </c>
      <c r="J1356" s="13" t="s">
        <v>264</v>
      </c>
      <c r="K1356" s="13" t="s">
        <v>456</v>
      </c>
      <c r="L1356" s="13" t="s">
        <v>2465</v>
      </c>
      <c r="M1356" s="66" t="s">
        <v>266</v>
      </c>
      <c r="N1356" s="66" t="s">
        <v>252</v>
      </c>
      <c r="O1356" s="66" t="s">
        <v>794</v>
      </c>
      <c r="P1356" s="0" t="s">
        <v>2466</v>
      </c>
      <c r="Q1356" s="66" t="s">
        <v>1430</v>
      </c>
    </row>
    <row r="1357" customFormat="false" ht="14.25" hidden="false" customHeight="false" outlineLevel="0" collapsed="false">
      <c r="A1357" s="13" t="s">
        <v>261</v>
      </c>
      <c r="B1357" s="13" t="s">
        <v>261</v>
      </c>
      <c r="C1357" s="13" t="s">
        <v>272</v>
      </c>
      <c r="D1357" s="61" t="n">
        <v>45982.3583333333</v>
      </c>
      <c r="E1357" s="61" t="n">
        <v>45982.3583333333</v>
      </c>
      <c r="F1357" s="61" t="n">
        <v>45982.3590277778</v>
      </c>
      <c r="G1357" s="62" t="n">
        <v>0.000694444446708076</v>
      </c>
      <c r="H1357" s="13" t="s">
        <v>445</v>
      </c>
      <c r="I1357" s="13" t="s">
        <v>263</v>
      </c>
      <c r="J1357" s="13" t="s">
        <v>264</v>
      </c>
      <c r="K1357" s="13" t="s">
        <v>456</v>
      </c>
      <c r="L1357" s="13" t="s">
        <v>2465</v>
      </c>
      <c r="M1357" s="66" t="s">
        <v>266</v>
      </c>
      <c r="N1357" s="66" t="s">
        <v>252</v>
      </c>
      <c r="O1357" s="66" t="s">
        <v>794</v>
      </c>
      <c r="P1357" s="0" t="s">
        <v>2467</v>
      </c>
      <c r="Q1357" s="66" t="s">
        <v>1430</v>
      </c>
    </row>
    <row r="1358" customFormat="false" ht="14.25" hidden="false" customHeight="false" outlineLevel="0" collapsed="false">
      <c r="A1358" s="13" t="s">
        <v>261</v>
      </c>
      <c r="B1358" s="13" t="s">
        <v>261</v>
      </c>
      <c r="C1358" s="13" t="s">
        <v>270</v>
      </c>
      <c r="D1358" s="61" t="n">
        <v>45982.3583333333</v>
      </c>
      <c r="E1358" s="61" t="n">
        <v>45982.3583333333</v>
      </c>
      <c r="F1358" s="61" t="n">
        <v>45982.3590277778</v>
      </c>
      <c r="G1358" s="62" t="n">
        <v>0.000694444446708076</v>
      </c>
      <c r="H1358" s="13" t="s">
        <v>445</v>
      </c>
      <c r="I1358" s="13" t="s">
        <v>263</v>
      </c>
      <c r="J1358" s="13" t="s">
        <v>264</v>
      </c>
      <c r="K1358" s="13" t="s">
        <v>456</v>
      </c>
      <c r="L1358" s="13" t="s">
        <v>2465</v>
      </c>
      <c r="M1358" s="66" t="s">
        <v>266</v>
      </c>
      <c r="N1358" s="66" t="s">
        <v>252</v>
      </c>
      <c r="O1358" s="66" t="s">
        <v>794</v>
      </c>
      <c r="P1358" s="0" t="s">
        <v>2468</v>
      </c>
      <c r="Q1358" s="66" t="s">
        <v>1430</v>
      </c>
    </row>
    <row r="1359" customFormat="false" ht="14.25" hidden="false" customHeight="false" outlineLevel="0" collapsed="false">
      <c r="A1359" s="13" t="s">
        <v>261</v>
      </c>
      <c r="B1359" s="13" t="s">
        <v>261</v>
      </c>
      <c r="C1359" s="13" t="s">
        <v>262</v>
      </c>
      <c r="D1359" s="61" t="n">
        <v>45982.3583333333</v>
      </c>
      <c r="E1359" s="61" t="n">
        <v>45982.3583333333</v>
      </c>
      <c r="F1359" s="61" t="n">
        <v>45982.3590277778</v>
      </c>
      <c r="G1359" s="62" t="n">
        <v>0.000694444446708076</v>
      </c>
      <c r="H1359" s="13" t="s">
        <v>445</v>
      </c>
      <c r="I1359" s="13" t="s">
        <v>263</v>
      </c>
      <c r="J1359" s="13" t="s">
        <v>264</v>
      </c>
      <c r="K1359" s="13" t="s">
        <v>456</v>
      </c>
      <c r="L1359" s="13" t="s">
        <v>2465</v>
      </c>
      <c r="M1359" s="66" t="s">
        <v>266</v>
      </c>
      <c r="N1359" s="66" t="s">
        <v>252</v>
      </c>
      <c r="O1359" s="66" t="s">
        <v>794</v>
      </c>
      <c r="P1359" s="0" t="s">
        <v>2469</v>
      </c>
      <c r="Q1359" s="66" t="s">
        <v>1430</v>
      </c>
    </row>
    <row r="1360" customFormat="false" ht="14.25" hidden="false" customHeight="false" outlineLevel="0" collapsed="false">
      <c r="A1360" s="13" t="s">
        <v>261</v>
      </c>
      <c r="B1360" s="13" t="s">
        <v>261</v>
      </c>
      <c r="C1360" s="13" t="s">
        <v>269</v>
      </c>
      <c r="D1360" s="61" t="n">
        <v>45982.3583333333</v>
      </c>
      <c r="E1360" s="61" t="n">
        <v>45982.3583333333</v>
      </c>
      <c r="F1360" s="61" t="n">
        <v>45982.3590277778</v>
      </c>
      <c r="G1360" s="62" t="n">
        <v>0.000694444446708076</v>
      </c>
      <c r="H1360" s="13" t="s">
        <v>445</v>
      </c>
      <c r="I1360" s="13" t="s">
        <v>263</v>
      </c>
      <c r="J1360" s="13" t="s">
        <v>264</v>
      </c>
      <c r="K1360" s="13" t="s">
        <v>456</v>
      </c>
      <c r="L1360" s="13" t="s">
        <v>2465</v>
      </c>
      <c r="M1360" s="66" t="s">
        <v>266</v>
      </c>
      <c r="N1360" s="66" t="s">
        <v>252</v>
      </c>
      <c r="O1360" s="66" t="s">
        <v>794</v>
      </c>
      <c r="P1360" s="0" t="s">
        <v>2470</v>
      </c>
      <c r="Q1360" s="66" t="s">
        <v>1430</v>
      </c>
    </row>
    <row r="1361" customFormat="false" ht="14.25" hidden="false" customHeight="false" outlineLevel="0" collapsed="false">
      <c r="A1361" s="13" t="s">
        <v>738</v>
      </c>
      <c r="B1361" s="13" t="s">
        <v>738</v>
      </c>
      <c r="C1361" s="13" t="s">
        <v>277</v>
      </c>
      <c r="D1361" s="61" t="n">
        <v>45982.4375</v>
      </c>
      <c r="E1361" s="61" t="n">
        <v>45982.4375</v>
      </c>
      <c r="F1361" s="61" t="n">
        <v>45982.5</v>
      </c>
      <c r="G1361" s="62" t="n">
        <v>0.0625</v>
      </c>
      <c r="H1361" s="13" t="s">
        <v>313</v>
      </c>
      <c r="J1361" s="13" t="s">
        <v>230</v>
      </c>
      <c r="K1361" s="13" t="s">
        <v>230</v>
      </c>
      <c r="L1361" s="13" t="s">
        <v>2471</v>
      </c>
      <c r="M1361" s="66" t="s">
        <v>258</v>
      </c>
      <c r="N1361" s="66" t="s">
        <v>379</v>
      </c>
      <c r="O1361" s="66" t="s">
        <v>2472</v>
      </c>
      <c r="P1361" s="0" t="s">
        <v>2473</v>
      </c>
      <c r="Q1361" s="66" t="s">
        <v>1393</v>
      </c>
    </row>
    <row r="1362" customFormat="false" ht="14.25" hidden="false" customHeight="false" outlineLevel="0" collapsed="false">
      <c r="A1362" s="13" t="s">
        <v>738</v>
      </c>
      <c r="B1362" s="13" t="s">
        <v>738</v>
      </c>
      <c r="C1362" s="13" t="s">
        <v>247</v>
      </c>
      <c r="D1362" s="61" t="n">
        <v>45982.4375</v>
      </c>
      <c r="E1362" s="61" t="n">
        <v>45982.4375</v>
      </c>
      <c r="F1362" s="61" t="n">
        <v>45982.5</v>
      </c>
      <c r="G1362" s="62" t="n">
        <v>0.0625</v>
      </c>
      <c r="H1362" s="13" t="s">
        <v>313</v>
      </c>
      <c r="J1362" s="13" t="s">
        <v>230</v>
      </c>
      <c r="K1362" s="13" t="s">
        <v>230</v>
      </c>
      <c r="L1362" s="13" t="s">
        <v>2471</v>
      </c>
      <c r="M1362" s="66" t="s">
        <v>258</v>
      </c>
      <c r="N1362" s="66" t="s">
        <v>379</v>
      </c>
      <c r="O1362" s="66" t="s">
        <v>2472</v>
      </c>
      <c r="P1362" s="0" t="s">
        <v>2474</v>
      </c>
      <c r="Q1362" s="66" t="s">
        <v>1393</v>
      </c>
    </row>
    <row r="1363" customFormat="false" ht="14.25" hidden="false" customHeight="false" outlineLevel="0" collapsed="false">
      <c r="A1363" s="13" t="s">
        <v>738</v>
      </c>
      <c r="B1363" s="13" t="s">
        <v>738</v>
      </c>
      <c r="C1363" s="13" t="s">
        <v>280</v>
      </c>
      <c r="D1363" s="61" t="n">
        <v>45982.4375</v>
      </c>
      <c r="E1363" s="61" t="n">
        <v>45982.4375</v>
      </c>
      <c r="F1363" s="61" t="n">
        <v>45982.5</v>
      </c>
      <c r="G1363" s="62" t="n">
        <v>0.0625</v>
      </c>
      <c r="H1363" s="13" t="s">
        <v>313</v>
      </c>
      <c r="J1363" s="13" t="s">
        <v>230</v>
      </c>
      <c r="K1363" s="13" t="s">
        <v>230</v>
      </c>
      <c r="L1363" s="13" t="s">
        <v>2471</v>
      </c>
      <c r="M1363" s="66" t="s">
        <v>258</v>
      </c>
      <c r="N1363" s="66" t="s">
        <v>379</v>
      </c>
      <c r="O1363" s="66" t="s">
        <v>2472</v>
      </c>
      <c r="P1363" s="0" t="s">
        <v>2475</v>
      </c>
      <c r="Q1363" s="66" t="s">
        <v>1393</v>
      </c>
    </row>
    <row r="1364" customFormat="false" ht="14.25" hidden="false" customHeight="false" outlineLevel="0" collapsed="false">
      <c r="A1364" s="13" t="s">
        <v>738</v>
      </c>
      <c r="B1364" s="13" t="s">
        <v>738</v>
      </c>
      <c r="C1364" s="13" t="s">
        <v>279</v>
      </c>
      <c r="D1364" s="61" t="n">
        <v>45982.4375</v>
      </c>
      <c r="E1364" s="61" t="n">
        <v>45982.4375</v>
      </c>
      <c r="F1364" s="61" t="n">
        <v>45982.5</v>
      </c>
      <c r="G1364" s="62" t="n">
        <v>0.0625</v>
      </c>
      <c r="H1364" s="13" t="s">
        <v>313</v>
      </c>
      <c r="J1364" s="13" t="s">
        <v>230</v>
      </c>
      <c r="K1364" s="13" t="s">
        <v>230</v>
      </c>
      <c r="L1364" s="13" t="s">
        <v>2471</v>
      </c>
      <c r="M1364" s="66" t="s">
        <v>258</v>
      </c>
      <c r="N1364" s="66" t="s">
        <v>379</v>
      </c>
      <c r="O1364" s="66" t="s">
        <v>2472</v>
      </c>
      <c r="P1364" s="0" t="s">
        <v>2476</v>
      </c>
      <c r="Q1364" s="66" t="s">
        <v>1393</v>
      </c>
    </row>
    <row r="1365" customFormat="false" ht="14.25" hidden="false" customHeight="false" outlineLevel="0" collapsed="false">
      <c r="A1365" s="13" t="s">
        <v>738</v>
      </c>
      <c r="B1365" s="13" t="s">
        <v>738</v>
      </c>
      <c r="C1365" s="13" t="s">
        <v>277</v>
      </c>
      <c r="D1365" s="61" t="n">
        <v>45983.2708333333</v>
      </c>
      <c r="E1365" s="61" t="n">
        <v>45983.2708333333</v>
      </c>
      <c r="F1365" s="61" t="n">
        <v>45983.4305555556</v>
      </c>
      <c r="G1365" s="62" t="n">
        <v>0.159722222218988</v>
      </c>
      <c r="H1365" s="13" t="s">
        <v>313</v>
      </c>
      <c r="J1365" s="13" t="s">
        <v>230</v>
      </c>
      <c r="K1365" s="13" t="s">
        <v>230</v>
      </c>
      <c r="L1365" s="13" t="s">
        <v>2477</v>
      </c>
      <c r="M1365" s="66" t="s">
        <v>258</v>
      </c>
      <c r="N1365" s="66" t="s">
        <v>379</v>
      </c>
      <c r="O1365" s="66" t="s">
        <v>2472</v>
      </c>
      <c r="P1365" s="0" t="s">
        <v>2478</v>
      </c>
      <c r="Q1365" s="66" t="s">
        <v>1393</v>
      </c>
    </row>
    <row r="1366" customFormat="false" ht="14.25" hidden="false" customHeight="false" outlineLevel="0" collapsed="false">
      <c r="A1366" s="13" t="s">
        <v>738</v>
      </c>
      <c r="B1366" s="13" t="s">
        <v>738</v>
      </c>
      <c r="C1366" s="13" t="s">
        <v>247</v>
      </c>
      <c r="D1366" s="61" t="n">
        <v>45983.2708333333</v>
      </c>
      <c r="E1366" s="61" t="n">
        <v>45983.2708333333</v>
      </c>
      <c r="F1366" s="61" t="n">
        <v>45983.4305555556</v>
      </c>
      <c r="G1366" s="62" t="n">
        <v>0.159722222218988</v>
      </c>
      <c r="H1366" s="13" t="s">
        <v>313</v>
      </c>
      <c r="J1366" s="13" t="s">
        <v>230</v>
      </c>
      <c r="K1366" s="13" t="s">
        <v>230</v>
      </c>
      <c r="L1366" s="13" t="s">
        <v>2477</v>
      </c>
      <c r="M1366" s="66" t="s">
        <v>258</v>
      </c>
      <c r="N1366" s="66" t="s">
        <v>379</v>
      </c>
      <c r="O1366" s="66" t="s">
        <v>2472</v>
      </c>
      <c r="P1366" s="0" t="s">
        <v>2479</v>
      </c>
      <c r="Q1366" s="66" t="s">
        <v>1393</v>
      </c>
    </row>
    <row r="1367" customFormat="false" ht="14.25" hidden="false" customHeight="false" outlineLevel="0" collapsed="false">
      <c r="A1367" s="13" t="s">
        <v>738</v>
      </c>
      <c r="B1367" s="13" t="s">
        <v>738</v>
      </c>
      <c r="C1367" s="13" t="s">
        <v>280</v>
      </c>
      <c r="D1367" s="61" t="n">
        <v>45983.2708333333</v>
      </c>
      <c r="E1367" s="61" t="n">
        <v>45983.2708333333</v>
      </c>
      <c r="F1367" s="61" t="n">
        <v>45983.4305555556</v>
      </c>
      <c r="G1367" s="62" t="n">
        <v>0.159722222218988</v>
      </c>
      <c r="H1367" s="13" t="s">
        <v>313</v>
      </c>
      <c r="J1367" s="13" t="s">
        <v>230</v>
      </c>
      <c r="K1367" s="13" t="s">
        <v>230</v>
      </c>
      <c r="L1367" s="13" t="s">
        <v>2477</v>
      </c>
      <c r="M1367" s="66" t="s">
        <v>258</v>
      </c>
      <c r="N1367" s="66" t="s">
        <v>379</v>
      </c>
      <c r="O1367" s="66" t="s">
        <v>2472</v>
      </c>
      <c r="P1367" s="0" t="s">
        <v>2480</v>
      </c>
      <c r="Q1367" s="66" t="s">
        <v>1393</v>
      </c>
    </row>
    <row r="1368" customFormat="false" ht="14.25" hidden="false" customHeight="false" outlineLevel="0" collapsed="false">
      <c r="A1368" s="13" t="s">
        <v>738</v>
      </c>
      <c r="B1368" s="13" t="s">
        <v>738</v>
      </c>
      <c r="C1368" s="13" t="s">
        <v>279</v>
      </c>
      <c r="D1368" s="61" t="n">
        <v>45983.2708333333</v>
      </c>
      <c r="E1368" s="61" t="n">
        <v>45983.2708333333</v>
      </c>
      <c r="F1368" s="61" t="n">
        <v>45983.4305555556</v>
      </c>
      <c r="G1368" s="62" t="n">
        <v>0.159722222218988</v>
      </c>
      <c r="H1368" s="13" t="s">
        <v>313</v>
      </c>
      <c r="J1368" s="13" t="s">
        <v>230</v>
      </c>
      <c r="K1368" s="13" t="s">
        <v>230</v>
      </c>
      <c r="L1368" s="13" t="s">
        <v>2477</v>
      </c>
      <c r="M1368" s="66" t="s">
        <v>258</v>
      </c>
      <c r="N1368" s="66" t="s">
        <v>379</v>
      </c>
      <c r="O1368" s="66" t="s">
        <v>2472</v>
      </c>
      <c r="P1368" s="0" t="s">
        <v>2481</v>
      </c>
      <c r="Q1368" s="66" t="s">
        <v>1393</v>
      </c>
    </row>
    <row r="1369" customFormat="false" ht="14.25" hidden="false" customHeight="false" outlineLevel="0" collapsed="false">
      <c r="A1369" s="13" t="s">
        <v>388</v>
      </c>
      <c r="B1369" s="13" t="s">
        <v>388</v>
      </c>
      <c r="C1369" s="13" t="s">
        <v>277</v>
      </c>
      <c r="D1369" s="61" t="n">
        <v>45983.4131944444</v>
      </c>
      <c r="E1369" s="61" t="n">
        <v>45983.4131944444</v>
      </c>
      <c r="F1369" s="61" t="n">
        <v>45983.4472222222</v>
      </c>
      <c r="G1369" s="62" t="n">
        <v>0.0340277777795563</v>
      </c>
      <c r="H1369" s="13" t="s">
        <v>445</v>
      </c>
      <c r="I1369" s="13" t="s">
        <v>263</v>
      </c>
      <c r="J1369" s="13" t="s">
        <v>264</v>
      </c>
      <c r="K1369" s="13" t="s">
        <v>456</v>
      </c>
      <c r="L1369" s="13" t="s">
        <v>2465</v>
      </c>
      <c r="M1369" s="66" t="s">
        <v>266</v>
      </c>
      <c r="N1369" s="66" t="s">
        <v>252</v>
      </c>
      <c r="O1369" s="66" t="s">
        <v>794</v>
      </c>
      <c r="P1369" s="0" t="s">
        <v>2482</v>
      </c>
      <c r="Q1369" s="66" t="s">
        <v>1430</v>
      </c>
    </row>
    <row r="1370" customFormat="false" ht="14.25" hidden="false" customHeight="false" outlineLevel="0" collapsed="false">
      <c r="A1370" s="13" t="s">
        <v>388</v>
      </c>
      <c r="B1370" s="13" t="s">
        <v>388</v>
      </c>
      <c r="C1370" s="13" t="s">
        <v>247</v>
      </c>
      <c r="D1370" s="61" t="n">
        <v>45983.4131944444</v>
      </c>
      <c r="E1370" s="61" t="n">
        <v>45983.4131944444</v>
      </c>
      <c r="F1370" s="61" t="n">
        <v>45983.4472222222</v>
      </c>
      <c r="G1370" s="62" t="n">
        <v>0.0340277777795563</v>
      </c>
      <c r="H1370" s="13" t="s">
        <v>445</v>
      </c>
      <c r="I1370" s="13" t="s">
        <v>263</v>
      </c>
      <c r="J1370" s="13" t="s">
        <v>264</v>
      </c>
      <c r="K1370" s="13" t="s">
        <v>456</v>
      </c>
      <c r="L1370" s="13" t="s">
        <v>2465</v>
      </c>
      <c r="M1370" s="66" t="s">
        <v>266</v>
      </c>
      <c r="N1370" s="66" t="s">
        <v>252</v>
      </c>
      <c r="O1370" s="66" t="s">
        <v>794</v>
      </c>
      <c r="P1370" s="0" t="s">
        <v>2483</v>
      </c>
      <c r="Q1370" s="66" t="s">
        <v>1430</v>
      </c>
    </row>
    <row r="1371" customFormat="false" ht="14.25" hidden="false" customHeight="false" outlineLevel="0" collapsed="false">
      <c r="A1371" s="13" t="s">
        <v>878</v>
      </c>
      <c r="B1371" s="13" t="s">
        <v>504</v>
      </c>
      <c r="C1371" s="13" t="s">
        <v>1250</v>
      </c>
      <c r="D1371" s="61" t="n">
        <v>45984.2731828704</v>
      </c>
      <c r="E1371" s="61" t="n">
        <v>45984.2731828704</v>
      </c>
      <c r="F1371" s="61" t="n">
        <v>45984.2801157407</v>
      </c>
      <c r="G1371" s="62" t="n">
        <v>0.00693287036847323</v>
      </c>
      <c r="H1371" s="13" t="s">
        <v>248</v>
      </c>
      <c r="J1371" s="13" t="s">
        <v>249</v>
      </c>
      <c r="K1371" s="13" t="s">
        <v>439</v>
      </c>
      <c r="L1371" s="13" t="s">
        <v>1251</v>
      </c>
      <c r="M1371" s="66" t="s">
        <v>251</v>
      </c>
      <c r="N1371" s="66" t="s">
        <v>625</v>
      </c>
      <c r="P1371" s="0" t="s">
        <v>2484</v>
      </c>
      <c r="Q1371" s="66" t="s">
        <v>1253</v>
      </c>
    </row>
    <row r="1372" customFormat="false" ht="14.25" hidden="false" customHeight="false" outlineLevel="0" collapsed="false">
      <c r="A1372" s="13" t="s">
        <v>878</v>
      </c>
      <c r="B1372" s="13" t="s">
        <v>504</v>
      </c>
      <c r="C1372" s="13" t="s">
        <v>1332</v>
      </c>
      <c r="D1372" s="61" t="n">
        <v>45984.2737037037</v>
      </c>
      <c r="E1372" s="61" t="n">
        <v>45984.2737037037</v>
      </c>
      <c r="F1372" s="61" t="n">
        <v>45984.3315972222</v>
      </c>
      <c r="G1372" s="62" t="n">
        <v>0.0578935185185401</v>
      </c>
      <c r="H1372" s="13" t="s">
        <v>248</v>
      </c>
      <c r="J1372" s="13" t="s">
        <v>249</v>
      </c>
      <c r="K1372" s="13" t="s">
        <v>439</v>
      </c>
      <c r="L1372" s="13" t="s">
        <v>1251</v>
      </c>
      <c r="M1372" s="66" t="s">
        <v>251</v>
      </c>
      <c r="N1372" s="66" t="s">
        <v>625</v>
      </c>
      <c r="P1372" s="0" t="s">
        <v>2485</v>
      </c>
      <c r="Q1372" s="66" t="s">
        <v>1253</v>
      </c>
    </row>
    <row r="1373" customFormat="false" ht="14.25" hidden="false" customHeight="false" outlineLevel="0" collapsed="false">
      <c r="A1373" s="13" t="s">
        <v>878</v>
      </c>
      <c r="B1373" s="13" t="s">
        <v>504</v>
      </c>
      <c r="C1373" s="13" t="s">
        <v>1436</v>
      </c>
      <c r="D1373" s="61" t="n">
        <v>45984.2737847222</v>
      </c>
      <c r="E1373" s="61" t="n">
        <v>45984.2737847222</v>
      </c>
      <c r="F1373" s="61" t="n">
        <v>45984.3315972222</v>
      </c>
      <c r="G1373" s="62" t="n">
        <v>0.0578124999956344</v>
      </c>
      <c r="H1373" s="13" t="s">
        <v>248</v>
      </c>
      <c r="J1373" s="13" t="s">
        <v>249</v>
      </c>
      <c r="K1373" s="13" t="s">
        <v>439</v>
      </c>
      <c r="L1373" s="13" t="s">
        <v>1251</v>
      </c>
      <c r="M1373" s="66" t="s">
        <v>251</v>
      </c>
      <c r="N1373" s="66" t="s">
        <v>625</v>
      </c>
      <c r="P1373" s="0" t="s">
        <v>2486</v>
      </c>
      <c r="Q1373" s="66" t="s">
        <v>1253</v>
      </c>
    </row>
    <row r="1374" customFormat="false" ht="14.25" hidden="false" customHeight="false" outlineLevel="0" collapsed="false">
      <c r="A1374" s="13" t="s">
        <v>878</v>
      </c>
      <c r="B1374" s="13" t="s">
        <v>504</v>
      </c>
      <c r="C1374" s="13" t="s">
        <v>1563</v>
      </c>
      <c r="D1374" s="61" t="n">
        <v>45984.2738194445</v>
      </c>
      <c r="E1374" s="61" t="n">
        <v>45984.2738194445</v>
      </c>
      <c r="F1374" s="61" t="n">
        <v>45984.3315972222</v>
      </c>
      <c r="G1374" s="62" t="n">
        <v>0.0577777777725714</v>
      </c>
      <c r="H1374" s="13" t="s">
        <v>248</v>
      </c>
      <c r="J1374" s="13" t="s">
        <v>249</v>
      </c>
      <c r="K1374" s="13" t="s">
        <v>439</v>
      </c>
      <c r="L1374" s="13" t="s">
        <v>1251</v>
      </c>
      <c r="M1374" s="66" t="s">
        <v>251</v>
      </c>
      <c r="N1374" s="66" t="s">
        <v>625</v>
      </c>
      <c r="P1374" s="0" t="s">
        <v>2487</v>
      </c>
      <c r="Q1374" s="66" t="s">
        <v>1253</v>
      </c>
    </row>
    <row r="1375" customFormat="false" ht="14.25" hidden="false" customHeight="false" outlineLevel="0" collapsed="false">
      <c r="A1375" s="13" t="s">
        <v>878</v>
      </c>
      <c r="B1375" s="13" t="s">
        <v>504</v>
      </c>
      <c r="C1375" s="13" t="s">
        <v>1334</v>
      </c>
      <c r="D1375" s="61" t="n">
        <v>45984.2738310185</v>
      </c>
      <c r="E1375" s="61" t="n">
        <v>45984.2738310185</v>
      </c>
      <c r="F1375" s="61" t="n">
        <v>45984.3315972222</v>
      </c>
      <c r="G1375" s="62" t="n">
        <v>0.0577662037030677</v>
      </c>
      <c r="H1375" s="13" t="s">
        <v>248</v>
      </c>
      <c r="J1375" s="13" t="s">
        <v>249</v>
      </c>
      <c r="K1375" s="13" t="s">
        <v>439</v>
      </c>
      <c r="L1375" s="13" t="s">
        <v>1251</v>
      </c>
      <c r="M1375" s="66" t="s">
        <v>251</v>
      </c>
      <c r="N1375" s="66" t="s">
        <v>625</v>
      </c>
      <c r="P1375" s="0" t="s">
        <v>2488</v>
      </c>
      <c r="Q1375" s="66" t="s">
        <v>1253</v>
      </c>
    </row>
    <row r="1376" customFormat="false" ht="14.25" hidden="false" customHeight="false" outlineLevel="0" collapsed="false">
      <c r="A1376" s="13" t="s">
        <v>878</v>
      </c>
      <c r="B1376" s="13" t="s">
        <v>504</v>
      </c>
      <c r="C1376" s="13" t="s">
        <v>1565</v>
      </c>
      <c r="D1376" s="61" t="n">
        <v>45984.273900463</v>
      </c>
      <c r="E1376" s="61" t="n">
        <v>45984.273900463</v>
      </c>
      <c r="F1376" s="61" t="n">
        <v>45984.3315972222</v>
      </c>
      <c r="G1376" s="62" t="n">
        <v>0.0576967592569417</v>
      </c>
      <c r="H1376" s="13" t="s">
        <v>248</v>
      </c>
      <c r="J1376" s="13" t="s">
        <v>249</v>
      </c>
      <c r="K1376" s="13" t="s">
        <v>439</v>
      </c>
      <c r="L1376" s="13" t="s">
        <v>1251</v>
      </c>
      <c r="M1376" s="66" t="s">
        <v>251</v>
      </c>
      <c r="N1376" s="66" t="s">
        <v>625</v>
      </c>
      <c r="P1376" s="0" t="s">
        <v>2489</v>
      </c>
      <c r="Q1376" s="66" t="s">
        <v>1253</v>
      </c>
    </row>
    <row r="1377" customFormat="false" ht="14.25" hidden="false" customHeight="false" outlineLevel="0" collapsed="false">
      <c r="A1377" s="13" t="s">
        <v>878</v>
      </c>
      <c r="B1377" s="13" t="s">
        <v>504</v>
      </c>
      <c r="C1377" s="13" t="s">
        <v>1250</v>
      </c>
      <c r="D1377" s="61" t="n">
        <v>45984.3022453704</v>
      </c>
      <c r="E1377" s="61" t="n">
        <v>45984.3022453704</v>
      </c>
      <c r="F1377" s="61" t="n">
        <v>45984.3087384259</v>
      </c>
      <c r="G1377" s="62" t="n">
        <v>0.00649305555998581</v>
      </c>
      <c r="H1377" s="13" t="s">
        <v>248</v>
      </c>
      <c r="J1377" s="13" t="s">
        <v>249</v>
      </c>
      <c r="K1377" s="13" t="s">
        <v>439</v>
      </c>
      <c r="L1377" s="13" t="s">
        <v>1251</v>
      </c>
      <c r="M1377" s="66" t="s">
        <v>251</v>
      </c>
      <c r="N1377" s="66" t="s">
        <v>625</v>
      </c>
      <c r="P1377" s="0" t="s">
        <v>2490</v>
      </c>
      <c r="Q1377" s="66" t="s">
        <v>1253</v>
      </c>
    </row>
    <row r="1378" customFormat="false" ht="14.25" hidden="false" customHeight="false" outlineLevel="0" collapsed="false">
      <c r="A1378" s="13" t="s">
        <v>697</v>
      </c>
      <c r="B1378" s="13" t="s">
        <v>697</v>
      </c>
      <c r="C1378" s="13" t="s">
        <v>247</v>
      </c>
      <c r="D1378" s="61" t="n">
        <v>45985.1902777778</v>
      </c>
      <c r="E1378" s="61" t="n">
        <v>45985.1902777778</v>
      </c>
      <c r="F1378" s="61" t="n">
        <v>45985.3229166667</v>
      </c>
      <c r="G1378" s="62" t="n">
        <v>0.132638888884685</v>
      </c>
      <c r="H1378" s="13" t="s">
        <v>445</v>
      </c>
      <c r="I1378" s="13" t="s">
        <v>263</v>
      </c>
      <c r="J1378" s="13" t="s">
        <v>264</v>
      </c>
      <c r="K1378" s="13" t="s">
        <v>456</v>
      </c>
      <c r="L1378" s="13" t="s">
        <v>2491</v>
      </c>
      <c r="M1378" s="66" t="s">
        <v>266</v>
      </c>
      <c r="N1378" s="66" t="s">
        <v>252</v>
      </c>
      <c r="O1378" s="66" t="s">
        <v>2492</v>
      </c>
      <c r="P1378" s="0" t="s">
        <v>2493</v>
      </c>
      <c r="Q1378" s="66" t="s">
        <v>1430</v>
      </c>
    </row>
    <row r="1379" customFormat="false" ht="14.25" hidden="false" customHeight="false" outlineLevel="0" collapsed="false">
      <c r="A1379" s="13" t="s">
        <v>697</v>
      </c>
      <c r="B1379" s="13" t="s">
        <v>697</v>
      </c>
      <c r="C1379" s="13" t="s">
        <v>277</v>
      </c>
      <c r="D1379" s="61" t="n">
        <v>45985.1902777778</v>
      </c>
      <c r="E1379" s="61" t="n">
        <v>45985.1902777778</v>
      </c>
      <c r="F1379" s="61" t="n">
        <v>45985.3229166667</v>
      </c>
      <c r="G1379" s="62" t="n">
        <v>0.132638888884685</v>
      </c>
      <c r="H1379" s="13" t="s">
        <v>445</v>
      </c>
      <c r="I1379" s="13" t="s">
        <v>263</v>
      </c>
      <c r="J1379" s="13" t="s">
        <v>264</v>
      </c>
      <c r="K1379" s="13" t="s">
        <v>456</v>
      </c>
      <c r="L1379" s="13" t="s">
        <v>2491</v>
      </c>
      <c r="M1379" s="66" t="s">
        <v>266</v>
      </c>
      <c r="N1379" s="66" t="s">
        <v>252</v>
      </c>
      <c r="O1379" s="66" t="s">
        <v>2492</v>
      </c>
      <c r="P1379" s="0" t="s">
        <v>2494</v>
      </c>
      <c r="Q1379" s="66" t="s">
        <v>1430</v>
      </c>
    </row>
    <row r="1380" customFormat="false" ht="14.25" hidden="false" customHeight="false" outlineLevel="0" collapsed="false">
      <c r="A1380" s="13" t="s">
        <v>697</v>
      </c>
      <c r="B1380" s="13" t="s">
        <v>697</v>
      </c>
      <c r="C1380" s="13" t="s">
        <v>279</v>
      </c>
      <c r="D1380" s="61" t="n">
        <v>45985.1902777778</v>
      </c>
      <c r="E1380" s="61" t="n">
        <v>45985.1902777778</v>
      </c>
      <c r="F1380" s="61" t="n">
        <v>45985.3229166667</v>
      </c>
      <c r="G1380" s="62" t="n">
        <v>0.132638888884685</v>
      </c>
      <c r="H1380" s="13" t="s">
        <v>445</v>
      </c>
      <c r="I1380" s="13" t="s">
        <v>263</v>
      </c>
      <c r="J1380" s="13" t="s">
        <v>264</v>
      </c>
      <c r="K1380" s="13" t="s">
        <v>456</v>
      </c>
      <c r="L1380" s="13" t="s">
        <v>2491</v>
      </c>
      <c r="M1380" s="66" t="s">
        <v>266</v>
      </c>
      <c r="N1380" s="66" t="s">
        <v>252</v>
      </c>
      <c r="O1380" s="66" t="s">
        <v>2492</v>
      </c>
      <c r="P1380" s="0" t="s">
        <v>2495</v>
      </c>
      <c r="Q1380" s="66" t="s">
        <v>1430</v>
      </c>
    </row>
    <row r="1381" customFormat="false" ht="14.25" hidden="false" customHeight="false" outlineLevel="0" collapsed="false">
      <c r="A1381" s="13" t="s">
        <v>697</v>
      </c>
      <c r="B1381" s="13" t="s">
        <v>697</v>
      </c>
      <c r="C1381" s="13" t="s">
        <v>280</v>
      </c>
      <c r="D1381" s="61" t="n">
        <v>45985.1902777778</v>
      </c>
      <c r="E1381" s="61" t="n">
        <v>45985.1902777778</v>
      </c>
      <c r="F1381" s="61" t="n">
        <v>45985.3229166667</v>
      </c>
      <c r="G1381" s="62" t="n">
        <v>0.132638888884685</v>
      </c>
      <c r="H1381" s="13" t="s">
        <v>445</v>
      </c>
      <c r="I1381" s="13" t="s">
        <v>263</v>
      </c>
      <c r="J1381" s="13" t="s">
        <v>264</v>
      </c>
      <c r="K1381" s="13" t="s">
        <v>456</v>
      </c>
      <c r="L1381" s="13" t="s">
        <v>2491</v>
      </c>
      <c r="M1381" s="66" t="s">
        <v>266</v>
      </c>
      <c r="N1381" s="66" t="s">
        <v>252</v>
      </c>
      <c r="O1381" s="66" t="s">
        <v>2492</v>
      </c>
      <c r="P1381" s="0" t="s">
        <v>2496</v>
      </c>
      <c r="Q1381" s="66" t="s">
        <v>1430</v>
      </c>
    </row>
    <row r="1382" customFormat="false" ht="14.25" hidden="false" customHeight="false" outlineLevel="0" collapsed="false">
      <c r="A1382" s="13" t="s">
        <v>896</v>
      </c>
      <c r="B1382" s="13" t="s">
        <v>650</v>
      </c>
      <c r="C1382" s="13" t="s">
        <v>651</v>
      </c>
      <c r="D1382" s="61" t="n">
        <v>45985.2097222222</v>
      </c>
      <c r="E1382" s="61" t="n">
        <v>45985.2097222222</v>
      </c>
      <c r="F1382" s="61" t="n">
        <v>45985.2222222222</v>
      </c>
      <c r="G1382" s="62" t="n">
        <v>0.0124999999970896</v>
      </c>
      <c r="H1382" s="13" t="s">
        <v>248</v>
      </c>
      <c r="J1382" s="13" t="s">
        <v>256</v>
      </c>
      <c r="K1382" s="13" t="s">
        <v>430</v>
      </c>
      <c r="L1382" s="13" t="s">
        <v>1000</v>
      </c>
      <c r="M1382" s="66" t="s">
        <v>258</v>
      </c>
      <c r="N1382" s="66" t="s">
        <v>379</v>
      </c>
      <c r="O1382" s="66" t="s">
        <v>399</v>
      </c>
      <c r="P1382" s="0" t="s">
        <v>2497</v>
      </c>
      <c r="Q1382" s="66" t="s">
        <v>995</v>
      </c>
    </row>
    <row r="1383" customFormat="false" ht="14.25" hidden="false" customHeight="false" outlineLevel="0" collapsed="false">
      <c r="A1383" s="13" t="s">
        <v>896</v>
      </c>
      <c r="B1383" s="13" t="s">
        <v>650</v>
      </c>
      <c r="C1383" s="13" t="s">
        <v>653</v>
      </c>
      <c r="D1383" s="61" t="n">
        <v>45985.2097222222</v>
      </c>
      <c r="E1383" s="61" t="n">
        <v>45985.2097222222</v>
      </c>
      <c r="F1383" s="61" t="n">
        <v>45985.2222222222</v>
      </c>
      <c r="G1383" s="62" t="n">
        <v>0.0124999999970896</v>
      </c>
      <c r="H1383" s="13" t="s">
        <v>248</v>
      </c>
      <c r="J1383" s="13" t="s">
        <v>256</v>
      </c>
      <c r="K1383" s="13" t="s">
        <v>430</v>
      </c>
      <c r="L1383" s="13" t="s">
        <v>1000</v>
      </c>
      <c r="M1383" s="66" t="s">
        <v>258</v>
      </c>
      <c r="N1383" s="66" t="s">
        <v>379</v>
      </c>
      <c r="O1383" s="66" t="s">
        <v>399</v>
      </c>
      <c r="P1383" s="0" t="s">
        <v>2498</v>
      </c>
      <c r="Q1383" s="66" t="s">
        <v>995</v>
      </c>
    </row>
    <row r="1384" customFormat="false" ht="14.25" hidden="false" customHeight="false" outlineLevel="0" collapsed="false">
      <c r="A1384" s="13" t="s">
        <v>896</v>
      </c>
      <c r="B1384" s="13" t="s">
        <v>650</v>
      </c>
      <c r="C1384" s="13" t="s">
        <v>654</v>
      </c>
      <c r="D1384" s="61" t="n">
        <v>45985.2097222222</v>
      </c>
      <c r="E1384" s="61" t="n">
        <v>45985.2097222222</v>
      </c>
      <c r="F1384" s="61" t="n">
        <v>45985.2222222222</v>
      </c>
      <c r="G1384" s="62" t="n">
        <v>0.0124999999970896</v>
      </c>
      <c r="H1384" s="13" t="s">
        <v>248</v>
      </c>
      <c r="J1384" s="13" t="s">
        <v>256</v>
      </c>
      <c r="K1384" s="13" t="s">
        <v>430</v>
      </c>
      <c r="L1384" s="13" t="s">
        <v>1000</v>
      </c>
      <c r="M1384" s="66" t="s">
        <v>258</v>
      </c>
      <c r="N1384" s="66" t="s">
        <v>379</v>
      </c>
      <c r="O1384" s="66" t="s">
        <v>399</v>
      </c>
      <c r="P1384" s="0" t="s">
        <v>2499</v>
      </c>
      <c r="Q1384" s="66" t="s">
        <v>995</v>
      </c>
    </row>
    <row r="1385" customFormat="false" ht="14.25" hidden="false" customHeight="false" outlineLevel="0" collapsed="false">
      <c r="A1385" s="13" t="s">
        <v>896</v>
      </c>
      <c r="B1385" s="13" t="s">
        <v>650</v>
      </c>
      <c r="C1385" s="13" t="s">
        <v>655</v>
      </c>
      <c r="D1385" s="61" t="n">
        <v>45985.2097222222</v>
      </c>
      <c r="E1385" s="61" t="n">
        <v>45985.2097222222</v>
      </c>
      <c r="F1385" s="61" t="n">
        <v>45985.2222222222</v>
      </c>
      <c r="G1385" s="62" t="n">
        <v>0.0124999999970896</v>
      </c>
      <c r="H1385" s="13" t="s">
        <v>248</v>
      </c>
      <c r="J1385" s="13" t="s">
        <v>256</v>
      </c>
      <c r="K1385" s="13" t="s">
        <v>430</v>
      </c>
      <c r="L1385" s="13" t="s">
        <v>1000</v>
      </c>
      <c r="M1385" s="66" t="s">
        <v>258</v>
      </c>
      <c r="N1385" s="66" t="s">
        <v>379</v>
      </c>
      <c r="O1385" s="66" t="s">
        <v>399</v>
      </c>
      <c r="P1385" s="0" t="s">
        <v>2500</v>
      </c>
      <c r="Q1385" s="66" t="s">
        <v>995</v>
      </c>
    </row>
    <row r="1386" customFormat="false" ht="14.25" hidden="false" customHeight="false" outlineLevel="0" collapsed="false">
      <c r="A1386" s="13" t="s">
        <v>896</v>
      </c>
      <c r="B1386" s="13" t="s">
        <v>650</v>
      </c>
      <c r="C1386" s="13" t="s">
        <v>656</v>
      </c>
      <c r="D1386" s="61" t="n">
        <v>45985.2097222222</v>
      </c>
      <c r="E1386" s="61" t="n">
        <v>45985.2097222222</v>
      </c>
      <c r="F1386" s="61" t="n">
        <v>45985.2222222222</v>
      </c>
      <c r="G1386" s="62" t="n">
        <v>0.0124999999970896</v>
      </c>
      <c r="H1386" s="13" t="s">
        <v>248</v>
      </c>
      <c r="J1386" s="13" t="s">
        <v>256</v>
      </c>
      <c r="K1386" s="13" t="s">
        <v>430</v>
      </c>
      <c r="L1386" s="13" t="s">
        <v>1000</v>
      </c>
      <c r="M1386" s="66" t="s">
        <v>258</v>
      </c>
      <c r="N1386" s="66" t="s">
        <v>379</v>
      </c>
      <c r="O1386" s="66" t="s">
        <v>399</v>
      </c>
      <c r="P1386" s="0" t="s">
        <v>2501</v>
      </c>
      <c r="Q1386" s="66" t="s">
        <v>995</v>
      </c>
    </row>
    <row r="1387" customFormat="false" ht="14.25" hidden="false" customHeight="false" outlineLevel="0" collapsed="false">
      <c r="A1387" s="13" t="s">
        <v>896</v>
      </c>
      <c r="B1387" s="13" t="s">
        <v>650</v>
      </c>
      <c r="C1387" s="13" t="s">
        <v>657</v>
      </c>
      <c r="D1387" s="61" t="n">
        <v>45985.2097222222</v>
      </c>
      <c r="E1387" s="61" t="n">
        <v>45985.2097222222</v>
      </c>
      <c r="F1387" s="61" t="n">
        <v>45985.2222222222</v>
      </c>
      <c r="G1387" s="62" t="n">
        <v>0.0124999999970896</v>
      </c>
      <c r="H1387" s="13" t="s">
        <v>248</v>
      </c>
      <c r="J1387" s="13" t="s">
        <v>256</v>
      </c>
      <c r="K1387" s="13" t="s">
        <v>430</v>
      </c>
      <c r="L1387" s="13" t="s">
        <v>1000</v>
      </c>
      <c r="M1387" s="66" t="s">
        <v>258</v>
      </c>
      <c r="N1387" s="66" t="s">
        <v>379</v>
      </c>
      <c r="O1387" s="66" t="s">
        <v>399</v>
      </c>
      <c r="P1387" s="0" t="s">
        <v>2502</v>
      </c>
      <c r="Q1387" s="66" t="s">
        <v>995</v>
      </c>
    </row>
    <row r="1388" customFormat="false" ht="14.25" hidden="false" customHeight="false" outlineLevel="0" collapsed="false">
      <c r="A1388" s="13" t="s">
        <v>896</v>
      </c>
      <c r="B1388" s="13" t="s">
        <v>650</v>
      </c>
      <c r="C1388" s="13" t="s">
        <v>658</v>
      </c>
      <c r="D1388" s="61" t="n">
        <v>45985.2097222222</v>
      </c>
      <c r="E1388" s="61" t="n">
        <v>45985.2097222222</v>
      </c>
      <c r="F1388" s="61" t="n">
        <v>45985.2222222222</v>
      </c>
      <c r="G1388" s="62" t="n">
        <v>0.0124999999970896</v>
      </c>
      <c r="H1388" s="13" t="s">
        <v>248</v>
      </c>
      <c r="J1388" s="13" t="s">
        <v>256</v>
      </c>
      <c r="K1388" s="13" t="s">
        <v>430</v>
      </c>
      <c r="L1388" s="13" t="s">
        <v>1000</v>
      </c>
      <c r="M1388" s="66" t="s">
        <v>258</v>
      </c>
      <c r="N1388" s="66" t="s">
        <v>379</v>
      </c>
      <c r="O1388" s="66" t="s">
        <v>399</v>
      </c>
      <c r="P1388" s="0" t="s">
        <v>2503</v>
      </c>
      <c r="Q1388" s="66" t="s">
        <v>995</v>
      </c>
    </row>
    <row r="1389" customFormat="false" ht="14.25" hidden="false" customHeight="false" outlineLevel="0" collapsed="false">
      <c r="A1389" s="13" t="s">
        <v>896</v>
      </c>
      <c r="B1389" s="13" t="s">
        <v>650</v>
      </c>
      <c r="C1389" s="13" t="s">
        <v>659</v>
      </c>
      <c r="D1389" s="61" t="n">
        <v>45985.2097222222</v>
      </c>
      <c r="E1389" s="61" t="n">
        <v>45985.2097222222</v>
      </c>
      <c r="F1389" s="61" t="n">
        <v>45985.2222222222</v>
      </c>
      <c r="G1389" s="62" t="n">
        <v>0.0124999999970896</v>
      </c>
      <c r="H1389" s="13" t="s">
        <v>248</v>
      </c>
      <c r="J1389" s="13" t="s">
        <v>256</v>
      </c>
      <c r="K1389" s="13" t="s">
        <v>430</v>
      </c>
      <c r="L1389" s="13" t="s">
        <v>1000</v>
      </c>
      <c r="M1389" s="66" t="s">
        <v>258</v>
      </c>
      <c r="N1389" s="66" t="s">
        <v>379</v>
      </c>
      <c r="O1389" s="66" t="s">
        <v>399</v>
      </c>
      <c r="P1389" s="0" t="s">
        <v>2504</v>
      </c>
      <c r="Q1389" s="66" t="s">
        <v>995</v>
      </c>
    </row>
    <row r="1390" customFormat="false" ht="14.25" hidden="false" customHeight="false" outlineLevel="0" collapsed="false">
      <c r="A1390" s="13" t="s">
        <v>896</v>
      </c>
      <c r="B1390" s="13" t="s">
        <v>650</v>
      </c>
      <c r="C1390" s="13" t="s">
        <v>660</v>
      </c>
      <c r="D1390" s="61" t="n">
        <v>45985.2097222222</v>
      </c>
      <c r="E1390" s="61" t="n">
        <v>45985.2097222222</v>
      </c>
      <c r="F1390" s="61" t="n">
        <v>45985.2222222222</v>
      </c>
      <c r="G1390" s="62" t="n">
        <v>0.0124999999970896</v>
      </c>
      <c r="H1390" s="13" t="s">
        <v>248</v>
      </c>
      <c r="J1390" s="13" t="s">
        <v>256</v>
      </c>
      <c r="K1390" s="13" t="s">
        <v>430</v>
      </c>
      <c r="L1390" s="13" t="s">
        <v>1000</v>
      </c>
      <c r="M1390" s="66" t="s">
        <v>258</v>
      </c>
      <c r="N1390" s="66" t="s">
        <v>379</v>
      </c>
      <c r="O1390" s="66" t="s">
        <v>399</v>
      </c>
      <c r="P1390" s="0" t="s">
        <v>2505</v>
      </c>
      <c r="Q1390" s="66" t="s">
        <v>995</v>
      </c>
    </row>
    <row r="1391" customFormat="false" ht="14.25" hidden="false" customHeight="false" outlineLevel="0" collapsed="false">
      <c r="A1391" s="13" t="s">
        <v>896</v>
      </c>
      <c r="B1391" s="13" t="s">
        <v>650</v>
      </c>
      <c r="C1391" s="13" t="s">
        <v>661</v>
      </c>
      <c r="D1391" s="61" t="n">
        <v>45985.2097222222</v>
      </c>
      <c r="E1391" s="61" t="n">
        <v>45985.2097222222</v>
      </c>
      <c r="F1391" s="61" t="n">
        <v>45985.2222222222</v>
      </c>
      <c r="G1391" s="62" t="n">
        <v>0.0124999999970896</v>
      </c>
      <c r="H1391" s="13" t="s">
        <v>248</v>
      </c>
      <c r="J1391" s="13" t="s">
        <v>256</v>
      </c>
      <c r="K1391" s="13" t="s">
        <v>430</v>
      </c>
      <c r="L1391" s="13" t="s">
        <v>1000</v>
      </c>
      <c r="M1391" s="66" t="s">
        <v>258</v>
      </c>
      <c r="N1391" s="66" t="s">
        <v>379</v>
      </c>
      <c r="O1391" s="66" t="s">
        <v>399</v>
      </c>
      <c r="P1391" s="0" t="s">
        <v>2506</v>
      </c>
      <c r="Q1391" s="66" t="s">
        <v>995</v>
      </c>
    </row>
    <row r="1392" customFormat="false" ht="14.25" hidden="false" customHeight="false" outlineLevel="0" collapsed="false">
      <c r="A1392" s="13" t="s">
        <v>896</v>
      </c>
      <c r="B1392" s="13" t="s">
        <v>650</v>
      </c>
      <c r="C1392" s="13" t="s">
        <v>662</v>
      </c>
      <c r="D1392" s="61" t="n">
        <v>45985.2097222222</v>
      </c>
      <c r="E1392" s="61" t="n">
        <v>45985.2097222222</v>
      </c>
      <c r="F1392" s="61" t="n">
        <v>45985.2222222222</v>
      </c>
      <c r="G1392" s="62" t="n">
        <v>0.0124999999970896</v>
      </c>
      <c r="H1392" s="13" t="s">
        <v>248</v>
      </c>
      <c r="J1392" s="13" t="s">
        <v>256</v>
      </c>
      <c r="K1392" s="13" t="s">
        <v>430</v>
      </c>
      <c r="L1392" s="13" t="s">
        <v>1000</v>
      </c>
      <c r="M1392" s="66" t="s">
        <v>258</v>
      </c>
      <c r="N1392" s="66" t="s">
        <v>379</v>
      </c>
      <c r="O1392" s="66" t="s">
        <v>399</v>
      </c>
      <c r="P1392" s="0" t="s">
        <v>2507</v>
      </c>
      <c r="Q1392" s="66" t="s">
        <v>995</v>
      </c>
    </row>
    <row r="1393" customFormat="false" ht="14.25" hidden="false" customHeight="false" outlineLevel="0" collapsed="false">
      <c r="A1393" s="13" t="s">
        <v>896</v>
      </c>
      <c r="B1393" s="13" t="s">
        <v>650</v>
      </c>
      <c r="C1393" s="13" t="s">
        <v>663</v>
      </c>
      <c r="D1393" s="61" t="n">
        <v>45985.2097222222</v>
      </c>
      <c r="E1393" s="61" t="n">
        <v>45985.2097222222</v>
      </c>
      <c r="F1393" s="61" t="n">
        <v>45985.2222222222</v>
      </c>
      <c r="G1393" s="62" t="n">
        <v>0.0124999999970896</v>
      </c>
      <c r="H1393" s="13" t="s">
        <v>248</v>
      </c>
      <c r="J1393" s="13" t="s">
        <v>256</v>
      </c>
      <c r="K1393" s="13" t="s">
        <v>430</v>
      </c>
      <c r="L1393" s="13" t="s">
        <v>1000</v>
      </c>
      <c r="M1393" s="66" t="s">
        <v>258</v>
      </c>
      <c r="N1393" s="66" t="s">
        <v>379</v>
      </c>
      <c r="O1393" s="66" t="s">
        <v>399</v>
      </c>
      <c r="P1393" s="0" t="s">
        <v>2508</v>
      </c>
      <c r="Q1393" s="66" t="s">
        <v>995</v>
      </c>
    </row>
    <row r="1394" customFormat="false" ht="14.25" hidden="false" customHeight="false" outlineLevel="0" collapsed="false">
      <c r="A1394" s="13" t="s">
        <v>896</v>
      </c>
      <c r="B1394" s="13" t="s">
        <v>650</v>
      </c>
      <c r="C1394" s="13" t="s">
        <v>664</v>
      </c>
      <c r="D1394" s="61" t="n">
        <v>45985.2097222222</v>
      </c>
      <c r="E1394" s="61" t="n">
        <v>45985.2097222222</v>
      </c>
      <c r="F1394" s="61" t="n">
        <v>45985.2222222222</v>
      </c>
      <c r="G1394" s="62" t="n">
        <v>0.0124999999970896</v>
      </c>
      <c r="H1394" s="13" t="s">
        <v>248</v>
      </c>
      <c r="J1394" s="13" t="s">
        <v>256</v>
      </c>
      <c r="K1394" s="13" t="s">
        <v>430</v>
      </c>
      <c r="L1394" s="13" t="s">
        <v>1000</v>
      </c>
      <c r="M1394" s="66" t="s">
        <v>258</v>
      </c>
      <c r="N1394" s="66" t="s">
        <v>379</v>
      </c>
      <c r="O1394" s="66" t="s">
        <v>399</v>
      </c>
      <c r="P1394" s="0" t="s">
        <v>2509</v>
      </c>
      <c r="Q1394" s="66" t="s">
        <v>995</v>
      </c>
    </row>
    <row r="1395" customFormat="false" ht="14.25" hidden="false" customHeight="false" outlineLevel="0" collapsed="false">
      <c r="A1395" s="13" t="s">
        <v>896</v>
      </c>
      <c r="B1395" s="13" t="s">
        <v>650</v>
      </c>
      <c r="C1395" s="13" t="s">
        <v>665</v>
      </c>
      <c r="D1395" s="61" t="n">
        <v>45985.2097222222</v>
      </c>
      <c r="E1395" s="61" t="n">
        <v>45985.2097222222</v>
      </c>
      <c r="F1395" s="61" t="n">
        <v>45985.2222222222</v>
      </c>
      <c r="G1395" s="62" t="n">
        <v>0.0124999999970896</v>
      </c>
      <c r="H1395" s="13" t="s">
        <v>248</v>
      </c>
      <c r="J1395" s="13" t="s">
        <v>256</v>
      </c>
      <c r="K1395" s="13" t="s">
        <v>430</v>
      </c>
      <c r="L1395" s="13" t="s">
        <v>1000</v>
      </c>
      <c r="M1395" s="66" t="s">
        <v>258</v>
      </c>
      <c r="N1395" s="66" t="s">
        <v>379</v>
      </c>
      <c r="O1395" s="66" t="s">
        <v>399</v>
      </c>
      <c r="P1395" s="0" t="s">
        <v>2510</v>
      </c>
      <c r="Q1395" s="66" t="s">
        <v>995</v>
      </c>
    </row>
    <row r="1396" customFormat="false" ht="14.25" hidden="false" customHeight="false" outlineLevel="0" collapsed="false">
      <c r="A1396" s="13" t="s">
        <v>896</v>
      </c>
      <c r="B1396" s="13" t="s">
        <v>650</v>
      </c>
      <c r="C1396" s="13" t="s">
        <v>666</v>
      </c>
      <c r="D1396" s="61" t="n">
        <v>45985.2097222222</v>
      </c>
      <c r="E1396" s="61" t="n">
        <v>45985.2097222222</v>
      </c>
      <c r="F1396" s="61" t="n">
        <v>45985.2222222222</v>
      </c>
      <c r="G1396" s="62" t="n">
        <v>0.0124999999970896</v>
      </c>
      <c r="H1396" s="13" t="s">
        <v>248</v>
      </c>
      <c r="J1396" s="13" t="s">
        <v>256</v>
      </c>
      <c r="K1396" s="13" t="s">
        <v>430</v>
      </c>
      <c r="L1396" s="13" t="s">
        <v>1000</v>
      </c>
      <c r="M1396" s="66" t="s">
        <v>258</v>
      </c>
      <c r="N1396" s="66" t="s">
        <v>379</v>
      </c>
      <c r="O1396" s="66" t="s">
        <v>399</v>
      </c>
      <c r="P1396" s="0" t="s">
        <v>2511</v>
      </c>
      <c r="Q1396" s="66" t="s">
        <v>995</v>
      </c>
    </row>
    <row r="1397" customFormat="false" ht="14.25" hidden="false" customHeight="false" outlineLevel="0" collapsed="false">
      <c r="A1397" s="13" t="s">
        <v>896</v>
      </c>
      <c r="B1397" s="13" t="s">
        <v>650</v>
      </c>
      <c r="C1397" s="13" t="s">
        <v>667</v>
      </c>
      <c r="D1397" s="61" t="n">
        <v>45985.2097222222</v>
      </c>
      <c r="E1397" s="61" t="n">
        <v>45985.2097222222</v>
      </c>
      <c r="F1397" s="61" t="n">
        <v>45985.2222222222</v>
      </c>
      <c r="G1397" s="62" t="n">
        <v>0.0124999999970896</v>
      </c>
      <c r="H1397" s="13" t="s">
        <v>248</v>
      </c>
      <c r="J1397" s="13" t="s">
        <v>256</v>
      </c>
      <c r="K1397" s="13" t="s">
        <v>430</v>
      </c>
      <c r="L1397" s="13" t="s">
        <v>1000</v>
      </c>
      <c r="M1397" s="66" t="s">
        <v>258</v>
      </c>
      <c r="N1397" s="66" t="s">
        <v>379</v>
      </c>
      <c r="O1397" s="66" t="s">
        <v>399</v>
      </c>
      <c r="P1397" s="0" t="s">
        <v>2512</v>
      </c>
      <c r="Q1397" s="66" t="s">
        <v>995</v>
      </c>
    </row>
    <row r="1398" customFormat="false" ht="14.25" hidden="false" customHeight="false" outlineLevel="0" collapsed="false">
      <c r="A1398" s="13" t="s">
        <v>896</v>
      </c>
      <c r="B1398" s="13" t="s">
        <v>650</v>
      </c>
      <c r="C1398" s="13" t="s">
        <v>668</v>
      </c>
      <c r="D1398" s="61" t="n">
        <v>45985.2097222222</v>
      </c>
      <c r="E1398" s="61" t="n">
        <v>45985.2097222222</v>
      </c>
      <c r="F1398" s="61" t="n">
        <v>45985.2222222222</v>
      </c>
      <c r="G1398" s="62" t="n">
        <v>0.0124999999970896</v>
      </c>
      <c r="H1398" s="13" t="s">
        <v>248</v>
      </c>
      <c r="J1398" s="13" t="s">
        <v>256</v>
      </c>
      <c r="K1398" s="13" t="s">
        <v>430</v>
      </c>
      <c r="L1398" s="13" t="s">
        <v>1000</v>
      </c>
      <c r="M1398" s="66" t="s">
        <v>258</v>
      </c>
      <c r="N1398" s="66" t="s">
        <v>379</v>
      </c>
      <c r="O1398" s="66" t="s">
        <v>399</v>
      </c>
      <c r="P1398" s="0" t="s">
        <v>2513</v>
      </c>
      <c r="Q1398" s="66" t="s">
        <v>995</v>
      </c>
    </row>
    <row r="1399" customFormat="false" ht="14.25" hidden="false" customHeight="false" outlineLevel="0" collapsed="false">
      <c r="A1399" s="13" t="s">
        <v>878</v>
      </c>
      <c r="B1399" s="13" t="s">
        <v>504</v>
      </c>
      <c r="C1399" s="13" t="s">
        <v>1250</v>
      </c>
      <c r="D1399" s="61" t="n">
        <v>45985.2556481482</v>
      </c>
      <c r="E1399" s="61" t="n">
        <v>45985.2556481482</v>
      </c>
      <c r="F1399" s="61" t="n">
        <v>45985.2628472222</v>
      </c>
      <c r="G1399" s="62" t="n">
        <v>0.00719907406892162</v>
      </c>
      <c r="H1399" s="13" t="s">
        <v>248</v>
      </c>
      <c r="J1399" s="13" t="s">
        <v>249</v>
      </c>
      <c r="K1399" s="13" t="s">
        <v>439</v>
      </c>
      <c r="L1399" s="13" t="s">
        <v>1251</v>
      </c>
      <c r="M1399" s="66" t="s">
        <v>251</v>
      </c>
      <c r="N1399" s="66" t="s">
        <v>625</v>
      </c>
      <c r="P1399" s="0" t="s">
        <v>2514</v>
      </c>
      <c r="Q1399" s="66" t="s">
        <v>1253</v>
      </c>
    </row>
    <row r="1400" customFormat="false" ht="14.25" hidden="false" customHeight="false" outlineLevel="0" collapsed="false">
      <c r="A1400" s="13" t="s">
        <v>254</v>
      </c>
      <c r="B1400" s="13" t="s">
        <v>254</v>
      </c>
      <c r="C1400" s="13" t="s">
        <v>255</v>
      </c>
      <c r="D1400" s="61" t="n">
        <v>45985.3555555556</v>
      </c>
      <c r="E1400" s="61" t="n">
        <v>45985.3555555556</v>
      </c>
      <c r="F1400" s="61" t="n">
        <v>45985.3583333333</v>
      </c>
      <c r="G1400" s="62" t="n">
        <v>0.00277777777228039</v>
      </c>
      <c r="H1400" s="13" t="s">
        <v>248</v>
      </c>
      <c r="J1400" s="13" t="s">
        <v>256</v>
      </c>
      <c r="K1400" s="13" t="s">
        <v>430</v>
      </c>
      <c r="L1400" s="13" t="s">
        <v>881</v>
      </c>
      <c r="M1400" s="66" t="s">
        <v>258</v>
      </c>
      <c r="N1400" s="66" t="s">
        <v>379</v>
      </c>
      <c r="O1400" s="66" t="s">
        <v>399</v>
      </c>
      <c r="P1400" s="0" t="s">
        <v>2515</v>
      </c>
      <c r="Q1400" s="66" t="s">
        <v>995</v>
      </c>
    </row>
    <row r="1401" customFormat="false" ht="14.25" hidden="false" customHeight="false" outlineLevel="0" collapsed="false">
      <c r="A1401" s="13" t="s">
        <v>307</v>
      </c>
      <c r="B1401" s="13" t="s">
        <v>307</v>
      </c>
      <c r="C1401" s="13" t="s">
        <v>255</v>
      </c>
      <c r="D1401" s="61" t="n">
        <v>45985.3555555556</v>
      </c>
      <c r="E1401" s="61" t="n">
        <v>45985.3555555556</v>
      </c>
      <c r="F1401" s="61" t="n">
        <v>45985.3583333333</v>
      </c>
      <c r="G1401" s="62" t="n">
        <v>0.00277777777228039</v>
      </c>
      <c r="H1401" s="13" t="s">
        <v>248</v>
      </c>
      <c r="J1401" s="13" t="s">
        <v>256</v>
      </c>
      <c r="K1401" s="13" t="s">
        <v>430</v>
      </c>
      <c r="L1401" s="13" t="s">
        <v>881</v>
      </c>
      <c r="M1401" s="66" t="s">
        <v>258</v>
      </c>
      <c r="N1401" s="66" t="s">
        <v>379</v>
      </c>
      <c r="O1401" s="66" t="s">
        <v>399</v>
      </c>
      <c r="P1401" s="0" t="s">
        <v>2516</v>
      </c>
      <c r="Q1401" s="66" t="s">
        <v>995</v>
      </c>
    </row>
    <row r="1402" customFormat="false" ht="14.25" hidden="false" customHeight="false" outlineLevel="0" collapsed="false">
      <c r="A1402" s="13" t="s">
        <v>308</v>
      </c>
      <c r="B1402" s="13" t="s">
        <v>308</v>
      </c>
      <c r="C1402" s="13" t="s">
        <v>255</v>
      </c>
      <c r="D1402" s="61" t="n">
        <v>45985.3555555556</v>
      </c>
      <c r="E1402" s="61" t="n">
        <v>45985.3555555556</v>
      </c>
      <c r="F1402" s="61" t="n">
        <v>45985.3583333333</v>
      </c>
      <c r="G1402" s="62" t="n">
        <v>0.00277777777228039</v>
      </c>
      <c r="H1402" s="13" t="s">
        <v>248</v>
      </c>
      <c r="J1402" s="13" t="s">
        <v>256</v>
      </c>
      <c r="K1402" s="13" t="s">
        <v>430</v>
      </c>
      <c r="L1402" s="13" t="s">
        <v>881</v>
      </c>
      <c r="M1402" s="66" t="s">
        <v>258</v>
      </c>
      <c r="N1402" s="66" t="s">
        <v>379</v>
      </c>
      <c r="O1402" s="66" t="s">
        <v>399</v>
      </c>
      <c r="P1402" s="0" t="s">
        <v>2517</v>
      </c>
      <c r="Q1402" s="66" t="s">
        <v>995</v>
      </c>
    </row>
    <row r="1403" customFormat="false" ht="14.25" hidden="false" customHeight="false" outlineLevel="0" collapsed="false">
      <c r="A1403" s="13" t="s">
        <v>309</v>
      </c>
      <c r="B1403" s="13" t="s">
        <v>309</v>
      </c>
      <c r="C1403" s="13" t="s">
        <v>255</v>
      </c>
      <c r="D1403" s="61" t="n">
        <v>45985.3555555556</v>
      </c>
      <c r="E1403" s="61" t="n">
        <v>45985.3555555556</v>
      </c>
      <c r="F1403" s="61" t="n">
        <v>45985.3583333333</v>
      </c>
      <c r="G1403" s="62" t="n">
        <v>0.00277777777228039</v>
      </c>
      <c r="H1403" s="13" t="s">
        <v>248</v>
      </c>
      <c r="J1403" s="13" t="s">
        <v>256</v>
      </c>
      <c r="K1403" s="13" t="s">
        <v>430</v>
      </c>
      <c r="L1403" s="13" t="s">
        <v>881</v>
      </c>
      <c r="M1403" s="66" t="s">
        <v>258</v>
      </c>
      <c r="N1403" s="66" t="s">
        <v>379</v>
      </c>
      <c r="O1403" s="66" t="s">
        <v>399</v>
      </c>
      <c r="P1403" s="0" t="s">
        <v>2518</v>
      </c>
      <c r="Q1403" s="66" t="s">
        <v>995</v>
      </c>
    </row>
    <row r="1404" customFormat="false" ht="14.25" hidden="false" customHeight="false" outlineLevel="0" collapsed="false">
      <c r="A1404" s="13" t="s">
        <v>310</v>
      </c>
      <c r="B1404" s="13" t="s">
        <v>310</v>
      </c>
      <c r="C1404" s="13" t="s">
        <v>255</v>
      </c>
      <c r="D1404" s="61" t="n">
        <v>45985.3555555556</v>
      </c>
      <c r="E1404" s="61" t="n">
        <v>45985.3555555556</v>
      </c>
      <c r="F1404" s="61" t="n">
        <v>45985.3583333333</v>
      </c>
      <c r="G1404" s="62" t="n">
        <v>0.00277777777228039</v>
      </c>
      <c r="H1404" s="13" t="s">
        <v>248</v>
      </c>
      <c r="J1404" s="13" t="s">
        <v>256</v>
      </c>
      <c r="K1404" s="13" t="s">
        <v>430</v>
      </c>
      <c r="L1404" s="13" t="s">
        <v>881</v>
      </c>
      <c r="M1404" s="66" t="s">
        <v>258</v>
      </c>
      <c r="N1404" s="66" t="s">
        <v>379</v>
      </c>
      <c r="O1404" s="66" t="s">
        <v>399</v>
      </c>
      <c r="P1404" s="0" t="s">
        <v>2519</v>
      </c>
      <c r="Q1404" s="66" t="s">
        <v>995</v>
      </c>
    </row>
    <row r="1405" customFormat="false" ht="14.25" hidden="false" customHeight="false" outlineLevel="0" collapsed="false">
      <c r="A1405" s="13" t="s">
        <v>1895</v>
      </c>
      <c r="B1405" s="13" t="s">
        <v>531</v>
      </c>
      <c r="C1405" s="13" t="s">
        <v>1896</v>
      </c>
      <c r="D1405" s="61" t="n">
        <v>45985.5902777778</v>
      </c>
      <c r="E1405" s="61" t="n">
        <v>45985.5902777778</v>
      </c>
      <c r="F1405" s="61" t="n">
        <v>45985.7222222222</v>
      </c>
      <c r="G1405" s="62" t="n">
        <v>0.131944444437977</v>
      </c>
      <c r="H1405" s="13" t="s">
        <v>445</v>
      </c>
      <c r="I1405" s="13" t="s">
        <v>263</v>
      </c>
      <c r="J1405" s="13" t="s">
        <v>264</v>
      </c>
      <c r="K1405" s="13" t="s">
        <v>456</v>
      </c>
      <c r="L1405" s="13" t="s">
        <v>2520</v>
      </c>
      <c r="M1405" s="66" t="s">
        <v>288</v>
      </c>
      <c r="N1405" s="66" t="s">
        <v>315</v>
      </c>
      <c r="O1405" s="66" t="s">
        <v>2521</v>
      </c>
      <c r="P1405" s="0" t="s">
        <v>2522</v>
      </c>
      <c r="Q1405" s="66" t="s">
        <v>1430</v>
      </c>
    </row>
    <row r="1406" customFormat="false" ht="14.25" hidden="false" customHeight="false" outlineLevel="0" collapsed="false">
      <c r="A1406" s="13" t="s">
        <v>1899</v>
      </c>
      <c r="B1406" s="13" t="s">
        <v>531</v>
      </c>
      <c r="C1406" s="13" t="s">
        <v>1900</v>
      </c>
      <c r="D1406" s="61" t="n">
        <v>45985.5902777778</v>
      </c>
      <c r="E1406" s="61" t="n">
        <v>45985.5902777778</v>
      </c>
      <c r="F1406" s="61" t="n">
        <v>45985.7222222222</v>
      </c>
      <c r="G1406" s="62" t="n">
        <v>0.131944444437977</v>
      </c>
      <c r="H1406" s="13" t="s">
        <v>445</v>
      </c>
      <c r="I1406" s="13" t="s">
        <v>263</v>
      </c>
      <c r="J1406" s="13" t="s">
        <v>264</v>
      </c>
      <c r="K1406" s="13" t="s">
        <v>456</v>
      </c>
      <c r="L1406" s="13" t="s">
        <v>2520</v>
      </c>
      <c r="M1406" s="66" t="s">
        <v>288</v>
      </c>
      <c r="N1406" s="66" t="s">
        <v>315</v>
      </c>
      <c r="O1406" s="66" t="s">
        <v>2521</v>
      </c>
      <c r="P1406" s="0" t="s">
        <v>2523</v>
      </c>
      <c r="Q1406" s="66" t="s">
        <v>1430</v>
      </c>
    </row>
    <row r="1407" customFormat="false" ht="14.25" hidden="false" customHeight="false" outlineLevel="0" collapsed="false">
      <c r="A1407" s="13" t="s">
        <v>1899</v>
      </c>
      <c r="B1407" s="13" t="s">
        <v>531</v>
      </c>
      <c r="C1407" s="13" t="s">
        <v>1902</v>
      </c>
      <c r="D1407" s="61" t="n">
        <v>45985.5902777778</v>
      </c>
      <c r="E1407" s="61" t="n">
        <v>45985.5902777778</v>
      </c>
      <c r="F1407" s="61" t="n">
        <v>45985.7222222222</v>
      </c>
      <c r="G1407" s="62" t="n">
        <v>0.131944444437977</v>
      </c>
      <c r="H1407" s="13" t="s">
        <v>445</v>
      </c>
      <c r="I1407" s="13" t="s">
        <v>263</v>
      </c>
      <c r="J1407" s="13" t="s">
        <v>264</v>
      </c>
      <c r="K1407" s="13" t="s">
        <v>456</v>
      </c>
      <c r="L1407" s="13" t="s">
        <v>2520</v>
      </c>
      <c r="M1407" s="66" t="s">
        <v>288</v>
      </c>
      <c r="N1407" s="66" t="s">
        <v>315</v>
      </c>
      <c r="O1407" s="66" t="s">
        <v>2521</v>
      </c>
      <c r="P1407" s="0" t="s">
        <v>2524</v>
      </c>
      <c r="Q1407" s="66" t="s">
        <v>1430</v>
      </c>
    </row>
    <row r="1408" customFormat="false" ht="14.25" hidden="false" customHeight="false" outlineLevel="0" collapsed="false">
      <c r="A1408" s="13" t="s">
        <v>1895</v>
      </c>
      <c r="B1408" s="13" t="s">
        <v>531</v>
      </c>
      <c r="C1408" s="13" t="s">
        <v>1904</v>
      </c>
      <c r="D1408" s="61" t="n">
        <v>45985.5902777778</v>
      </c>
      <c r="E1408" s="61" t="n">
        <v>45985.5902777778</v>
      </c>
      <c r="F1408" s="61" t="n">
        <v>45985.7222222222</v>
      </c>
      <c r="G1408" s="62" t="n">
        <v>0.131944444437977</v>
      </c>
      <c r="H1408" s="13" t="s">
        <v>445</v>
      </c>
      <c r="I1408" s="13" t="s">
        <v>263</v>
      </c>
      <c r="J1408" s="13" t="s">
        <v>264</v>
      </c>
      <c r="K1408" s="13" t="s">
        <v>456</v>
      </c>
      <c r="L1408" s="13" t="s">
        <v>2520</v>
      </c>
      <c r="M1408" s="66" t="s">
        <v>288</v>
      </c>
      <c r="N1408" s="66" t="s">
        <v>315</v>
      </c>
      <c r="O1408" s="66" t="s">
        <v>2521</v>
      </c>
      <c r="P1408" s="0" t="s">
        <v>2525</v>
      </c>
      <c r="Q1408" s="66" t="s">
        <v>1430</v>
      </c>
    </row>
    <row r="1409" customFormat="false" ht="14.25" hidden="false" customHeight="false" outlineLevel="0" collapsed="false">
      <c r="A1409" s="13" t="s">
        <v>330</v>
      </c>
      <c r="B1409" s="13" t="s">
        <v>330</v>
      </c>
      <c r="C1409" s="13" t="s">
        <v>277</v>
      </c>
      <c r="D1409" s="61" t="n">
        <v>45986.2291666667</v>
      </c>
      <c r="E1409" s="61" t="n">
        <v>45986.2291666667</v>
      </c>
      <c r="F1409" s="61" t="n">
        <v>45986.3298611111</v>
      </c>
      <c r="G1409" s="62" t="n">
        <v>0.100694444445253</v>
      </c>
      <c r="H1409" s="13" t="s">
        <v>248</v>
      </c>
      <c r="J1409" s="13" t="s">
        <v>256</v>
      </c>
      <c r="K1409" s="13" t="s">
        <v>430</v>
      </c>
      <c r="L1409" s="13" t="s">
        <v>2526</v>
      </c>
      <c r="M1409" s="66" t="s">
        <v>258</v>
      </c>
      <c r="N1409" s="66" t="s">
        <v>252</v>
      </c>
      <c r="O1409" s="66" t="s">
        <v>696</v>
      </c>
      <c r="P1409" s="0" t="s">
        <v>2527</v>
      </c>
      <c r="Q1409" s="66" t="s">
        <v>995</v>
      </c>
    </row>
    <row r="1410" customFormat="false" ht="14.25" hidden="false" customHeight="false" outlineLevel="0" collapsed="false">
      <c r="A1410" s="13" t="s">
        <v>330</v>
      </c>
      <c r="B1410" s="13" t="s">
        <v>330</v>
      </c>
      <c r="C1410" s="13" t="s">
        <v>280</v>
      </c>
      <c r="D1410" s="61" t="n">
        <v>45986.2291666667</v>
      </c>
      <c r="E1410" s="61" t="n">
        <v>45986.2291666667</v>
      </c>
      <c r="F1410" s="61" t="n">
        <v>45986.3298611111</v>
      </c>
      <c r="G1410" s="62" t="n">
        <v>0.100694444445253</v>
      </c>
      <c r="H1410" s="13" t="s">
        <v>248</v>
      </c>
      <c r="J1410" s="13" t="s">
        <v>256</v>
      </c>
      <c r="K1410" s="13" t="s">
        <v>430</v>
      </c>
      <c r="L1410" s="13" t="s">
        <v>2526</v>
      </c>
      <c r="M1410" s="66" t="s">
        <v>258</v>
      </c>
      <c r="N1410" s="66" t="s">
        <v>252</v>
      </c>
      <c r="O1410" s="66" t="s">
        <v>696</v>
      </c>
      <c r="P1410" s="0" t="s">
        <v>2528</v>
      </c>
      <c r="Q1410" s="66" t="s">
        <v>995</v>
      </c>
    </row>
    <row r="1411" customFormat="false" ht="14.25" hidden="false" customHeight="false" outlineLevel="0" collapsed="false">
      <c r="A1411" s="13" t="s">
        <v>330</v>
      </c>
      <c r="B1411" s="13" t="s">
        <v>330</v>
      </c>
      <c r="C1411" s="13" t="s">
        <v>247</v>
      </c>
      <c r="D1411" s="61" t="n">
        <v>45986.2291666667</v>
      </c>
      <c r="E1411" s="61" t="n">
        <v>45986.2291666667</v>
      </c>
      <c r="F1411" s="61" t="n">
        <v>45986.3298611111</v>
      </c>
      <c r="G1411" s="62" t="n">
        <v>0.100694444445253</v>
      </c>
      <c r="H1411" s="13" t="s">
        <v>248</v>
      </c>
      <c r="J1411" s="13" t="s">
        <v>256</v>
      </c>
      <c r="K1411" s="13" t="s">
        <v>430</v>
      </c>
      <c r="L1411" s="13" t="s">
        <v>2526</v>
      </c>
      <c r="M1411" s="66" t="s">
        <v>258</v>
      </c>
      <c r="N1411" s="66" t="s">
        <v>252</v>
      </c>
      <c r="O1411" s="66" t="s">
        <v>696</v>
      </c>
      <c r="P1411" s="0" t="s">
        <v>2529</v>
      </c>
      <c r="Q1411" s="66" t="s">
        <v>995</v>
      </c>
    </row>
    <row r="1412" customFormat="false" ht="14.25" hidden="false" customHeight="false" outlineLevel="0" collapsed="false">
      <c r="A1412" s="13" t="s">
        <v>330</v>
      </c>
      <c r="B1412" s="13" t="s">
        <v>330</v>
      </c>
      <c r="C1412" s="13" t="s">
        <v>255</v>
      </c>
      <c r="D1412" s="61" t="n">
        <v>45986.2291666667</v>
      </c>
      <c r="E1412" s="61" t="n">
        <v>45986.2291666667</v>
      </c>
      <c r="F1412" s="61" t="n">
        <v>45986.3298611111</v>
      </c>
      <c r="G1412" s="62" t="n">
        <v>0.100694444445253</v>
      </c>
      <c r="H1412" s="13" t="s">
        <v>248</v>
      </c>
      <c r="J1412" s="13" t="s">
        <v>256</v>
      </c>
      <c r="K1412" s="13" t="s">
        <v>430</v>
      </c>
      <c r="L1412" s="13" t="s">
        <v>2526</v>
      </c>
      <c r="M1412" s="66" t="s">
        <v>258</v>
      </c>
      <c r="N1412" s="66" t="s">
        <v>252</v>
      </c>
      <c r="O1412" s="66" t="s">
        <v>696</v>
      </c>
      <c r="P1412" s="0" t="s">
        <v>2530</v>
      </c>
      <c r="Q1412" s="66" t="s">
        <v>995</v>
      </c>
    </row>
    <row r="1413" customFormat="false" ht="14.25" hidden="false" customHeight="false" outlineLevel="0" collapsed="false">
      <c r="A1413" s="13" t="s">
        <v>622</v>
      </c>
      <c r="B1413" s="13" t="s">
        <v>622</v>
      </c>
      <c r="C1413" s="13" t="s">
        <v>280</v>
      </c>
      <c r="D1413" s="61" t="n">
        <v>45986.2291666667</v>
      </c>
      <c r="E1413" s="61" t="n">
        <v>45986.2291666667</v>
      </c>
      <c r="F1413" s="61" t="n">
        <v>45986.3298611111</v>
      </c>
      <c r="G1413" s="62" t="n">
        <v>0.100694444445253</v>
      </c>
      <c r="H1413" s="13" t="s">
        <v>248</v>
      </c>
      <c r="J1413" s="13" t="s">
        <v>256</v>
      </c>
      <c r="K1413" s="13" t="s">
        <v>430</v>
      </c>
      <c r="L1413" s="13" t="s">
        <v>2526</v>
      </c>
      <c r="M1413" s="66" t="s">
        <v>258</v>
      </c>
      <c r="N1413" s="66" t="s">
        <v>252</v>
      </c>
      <c r="O1413" s="66" t="s">
        <v>696</v>
      </c>
      <c r="P1413" s="0" t="s">
        <v>2531</v>
      </c>
      <c r="Q1413" s="66" t="s">
        <v>995</v>
      </c>
    </row>
    <row r="1414" customFormat="false" ht="14.25" hidden="false" customHeight="false" outlineLevel="0" collapsed="false">
      <c r="A1414" s="13" t="s">
        <v>622</v>
      </c>
      <c r="B1414" s="13" t="s">
        <v>622</v>
      </c>
      <c r="C1414" s="13" t="s">
        <v>247</v>
      </c>
      <c r="D1414" s="61" t="n">
        <v>45986.2291666667</v>
      </c>
      <c r="E1414" s="61" t="n">
        <v>45986.2291666667</v>
      </c>
      <c r="F1414" s="61" t="n">
        <v>45986.3298611111</v>
      </c>
      <c r="G1414" s="62" t="n">
        <v>0.100694444445253</v>
      </c>
      <c r="H1414" s="13" t="s">
        <v>248</v>
      </c>
      <c r="J1414" s="13" t="s">
        <v>256</v>
      </c>
      <c r="K1414" s="13" t="s">
        <v>430</v>
      </c>
      <c r="L1414" s="13" t="s">
        <v>2526</v>
      </c>
      <c r="M1414" s="66" t="s">
        <v>258</v>
      </c>
      <c r="N1414" s="66" t="s">
        <v>252</v>
      </c>
      <c r="O1414" s="66" t="s">
        <v>696</v>
      </c>
      <c r="P1414" s="0" t="s">
        <v>2532</v>
      </c>
      <c r="Q1414" s="66" t="s">
        <v>995</v>
      </c>
    </row>
    <row r="1415" customFormat="false" ht="14.25" hidden="false" customHeight="false" outlineLevel="0" collapsed="false">
      <c r="A1415" s="13" t="s">
        <v>622</v>
      </c>
      <c r="B1415" s="13" t="s">
        <v>622</v>
      </c>
      <c r="C1415" s="13" t="s">
        <v>277</v>
      </c>
      <c r="D1415" s="61" t="n">
        <v>45986.2291666667</v>
      </c>
      <c r="E1415" s="61" t="n">
        <v>45986.2291666667</v>
      </c>
      <c r="F1415" s="61" t="n">
        <v>45986.3298611111</v>
      </c>
      <c r="G1415" s="62" t="n">
        <v>0.100694444445253</v>
      </c>
      <c r="H1415" s="13" t="s">
        <v>248</v>
      </c>
      <c r="J1415" s="13" t="s">
        <v>256</v>
      </c>
      <c r="K1415" s="13" t="s">
        <v>430</v>
      </c>
      <c r="L1415" s="13" t="s">
        <v>2526</v>
      </c>
      <c r="M1415" s="66" t="s">
        <v>258</v>
      </c>
      <c r="N1415" s="66" t="s">
        <v>252</v>
      </c>
      <c r="O1415" s="66" t="s">
        <v>696</v>
      </c>
      <c r="P1415" s="0" t="s">
        <v>2533</v>
      </c>
      <c r="Q1415" s="66" t="s">
        <v>995</v>
      </c>
    </row>
    <row r="1416" customFormat="false" ht="14.25" hidden="false" customHeight="false" outlineLevel="0" collapsed="false">
      <c r="A1416" s="13" t="s">
        <v>622</v>
      </c>
      <c r="B1416" s="13" t="s">
        <v>622</v>
      </c>
      <c r="C1416" s="13" t="s">
        <v>255</v>
      </c>
      <c r="D1416" s="61" t="n">
        <v>45986.2291666667</v>
      </c>
      <c r="E1416" s="61" t="n">
        <v>45986.2291666667</v>
      </c>
      <c r="F1416" s="61" t="n">
        <v>45986.3298611111</v>
      </c>
      <c r="G1416" s="62" t="n">
        <v>0.100694444445253</v>
      </c>
      <c r="H1416" s="13" t="s">
        <v>248</v>
      </c>
      <c r="J1416" s="13" t="s">
        <v>256</v>
      </c>
      <c r="K1416" s="13" t="s">
        <v>430</v>
      </c>
      <c r="L1416" s="13" t="s">
        <v>2526</v>
      </c>
      <c r="M1416" s="66" t="s">
        <v>258</v>
      </c>
      <c r="N1416" s="66" t="s">
        <v>252</v>
      </c>
      <c r="O1416" s="66" t="s">
        <v>696</v>
      </c>
      <c r="P1416" s="0" t="s">
        <v>2534</v>
      </c>
      <c r="Q1416" s="66" t="s">
        <v>995</v>
      </c>
    </row>
    <row r="1417" customFormat="false" ht="14.25" hidden="false" customHeight="false" outlineLevel="0" collapsed="false">
      <c r="A1417" s="13" t="s">
        <v>332</v>
      </c>
      <c r="B1417" s="13" t="s">
        <v>332</v>
      </c>
      <c r="C1417" s="13" t="s">
        <v>247</v>
      </c>
      <c r="D1417" s="61" t="n">
        <v>45986.2291666667</v>
      </c>
      <c r="E1417" s="61" t="n">
        <v>45986.2291666667</v>
      </c>
      <c r="F1417" s="61" t="n">
        <v>45986.3298611111</v>
      </c>
      <c r="G1417" s="62" t="n">
        <v>0.100694444445253</v>
      </c>
      <c r="H1417" s="13" t="s">
        <v>248</v>
      </c>
      <c r="J1417" s="13" t="s">
        <v>256</v>
      </c>
      <c r="K1417" s="13" t="s">
        <v>430</v>
      </c>
      <c r="L1417" s="13" t="s">
        <v>2526</v>
      </c>
      <c r="M1417" s="66" t="s">
        <v>258</v>
      </c>
      <c r="N1417" s="66" t="s">
        <v>252</v>
      </c>
      <c r="O1417" s="66" t="s">
        <v>696</v>
      </c>
      <c r="P1417" s="0" t="s">
        <v>2535</v>
      </c>
      <c r="Q1417" s="66" t="s">
        <v>995</v>
      </c>
    </row>
    <row r="1418" customFormat="false" ht="14.25" hidden="false" customHeight="false" outlineLevel="0" collapsed="false">
      <c r="A1418" s="13" t="s">
        <v>332</v>
      </c>
      <c r="B1418" s="13" t="s">
        <v>332</v>
      </c>
      <c r="C1418" s="13" t="s">
        <v>277</v>
      </c>
      <c r="D1418" s="61" t="n">
        <v>45986.2291666667</v>
      </c>
      <c r="E1418" s="61" t="n">
        <v>45986.2291666667</v>
      </c>
      <c r="F1418" s="61" t="n">
        <v>45986.3298611111</v>
      </c>
      <c r="G1418" s="62" t="n">
        <v>0.100694444445253</v>
      </c>
      <c r="H1418" s="13" t="s">
        <v>248</v>
      </c>
      <c r="J1418" s="13" t="s">
        <v>256</v>
      </c>
      <c r="K1418" s="13" t="s">
        <v>430</v>
      </c>
      <c r="L1418" s="13" t="s">
        <v>2526</v>
      </c>
      <c r="M1418" s="66" t="s">
        <v>258</v>
      </c>
      <c r="N1418" s="66" t="s">
        <v>252</v>
      </c>
      <c r="O1418" s="66" t="s">
        <v>696</v>
      </c>
      <c r="P1418" s="0" t="s">
        <v>2536</v>
      </c>
      <c r="Q1418" s="66" t="s">
        <v>995</v>
      </c>
    </row>
    <row r="1419" customFormat="false" ht="14.25" hidden="false" customHeight="false" outlineLevel="0" collapsed="false">
      <c r="A1419" s="13" t="s">
        <v>697</v>
      </c>
      <c r="B1419" s="13" t="s">
        <v>697</v>
      </c>
      <c r="C1419" s="13" t="s">
        <v>247</v>
      </c>
      <c r="D1419" s="61" t="n">
        <v>45986.2291666667</v>
      </c>
      <c r="E1419" s="61" t="n">
        <v>45986.2291666667</v>
      </c>
      <c r="F1419" s="61" t="n">
        <v>45986.3298611111</v>
      </c>
      <c r="G1419" s="62" t="n">
        <v>0.100694444445253</v>
      </c>
      <c r="H1419" s="13" t="s">
        <v>248</v>
      </c>
      <c r="J1419" s="13" t="s">
        <v>256</v>
      </c>
      <c r="K1419" s="13" t="s">
        <v>430</v>
      </c>
      <c r="L1419" s="13" t="s">
        <v>2526</v>
      </c>
      <c r="M1419" s="66" t="s">
        <v>258</v>
      </c>
      <c r="N1419" s="66" t="s">
        <v>252</v>
      </c>
      <c r="O1419" s="66" t="s">
        <v>696</v>
      </c>
      <c r="P1419" s="0" t="s">
        <v>2537</v>
      </c>
      <c r="Q1419" s="66" t="s">
        <v>995</v>
      </c>
    </row>
    <row r="1420" customFormat="false" ht="14.25" hidden="false" customHeight="false" outlineLevel="0" collapsed="false">
      <c r="A1420" s="13" t="s">
        <v>697</v>
      </c>
      <c r="B1420" s="13" t="s">
        <v>697</v>
      </c>
      <c r="C1420" s="13" t="s">
        <v>277</v>
      </c>
      <c r="D1420" s="61" t="n">
        <v>45986.2291666667</v>
      </c>
      <c r="E1420" s="61" t="n">
        <v>45986.2291666667</v>
      </c>
      <c r="F1420" s="61" t="n">
        <v>45986.3298611111</v>
      </c>
      <c r="G1420" s="62" t="n">
        <v>0.100694444445253</v>
      </c>
      <c r="H1420" s="13" t="s">
        <v>248</v>
      </c>
      <c r="J1420" s="13" t="s">
        <v>256</v>
      </c>
      <c r="K1420" s="13" t="s">
        <v>430</v>
      </c>
      <c r="L1420" s="13" t="s">
        <v>2526</v>
      </c>
      <c r="M1420" s="66" t="s">
        <v>258</v>
      </c>
      <c r="N1420" s="66" t="s">
        <v>252</v>
      </c>
      <c r="O1420" s="66" t="s">
        <v>696</v>
      </c>
      <c r="P1420" s="0" t="s">
        <v>2538</v>
      </c>
      <c r="Q1420" s="66" t="s">
        <v>995</v>
      </c>
    </row>
    <row r="1421" customFormat="false" ht="14.25" hidden="false" customHeight="false" outlineLevel="0" collapsed="false">
      <c r="A1421" s="13" t="s">
        <v>697</v>
      </c>
      <c r="B1421" s="13" t="s">
        <v>697</v>
      </c>
      <c r="C1421" s="13" t="s">
        <v>279</v>
      </c>
      <c r="D1421" s="61" t="n">
        <v>45986.2291666667</v>
      </c>
      <c r="E1421" s="61" t="n">
        <v>45986.2291666667</v>
      </c>
      <c r="F1421" s="61" t="n">
        <v>45986.3298611111</v>
      </c>
      <c r="G1421" s="62" t="n">
        <v>0.100694444445253</v>
      </c>
      <c r="H1421" s="13" t="s">
        <v>248</v>
      </c>
      <c r="J1421" s="13" t="s">
        <v>256</v>
      </c>
      <c r="K1421" s="13" t="s">
        <v>430</v>
      </c>
      <c r="L1421" s="13" t="s">
        <v>2526</v>
      </c>
      <c r="M1421" s="66" t="s">
        <v>258</v>
      </c>
      <c r="N1421" s="66" t="s">
        <v>252</v>
      </c>
      <c r="O1421" s="66" t="s">
        <v>696</v>
      </c>
      <c r="P1421" s="0" t="s">
        <v>2539</v>
      </c>
      <c r="Q1421" s="66" t="s">
        <v>995</v>
      </c>
    </row>
    <row r="1422" customFormat="false" ht="14.25" hidden="false" customHeight="false" outlineLevel="0" collapsed="false">
      <c r="A1422" s="13" t="s">
        <v>697</v>
      </c>
      <c r="B1422" s="13" t="s">
        <v>697</v>
      </c>
      <c r="C1422" s="13" t="s">
        <v>280</v>
      </c>
      <c r="D1422" s="61" t="n">
        <v>45986.2291666667</v>
      </c>
      <c r="E1422" s="61" t="n">
        <v>45986.2291666667</v>
      </c>
      <c r="F1422" s="61" t="n">
        <v>45986.3298611111</v>
      </c>
      <c r="G1422" s="62" t="n">
        <v>0.100694444445253</v>
      </c>
      <c r="H1422" s="13" t="s">
        <v>248</v>
      </c>
      <c r="J1422" s="13" t="s">
        <v>256</v>
      </c>
      <c r="K1422" s="13" t="s">
        <v>430</v>
      </c>
      <c r="L1422" s="13" t="s">
        <v>2526</v>
      </c>
      <c r="M1422" s="66" t="s">
        <v>258</v>
      </c>
      <c r="N1422" s="66" t="s">
        <v>252</v>
      </c>
      <c r="O1422" s="66" t="s">
        <v>696</v>
      </c>
      <c r="P1422" s="0" t="s">
        <v>2540</v>
      </c>
      <c r="Q1422" s="66" t="s">
        <v>995</v>
      </c>
    </row>
    <row r="1423" customFormat="false" ht="14.25" hidden="false" customHeight="false" outlineLevel="0" collapsed="false">
      <c r="A1423" s="13" t="s">
        <v>698</v>
      </c>
      <c r="B1423" s="13" t="s">
        <v>698</v>
      </c>
      <c r="C1423" s="13" t="s">
        <v>247</v>
      </c>
      <c r="D1423" s="61" t="n">
        <v>45986.2291666667</v>
      </c>
      <c r="E1423" s="61" t="n">
        <v>45986.2291666667</v>
      </c>
      <c r="F1423" s="61" t="n">
        <v>45986.3298611111</v>
      </c>
      <c r="G1423" s="62" t="n">
        <v>0.100694444445253</v>
      </c>
      <c r="H1423" s="13" t="s">
        <v>248</v>
      </c>
      <c r="J1423" s="13" t="s">
        <v>256</v>
      </c>
      <c r="K1423" s="13" t="s">
        <v>430</v>
      </c>
      <c r="L1423" s="13" t="s">
        <v>2526</v>
      </c>
      <c r="M1423" s="66" t="s">
        <v>258</v>
      </c>
      <c r="N1423" s="66" t="s">
        <v>252</v>
      </c>
      <c r="O1423" s="66" t="s">
        <v>696</v>
      </c>
      <c r="P1423" s="0" t="s">
        <v>2541</v>
      </c>
      <c r="Q1423" s="66" t="s">
        <v>995</v>
      </c>
    </row>
    <row r="1424" customFormat="false" ht="14.25" hidden="false" customHeight="false" outlineLevel="0" collapsed="false">
      <c r="A1424" s="13" t="s">
        <v>698</v>
      </c>
      <c r="B1424" s="13" t="s">
        <v>698</v>
      </c>
      <c r="C1424" s="13" t="s">
        <v>277</v>
      </c>
      <c r="D1424" s="61" t="n">
        <v>45986.2291666667</v>
      </c>
      <c r="E1424" s="61" t="n">
        <v>45986.2291666667</v>
      </c>
      <c r="F1424" s="61" t="n">
        <v>45986.3298611111</v>
      </c>
      <c r="G1424" s="62" t="n">
        <v>0.100694444445253</v>
      </c>
      <c r="H1424" s="13" t="s">
        <v>248</v>
      </c>
      <c r="J1424" s="13" t="s">
        <v>256</v>
      </c>
      <c r="K1424" s="13" t="s">
        <v>430</v>
      </c>
      <c r="L1424" s="13" t="s">
        <v>2526</v>
      </c>
      <c r="M1424" s="66" t="s">
        <v>258</v>
      </c>
      <c r="N1424" s="66" t="s">
        <v>252</v>
      </c>
      <c r="O1424" s="66" t="s">
        <v>696</v>
      </c>
      <c r="P1424" s="0" t="s">
        <v>2542</v>
      </c>
      <c r="Q1424" s="66" t="s">
        <v>995</v>
      </c>
    </row>
    <row r="1425" customFormat="false" ht="14.25" hidden="false" customHeight="false" outlineLevel="0" collapsed="false">
      <c r="A1425" s="13" t="s">
        <v>698</v>
      </c>
      <c r="B1425" s="13" t="s">
        <v>698</v>
      </c>
      <c r="C1425" s="13" t="s">
        <v>279</v>
      </c>
      <c r="D1425" s="61" t="n">
        <v>45986.2291666667</v>
      </c>
      <c r="E1425" s="61" t="n">
        <v>45986.2291666667</v>
      </c>
      <c r="F1425" s="61" t="n">
        <v>45986.3298611111</v>
      </c>
      <c r="G1425" s="62" t="n">
        <v>0.100694444445253</v>
      </c>
      <c r="H1425" s="13" t="s">
        <v>248</v>
      </c>
      <c r="J1425" s="13" t="s">
        <v>256</v>
      </c>
      <c r="K1425" s="13" t="s">
        <v>430</v>
      </c>
      <c r="L1425" s="13" t="s">
        <v>2526</v>
      </c>
      <c r="M1425" s="66" t="s">
        <v>258</v>
      </c>
      <c r="N1425" s="66" t="s">
        <v>252</v>
      </c>
      <c r="O1425" s="66" t="s">
        <v>696</v>
      </c>
      <c r="P1425" s="0" t="s">
        <v>2543</v>
      </c>
      <c r="Q1425" s="66" t="s">
        <v>995</v>
      </c>
    </row>
    <row r="1426" customFormat="false" ht="14.25" hidden="false" customHeight="false" outlineLevel="0" collapsed="false">
      <c r="A1426" s="13" t="s">
        <v>698</v>
      </c>
      <c r="B1426" s="13" t="s">
        <v>698</v>
      </c>
      <c r="C1426" s="13" t="s">
        <v>280</v>
      </c>
      <c r="D1426" s="61" t="n">
        <v>45986.2291666667</v>
      </c>
      <c r="E1426" s="61" t="n">
        <v>45986.2291666667</v>
      </c>
      <c r="F1426" s="61" t="n">
        <v>45986.3298611111</v>
      </c>
      <c r="G1426" s="62" t="n">
        <v>0.100694444445253</v>
      </c>
      <c r="H1426" s="13" t="s">
        <v>248</v>
      </c>
      <c r="J1426" s="13" t="s">
        <v>256</v>
      </c>
      <c r="K1426" s="13" t="s">
        <v>430</v>
      </c>
      <c r="L1426" s="13" t="s">
        <v>2526</v>
      </c>
      <c r="M1426" s="66" t="s">
        <v>258</v>
      </c>
      <c r="N1426" s="66" t="s">
        <v>252</v>
      </c>
      <c r="O1426" s="66" t="s">
        <v>696</v>
      </c>
      <c r="P1426" s="0" t="s">
        <v>2544</v>
      </c>
      <c r="Q1426" s="66" t="s">
        <v>995</v>
      </c>
    </row>
    <row r="1427" customFormat="false" ht="14.25" hidden="false" customHeight="false" outlineLevel="0" collapsed="false">
      <c r="A1427" s="13" t="s">
        <v>699</v>
      </c>
      <c r="B1427" s="13" t="s">
        <v>699</v>
      </c>
      <c r="C1427" s="13" t="s">
        <v>247</v>
      </c>
      <c r="D1427" s="61" t="n">
        <v>45986.2291666667</v>
      </c>
      <c r="E1427" s="61" t="n">
        <v>45986.2291666667</v>
      </c>
      <c r="F1427" s="61" t="n">
        <v>45986.3298611111</v>
      </c>
      <c r="G1427" s="62" t="n">
        <v>0.100694444445253</v>
      </c>
      <c r="H1427" s="13" t="s">
        <v>248</v>
      </c>
      <c r="J1427" s="13" t="s">
        <v>256</v>
      </c>
      <c r="K1427" s="13" t="s">
        <v>430</v>
      </c>
      <c r="L1427" s="13" t="s">
        <v>2526</v>
      </c>
      <c r="M1427" s="66" t="s">
        <v>258</v>
      </c>
      <c r="N1427" s="66" t="s">
        <v>252</v>
      </c>
      <c r="O1427" s="66" t="s">
        <v>696</v>
      </c>
      <c r="P1427" s="0" t="s">
        <v>2545</v>
      </c>
      <c r="Q1427" s="66" t="s">
        <v>995</v>
      </c>
    </row>
    <row r="1428" customFormat="false" ht="14.25" hidden="false" customHeight="false" outlineLevel="0" collapsed="false">
      <c r="A1428" s="13" t="s">
        <v>699</v>
      </c>
      <c r="B1428" s="13" t="s">
        <v>699</v>
      </c>
      <c r="C1428" s="13" t="s">
        <v>277</v>
      </c>
      <c r="D1428" s="61" t="n">
        <v>45986.2291666667</v>
      </c>
      <c r="E1428" s="61" t="n">
        <v>45986.2291666667</v>
      </c>
      <c r="F1428" s="61" t="n">
        <v>45986.3298611111</v>
      </c>
      <c r="G1428" s="62" t="n">
        <v>0.100694444445253</v>
      </c>
      <c r="H1428" s="13" t="s">
        <v>248</v>
      </c>
      <c r="J1428" s="13" t="s">
        <v>256</v>
      </c>
      <c r="K1428" s="13" t="s">
        <v>430</v>
      </c>
      <c r="L1428" s="13" t="s">
        <v>2526</v>
      </c>
      <c r="M1428" s="66" t="s">
        <v>258</v>
      </c>
      <c r="N1428" s="66" t="s">
        <v>252</v>
      </c>
      <c r="O1428" s="66" t="s">
        <v>696</v>
      </c>
      <c r="P1428" s="0" t="s">
        <v>2546</v>
      </c>
      <c r="Q1428" s="66" t="s">
        <v>995</v>
      </c>
    </row>
    <row r="1429" customFormat="false" ht="14.25" hidden="false" customHeight="false" outlineLevel="0" collapsed="false">
      <c r="A1429" s="13" t="s">
        <v>805</v>
      </c>
      <c r="B1429" s="13" t="s">
        <v>581</v>
      </c>
      <c r="C1429" s="13" t="s">
        <v>598</v>
      </c>
      <c r="D1429" s="61" t="n">
        <v>45986.2395833333</v>
      </c>
      <c r="E1429" s="61" t="n">
        <v>45986.2395833333</v>
      </c>
      <c r="F1429" s="61" t="n">
        <v>45986.3368055556</v>
      </c>
      <c r="G1429" s="62" t="n">
        <f aca="false">F1429-E1429</f>
        <v>0.0972222222222222</v>
      </c>
      <c r="H1429" s="13" t="s">
        <v>248</v>
      </c>
      <c r="J1429" s="13" t="s">
        <v>256</v>
      </c>
      <c r="K1429" s="13" t="s">
        <v>430</v>
      </c>
      <c r="L1429" s="13" t="s">
        <v>1000</v>
      </c>
      <c r="M1429" s="66" t="s">
        <v>258</v>
      </c>
      <c r="N1429" s="66" t="s">
        <v>379</v>
      </c>
      <c r="O1429" s="66" t="s">
        <v>399</v>
      </c>
      <c r="P1429" s="0" t="s">
        <v>2547</v>
      </c>
      <c r="Q1429" s="66" t="s">
        <v>995</v>
      </c>
    </row>
    <row r="1430" customFormat="false" ht="14.25" hidden="false" customHeight="false" outlineLevel="0" collapsed="false">
      <c r="A1430" s="13" t="s">
        <v>807</v>
      </c>
      <c r="B1430" s="13" t="s">
        <v>581</v>
      </c>
      <c r="C1430" s="13" t="s">
        <v>591</v>
      </c>
      <c r="D1430" s="61" t="n">
        <v>45986.2395833333</v>
      </c>
      <c r="E1430" s="61" t="n">
        <v>45986.2395833333</v>
      </c>
      <c r="F1430" s="61" t="n">
        <v>45986.3368055556</v>
      </c>
      <c r="G1430" s="62" t="n">
        <f aca="false">F1430-E1430</f>
        <v>0.0972222222222222</v>
      </c>
      <c r="H1430" s="13" t="s">
        <v>248</v>
      </c>
      <c r="J1430" s="13" t="s">
        <v>256</v>
      </c>
      <c r="K1430" s="13" t="s">
        <v>430</v>
      </c>
      <c r="L1430" s="13" t="s">
        <v>1000</v>
      </c>
      <c r="M1430" s="66" t="s">
        <v>258</v>
      </c>
      <c r="N1430" s="66" t="s">
        <v>379</v>
      </c>
      <c r="O1430" s="66" t="s">
        <v>399</v>
      </c>
      <c r="P1430" s="0" t="s">
        <v>2548</v>
      </c>
      <c r="Q1430" s="66" t="s">
        <v>995</v>
      </c>
    </row>
    <row r="1431" customFormat="false" ht="14.25" hidden="false" customHeight="false" outlineLevel="0" collapsed="false">
      <c r="A1431" s="13" t="s">
        <v>807</v>
      </c>
      <c r="B1431" s="13" t="s">
        <v>581</v>
      </c>
      <c r="C1431" s="13" t="s">
        <v>588</v>
      </c>
      <c r="D1431" s="61" t="n">
        <v>45986.2395833333</v>
      </c>
      <c r="E1431" s="61" t="n">
        <v>45986.2395833333</v>
      </c>
      <c r="F1431" s="61" t="n">
        <v>45986.3368055556</v>
      </c>
      <c r="G1431" s="62" t="n">
        <f aca="false">F1431-E1431</f>
        <v>0.0972222222222222</v>
      </c>
      <c r="H1431" s="13" t="s">
        <v>248</v>
      </c>
      <c r="J1431" s="13" t="s">
        <v>256</v>
      </c>
      <c r="K1431" s="13" t="s">
        <v>430</v>
      </c>
      <c r="L1431" s="13" t="s">
        <v>1000</v>
      </c>
      <c r="M1431" s="66" t="s">
        <v>258</v>
      </c>
      <c r="N1431" s="66" t="s">
        <v>379</v>
      </c>
      <c r="O1431" s="66" t="s">
        <v>399</v>
      </c>
      <c r="P1431" s="0" t="s">
        <v>2549</v>
      </c>
      <c r="Q1431" s="66" t="s">
        <v>995</v>
      </c>
    </row>
    <row r="1432" customFormat="false" ht="14.25" hidden="false" customHeight="false" outlineLevel="0" collapsed="false">
      <c r="A1432" s="13" t="s">
        <v>807</v>
      </c>
      <c r="B1432" s="13" t="s">
        <v>581</v>
      </c>
      <c r="C1432" s="13" t="s">
        <v>585</v>
      </c>
      <c r="D1432" s="61" t="n">
        <v>45986.2395833333</v>
      </c>
      <c r="E1432" s="61" t="n">
        <v>45986.2395833333</v>
      </c>
      <c r="F1432" s="61" t="n">
        <v>45986.3368055556</v>
      </c>
      <c r="G1432" s="62" t="n">
        <f aca="false">F1432-E1432</f>
        <v>0.0972222222222222</v>
      </c>
      <c r="H1432" s="13" t="s">
        <v>248</v>
      </c>
      <c r="J1432" s="13" t="s">
        <v>256</v>
      </c>
      <c r="K1432" s="13" t="s">
        <v>430</v>
      </c>
      <c r="L1432" s="13" t="s">
        <v>1000</v>
      </c>
      <c r="M1432" s="66" t="s">
        <v>258</v>
      </c>
      <c r="N1432" s="66" t="s">
        <v>379</v>
      </c>
      <c r="O1432" s="66" t="s">
        <v>399</v>
      </c>
      <c r="P1432" s="0" t="s">
        <v>2550</v>
      </c>
      <c r="Q1432" s="66" t="s">
        <v>995</v>
      </c>
    </row>
    <row r="1433" customFormat="false" ht="14.25" hidden="false" customHeight="false" outlineLevel="0" collapsed="false">
      <c r="A1433" s="13" t="s">
        <v>807</v>
      </c>
      <c r="B1433" s="13" t="s">
        <v>581</v>
      </c>
      <c r="C1433" s="13" t="s">
        <v>589</v>
      </c>
      <c r="D1433" s="61" t="n">
        <v>45986.2395833333</v>
      </c>
      <c r="E1433" s="61" t="n">
        <v>45986.2395833333</v>
      </c>
      <c r="F1433" s="61" t="n">
        <v>45986.3368055556</v>
      </c>
      <c r="G1433" s="62" t="n">
        <f aca="false">F1433-E1433</f>
        <v>0.0972222222222222</v>
      </c>
      <c r="H1433" s="13" t="s">
        <v>248</v>
      </c>
      <c r="J1433" s="13" t="s">
        <v>256</v>
      </c>
      <c r="K1433" s="13" t="s">
        <v>430</v>
      </c>
      <c r="L1433" s="13" t="s">
        <v>1000</v>
      </c>
      <c r="M1433" s="66" t="s">
        <v>258</v>
      </c>
      <c r="N1433" s="66" t="s">
        <v>379</v>
      </c>
      <c r="O1433" s="66" t="s">
        <v>399</v>
      </c>
      <c r="P1433" s="0" t="s">
        <v>2551</v>
      </c>
      <c r="Q1433" s="66" t="s">
        <v>995</v>
      </c>
    </row>
    <row r="1434" customFormat="false" ht="14.25" hidden="false" customHeight="false" outlineLevel="0" collapsed="false">
      <c r="A1434" s="13" t="s">
        <v>807</v>
      </c>
      <c r="B1434" s="13" t="s">
        <v>581</v>
      </c>
      <c r="C1434" s="13" t="s">
        <v>587</v>
      </c>
      <c r="D1434" s="61" t="n">
        <v>45986.2395833333</v>
      </c>
      <c r="E1434" s="61" t="n">
        <v>45986.2395833333</v>
      </c>
      <c r="F1434" s="61" t="n">
        <v>45986.3368055556</v>
      </c>
      <c r="G1434" s="62" t="n">
        <f aca="false">F1434-E1434</f>
        <v>0.0972222222222222</v>
      </c>
      <c r="H1434" s="13" t="s">
        <v>248</v>
      </c>
      <c r="J1434" s="13" t="s">
        <v>256</v>
      </c>
      <c r="K1434" s="13" t="s">
        <v>430</v>
      </c>
      <c r="L1434" s="13" t="s">
        <v>1000</v>
      </c>
      <c r="M1434" s="66" t="s">
        <v>258</v>
      </c>
      <c r="N1434" s="66" t="s">
        <v>379</v>
      </c>
      <c r="O1434" s="66" t="s">
        <v>399</v>
      </c>
      <c r="P1434" s="0" t="s">
        <v>2552</v>
      </c>
      <c r="Q1434" s="66" t="s">
        <v>995</v>
      </c>
    </row>
    <row r="1435" customFormat="false" ht="14.25" hidden="false" customHeight="false" outlineLevel="0" collapsed="false">
      <c r="A1435" s="13" t="s">
        <v>807</v>
      </c>
      <c r="B1435" s="13" t="s">
        <v>581</v>
      </c>
      <c r="C1435" s="13" t="s">
        <v>1007</v>
      </c>
      <c r="D1435" s="61" t="n">
        <v>45986.2395833333</v>
      </c>
      <c r="E1435" s="61" t="n">
        <v>45986.2395833333</v>
      </c>
      <c r="F1435" s="61" t="n">
        <v>45986.3368055556</v>
      </c>
      <c r="G1435" s="62" t="n">
        <f aca="false">F1435-E1435</f>
        <v>0.0972222222222222</v>
      </c>
      <c r="H1435" s="13" t="s">
        <v>248</v>
      </c>
      <c r="J1435" s="13" t="s">
        <v>256</v>
      </c>
      <c r="K1435" s="13" t="s">
        <v>430</v>
      </c>
      <c r="L1435" s="13" t="s">
        <v>1000</v>
      </c>
      <c r="M1435" s="66" t="s">
        <v>258</v>
      </c>
      <c r="N1435" s="66" t="s">
        <v>379</v>
      </c>
      <c r="O1435" s="66" t="s">
        <v>399</v>
      </c>
      <c r="P1435" s="0" t="s">
        <v>2553</v>
      </c>
      <c r="Q1435" s="66" t="s">
        <v>995</v>
      </c>
    </row>
    <row r="1436" customFormat="false" ht="14.25" hidden="false" customHeight="false" outlineLevel="0" collapsed="false">
      <c r="A1436" s="13" t="s">
        <v>816</v>
      </c>
      <c r="B1436" s="13" t="s">
        <v>581</v>
      </c>
      <c r="C1436" s="13" t="s">
        <v>586</v>
      </c>
      <c r="D1436" s="61" t="n">
        <v>45986.2395833333</v>
      </c>
      <c r="E1436" s="61" t="n">
        <v>45986.2395833333</v>
      </c>
      <c r="F1436" s="61" t="n">
        <v>45986.3368055556</v>
      </c>
      <c r="G1436" s="62" t="n">
        <f aca="false">F1436-E1436</f>
        <v>0.0972222222222222</v>
      </c>
      <c r="H1436" s="13" t="s">
        <v>248</v>
      </c>
      <c r="J1436" s="13" t="s">
        <v>256</v>
      </c>
      <c r="K1436" s="13" t="s">
        <v>430</v>
      </c>
      <c r="L1436" s="13" t="s">
        <v>1000</v>
      </c>
      <c r="M1436" s="66" t="s">
        <v>258</v>
      </c>
      <c r="N1436" s="66" t="s">
        <v>379</v>
      </c>
      <c r="O1436" s="66" t="s">
        <v>399</v>
      </c>
      <c r="P1436" s="0" t="s">
        <v>2554</v>
      </c>
      <c r="Q1436" s="66" t="s">
        <v>995</v>
      </c>
    </row>
    <row r="1437" customFormat="false" ht="14.25" hidden="false" customHeight="false" outlineLevel="0" collapsed="false">
      <c r="A1437" s="13" t="s">
        <v>816</v>
      </c>
      <c r="B1437" s="13" t="s">
        <v>581</v>
      </c>
      <c r="C1437" s="13" t="s">
        <v>737</v>
      </c>
      <c r="D1437" s="61" t="n">
        <v>45986.2395833333</v>
      </c>
      <c r="E1437" s="61" t="n">
        <v>45986.2395833333</v>
      </c>
      <c r="F1437" s="61" t="n">
        <v>45986.3368055556</v>
      </c>
      <c r="G1437" s="62" t="n">
        <f aca="false">F1437-E1437</f>
        <v>0.0972222222222222</v>
      </c>
      <c r="H1437" s="13" t="s">
        <v>248</v>
      </c>
      <c r="J1437" s="13" t="s">
        <v>256</v>
      </c>
      <c r="K1437" s="13" t="s">
        <v>430</v>
      </c>
      <c r="L1437" s="13" t="s">
        <v>1000</v>
      </c>
      <c r="M1437" s="66" t="s">
        <v>258</v>
      </c>
      <c r="N1437" s="66" t="s">
        <v>379</v>
      </c>
      <c r="O1437" s="66" t="s">
        <v>399</v>
      </c>
      <c r="P1437" s="0" t="s">
        <v>2555</v>
      </c>
      <c r="Q1437" s="66" t="s">
        <v>995</v>
      </c>
    </row>
    <row r="1438" customFormat="false" ht="14.25" hidden="false" customHeight="false" outlineLevel="0" collapsed="false">
      <c r="A1438" s="13" t="s">
        <v>816</v>
      </c>
      <c r="B1438" s="13" t="s">
        <v>581</v>
      </c>
      <c r="C1438" s="13" t="s">
        <v>582</v>
      </c>
      <c r="D1438" s="61" t="n">
        <v>45986.2395833333</v>
      </c>
      <c r="E1438" s="61" t="n">
        <v>45986.2395833333</v>
      </c>
      <c r="F1438" s="61" t="n">
        <v>45986.3368055556</v>
      </c>
      <c r="G1438" s="62" t="n">
        <f aca="false">F1438-E1438</f>
        <v>0.0972222222222222</v>
      </c>
      <c r="H1438" s="13" t="s">
        <v>248</v>
      </c>
      <c r="J1438" s="13" t="s">
        <v>256</v>
      </c>
      <c r="K1438" s="13" t="s">
        <v>430</v>
      </c>
      <c r="L1438" s="13" t="s">
        <v>1000</v>
      </c>
      <c r="M1438" s="66" t="s">
        <v>258</v>
      </c>
      <c r="N1438" s="66" t="s">
        <v>379</v>
      </c>
      <c r="O1438" s="66" t="s">
        <v>399</v>
      </c>
      <c r="P1438" s="0" t="s">
        <v>2556</v>
      </c>
      <c r="Q1438" s="66" t="s">
        <v>995</v>
      </c>
    </row>
    <row r="1439" customFormat="false" ht="14.25" hidden="false" customHeight="false" outlineLevel="0" collapsed="false">
      <c r="A1439" s="13" t="s">
        <v>816</v>
      </c>
      <c r="B1439" s="13" t="s">
        <v>581</v>
      </c>
      <c r="C1439" s="13" t="s">
        <v>594</v>
      </c>
      <c r="D1439" s="61" t="n">
        <v>45986.2395833333</v>
      </c>
      <c r="E1439" s="61" t="n">
        <v>45986.2395833333</v>
      </c>
      <c r="F1439" s="61" t="n">
        <v>45986.3368055556</v>
      </c>
      <c r="G1439" s="62" t="n">
        <f aca="false">F1439-E1439</f>
        <v>0.0972222222222222</v>
      </c>
      <c r="H1439" s="13" t="s">
        <v>248</v>
      </c>
      <c r="J1439" s="13" t="s">
        <v>256</v>
      </c>
      <c r="K1439" s="13" t="s">
        <v>430</v>
      </c>
      <c r="L1439" s="13" t="s">
        <v>1000</v>
      </c>
      <c r="M1439" s="66" t="s">
        <v>258</v>
      </c>
      <c r="N1439" s="66" t="s">
        <v>379</v>
      </c>
      <c r="O1439" s="66" t="s">
        <v>399</v>
      </c>
      <c r="P1439" s="0" t="s">
        <v>2557</v>
      </c>
      <c r="Q1439" s="66" t="s">
        <v>995</v>
      </c>
    </row>
    <row r="1440" customFormat="false" ht="14.25" hidden="false" customHeight="false" outlineLevel="0" collapsed="false">
      <c r="A1440" s="13" t="s">
        <v>816</v>
      </c>
      <c r="B1440" s="13" t="s">
        <v>581</v>
      </c>
      <c r="C1440" s="13" t="s">
        <v>596</v>
      </c>
      <c r="D1440" s="61" t="n">
        <v>45986.2395833333</v>
      </c>
      <c r="E1440" s="61" t="n">
        <v>45986.2395833333</v>
      </c>
      <c r="F1440" s="61" t="n">
        <v>45986.3368055556</v>
      </c>
      <c r="G1440" s="62" t="n">
        <f aca="false">F1440-E1440</f>
        <v>0.0972222222222222</v>
      </c>
      <c r="H1440" s="13" t="s">
        <v>248</v>
      </c>
      <c r="J1440" s="13" t="s">
        <v>256</v>
      </c>
      <c r="K1440" s="13" t="s">
        <v>430</v>
      </c>
      <c r="L1440" s="13" t="s">
        <v>1000</v>
      </c>
      <c r="M1440" s="66" t="s">
        <v>258</v>
      </c>
      <c r="N1440" s="66" t="s">
        <v>379</v>
      </c>
      <c r="O1440" s="66" t="s">
        <v>399</v>
      </c>
      <c r="P1440" s="0" t="s">
        <v>2558</v>
      </c>
      <c r="Q1440" s="66" t="s">
        <v>995</v>
      </c>
    </row>
    <row r="1441" customFormat="false" ht="14.25" hidden="false" customHeight="false" outlineLevel="0" collapsed="false">
      <c r="A1441" s="13" t="s">
        <v>816</v>
      </c>
      <c r="B1441" s="13" t="s">
        <v>581</v>
      </c>
      <c r="C1441" s="13" t="s">
        <v>592</v>
      </c>
      <c r="D1441" s="61" t="n">
        <v>45986.2395833333</v>
      </c>
      <c r="E1441" s="61" t="n">
        <v>45986.2395833333</v>
      </c>
      <c r="F1441" s="61" t="n">
        <v>45986.3368055556</v>
      </c>
      <c r="G1441" s="62" t="n">
        <f aca="false">F1441-E1441</f>
        <v>0.0972222222222222</v>
      </c>
      <c r="H1441" s="13" t="s">
        <v>248</v>
      </c>
      <c r="J1441" s="13" t="s">
        <v>256</v>
      </c>
      <c r="K1441" s="13" t="s">
        <v>430</v>
      </c>
      <c r="L1441" s="13" t="s">
        <v>1000</v>
      </c>
      <c r="M1441" s="66" t="s">
        <v>258</v>
      </c>
      <c r="N1441" s="66" t="s">
        <v>379</v>
      </c>
      <c r="O1441" s="66" t="s">
        <v>399</v>
      </c>
      <c r="P1441" s="0" t="s">
        <v>2559</v>
      </c>
      <c r="Q1441" s="66" t="s">
        <v>995</v>
      </c>
    </row>
    <row r="1442" customFormat="false" ht="14.25" hidden="false" customHeight="false" outlineLevel="0" collapsed="false">
      <c r="A1442" s="13" t="s">
        <v>816</v>
      </c>
      <c r="B1442" s="13" t="s">
        <v>581</v>
      </c>
      <c r="C1442" s="13" t="s">
        <v>595</v>
      </c>
      <c r="D1442" s="61" t="n">
        <v>45986.2395833333</v>
      </c>
      <c r="E1442" s="61" t="n">
        <v>45986.2395833333</v>
      </c>
      <c r="F1442" s="61" t="n">
        <v>45986.3368055556</v>
      </c>
      <c r="G1442" s="62" t="n">
        <f aca="false">F1442-E1442</f>
        <v>0.0972222222222222</v>
      </c>
      <c r="H1442" s="13" t="s">
        <v>248</v>
      </c>
      <c r="J1442" s="13" t="s">
        <v>256</v>
      </c>
      <c r="K1442" s="13" t="s">
        <v>430</v>
      </c>
      <c r="L1442" s="13" t="s">
        <v>1000</v>
      </c>
      <c r="M1442" s="66" t="s">
        <v>258</v>
      </c>
      <c r="N1442" s="66" t="s">
        <v>379</v>
      </c>
      <c r="O1442" s="66" t="s">
        <v>399</v>
      </c>
      <c r="P1442" s="0" t="s">
        <v>2560</v>
      </c>
      <c r="Q1442" s="66" t="s">
        <v>995</v>
      </c>
    </row>
    <row r="1443" customFormat="false" ht="14.25" hidden="false" customHeight="false" outlineLevel="0" collapsed="false">
      <c r="A1443" s="13" t="s">
        <v>816</v>
      </c>
      <c r="B1443" s="13" t="s">
        <v>581</v>
      </c>
      <c r="C1443" s="13" t="s">
        <v>599</v>
      </c>
      <c r="D1443" s="61" t="n">
        <v>45986.2395833333</v>
      </c>
      <c r="E1443" s="61" t="n">
        <v>45986.2395833333</v>
      </c>
      <c r="F1443" s="61" t="n">
        <v>45986.3368055556</v>
      </c>
      <c r="G1443" s="62" t="n">
        <f aca="false">F1443-E1443</f>
        <v>0.0972222222222222</v>
      </c>
      <c r="H1443" s="13" t="s">
        <v>248</v>
      </c>
      <c r="J1443" s="13" t="s">
        <v>256</v>
      </c>
      <c r="K1443" s="13" t="s">
        <v>430</v>
      </c>
      <c r="L1443" s="13" t="s">
        <v>1000</v>
      </c>
      <c r="M1443" s="66" t="s">
        <v>258</v>
      </c>
      <c r="N1443" s="66" t="s">
        <v>379</v>
      </c>
      <c r="O1443" s="66" t="s">
        <v>399</v>
      </c>
      <c r="P1443" s="0" t="s">
        <v>2561</v>
      </c>
      <c r="Q1443" s="66" t="s">
        <v>995</v>
      </c>
    </row>
    <row r="1444" customFormat="false" ht="14.25" hidden="false" customHeight="false" outlineLevel="0" collapsed="false">
      <c r="A1444" s="13" t="s">
        <v>816</v>
      </c>
      <c r="B1444" s="13" t="s">
        <v>581</v>
      </c>
      <c r="C1444" s="13" t="s">
        <v>584</v>
      </c>
      <c r="D1444" s="61" t="n">
        <v>45986.2395833333</v>
      </c>
      <c r="E1444" s="61" t="n">
        <v>45986.2395833333</v>
      </c>
      <c r="F1444" s="61" t="n">
        <v>45986.3368055556</v>
      </c>
      <c r="G1444" s="62" t="n">
        <f aca="false">F1444-E1444</f>
        <v>0.0972222222222222</v>
      </c>
      <c r="H1444" s="13" t="s">
        <v>248</v>
      </c>
      <c r="J1444" s="13" t="s">
        <v>256</v>
      </c>
      <c r="K1444" s="13" t="s">
        <v>430</v>
      </c>
      <c r="L1444" s="13" t="s">
        <v>1000</v>
      </c>
      <c r="M1444" s="66" t="s">
        <v>258</v>
      </c>
      <c r="N1444" s="66" t="s">
        <v>379</v>
      </c>
      <c r="O1444" s="66" t="s">
        <v>399</v>
      </c>
      <c r="P1444" s="0" t="s">
        <v>2562</v>
      </c>
      <c r="Q1444" s="66" t="s">
        <v>995</v>
      </c>
    </row>
    <row r="1445" customFormat="false" ht="14.25" hidden="false" customHeight="false" outlineLevel="0" collapsed="false">
      <c r="A1445" s="13" t="s">
        <v>816</v>
      </c>
      <c r="B1445" s="13" t="s">
        <v>581</v>
      </c>
      <c r="C1445" s="13" t="s">
        <v>590</v>
      </c>
      <c r="D1445" s="61" t="n">
        <v>45986.2395833333</v>
      </c>
      <c r="E1445" s="61" t="n">
        <v>45986.2395833333</v>
      </c>
      <c r="F1445" s="61" t="n">
        <v>45986.3368055556</v>
      </c>
      <c r="G1445" s="62" t="n">
        <f aca="false">F1445-E1445</f>
        <v>0.0972222222222222</v>
      </c>
      <c r="H1445" s="13" t="s">
        <v>248</v>
      </c>
      <c r="J1445" s="13" t="s">
        <v>256</v>
      </c>
      <c r="K1445" s="13" t="s">
        <v>430</v>
      </c>
      <c r="L1445" s="13" t="s">
        <v>1000</v>
      </c>
      <c r="M1445" s="66" t="s">
        <v>258</v>
      </c>
      <c r="N1445" s="66" t="s">
        <v>379</v>
      </c>
      <c r="O1445" s="66" t="s">
        <v>399</v>
      </c>
      <c r="P1445" s="0" t="s">
        <v>2563</v>
      </c>
      <c r="Q1445" s="66" t="s">
        <v>995</v>
      </c>
    </row>
    <row r="1446" customFormat="false" ht="14.25" hidden="false" customHeight="false" outlineLevel="0" collapsed="false">
      <c r="A1446" s="13" t="s">
        <v>814</v>
      </c>
      <c r="B1446" s="13" t="s">
        <v>542</v>
      </c>
      <c r="C1446" s="13" t="s">
        <v>543</v>
      </c>
      <c r="D1446" s="61" t="n">
        <v>45986.2395833333</v>
      </c>
      <c r="E1446" s="61" t="n">
        <v>45986.2395833333</v>
      </c>
      <c r="F1446" s="61" t="n">
        <v>45986.3159722222</v>
      </c>
      <c r="G1446" s="62" t="n">
        <v>0.118055555554747</v>
      </c>
      <c r="H1446" s="13" t="s">
        <v>248</v>
      </c>
      <c r="J1446" s="13" t="s">
        <v>256</v>
      </c>
      <c r="K1446" s="13" t="s">
        <v>430</v>
      </c>
      <c r="L1446" s="13" t="s">
        <v>1000</v>
      </c>
      <c r="M1446" s="66" t="s">
        <v>258</v>
      </c>
      <c r="N1446" s="66" t="s">
        <v>379</v>
      </c>
      <c r="O1446" s="66" t="s">
        <v>399</v>
      </c>
      <c r="P1446" s="0" t="s">
        <v>2564</v>
      </c>
      <c r="Q1446" s="66" t="s">
        <v>995</v>
      </c>
    </row>
    <row r="1447" customFormat="false" ht="14.25" hidden="false" customHeight="false" outlineLevel="0" collapsed="false">
      <c r="A1447" s="13" t="s">
        <v>814</v>
      </c>
      <c r="B1447" s="13" t="s">
        <v>542</v>
      </c>
      <c r="C1447" s="13" t="s">
        <v>545</v>
      </c>
      <c r="D1447" s="61" t="n">
        <v>45986.2395833333</v>
      </c>
      <c r="E1447" s="61" t="n">
        <v>45986.2395833333</v>
      </c>
      <c r="F1447" s="61" t="n">
        <v>45986.3159722222</v>
      </c>
      <c r="G1447" s="62" t="n">
        <v>0.118055555554747</v>
      </c>
      <c r="H1447" s="13" t="s">
        <v>248</v>
      </c>
      <c r="J1447" s="13" t="s">
        <v>256</v>
      </c>
      <c r="K1447" s="13" t="s">
        <v>430</v>
      </c>
      <c r="L1447" s="13" t="s">
        <v>1000</v>
      </c>
      <c r="M1447" s="66" t="s">
        <v>258</v>
      </c>
      <c r="N1447" s="66" t="s">
        <v>379</v>
      </c>
      <c r="O1447" s="66" t="s">
        <v>399</v>
      </c>
      <c r="P1447" s="0" t="s">
        <v>2565</v>
      </c>
      <c r="Q1447" s="66" t="s">
        <v>995</v>
      </c>
    </row>
    <row r="1448" customFormat="false" ht="14.25" hidden="false" customHeight="false" outlineLevel="0" collapsed="false">
      <c r="A1448" s="13" t="s">
        <v>814</v>
      </c>
      <c r="B1448" s="13" t="s">
        <v>542</v>
      </c>
      <c r="C1448" s="13" t="s">
        <v>546</v>
      </c>
      <c r="D1448" s="61" t="n">
        <v>45986.2395833333</v>
      </c>
      <c r="E1448" s="61" t="n">
        <v>45986.2395833333</v>
      </c>
      <c r="F1448" s="61" t="n">
        <v>45986.3159722222</v>
      </c>
      <c r="G1448" s="62" t="n">
        <v>0.118055555554747</v>
      </c>
      <c r="H1448" s="13" t="s">
        <v>248</v>
      </c>
      <c r="J1448" s="13" t="s">
        <v>256</v>
      </c>
      <c r="K1448" s="13" t="s">
        <v>430</v>
      </c>
      <c r="L1448" s="13" t="s">
        <v>1000</v>
      </c>
      <c r="M1448" s="66" t="s">
        <v>258</v>
      </c>
      <c r="N1448" s="66" t="s">
        <v>379</v>
      </c>
      <c r="O1448" s="66" t="s">
        <v>399</v>
      </c>
      <c r="P1448" s="0" t="s">
        <v>2566</v>
      </c>
      <c r="Q1448" s="66" t="s">
        <v>995</v>
      </c>
    </row>
    <row r="1449" customFormat="false" ht="14.25" hidden="false" customHeight="false" outlineLevel="0" collapsed="false">
      <c r="A1449" s="13" t="s">
        <v>814</v>
      </c>
      <c r="B1449" s="13" t="s">
        <v>542</v>
      </c>
      <c r="C1449" s="13" t="s">
        <v>547</v>
      </c>
      <c r="D1449" s="61" t="n">
        <v>45986.2395833333</v>
      </c>
      <c r="E1449" s="61" t="n">
        <v>45986.2395833333</v>
      </c>
      <c r="F1449" s="61" t="n">
        <v>45986.3159722222</v>
      </c>
      <c r="G1449" s="62" t="n">
        <v>0.118055555554747</v>
      </c>
      <c r="H1449" s="13" t="s">
        <v>248</v>
      </c>
      <c r="J1449" s="13" t="s">
        <v>256</v>
      </c>
      <c r="K1449" s="13" t="s">
        <v>430</v>
      </c>
      <c r="L1449" s="13" t="s">
        <v>1000</v>
      </c>
      <c r="M1449" s="66" t="s">
        <v>258</v>
      </c>
      <c r="N1449" s="66" t="s">
        <v>379</v>
      </c>
      <c r="O1449" s="66" t="s">
        <v>399</v>
      </c>
      <c r="P1449" s="0" t="s">
        <v>2567</v>
      </c>
      <c r="Q1449" s="66" t="s">
        <v>995</v>
      </c>
    </row>
    <row r="1450" customFormat="false" ht="14.25" hidden="false" customHeight="false" outlineLevel="0" collapsed="false">
      <c r="A1450" s="13" t="s">
        <v>814</v>
      </c>
      <c r="B1450" s="13" t="s">
        <v>542</v>
      </c>
      <c r="C1450" s="13" t="s">
        <v>548</v>
      </c>
      <c r="D1450" s="61" t="n">
        <v>45986.2395833333</v>
      </c>
      <c r="E1450" s="61" t="n">
        <v>45986.2395833333</v>
      </c>
      <c r="F1450" s="61" t="n">
        <v>45986.3159722222</v>
      </c>
      <c r="G1450" s="62" t="n">
        <v>0.118055555554747</v>
      </c>
      <c r="H1450" s="13" t="s">
        <v>248</v>
      </c>
      <c r="J1450" s="13" t="s">
        <v>256</v>
      </c>
      <c r="K1450" s="13" t="s">
        <v>430</v>
      </c>
      <c r="L1450" s="13" t="s">
        <v>1000</v>
      </c>
      <c r="M1450" s="66" t="s">
        <v>258</v>
      </c>
      <c r="N1450" s="66" t="s">
        <v>379</v>
      </c>
      <c r="O1450" s="66" t="s">
        <v>399</v>
      </c>
      <c r="P1450" s="0" t="s">
        <v>2568</v>
      </c>
      <c r="Q1450" s="66" t="s">
        <v>995</v>
      </c>
    </row>
    <row r="1451" customFormat="false" ht="14.25" hidden="false" customHeight="false" outlineLevel="0" collapsed="false">
      <c r="A1451" s="13" t="s">
        <v>814</v>
      </c>
      <c r="B1451" s="13" t="s">
        <v>542</v>
      </c>
      <c r="C1451" s="13" t="s">
        <v>549</v>
      </c>
      <c r="D1451" s="61" t="n">
        <v>45986.2395833333</v>
      </c>
      <c r="E1451" s="61" t="n">
        <v>45986.2395833333</v>
      </c>
      <c r="F1451" s="61" t="n">
        <v>45986.3159722222</v>
      </c>
      <c r="G1451" s="62" t="n">
        <v>0.118055555554747</v>
      </c>
      <c r="H1451" s="13" t="s">
        <v>248</v>
      </c>
      <c r="J1451" s="13" t="s">
        <v>256</v>
      </c>
      <c r="K1451" s="13" t="s">
        <v>430</v>
      </c>
      <c r="L1451" s="13" t="s">
        <v>1000</v>
      </c>
      <c r="M1451" s="66" t="s">
        <v>258</v>
      </c>
      <c r="N1451" s="66" t="s">
        <v>379</v>
      </c>
      <c r="O1451" s="66" t="s">
        <v>399</v>
      </c>
      <c r="P1451" s="0" t="s">
        <v>2569</v>
      </c>
      <c r="Q1451" s="66" t="s">
        <v>995</v>
      </c>
    </row>
    <row r="1452" customFormat="false" ht="14.25" hidden="false" customHeight="false" outlineLevel="0" collapsed="false">
      <c r="A1452" s="13" t="s">
        <v>814</v>
      </c>
      <c r="B1452" s="13" t="s">
        <v>542</v>
      </c>
      <c r="C1452" s="13" t="s">
        <v>550</v>
      </c>
      <c r="D1452" s="61" t="n">
        <v>45986.2395833333</v>
      </c>
      <c r="E1452" s="61" t="n">
        <v>45986.2395833333</v>
      </c>
      <c r="F1452" s="61" t="n">
        <v>45986.3159722222</v>
      </c>
      <c r="G1452" s="62" t="n">
        <v>0.118055555554747</v>
      </c>
      <c r="H1452" s="13" t="s">
        <v>248</v>
      </c>
      <c r="J1452" s="13" t="s">
        <v>256</v>
      </c>
      <c r="K1452" s="13" t="s">
        <v>430</v>
      </c>
      <c r="L1452" s="13" t="s">
        <v>1000</v>
      </c>
      <c r="M1452" s="66" t="s">
        <v>258</v>
      </c>
      <c r="N1452" s="66" t="s">
        <v>379</v>
      </c>
      <c r="O1452" s="66" t="s">
        <v>399</v>
      </c>
      <c r="P1452" s="0" t="s">
        <v>2570</v>
      </c>
      <c r="Q1452" s="66" t="s">
        <v>995</v>
      </c>
    </row>
    <row r="1453" customFormat="false" ht="14.25" hidden="false" customHeight="false" outlineLevel="0" collapsed="false">
      <c r="A1453" s="13" t="s">
        <v>814</v>
      </c>
      <c r="B1453" s="13" t="s">
        <v>542</v>
      </c>
      <c r="C1453" s="13" t="s">
        <v>551</v>
      </c>
      <c r="D1453" s="61" t="n">
        <v>45986.2395833333</v>
      </c>
      <c r="E1453" s="61" t="n">
        <v>45986.2395833333</v>
      </c>
      <c r="F1453" s="61" t="n">
        <v>45986.3159722222</v>
      </c>
      <c r="G1453" s="62" t="n">
        <v>0.118055555554747</v>
      </c>
      <c r="H1453" s="13" t="s">
        <v>248</v>
      </c>
      <c r="J1453" s="13" t="s">
        <v>256</v>
      </c>
      <c r="K1453" s="13" t="s">
        <v>430</v>
      </c>
      <c r="L1453" s="13" t="s">
        <v>1000</v>
      </c>
      <c r="M1453" s="66" t="s">
        <v>258</v>
      </c>
      <c r="N1453" s="66" t="s">
        <v>379</v>
      </c>
      <c r="O1453" s="66" t="s">
        <v>399</v>
      </c>
      <c r="P1453" s="0" t="s">
        <v>2571</v>
      </c>
      <c r="Q1453" s="66" t="s">
        <v>995</v>
      </c>
    </row>
    <row r="1454" customFormat="false" ht="14.25" hidden="false" customHeight="false" outlineLevel="0" collapsed="false">
      <c r="A1454" s="13" t="s">
        <v>815</v>
      </c>
      <c r="B1454" s="13" t="s">
        <v>542</v>
      </c>
      <c r="C1454" s="13" t="s">
        <v>552</v>
      </c>
      <c r="D1454" s="61" t="n">
        <v>45986.2395833333</v>
      </c>
      <c r="E1454" s="61" t="n">
        <v>45986.2395833333</v>
      </c>
      <c r="F1454" s="61" t="n">
        <v>45986.3159722222</v>
      </c>
      <c r="G1454" s="62" t="n">
        <v>0.118055555554747</v>
      </c>
      <c r="H1454" s="13" t="s">
        <v>248</v>
      </c>
      <c r="J1454" s="13" t="s">
        <v>256</v>
      </c>
      <c r="K1454" s="13" t="s">
        <v>430</v>
      </c>
      <c r="L1454" s="13" t="s">
        <v>1000</v>
      </c>
      <c r="M1454" s="66" t="s">
        <v>258</v>
      </c>
      <c r="N1454" s="66" t="s">
        <v>379</v>
      </c>
      <c r="O1454" s="66" t="s">
        <v>399</v>
      </c>
      <c r="P1454" s="0" t="s">
        <v>2572</v>
      </c>
      <c r="Q1454" s="66" t="s">
        <v>995</v>
      </c>
    </row>
    <row r="1455" customFormat="false" ht="14.25" hidden="false" customHeight="false" outlineLevel="0" collapsed="false">
      <c r="A1455" s="13" t="s">
        <v>815</v>
      </c>
      <c r="B1455" s="13" t="s">
        <v>542</v>
      </c>
      <c r="C1455" s="13" t="s">
        <v>553</v>
      </c>
      <c r="D1455" s="61" t="n">
        <v>45986.2395833333</v>
      </c>
      <c r="E1455" s="61" t="n">
        <v>45986.2395833333</v>
      </c>
      <c r="F1455" s="61" t="n">
        <v>45986.3159722222</v>
      </c>
      <c r="G1455" s="62" t="n">
        <v>0.118055555554747</v>
      </c>
      <c r="H1455" s="13" t="s">
        <v>248</v>
      </c>
      <c r="J1455" s="13" t="s">
        <v>256</v>
      </c>
      <c r="K1455" s="13" t="s">
        <v>430</v>
      </c>
      <c r="L1455" s="13" t="s">
        <v>1000</v>
      </c>
      <c r="M1455" s="66" t="s">
        <v>258</v>
      </c>
      <c r="N1455" s="66" t="s">
        <v>379</v>
      </c>
      <c r="O1455" s="66" t="s">
        <v>399</v>
      </c>
      <c r="P1455" s="0" t="s">
        <v>2573</v>
      </c>
      <c r="Q1455" s="66" t="s">
        <v>995</v>
      </c>
    </row>
    <row r="1456" customFormat="false" ht="14.25" hidden="false" customHeight="false" outlineLevel="0" collapsed="false">
      <c r="A1456" s="13" t="s">
        <v>815</v>
      </c>
      <c r="B1456" s="13" t="s">
        <v>542</v>
      </c>
      <c r="C1456" s="13" t="s">
        <v>554</v>
      </c>
      <c r="D1456" s="61" t="n">
        <v>45986.2395833333</v>
      </c>
      <c r="E1456" s="61" t="n">
        <v>45986.2395833333</v>
      </c>
      <c r="F1456" s="61" t="n">
        <v>45986.3159722222</v>
      </c>
      <c r="G1456" s="62" t="n">
        <v>0.118055555554747</v>
      </c>
      <c r="H1456" s="13" t="s">
        <v>248</v>
      </c>
      <c r="J1456" s="13" t="s">
        <v>256</v>
      </c>
      <c r="K1456" s="13" t="s">
        <v>430</v>
      </c>
      <c r="L1456" s="13" t="s">
        <v>1000</v>
      </c>
      <c r="M1456" s="66" t="s">
        <v>258</v>
      </c>
      <c r="N1456" s="66" t="s">
        <v>379</v>
      </c>
      <c r="O1456" s="66" t="s">
        <v>399</v>
      </c>
      <c r="P1456" s="0" t="s">
        <v>2574</v>
      </c>
      <c r="Q1456" s="66" t="s">
        <v>995</v>
      </c>
    </row>
    <row r="1457" customFormat="false" ht="14.25" hidden="false" customHeight="false" outlineLevel="0" collapsed="false">
      <c r="A1457" s="13" t="s">
        <v>815</v>
      </c>
      <c r="B1457" s="13" t="s">
        <v>542</v>
      </c>
      <c r="C1457" s="13" t="s">
        <v>555</v>
      </c>
      <c r="D1457" s="61" t="n">
        <v>45986.2395833333</v>
      </c>
      <c r="E1457" s="61" t="n">
        <v>45986.2395833333</v>
      </c>
      <c r="F1457" s="61" t="n">
        <v>45986.3159722222</v>
      </c>
      <c r="G1457" s="62" t="n">
        <v>0.118055555554747</v>
      </c>
      <c r="H1457" s="13" t="s">
        <v>248</v>
      </c>
      <c r="J1457" s="13" t="s">
        <v>256</v>
      </c>
      <c r="K1457" s="13" t="s">
        <v>430</v>
      </c>
      <c r="L1457" s="13" t="s">
        <v>1000</v>
      </c>
      <c r="M1457" s="66" t="s">
        <v>258</v>
      </c>
      <c r="N1457" s="66" t="s">
        <v>379</v>
      </c>
      <c r="O1457" s="66" t="s">
        <v>399</v>
      </c>
      <c r="P1457" s="0" t="s">
        <v>2575</v>
      </c>
      <c r="Q1457" s="66" t="s">
        <v>995</v>
      </c>
    </row>
    <row r="1458" customFormat="false" ht="14.25" hidden="false" customHeight="false" outlineLevel="0" collapsed="false">
      <c r="A1458" s="13" t="s">
        <v>815</v>
      </c>
      <c r="B1458" s="13" t="s">
        <v>542</v>
      </c>
      <c r="C1458" s="13" t="s">
        <v>556</v>
      </c>
      <c r="D1458" s="61" t="n">
        <v>45986.2395833333</v>
      </c>
      <c r="E1458" s="61" t="n">
        <v>45986.2395833333</v>
      </c>
      <c r="F1458" s="61" t="n">
        <v>45986.3159722222</v>
      </c>
      <c r="G1458" s="62" t="n">
        <v>0.118055555554747</v>
      </c>
      <c r="H1458" s="13" t="s">
        <v>248</v>
      </c>
      <c r="J1458" s="13" t="s">
        <v>256</v>
      </c>
      <c r="K1458" s="13" t="s">
        <v>430</v>
      </c>
      <c r="L1458" s="13" t="s">
        <v>1000</v>
      </c>
      <c r="M1458" s="66" t="s">
        <v>258</v>
      </c>
      <c r="N1458" s="66" t="s">
        <v>379</v>
      </c>
      <c r="O1458" s="66" t="s">
        <v>399</v>
      </c>
      <c r="P1458" s="0" t="s">
        <v>2576</v>
      </c>
      <c r="Q1458" s="66" t="s">
        <v>995</v>
      </c>
    </row>
    <row r="1459" customFormat="false" ht="14.25" hidden="false" customHeight="false" outlineLevel="0" collapsed="false">
      <c r="A1459" s="13" t="s">
        <v>815</v>
      </c>
      <c r="B1459" s="13" t="s">
        <v>542</v>
      </c>
      <c r="C1459" s="13" t="s">
        <v>557</v>
      </c>
      <c r="D1459" s="61" t="n">
        <v>45986.2395833333</v>
      </c>
      <c r="E1459" s="61" t="n">
        <v>45986.2395833333</v>
      </c>
      <c r="F1459" s="61" t="n">
        <v>45986.3159722222</v>
      </c>
      <c r="G1459" s="62" t="n">
        <v>0.118055555554747</v>
      </c>
      <c r="H1459" s="13" t="s">
        <v>248</v>
      </c>
      <c r="J1459" s="13" t="s">
        <v>256</v>
      </c>
      <c r="K1459" s="13" t="s">
        <v>430</v>
      </c>
      <c r="L1459" s="13" t="s">
        <v>1000</v>
      </c>
      <c r="M1459" s="66" t="s">
        <v>258</v>
      </c>
      <c r="N1459" s="66" t="s">
        <v>379</v>
      </c>
      <c r="O1459" s="66" t="s">
        <v>399</v>
      </c>
      <c r="P1459" s="0" t="s">
        <v>2577</v>
      </c>
      <c r="Q1459" s="66" t="s">
        <v>995</v>
      </c>
    </row>
    <row r="1460" customFormat="false" ht="14.25" hidden="false" customHeight="false" outlineLevel="0" collapsed="false">
      <c r="A1460" s="13" t="s">
        <v>815</v>
      </c>
      <c r="B1460" s="13" t="s">
        <v>542</v>
      </c>
      <c r="C1460" s="13" t="s">
        <v>558</v>
      </c>
      <c r="D1460" s="61" t="n">
        <v>45986.2395833333</v>
      </c>
      <c r="E1460" s="61" t="n">
        <v>45986.2395833333</v>
      </c>
      <c r="F1460" s="61" t="n">
        <v>45986.3159722222</v>
      </c>
      <c r="G1460" s="62" t="n">
        <v>0.118055555554747</v>
      </c>
      <c r="H1460" s="13" t="s">
        <v>248</v>
      </c>
      <c r="J1460" s="13" t="s">
        <v>256</v>
      </c>
      <c r="K1460" s="13" t="s">
        <v>430</v>
      </c>
      <c r="L1460" s="13" t="s">
        <v>1000</v>
      </c>
      <c r="M1460" s="66" t="s">
        <v>258</v>
      </c>
      <c r="N1460" s="66" t="s">
        <v>379</v>
      </c>
      <c r="O1460" s="66" t="s">
        <v>399</v>
      </c>
      <c r="P1460" s="0" t="s">
        <v>2578</v>
      </c>
      <c r="Q1460" s="66" t="s">
        <v>995</v>
      </c>
    </row>
    <row r="1461" customFormat="false" ht="14.25" hidden="false" customHeight="false" outlineLevel="0" collapsed="false">
      <c r="A1461" s="13" t="s">
        <v>828</v>
      </c>
      <c r="B1461" s="13" t="s">
        <v>542</v>
      </c>
      <c r="C1461" s="13" t="s">
        <v>559</v>
      </c>
      <c r="D1461" s="61" t="n">
        <v>45986.2395833333</v>
      </c>
      <c r="E1461" s="61" t="n">
        <v>45986.2395833333</v>
      </c>
      <c r="F1461" s="61" t="n">
        <v>45986.3159722222</v>
      </c>
      <c r="G1461" s="62" t="n">
        <v>0.118055555554747</v>
      </c>
      <c r="H1461" s="13" t="s">
        <v>248</v>
      </c>
      <c r="J1461" s="13" t="s">
        <v>256</v>
      </c>
      <c r="K1461" s="13" t="s">
        <v>430</v>
      </c>
      <c r="L1461" s="13" t="s">
        <v>1000</v>
      </c>
      <c r="M1461" s="66" t="s">
        <v>258</v>
      </c>
      <c r="N1461" s="66" t="s">
        <v>379</v>
      </c>
      <c r="O1461" s="66" t="s">
        <v>399</v>
      </c>
      <c r="P1461" s="0" t="s">
        <v>2579</v>
      </c>
      <c r="Q1461" s="66" t="s">
        <v>995</v>
      </c>
    </row>
    <row r="1462" customFormat="false" ht="14.25" hidden="false" customHeight="false" outlineLevel="0" collapsed="false">
      <c r="A1462" s="13" t="s">
        <v>828</v>
      </c>
      <c r="B1462" s="13" t="s">
        <v>542</v>
      </c>
      <c r="C1462" s="13" t="s">
        <v>560</v>
      </c>
      <c r="D1462" s="61" t="n">
        <v>45986.2395833333</v>
      </c>
      <c r="E1462" s="61" t="n">
        <v>45986.2395833333</v>
      </c>
      <c r="F1462" s="61" t="n">
        <v>45986.3159722222</v>
      </c>
      <c r="G1462" s="62" t="n">
        <v>0.118055555554747</v>
      </c>
      <c r="H1462" s="13" t="s">
        <v>248</v>
      </c>
      <c r="J1462" s="13" t="s">
        <v>256</v>
      </c>
      <c r="K1462" s="13" t="s">
        <v>430</v>
      </c>
      <c r="L1462" s="13" t="s">
        <v>1000</v>
      </c>
      <c r="M1462" s="66" t="s">
        <v>258</v>
      </c>
      <c r="N1462" s="66" t="s">
        <v>379</v>
      </c>
      <c r="O1462" s="66" t="s">
        <v>399</v>
      </c>
      <c r="P1462" s="0" t="s">
        <v>2580</v>
      </c>
      <c r="Q1462" s="66" t="s">
        <v>995</v>
      </c>
    </row>
    <row r="1463" customFormat="false" ht="14.25" hidden="false" customHeight="false" outlineLevel="0" collapsed="false">
      <c r="A1463" s="13" t="s">
        <v>828</v>
      </c>
      <c r="B1463" s="13" t="s">
        <v>542</v>
      </c>
      <c r="C1463" s="13" t="s">
        <v>561</v>
      </c>
      <c r="D1463" s="61" t="n">
        <v>45986.2395833333</v>
      </c>
      <c r="E1463" s="61" t="n">
        <v>45986.2395833333</v>
      </c>
      <c r="F1463" s="61" t="n">
        <v>45986.3159722222</v>
      </c>
      <c r="G1463" s="62" t="n">
        <v>0.118055555554747</v>
      </c>
      <c r="H1463" s="13" t="s">
        <v>248</v>
      </c>
      <c r="J1463" s="13" t="s">
        <v>256</v>
      </c>
      <c r="K1463" s="13" t="s">
        <v>430</v>
      </c>
      <c r="L1463" s="13" t="s">
        <v>1000</v>
      </c>
      <c r="M1463" s="66" t="s">
        <v>258</v>
      </c>
      <c r="N1463" s="66" t="s">
        <v>379</v>
      </c>
      <c r="O1463" s="66" t="s">
        <v>399</v>
      </c>
      <c r="P1463" s="0" t="s">
        <v>2581</v>
      </c>
      <c r="Q1463" s="66" t="s">
        <v>995</v>
      </c>
    </row>
    <row r="1464" customFormat="false" ht="14.25" hidden="false" customHeight="false" outlineLevel="0" collapsed="false">
      <c r="A1464" s="13" t="s">
        <v>828</v>
      </c>
      <c r="B1464" s="13" t="s">
        <v>542</v>
      </c>
      <c r="C1464" s="13" t="s">
        <v>562</v>
      </c>
      <c r="D1464" s="61" t="n">
        <v>45986.2395833333</v>
      </c>
      <c r="E1464" s="61" t="n">
        <v>45986.2395833333</v>
      </c>
      <c r="F1464" s="61" t="n">
        <v>45986.3159722222</v>
      </c>
      <c r="G1464" s="62" t="n">
        <v>0.118055555554747</v>
      </c>
      <c r="H1464" s="13" t="s">
        <v>248</v>
      </c>
      <c r="J1464" s="13" t="s">
        <v>256</v>
      </c>
      <c r="K1464" s="13" t="s">
        <v>430</v>
      </c>
      <c r="L1464" s="13" t="s">
        <v>1000</v>
      </c>
      <c r="M1464" s="66" t="s">
        <v>258</v>
      </c>
      <c r="N1464" s="66" t="s">
        <v>379</v>
      </c>
      <c r="O1464" s="66" t="s">
        <v>399</v>
      </c>
      <c r="P1464" s="0" t="s">
        <v>2582</v>
      </c>
      <c r="Q1464" s="66" t="s">
        <v>995</v>
      </c>
    </row>
    <row r="1465" customFormat="false" ht="14.25" hidden="false" customHeight="false" outlineLevel="0" collapsed="false">
      <c r="A1465" s="13" t="s">
        <v>828</v>
      </c>
      <c r="B1465" s="13" t="s">
        <v>542</v>
      </c>
      <c r="C1465" s="13" t="s">
        <v>563</v>
      </c>
      <c r="D1465" s="61" t="n">
        <v>45986.2395833333</v>
      </c>
      <c r="E1465" s="61" t="n">
        <v>45986.2395833333</v>
      </c>
      <c r="F1465" s="61" t="n">
        <v>45986.3159722222</v>
      </c>
      <c r="G1465" s="62" t="n">
        <v>0.118055555554747</v>
      </c>
      <c r="H1465" s="13" t="s">
        <v>248</v>
      </c>
      <c r="J1465" s="13" t="s">
        <v>256</v>
      </c>
      <c r="K1465" s="13" t="s">
        <v>430</v>
      </c>
      <c r="L1465" s="13" t="s">
        <v>1000</v>
      </c>
      <c r="M1465" s="66" t="s">
        <v>258</v>
      </c>
      <c r="N1465" s="66" t="s">
        <v>379</v>
      </c>
      <c r="O1465" s="66" t="s">
        <v>399</v>
      </c>
      <c r="P1465" s="0" t="s">
        <v>2583</v>
      </c>
      <c r="Q1465" s="66" t="s">
        <v>995</v>
      </c>
    </row>
    <row r="1466" customFormat="false" ht="14.25" hidden="false" customHeight="false" outlineLevel="0" collapsed="false">
      <c r="A1466" s="13" t="s">
        <v>829</v>
      </c>
      <c r="B1466" s="13" t="s">
        <v>542</v>
      </c>
      <c r="C1466" s="13" t="s">
        <v>564</v>
      </c>
      <c r="D1466" s="61" t="n">
        <v>45986.2395833333</v>
      </c>
      <c r="E1466" s="61" t="n">
        <v>45986.2395833333</v>
      </c>
      <c r="F1466" s="61" t="n">
        <v>45986.3159722222</v>
      </c>
      <c r="G1466" s="62" t="n">
        <v>0.118055555554747</v>
      </c>
      <c r="H1466" s="13" t="s">
        <v>248</v>
      </c>
      <c r="J1466" s="13" t="s">
        <v>256</v>
      </c>
      <c r="K1466" s="13" t="s">
        <v>430</v>
      </c>
      <c r="L1466" s="13" t="s">
        <v>1000</v>
      </c>
      <c r="M1466" s="66" t="s">
        <v>258</v>
      </c>
      <c r="N1466" s="66" t="s">
        <v>379</v>
      </c>
      <c r="O1466" s="66" t="s">
        <v>399</v>
      </c>
      <c r="P1466" s="0" t="s">
        <v>2584</v>
      </c>
      <c r="Q1466" s="66" t="s">
        <v>995</v>
      </c>
    </row>
    <row r="1467" customFormat="false" ht="14.25" hidden="false" customHeight="false" outlineLevel="0" collapsed="false">
      <c r="A1467" s="13" t="s">
        <v>829</v>
      </c>
      <c r="B1467" s="13" t="s">
        <v>542</v>
      </c>
      <c r="C1467" s="13" t="s">
        <v>565</v>
      </c>
      <c r="D1467" s="61" t="n">
        <v>45986.2395833333</v>
      </c>
      <c r="E1467" s="61" t="n">
        <v>45986.2395833333</v>
      </c>
      <c r="F1467" s="61" t="n">
        <v>45986.3159722222</v>
      </c>
      <c r="G1467" s="62" t="n">
        <v>0.118055555554747</v>
      </c>
      <c r="H1467" s="13" t="s">
        <v>248</v>
      </c>
      <c r="J1467" s="13" t="s">
        <v>256</v>
      </c>
      <c r="K1467" s="13" t="s">
        <v>430</v>
      </c>
      <c r="L1467" s="13" t="s">
        <v>1000</v>
      </c>
      <c r="M1467" s="66" t="s">
        <v>258</v>
      </c>
      <c r="N1467" s="66" t="s">
        <v>379</v>
      </c>
      <c r="O1467" s="66" t="s">
        <v>399</v>
      </c>
      <c r="P1467" s="0" t="s">
        <v>2585</v>
      </c>
      <c r="Q1467" s="66" t="s">
        <v>995</v>
      </c>
    </row>
    <row r="1468" customFormat="false" ht="14.25" hidden="false" customHeight="false" outlineLevel="0" collapsed="false">
      <c r="A1468" s="13" t="s">
        <v>829</v>
      </c>
      <c r="B1468" s="13" t="s">
        <v>542</v>
      </c>
      <c r="C1468" s="13" t="s">
        <v>566</v>
      </c>
      <c r="D1468" s="61" t="n">
        <v>45986.2395833333</v>
      </c>
      <c r="E1468" s="61" t="n">
        <v>45986.2395833333</v>
      </c>
      <c r="F1468" s="61" t="n">
        <v>45986.3159722222</v>
      </c>
      <c r="G1468" s="62" t="n">
        <v>0.118055555554747</v>
      </c>
      <c r="H1468" s="13" t="s">
        <v>248</v>
      </c>
      <c r="J1468" s="13" t="s">
        <v>256</v>
      </c>
      <c r="K1468" s="13" t="s">
        <v>430</v>
      </c>
      <c r="L1468" s="13" t="s">
        <v>1000</v>
      </c>
      <c r="M1468" s="66" t="s">
        <v>258</v>
      </c>
      <c r="N1468" s="66" t="s">
        <v>379</v>
      </c>
      <c r="O1468" s="66" t="s">
        <v>399</v>
      </c>
      <c r="P1468" s="0" t="s">
        <v>2586</v>
      </c>
      <c r="Q1468" s="66" t="s">
        <v>995</v>
      </c>
    </row>
    <row r="1469" customFormat="false" ht="14.25" hidden="false" customHeight="false" outlineLevel="0" collapsed="false">
      <c r="A1469" s="13" t="s">
        <v>829</v>
      </c>
      <c r="B1469" s="13" t="s">
        <v>542</v>
      </c>
      <c r="C1469" s="13" t="s">
        <v>567</v>
      </c>
      <c r="D1469" s="61" t="n">
        <v>45986.2395833333</v>
      </c>
      <c r="E1469" s="61" t="n">
        <v>45986.2395833333</v>
      </c>
      <c r="F1469" s="61" t="n">
        <v>45986.3159722222</v>
      </c>
      <c r="G1469" s="62" t="n">
        <v>0.118055555554747</v>
      </c>
      <c r="H1469" s="13" t="s">
        <v>248</v>
      </c>
      <c r="J1469" s="13" t="s">
        <v>256</v>
      </c>
      <c r="K1469" s="13" t="s">
        <v>430</v>
      </c>
      <c r="L1469" s="13" t="s">
        <v>1000</v>
      </c>
      <c r="M1469" s="66" t="s">
        <v>258</v>
      </c>
      <c r="N1469" s="66" t="s">
        <v>379</v>
      </c>
      <c r="O1469" s="66" t="s">
        <v>399</v>
      </c>
      <c r="P1469" s="0" t="s">
        <v>2587</v>
      </c>
      <c r="Q1469" s="66" t="s">
        <v>995</v>
      </c>
    </row>
    <row r="1470" customFormat="false" ht="14.25" hidden="false" customHeight="false" outlineLevel="0" collapsed="false">
      <c r="A1470" s="13" t="s">
        <v>830</v>
      </c>
      <c r="B1470" s="13" t="s">
        <v>542</v>
      </c>
      <c r="C1470" s="13" t="s">
        <v>568</v>
      </c>
      <c r="D1470" s="61" t="n">
        <v>45986.2395833333</v>
      </c>
      <c r="E1470" s="61" t="n">
        <v>45986.2395833333</v>
      </c>
      <c r="F1470" s="61" t="n">
        <v>45986.3159722222</v>
      </c>
      <c r="G1470" s="62" t="n">
        <v>0.118055555554747</v>
      </c>
      <c r="H1470" s="13" t="s">
        <v>248</v>
      </c>
      <c r="J1470" s="13" t="s">
        <v>256</v>
      </c>
      <c r="K1470" s="13" t="s">
        <v>430</v>
      </c>
      <c r="L1470" s="13" t="s">
        <v>1000</v>
      </c>
      <c r="M1470" s="66" t="s">
        <v>258</v>
      </c>
      <c r="N1470" s="66" t="s">
        <v>379</v>
      </c>
      <c r="O1470" s="66" t="s">
        <v>399</v>
      </c>
      <c r="P1470" s="0" t="s">
        <v>2588</v>
      </c>
      <c r="Q1470" s="66" t="s">
        <v>995</v>
      </c>
    </row>
    <row r="1471" customFormat="false" ht="14.25" hidden="false" customHeight="false" outlineLevel="0" collapsed="false">
      <c r="A1471" s="13" t="s">
        <v>830</v>
      </c>
      <c r="B1471" s="13" t="s">
        <v>542</v>
      </c>
      <c r="C1471" s="13" t="s">
        <v>569</v>
      </c>
      <c r="D1471" s="61" t="n">
        <v>45986.2395833333</v>
      </c>
      <c r="E1471" s="61" t="n">
        <v>45986.2395833333</v>
      </c>
      <c r="F1471" s="61" t="n">
        <v>45986.3159722222</v>
      </c>
      <c r="G1471" s="62" t="n">
        <v>0.118055555554747</v>
      </c>
      <c r="H1471" s="13" t="s">
        <v>248</v>
      </c>
      <c r="J1471" s="13" t="s">
        <v>256</v>
      </c>
      <c r="K1471" s="13" t="s">
        <v>430</v>
      </c>
      <c r="L1471" s="13" t="s">
        <v>1000</v>
      </c>
      <c r="M1471" s="66" t="s">
        <v>258</v>
      </c>
      <c r="N1471" s="66" t="s">
        <v>379</v>
      </c>
      <c r="O1471" s="66" t="s">
        <v>399</v>
      </c>
      <c r="P1471" s="0" t="s">
        <v>2589</v>
      </c>
      <c r="Q1471" s="66" t="s">
        <v>995</v>
      </c>
    </row>
    <row r="1472" customFormat="false" ht="14.25" hidden="false" customHeight="false" outlineLevel="0" collapsed="false">
      <c r="A1472" s="13" t="s">
        <v>830</v>
      </c>
      <c r="B1472" s="13" t="s">
        <v>542</v>
      </c>
      <c r="C1472" s="13" t="s">
        <v>570</v>
      </c>
      <c r="D1472" s="61" t="n">
        <v>45986.2395833333</v>
      </c>
      <c r="E1472" s="61" t="n">
        <v>45986.2395833333</v>
      </c>
      <c r="F1472" s="61" t="n">
        <v>45986.3159722222</v>
      </c>
      <c r="G1472" s="62" t="n">
        <v>0.118055555554747</v>
      </c>
      <c r="H1472" s="13" t="s">
        <v>248</v>
      </c>
      <c r="J1472" s="13" t="s">
        <v>256</v>
      </c>
      <c r="K1472" s="13" t="s">
        <v>430</v>
      </c>
      <c r="L1472" s="13" t="s">
        <v>1000</v>
      </c>
      <c r="M1472" s="66" t="s">
        <v>258</v>
      </c>
      <c r="N1472" s="66" t="s">
        <v>379</v>
      </c>
      <c r="O1472" s="66" t="s">
        <v>399</v>
      </c>
      <c r="P1472" s="0" t="s">
        <v>2590</v>
      </c>
      <c r="Q1472" s="66" t="s">
        <v>995</v>
      </c>
    </row>
    <row r="1473" customFormat="false" ht="14.25" hidden="false" customHeight="false" outlineLevel="0" collapsed="false">
      <c r="A1473" s="13" t="s">
        <v>830</v>
      </c>
      <c r="B1473" s="13" t="s">
        <v>542</v>
      </c>
      <c r="C1473" s="13" t="s">
        <v>571</v>
      </c>
      <c r="D1473" s="61" t="n">
        <v>45986.2395833333</v>
      </c>
      <c r="E1473" s="61" t="n">
        <v>45986.2395833333</v>
      </c>
      <c r="F1473" s="61" t="n">
        <v>45986.3159722222</v>
      </c>
      <c r="G1473" s="62" t="n">
        <v>0.118055555554747</v>
      </c>
      <c r="H1473" s="13" t="s">
        <v>248</v>
      </c>
      <c r="J1473" s="13" t="s">
        <v>256</v>
      </c>
      <c r="K1473" s="13" t="s">
        <v>430</v>
      </c>
      <c r="L1473" s="13" t="s">
        <v>1000</v>
      </c>
      <c r="M1473" s="66" t="s">
        <v>258</v>
      </c>
      <c r="N1473" s="66" t="s">
        <v>379</v>
      </c>
      <c r="O1473" s="66" t="s">
        <v>399</v>
      </c>
      <c r="P1473" s="0" t="s">
        <v>2591</v>
      </c>
      <c r="Q1473" s="66" t="s">
        <v>995</v>
      </c>
    </row>
    <row r="1474" customFormat="false" ht="14.25" hidden="false" customHeight="false" outlineLevel="0" collapsed="false">
      <c r="A1474" s="13" t="s">
        <v>830</v>
      </c>
      <c r="B1474" s="13" t="s">
        <v>542</v>
      </c>
      <c r="C1474" s="13" t="s">
        <v>572</v>
      </c>
      <c r="D1474" s="61" t="n">
        <v>45986.2395833333</v>
      </c>
      <c r="E1474" s="61" t="n">
        <v>45986.2395833333</v>
      </c>
      <c r="F1474" s="61" t="n">
        <v>45986.3159722222</v>
      </c>
      <c r="G1474" s="62" t="n">
        <v>0.118055555554747</v>
      </c>
      <c r="H1474" s="13" t="s">
        <v>248</v>
      </c>
      <c r="J1474" s="13" t="s">
        <v>256</v>
      </c>
      <c r="K1474" s="13" t="s">
        <v>430</v>
      </c>
      <c r="L1474" s="13" t="s">
        <v>1000</v>
      </c>
      <c r="M1474" s="66" t="s">
        <v>258</v>
      </c>
      <c r="N1474" s="66" t="s">
        <v>379</v>
      </c>
      <c r="O1474" s="66" t="s">
        <v>399</v>
      </c>
      <c r="P1474" s="0" t="s">
        <v>2592</v>
      </c>
      <c r="Q1474" s="66" t="s">
        <v>995</v>
      </c>
    </row>
    <row r="1475" customFormat="false" ht="14.25" hidden="false" customHeight="false" outlineLevel="0" collapsed="false">
      <c r="A1475" s="13" t="s">
        <v>578</v>
      </c>
      <c r="B1475" s="13" t="s">
        <v>578</v>
      </c>
      <c r="C1475" s="13" t="s">
        <v>396</v>
      </c>
      <c r="D1475" s="61" t="n">
        <v>45986.2395833333</v>
      </c>
      <c r="E1475" s="61" t="n">
        <v>45986.2395833333</v>
      </c>
      <c r="F1475" s="61" t="n">
        <v>45986.3159722222</v>
      </c>
      <c r="G1475" s="62" t="n">
        <v>0.118055555554747</v>
      </c>
      <c r="H1475" s="13" t="s">
        <v>248</v>
      </c>
      <c r="J1475" s="13" t="s">
        <v>256</v>
      </c>
      <c r="K1475" s="13" t="s">
        <v>430</v>
      </c>
      <c r="L1475" s="13" t="s">
        <v>1000</v>
      </c>
      <c r="M1475" s="66" t="s">
        <v>258</v>
      </c>
      <c r="N1475" s="66" t="s">
        <v>379</v>
      </c>
      <c r="O1475" s="66" t="s">
        <v>399</v>
      </c>
      <c r="P1475" s="0" t="s">
        <v>2593</v>
      </c>
      <c r="Q1475" s="66" t="s">
        <v>995</v>
      </c>
    </row>
    <row r="1476" customFormat="false" ht="14.25" hidden="false" customHeight="false" outlineLevel="0" collapsed="false">
      <c r="A1476" s="13" t="s">
        <v>578</v>
      </c>
      <c r="B1476" s="13" t="s">
        <v>578</v>
      </c>
      <c r="C1476" s="13" t="s">
        <v>397</v>
      </c>
      <c r="D1476" s="61" t="n">
        <v>45986.2395833333</v>
      </c>
      <c r="E1476" s="61" t="n">
        <v>45986.2395833333</v>
      </c>
      <c r="F1476" s="61" t="n">
        <v>45986.3159722222</v>
      </c>
      <c r="G1476" s="62" t="n">
        <v>0.118055555554747</v>
      </c>
      <c r="H1476" s="13" t="s">
        <v>248</v>
      </c>
      <c r="J1476" s="13" t="s">
        <v>256</v>
      </c>
      <c r="K1476" s="13" t="s">
        <v>430</v>
      </c>
      <c r="L1476" s="13" t="s">
        <v>1000</v>
      </c>
      <c r="M1476" s="66" t="s">
        <v>258</v>
      </c>
      <c r="N1476" s="66" t="s">
        <v>379</v>
      </c>
      <c r="O1476" s="66" t="s">
        <v>399</v>
      </c>
      <c r="P1476" s="0" t="s">
        <v>2594</v>
      </c>
      <c r="Q1476" s="66" t="s">
        <v>995</v>
      </c>
    </row>
    <row r="1477" customFormat="false" ht="14.25" hidden="false" customHeight="false" outlineLevel="0" collapsed="false">
      <c r="A1477" s="13" t="s">
        <v>578</v>
      </c>
      <c r="B1477" s="13" t="s">
        <v>578</v>
      </c>
      <c r="C1477" s="13" t="s">
        <v>394</v>
      </c>
      <c r="D1477" s="61" t="n">
        <v>45986.2395833333</v>
      </c>
      <c r="E1477" s="61" t="n">
        <v>45986.2395833333</v>
      </c>
      <c r="F1477" s="61" t="n">
        <v>45986.3159722222</v>
      </c>
      <c r="G1477" s="62" t="n">
        <v>0.118055555554747</v>
      </c>
      <c r="H1477" s="13" t="s">
        <v>248</v>
      </c>
      <c r="J1477" s="13" t="s">
        <v>256</v>
      </c>
      <c r="K1477" s="13" t="s">
        <v>430</v>
      </c>
      <c r="L1477" s="13" t="s">
        <v>1000</v>
      </c>
      <c r="M1477" s="66" t="s">
        <v>258</v>
      </c>
      <c r="N1477" s="66" t="s">
        <v>379</v>
      </c>
      <c r="O1477" s="66" t="s">
        <v>399</v>
      </c>
      <c r="P1477" s="0" t="s">
        <v>2595</v>
      </c>
      <c r="Q1477" s="66" t="s">
        <v>995</v>
      </c>
    </row>
    <row r="1478" customFormat="false" ht="14.25" hidden="false" customHeight="false" outlineLevel="0" collapsed="false">
      <c r="A1478" s="13" t="s">
        <v>578</v>
      </c>
      <c r="B1478" s="13" t="s">
        <v>578</v>
      </c>
      <c r="C1478" s="13" t="s">
        <v>395</v>
      </c>
      <c r="D1478" s="61" t="n">
        <v>45986.2395833333</v>
      </c>
      <c r="E1478" s="61" t="n">
        <v>45986.2395833333</v>
      </c>
      <c r="F1478" s="61" t="n">
        <v>45986.3159722222</v>
      </c>
      <c r="G1478" s="62" t="n">
        <v>0.118055555554747</v>
      </c>
      <c r="H1478" s="13" t="s">
        <v>248</v>
      </c>
      <c r="J1478" s="13" t="s">
        <v>256</v>
      </c>
      <c r="K1478" s="13" t="s">
        <v>430</v>
      </c>
      <c r="L1478" s="13" t="s">
        <v>1000</v>
      </c>
      <c r="M1478" s="66" t="s">
        <v>258</v>
      </c>
      <c r="N1478" s="66" t="s">
        <v>379</v>
      </c>
      <c r="O1478" s="66" t="s">
        <v>399</v>
      </c>
      <c r="P1478" s="0" t="s">
        <v>2596</v>
      </c>
      <c r="Q1478" s="66" t="s">
        <v>995</v>
      </c>
    </row>
    <row r="1479" customFormat="false" ht="14.25" hidden="false" customHeight="false" outlineLevel="0" collapsed="false">
      <c r="A1479" s="13" t="s">
        <v>578</v>
      </c>
      <c r="B1479" s="13" t="s">
        <v>578</v>
      </c>
      <c r="C1479" s="13" t="s">
        <v>391</v>
      </c>
      <c r="D1479" s="61" t="n">
        <v>45986.2395833333</v>
      </c>
      <c r="E1479" s="61" t="n">
        <v>45986.2395833333</v>
      </c>
      <c r="F1479" s="61" t="n">
        <v>45986.3159722222</v>
      </c>
      <c r="G1479" s="62" t="n">
        <v>0.118055555554747</v>
      </c>
      <c r="H1479" s="13" t="s">
        <v>248</v>
      </c>
      <c r="J1479" s="13" t="s">
        <v>256</v>
      </c>
      <c r="K1479" s="13" t="s">
        <v>430</v>
      </c>
      <c r="L1479" s="13" t="s">
        <v>1000</v>
      </c>
      <c r="M1479" s="66" t="s">
        <v>258</v>
      </c>
      <c r="N1479" s="66" t="s">
        <v>379</v>
      </c>
      <c r="O1479" s="66" t="s">
        <v>399</v>
      </c>
      <c r="P1479" s="0" t="s">
        <v>2597</v>
      </c>
      <c r="Q1479" s="66" t="s">
        <v>995</v>
      </c>
    </row>
    <row r="1480" customFormat="false" ht="14.25" hidden="false" customHeight="false" outlineLevel="0" collapsed="false">
      <c r="A1480" s="13" t="s">
        <v>579</v>
      </c>
      <c r="B1480" s="13" t="s">
        <v>579</v>
      </c>
      <c r="C1480" s="13" t="s">
        <v>396</v>
      </c>
      <c r="D1480" s="61" t="n">
        <v>45986.2395833333</v>
      </c>
      <c r="E1480" s="61" t="n">
        <v>45986.2395833333</v>
      </c>
      <c r="F1480" s="61" t="n">
        <v>45986.3159722222</v>
      </c>
      <c r="G1480" s="62" t="n">
        <v>0.118055555554747</v>
      </c>
      <c r="H1480" s="13" t="s">
        <v>248</v>
      </c>
      <c r="J1480" s="13" t="s">
        <v>256</v>
      </c>
      <c r="K1480" s="13" t="s">
        <v>430</v>
      </c>
      <c r="L1480" s="13" t="s">
        <v>1000</v>
      </c>
      <c r="M1480" s="66" t="s">
        <v>258</v>
      </c>
      <c r="N1480" s="66" t="s">
        <v>379</v>
      </c>
      <c r="O1480" s="66" t="s">
        <v>399</v>
      </c>
      <c r="P1480" s="0" t="s">
        <v>2598</v>
      </c>
      <c r="Q1480" s="66" t="s">
        <v>995</v>
      </c>
    </row>
    <row r="1481" customFormat="false" ht="14.25" hidden="false" customHeight="false" outlineLevel="0" collapsed="false">
      <c r="A1481" s="13" t="s">
        <v>579</v>
      </c>
      <c r="B1481" s="13" t="s">
        <v>579</v>
      </c>
      <c r="C1481" s="13" t="s">
        <v>397</v>
      </c>
      <c r="D1481" s="61" t="n">
        <v>45986.2395833333</v>
      </c>
      <c r="E1481" s="61" t="n">
        <v>45986.2395833333</v>
      </c>
      <c r="F1481" s="61" t="n">
        <v>45986.3159722222</v>
      </c>
      <c r="G1481" s="62" t="n">
        <v>0.118055555554747</v>
      </c>
      <c r="H1481" s="13" t="s">
        <v>248</v>
      </c>
      <c r="J1481" s="13" t="s">
        <v>256</v>
      </c>
      <c r="K1481" s="13" t="s">
        <v>430</v>
      </c>
      <c r="L1481" s="13" t="s">
        <v>1000</v>
      </c>
      <c r="M1481" s="66" t="s">
        <v>258</v>
      </c>
      <c r="N1481" s="66" t="s">
        <v>379</v>
      </c>
      <c r="O1481" s="66" t="s">
        <v>399</v>
      </c>
      <c r="P1481" s="0" t="s">
        <v>2599</v>
      </c>
      <c r="Q1481" s="66" t="s">
        <v>995</v>
      </c>
    </row>
    <row r="1482" customFormat="false" ht="14.25" hidden="false" customHeight="false" outlineLevel="0" collapsed="false">
      <c r="A1482" s="13" t="s">
        <v>579</v>
      </c>
      <c r="B1482" s="13" t="s">
        <v>579</v>
      </c>
      <c r="C1482" s="13" t="s">
        <v>394</v>
      </c>
      <c r="D1482" s="61" t="n">
        <v>45986.2395833333</v>
      </c>
      <c r="E1482" s="61" t="n">
        <v>45986.2395833333</v>
      </c>
      <c r="F1482" s="61" t="n">
        <v>45986.3159722222</v>
      </c>
      <c r="G1482" s="62" t="n">
        <v>0.118055555554747</v>
      </c>
      <c r="H1482" s="13" t="s">
        <v>248</v>
      </c>
      <c r="J1482" s="13" t="s">
        <v>256</v>
      </c>
      <c r="K1482" s="13" t="s">
        <v>430</v>
      </c>
      <c r="L1482" s="13" t="s">
        <v>1000</v>
      </c>
      <c r="M1482" s="66" t="s">
        <v>258</v>
      </c>
      <c r="N1482" s="66" t="s">
        <v>379</v>
      </c>
      <c r="O1482" s="66" t="s">
        <v>399</v>
      </c>
      <c r="P1482" s="0" t="s">
        <v>2600</v>
      </c>
      <c r="Q1482" s="66" t="s">
        <v>995</v>
      </c>
    </row>
    <row r="1483" customFormat="false" ht="14.25" hidden="false" customHeight="false" outlineLevel="0" collapsed="false">
      <c r="A1483" s="13" t="s">
        <v>579</v>
      </c>
      <c r="B1483" s="13" t="s">
        <v>579</v>
      </c>
      <c r="C1483" s="13" t="s">
        <v>395</v>
      </c>
      <c r="D1483" s="61" t="n">
        <v>45986.2395833333</v>
      </c>
      <c r="E1483" s="61" t="n">
        <v>45986.2395833333</v>
      </c>
      <c r="F1483" s="61" t="n">
        <v>45986.3159722222</v>
      </c>
      <c r="G1483" s="62" t="n">
        <v>0.118055555554747</v>
      </c>
      <c r="H1483" s="13" t="s">
        <v>248</v>
      </c>
      <c r="J1483" s="13" t="s">
        <v>256</v>
      </c>
      <c r="K1483" s="13" t="s">
        <v>430</v>
      </c>
      <c r="L1483" s="13" t="s">
        <v>1000</v>
      </c>
      <c r="M1483" s="66" t="s">
        <v>258</v>
      </c>
      <c r="N1483" s="66" t="s">
        <v>379</v>
      </c>
      <c r="O1483" s="66" t="s">
        <v>399</v>
      </c>
      <c r="P1483" s="0" t="s">
        <v>2601</v>
      </c>
      <c r="Q1483" s="66" t="s">
        <v>995</v>
      </c>
    </row>
    <row r="1484" customFormat="false" ht="14.25" hidden="false" customHeight="false" outlineLevel="0" collapsed="false">
      <c r="A1484" s="13" t="s">
        <v>579</v>
      </c>
      <c r="B1484" s="13" t="s">
        <v>579</v>
      </c>
      <c r="C1484" s="13" t="s">
        <v>391</v>
      </c>
      <c r="D1484" s="61" t="n">
        <v>45986.2395833333</v>
      </c>
      <c r="E1484" s="61" t="n">
        <v>45986.2395833333</v>
      </c>
      <c r="F1484" s="61" t="n">
        <v>45986.3159722222</v>
      </c>
      <c r="G1484" s="62" t="n">
        <v>0.118055555554747</v>
      </c>
      <c r="H1484" s="13" t="s">
        <v>248</v>
      </c>
      <c r="J1484" s="13" t="s">
        <v>256</v>
      </c>
      <c r="K1484" s="13" t="s">
        <v>430</v>
      </c>
      <c r="L1484" s="13" t="s">
        <v>1000</v>
      </c>
      <c r="M1484" s="66" t="s">
        <v>258</v>
      </c>
      <c r="N1484" s="66" t="s">
        <v>379</v>
      </c>
      <c r="O1484" s="66" t="s">
        <v>399</v>
      </c>
      <c r="P1484" s="0" t="s">
        <v>2602</v>
      </c>
      <c r="Q1484" s="66" t="s">
        <v>995</v>
      </c>
    </row>
    <row r="1485" customFormat="false" ht="14.25" hidden="false" customHeight="false" outlineLevel="0" collapsed="false">
      <c r="A1485" s="13" t="s">
        <v>580</v>
      </c>
      <c r="B1485" s="13" t="s">
        <v>580</v>
      </c>
      <c r="C1485" s="13" t="s">
        <v>396</v>
      </c>
      <c r="D1485" s="61" t="n">
        <v>45986.2395833333</v>
      </c>
      <c r="E1485" s="61" t="n">
        <v>45986.2395833333</v>
      </c>
      <c r="F1485" s="61" t="n">
        <v>45986.3159722222</v>
      </c>
      <c r="G1485" s="62" t="n">
        <v>0.118055555554747</v>
      </c>
      <c r="H1485" s="13" t="s">
        <v>248</v>
      </c>
      <c r="J1485" s="13" t="s">
        <v>256</v>
      </c>
      <c r="K1485" s="13" t="s">
        <v>430</v>
      </c>
      <c r="L1485" s="13" t="s">
        <v>1000</v>
      </c>
      <c r="M1485" s="66" t="s">
        <v>258</v>
      </c>
      <c r="N1485" s="66" t="s">
        <v>379</v>
      </c>
      <c r="O1485" s="66" t="s">
        <v>399</v>
      </c>
      <c r="P1485" s="0" t="s">
        <v>2603</v>
      </c>
      <c r="Q1485" s="66" t="s">
        <v>995</v>
      </c>
    </row>
    <row r="1486" customFormat="false" ht="14.25" hidden="false" customHeight="false" outlineLevel="0" collapsed="false">
      <c r="A1486" s="13" t="s">
        <v>580</v>
      </c>
      <c r="B1486" s="13" t="s">
        <v>580</v>
      </c>
      <c r="C1486" s="13" t="s">
        <v>397</v>
      </c>
      <c r="D1486" s="61" t="n">
        <v>45986.2395833333</v>
      </c>
      <c r="E1486" s="61" t="n">
        <v>45986.2395833333</v>
      </c>
      <c r="F1486" s="61" t="n">
        <v>45986.3159722222</v>
      </c>
      <c r="G1486" s="62" t="n">
        <v>0.118055555554747</v>
      </c>
      <c r="H1486" s="13" t="s">
        <v>248</v>
      </c>
      <c r="J1486" s="13" t="s">
        <v>256</v>
      </c>
      <c r="K1486" s="13" t="s">
        <v>430</v>
      </c>
      <c r="L1486" s="13" t="s">
        <v>1000</v>
      </c>
      <c r="M1486" s="66" t="s">
        <v>258</v>
      </c>
      <c r="N1486" s="66" t="s">
        <v>379</v>
      </c>
      <c r="O1486" s="66" t="s">
        <v>399</v>
      </c>
      <c r="P1486" s="0" t="s">
        <v>2604</v>
      </c>
      <c r="Q1486" s="66" t="s">
        <v>995</v>
      </c>
    </row>
    <row r="1487" customFormat="false" ht="14.25" hidden="false" customHeight="false" outlineLevel="0" collapsed="false">
      <c r="A1487" s="13" t="s">
        <v>580</v>
      </c>
      <c r="B1487" s="13" t="s">
        <v>580</v>
      </c>
      <c r="C1487" s="13" t="s">
        <v>394</v>
      </c>
      <c r="D1487" s="61" t="n">
        <v>45986.2395833333</v>
      </c>
      <c r="E1487" s="61" t="n">
        <v>45986.2395833333</v>
      </c>
      <c r="F1487" s="61" t="n">
        <v>45986.3159722222</v>
      </c>
      <c r="G1487" s="62" t="n">
        <v>0.118055555554747</v>
      </c>
      <c r="H1487" s="13" t="s">
        <v>248</v>
      </c>
      <c r="J1487" s="13" t="s">
        <v>256</v>
      </c>
      <c r="K1487" s="13" t="s">
        <v>430</v>
      </c>
      <c r="L1487" s="13" t="s">
        <v>1000</v>
      </c>
      <c r="M1487" s="66" t="s">
        <v>258</v>
      </c>
      <c r="N1487" s="66" t="s">
        <v>379</v>
      </c>
      <c r="O1487" s="66" t="s">
        <v>399</v>
      </c>
      <c r="P1487" s="0" t="s">
        <v>2605</v>
      </c>
      <c r="Q1487" s="66" t="s">
        <v>995</v>
      </c>
    </row>
    <row r="1488" customFormat="false" ht="14.25" hidden="false" customHeight="false" outlineLevel="0" collapsed="false">
      <c r="A1488" s="13" t="s">
        <v>580</v>
      </c>
      <c r="B1488" s="13" t="s">
        <v>580</v>
      </c>
      <c r="C1488" s="13" t="s">
        <v>395</v>
      </c>
      <c r="D1488" s="61" t="n">
        <v>45986.2395833333</v>
      </c>
      <c r="E1488" s="61" t="n">
        <v>45986.2395833333</v>
      </c>
      <c r="F1488" s="61" t="n">
        <v>45986.3159722222</v>
      </c>
      <c r="G1488" s="62" t="n">
        <v>0.118055555554747</v>
      </c>
      <c r="H1488" s="13" t="s">
        <v>248</v>
      </c>
      <c r="J1488" s="13" t="s">
        <v>256</v>
      </c>
      <c r="K1488" s="13" t="s">
        <v>430</v>
      </c>
      <c r="L1488" s="13" t="s">
        <v>1000</v>
      </c>
      <c r="M1488" s="66" t="s">
        <v>258</v>
      </c>
      <c r="N1488" s="66" t="s">
        <v>379</v>
      </c>
      <c r="O1488" s="66" t="s">
        <v>399</v>
      </c>
      <c r="P1488" s="0" t="s">
        <v>2606</v>
      </c>
      <c r="Q1488" s="66" t="s">
        <v>995</v>
      </c>
    </row>
    <row r="1489" customFormat="false" ht="14.25" hidden="false" customHeight="false" outlineLevel="0" collapsed="false">
      <c r="A1489" s="13" t="s">
        <v>580</v>
      </c>
      <c r="B1489" s="13" t="s">
        <v>580</v>
      </c>
      <c r="C1489" s="13" t="s">
        <v>391</v>
      </c>
      <c r="D1489" s="61" t="n">
        <v>45986.2395833333</v>
      </c>
      <c r="E1489" s="61" t="n">
        <v>45986.2395833333</v>
      </c>
      <c r="F1489" s="61" t="n">
        <v>45986.3159722222</v>
      </c>
      <c r="G1489" s="62" t="n">
        <v>0.118055555554747</v>
      </c>
      <c r="H1489" s="13" t="s">
        <v>248</v>
      </c>
      <c r="J1489" s="13" t="s">
        <v>256</v>
      </c>
      <c r="K1489" s="13" t="s">
        <v>430</v>
      </c>
      <c r="L1489" s="13" t="s">
        <v>1000</v>
      </c>
      <c r="M1489" s="66" t="s">
        <v>258</v>
      </c>
      <c r="N1489" s="66" t="s">
        <v>379</v>
      </c>
      <c r="O1489" s="66" t="s">
        <v>399</v>
      </c>
      <c r="P1489" s="0" t="s">
        <v>2607</v>
      </c>
      <c r="Q1489" s="66" t="s">
        <v>995</v>
      </c>
    </row>
    <row r="1490" customFormat="false" ht="14.25" hidden="false" customHeight="false" outlineLevel="0" collapsed="false">
      <c r="A1490" s="13" t="s">
        <v>878</v>
      </c>
      <c r="B1490" s="13" t="s">
        <v>504</v>
      </c>
      <c r="C1490" s="13" t="s">
        <v>1250</v>
      </c>
      <c r="D1490" s="61" t="n">
        <v>45986.2724652778</v>
      </c>
      <c r="E1490" s="61" t="n">
        <v>45986.2724652778</v>
      </c>
      <c r="F1490" s="61" t="n">
        <v>45986.2794097222</v>
      </c>
      <c r="G1490" s="62" t="n">
        <v>0.00694444444525288</v>
      </c>
      <c r="H1490" s="13" t="s">
        <v>248</v>
      </c>
      <c r="J1490" s="13" t="s">
        <v>249</v>
      </c>
      <c r="K1490" s="13" t="s">
        <v>439</v>
      </c>
      <c r="L1490" s="13" t="s">
        <v>1251</v>
      </c>
      <c r="M1490" s="66" t="s">
        <v>251</v>
      </c>
      <c r="N1490" s="66" t="s">
        <v>625</v>
      </c>
      <c r="P1490" s="0" t="s">
        <v>2608</v>
      </c>
      <c r="Q1490" s="66" t="s">
        <v>1253</v>
      </c>
    </row>
    <row r="1491" customFormat="false" ht="14.25" hidden="false" customHeight="false" outlineLevel="0" collapsed="false">
      <c r="A1491" s="13" t="s">
        <v>807</v>
      </c>
      <c r="B1491" s="13" t="s">
        <v>581</v>
      </c>
      <c r="C1491" s="13" t="s">
        <v>591</v>
      </c>
      <c r="D1491" s="61" t="n">
        <v>45986.3506944444</v>
      </c>
      <c r="E1491" s="61" t="n">
        <v>45986.3506944444</v>
      </c>
      <c r="F1491" s="61" t="n">
        <v>45986.3993055556</v>
      </c>
      <c r="G1491" s="62" t="n">
        <f aca="false">F1491-E1491</f>
        <v>0.0486111111111111</v>
      </c>
      <c r="H1491" s="13" t="s">
        <v>313</v>
      </c>
      <c r="J1491" s="13" t="s">
        <v>249</v>
      </c>
      <c r="K1491" s="13" t="s">
        <v>439</v>
      </c>
      <c r="L1491" s="13" t="s">
        <v>2609</v>
      </c>
      <c r="M1491" s="66" t="s">
        <v>288</v>
      </c>
      <c r="N1491" s="66" t="s">
        <v>289</v>
      </c>
      <c r="O1491" s="66" t="s">
        <v>2610</v>
      </c>
      <c r="P1491" s="0" t="s">
        <v>2611</v>
      </c>
      <c r="Q1491" s="66" t="s">
        <v>2612</v>
      </c>
    </row>
    <row r="1492" customFormat="false" ht="14.25" hidden="false" customHeight="false" outlineLevel="0" collapsed="false">
      <c r="A1492" s="13" t="s">
        <v>807</v>
      </c>
      <c r="B1492" s="13" t="s">
        <v>581</v>
      </c>
      <c r="C1492" s="13" t="s">
        <v>588</v>
      </c>
      <c r="D1492" s="61" t="n">
        <v>45986.3506944444</v>
      </c>
      <c r="E1492" s="61" t="n">
        <v>45986.3506944444</v>
      </c>
      <c r="F1492" s="61" t="n">
        <v>45986.3993055556</v>
      </c>
      <c r="G1492" s="62" t="n">
        <f aca="false">F1492-E1492</f>
        <v>0.0486111111111111</v>
      </c>
      <c r="H1492" s="13" t="s">
        <v>313</v>
      </c>
      <c r="J1492" s="13" t="s">
        <v>249</v>
      </c>
      <c r="K1492" s="13" t="s">
        <v>439</v>
      </c>
      <c r="L1492" s="13" t="s">
        <v>2609</v>
      </c>
      <c r="M1492" s="66" t="s">
        <v>288</v>
      </c>
      <c r="N1492" s="66" t="s">
        <v>289</v>
      </c>
      <c r="O1492" s="66" t="s">
        <v>2610</v>
      </c>
      <c r="P1492" s="0" t="s">
        <v>2613</v>
      </c>
      <c r="Q1492" s="66" t="s">
        <v>2612</v>
      </c>
    </row>
    <row r="1493" customFormat="false" ht="14.25" hidden="false" customHeight="false" outlineLevel="0" collapsed="false">
      <c r="A1493" s="13" t="s">
        <v>807</v>
      </c>
      <c r="B1493" s="13" t="s">
        <v>581</v>
      </c>
      <c r="C1493" s="13" t="s">
        <v>585</v>
      </c>
      <c r="D1493" s="61" t="n">
        <v>45986.3506944444</v>
      </c>
      <c r="E1493" s="61" t="n">
        <v>45986.3506944444</v>
      </c>
      <c r="F1493" s="61" t="n">
        <v>45986.3993055556</v>
      </c>
      <c r="G1493" s="62" t="n">
        <f aca="false">F1493-E1493</f>
        <v>0.0486111111111111</v>
      </c>
      <c r="H1493" s="13" t="s">
        <v>313</v>
      </c>
      <c r="J1493" s="13" t="s">
        <v>249</v>
      </c>
      <c r="K1493" s="13" t="s">
        <v>439</v>
      </c>
      <c r="L1493" s="13" t="s">
        <v>2609</v>
      </c>
      <c r="M1493" s="66" t="s">
        <v>288</v>
      </c>
      <c r="N1493" s="66" t="s">
        <v>289</v>
      </c>
      <c r="O1493" s="66" t="s">
        <v>2610</v>
      </c>
      <c r="P1493" s="0" t="s">
        <v>2614</v>
      </c>
      <c r="Q1493" s="66" t="s">
        <v>2612</v>
      </c>
    </row>
    <row r="1494" customFormat="false" ht="14.25" hidden="false" customHeight="false" outlineLevel="0" collapsed="false">
      <c r="A1494" s="13" t="s">
        <v>807</v>
      </c>
      <c r="B1494" s="13" t="s">
        <v>581</v>
      </c>
      <c r="C1494" s="13" t="s">
        <v>589</v>
      </c>
      <c r="D1494" s="61" t="n">
        <v>45986.3506944444</v>
      </c>
      <c r="E1494" s="61" t="n">
        <v>45986.3506944444</v>
      </c>
      <c r="F1494" s="61" t="n">
        <v>45986.3993055556</v>
      </c>
      <c r="G1494" s="62" t="n">
        <f aca="false">F1494-E1494</f>
        <v>0.0486111111111111</v>
      </c>
      <c r="H1494" s="13" t="s">
        <v>313</v>
      </c>
      <c r="J1494" s="13" t="s">
        <v>249</v>
      </c>
      <c r="K1494" s="13" t="s">
        <v>439</v>
      </c>
      <c r="L1494" s="13" t="s">
        <v>2609</v>
      </c>
      <c r="M1494" s="66" t="s">
        <v>288</v>
      </c>
      <c r="N1494" s="66" t="s">
        <v>289</v>
      </c>
      <c r="O1494" s="66" t="s">
        <v>2610</v>
      </c>
      <c r="P1494" s="0" t="s">
        <v>2615</v>
      </c>
      <c r="Q1494" s="66" t="s">
        <v>2612</v>
      </c>
    </row>
    <row r="1495" customFormat="false" ht="14.25" hidden="false" customHeight="false" outlineLevel="0" collapsed="false">
      <c r="A1495" s="13" t="s">
        <v>807</v>
      </c>
      <c r="B1495" s="13" t="s">
        <v>581</v>
      </c>
      <c r="C1495" s="13" t="s">
        <v>587</v>
      </c>
      <c r="D1495" s="61" t="n">
        <v>45986.3506944444</v>
      </c>
      <c r="E1495" s="61" t="n">
        <v>45986.3506944444</v>
      </c>
      <c r="F1495" s="61" t="n">
        <v>45986.3993055556</v>
      </c>
      <c r="G1495" s="62" t="n">
        <f aca="false">F1495-E1495</f>
        <v>0.0486111111111111</v>
      </c>
      <c r="H1495" s="13" t="s">
        <v>313</v>
      </c>
      <c r="J1495" s="13" t="s">
        <v>249</v>
      </c>
      <c r="K1495" s="13" t="s">
        <v>439</v>
      </c>
      <c r="L1495" s="13" t="s">
        <v>2609</v>
      </c>
      <c r="M1495" s="66" t="s">
        <v>288</v>
      </c>
      <c r="N1495" s="66" t="s">
        <v>289</v>
      </c>
      <c r="O1495" s="66" t="s">
        <v>2610</v>
      </c>
      <c r="P1495" s="0" t="s">
        <v>2616</v>
      </c>
      <c r="Q1495" s="66" t="s">
        <v>2612</v>
      </c>
    </row>
    <row r="1496" customFormat="false" ht="14.25" hidden="false" customHeight="false" outlineLevel="0" collapsed="false">
      <c r="A1496" s="13" t="s">
        <v>807</v>
      </c>
      <c r="B1496" s="13" t="s">
        <v>581</v>
      </c>
      <c r="C1496" s="13" t="s">
        <v>1007</v>
      </c>
      <c r="D1496" s="61" t="n">
        <v>45986.3506944444</v>
      </c>
      <c r="E1496" s="61" t="n">
        <v>45986.3506944444</v>
      </c>
      <c r="F1496" s="61" t="n">
        <v>45986.3993055556</v>
      </c>
      <c r="G1496" s="62" t="n">
        <f aca="false">F1496-E1496</f>
        <v>0.0486111111111111</v>
      </c>
      <c r="H1496" s="13" t="s">
        <v>313</v>
      </c>
      <c r="J1496" s="13" t="s">
        <v>249</v>
      </c>
      <c r="K1496" s="13" t="s">
        <v>439</v>
      </c>
      <c r="L1496" s="13" t="s">
        <v>2609</v>
      </c>
      <c r="M1496" s="66" t="s">
        <v>288</v>
      </c>
      <c r="N1496" s="66" t="s">
        <v>289</v>
      </c>
      <c r="O1496" s="66" t="s">
        <v>2610</v>
      </c>
      <c r="P1496" s="0" t="s">
        <v>2617</v>
      </c>
      <c r="Q1496" s="66" t="s">
        <v>2612</v>
      </c>
    </row>
    <row r="1497" customFormat="false" ht="14.25" hidden="false" customHeight="false" outlineLevel="0" collapsed="false">
      <c r="A1497" s="13" t="s">
        <v>816</v>
      </c>
      <c r="B1497" s="13" t="s">
        <v>581</v>
      </c>
      <c r="C1497" s="13" t="s">
        <v>586</v>
      </c>
      <c r="D1497" s="61" t="n">
        <v>45986.3506944444</v>
      </c>
      <c r="E1497" s="61" t="n">
        <v>45986.3506944444</v>
      </c>
      <c r="F1497" s="61" t="n">
        <v>45986.3993055556</v>
      </c>
      <c r="G1497" s="62" t="n">
        <f aca="false">F1497-E1497</f>
        <v>0.0486111111111111</v>
      </c>
      <c r="H1497" s="13" t="s">
        <v>313</v>
      </c>
      <c r="J1497" s="13" t="s">
        <v>249</v>
      </c>
      <c r="K1497" s="13" t="s">
        <v>439</v>
      </c>
      <c r="L1497" s="13" t="s">
        <v>2609</v>
      </c>
      <c r="M1497" s="66" t="s">
        <v>288</v>
      </c>
      <c r="N1497" s="66" t="s">
        <v>289</v>
      </c>
      <c r="O1497" s="66" t="s">
        <v>2610</v>
      </c>
      <c r="P1497" s="0" t="s">
        <v>2618</v>
      </c>
      <c r="Q1497" s="66" t="s">
        <v>2612</v>
      </c>
    </row>
    <row r="1498" customFormat="false" ht="14.25" hidden="false" customHeight="false" outlineLevel="0" collapsed="false">
      <c r="A1498" s="13" t="s">
        <v>816</v>
      </c>
      <c r="B1498" s="13" t="s">
        <v>581</v>
      </c>
      <c r="C1498" s="13" t="s">
        <v>737</v>
      </c>
      <c r="D1498" s="61" t="n">
        <v>45986.3506944444</v>
      </c>
      <c r="E1498" s="61" t="n">
        <v>45986.3506944444</v>
      </c>
      <c r="F1498" s="61" t="n">
        <v>45986.3993055556</v>
      </c>
      <c r="G1498" s="62" t="n">
        <f aca="false">F1498-E1498</f>
        <v>0.0486111111111111</v>
      </c>
      <c r="H1498" s="13" t="s">
        <v>313</v>
      </c>
      <c r="J1498" s="13" t="s">
        <v>249</v>
      </c>
      <c r="K1498" s="13" t="s">
        <v>439</v>
      </c>
      <c r="L1498" s="13" t="s">
        <v>2609</v>
      </c>
      <c r="M1498" s="66" t="s">
        <v>288</v>
      </c>
      <c r="N1498" s="66" t="s">
        <v>289</v>
      </c>
      <c r="O1498" s="66" t="s">
        <v>2610</v>
      </c>
      <c r="P1498" s="0" t="s">
        <v>2619</v>
      </c>
      <c r="Q1498" s="66" t="s">
        <v>2612</v>
      </c>
    </row>
    <row r="1499" customFormat="false" ht="14.25" hidden="false" customHeight="false" outlineLevel="0" collapsed="false">
      <c r="A1499" s="13" t="s">
        <v>816</v>
      </c>
      <c r="B1499" s="13" t="s">
        <v>581</v>
      </c>
      <c r="C1499" s="13" t="s">
        <v>582</v>
      </c>
      <c r="D1499" s="61" t="n">
        <v>45986.3506944444</v>
      </c>
      <c r="E1499" s="61" t="n">
        <v>45986.3506944444</v>
      </c>
      <c r="F1499" s="61" t="n">
        <v>45986.3993055556</v>
      </c>
      <c r="G1499" s="62" t="n">
        <f aca="false">F1499-E1499</f>
        <v>0.0486111111111111</v>
      </c>
      <c r="H1499" s="13" t="s">
        <v>313</v>
      </c>
      <c r="J1499" s="13" t="s">
        <v>249</v>
      </c>
      <c r="K1499" s="13" t="s">
        <v>439</v>
      </c>
      <c r="L1499" s="13" t="s">
        <v>2609</v>
      </c>
      <c r="M1499" s="66" t="s">
        <v>288</v>
      </c>
      <c r="N1499" s="66" t="s">
        <v>289</v>
      </c>
      <c r="O1499" s="66" t="s">
        <v>2610</v>
      </c>
      <c r="P1499" s="0" t="s">
        <v>2620</v>
      </c>
      <c r="Q1499" s="66" t="s">
        <v>2612</v>
      </c>
    </row>
    <row r="1500" customFormat="false" ht="14.25" hidden="false" customHeight="false" outlineLevel="0" collapsed="false">
      <c r="A1500" s="13" t="s">
        <v>816</v>
      </c>
      <c r="B1500" s="13" t="s">
        <v>581</v>
      </c>
      <c r="C1500" s="13" t="s">
        <v>594</v>
      </c>
      <c r="D1500" s="61" t="n">
        <v>45986.3506944444</v>
      </c>
      <c r="E1500" s="61" t="n">
        <v>45986.3506944444</v>
      </c>
      <c r="F1500" s="61" t="n">
        <v>45986.3993055556</v>
      </c>
      <c r="G1500" s="62" t="n">
        <f aca="false">F1500-E1500</f>
        <v>0.0486111111111111</v>
      </c>
      <c r="H1500" s="13" t="s">
        <v>313</v>
      </c>
      <c r="J1500" s="13" t="s">
        <v>249</v>
      </c>
      <c r="K1500" s="13" t="s">
        <v>439</v>
      </c>
      <c r="L1500" s="13" t="s">
        <v>2609</v>
      </c>
      <c r="M1500" s="66" t="s">
        <v>288</v>
      </c>
      <c r="N1500" s="66" t="s">
        <v>289</v>
      </c>
      <c r="O1500" s="66" t="s">
        <v>2610</v>
      </c>
      <c r="P1500" s="0" t="s">
        <v>2621</v>
      </c>
      <c r="Q1500" s="66" t="s">
        <v>2612</v>
      </c>
    </row>
    <row r="1501" customFormat="false" ht="14.25" hidden="false" customHeight="false" outlineLevel="0" collapsed="false">
      <c r="A1501" s="13" t="s">
        <v>816</v>
      </c>
      <c r="B1501" s="13" t="s">
        <v>581</v>
      </c>
      <c r="C1501" s="13" t="s">
        <v>596</v>
      </c>
      <c r="D1501" s="61" t="n">
        <v>45986.3506944444</v>
      </c>
      <c r="E1501" s="61" t="n">
        <v>45986.3506944444</v>
      </c>
      <c r="F1501" s="61" t="n">
        <v>45986.3993055556</v>
      </c>
      <c r="G1501" s="62" t="n">
        <f aca="false">F1501-E1501</f>
        <v>0.0486111111111111</v>
      </c>
      <c r="H1501" s="13" t="s">
        <v>313</v>
      </c>
      <c r="J1501" s="13" t="s">
        <v>249</v>
      </c>
      <c r="K1501" s="13" t="s">
        <v>439</v>
      </c>
      <c r="L1501" s="13" t="s">
        <v>2609</v>
      </c>
      <c r="M1501" s="66" t="s">
        <v>288</v>
      </c>
      <c r="N1501" s="66" t="s">
        <v>289</v>
      </c>
      <c r="O1501" s="66" t="s">
        <v>2610</v>
      </c>
      <c r="P1501" s="0" t="s">
        <v>2622</v>
      </c>
      <c r="Q1501" s="66" t="s">
        <v>2612</v>
      </c>
    </row>
    <row r="1502" customFormat="false" ht="14.25" hidden="false" customHeight="false" outlineLevel="0" collapsed="false">
      <c r="A1502" s="13" t="s">
        <v>816</v>
      </c>
      <c r="B1502" s="13" t="s">
        <v>581</v>
      </c>
      <c r="C1502" s="13" t="s">
        <v>592</v>
      </c>
      <c r="D1502" s="61" t="n">
        <v>45986.3506944444</v>
      </c>
      <c r="E1502" s="61" t="n">
        <v>45986.3506944444</v>
      </c>
      <c r="F1502" s="61" t="n">
        <v>45986.3993055556</v>
      </c>
      <c r="G1502" s="62" t="n">
        <f aca="false">F1502-E1502</f>
        <v>0.0486111111111111</v>
      </c>
      <c r="H1502" s="13" t="s">
        <v>313</v>
      </c>
      <c r="J1502" s="13" t="s">
        <v>249</v>
      </c>
      <c r="K1502" s="13" t="s">
        <v>439</v>
      </c>
      <c r="L1502" s="13" t="s">
        <v>2609</v>
      </c>
      <c r="M1502" s="66" t="s">
        <v>288</v>
      </c>
      <c r="N1502" s="66" t="s">
        <v>289</v>
      </c>
      <c r="O1502" s="66" t="s">
        <v>2610</v>
      </c>
      <c r="P1502" s="0" t="s">
        <v>2623</v>
      </c>
      <c r="Q1502" s="66" t="s">
        <v>2612</v>
      </c>
    </row>
    <row r="1503" customFormat="false" ht="14.25" hidden="false" customHeight="false" outlineLevel="0" collapsed="false">
      <c r="A1503" s="13" t="s">
        <v>816</v>
      </c>
      <c r="B1503" s="13" t="s">
        <v>581</v>
      </c>
      <c r="C1503" s="13" t="s">
        <v>595</v>
      </c>
      <c r="D1503" s="61" t="n">
        <v>45986.3506944444</v>
      </c>
      <c r="E1503" s="61" t="n">
        <v>45986.3506944444</v>
      </c>
      <c r="F1503" s="61" t="n">
        <v>45986.3993055556</v>
      </c>
      <c r="G1503" s="62" t="n">
        <f aca="false">F1503-E1503</f>
        <v>0.0486111111111111</v>
      </c>
      <c r="H1503" s="13" t="s">
        <v>313</v>
      </c>
      <c r="J1503" s="13" t="s">
        <v>249</v>
      </c>
      <c r="K1503" s="13" t="s">
        <v>439</v>
      </c>
      <c r="L1503" s="13" t="s">
        <v>2609</v>
      </c>
      <c r="M1503" s="66" t="s">
        <v>288</v>
      </c>
      <c r="N1503" s="66" t="s">
        <v>289</v>
      </c>
      <c r="O1503" s="66" t="s">
        <v>2610</v>
      </c>
      <c r="P1503" s="0" t="s">
        <v>2624</v>
      </c>
      <c r="Q1503" s="66" t="s">
        <v>2612</v>
      </c>
    </row>
    <row r="1504" customFormat="false" ht="14.25" hidden="false" customHeight="false" outlineLevel="0" collapsed="false">
      <c r="A1504" s="13" t="s">
        <v>816</v>
      </c>
      <c r="B1504" s="13" t="s">
        <v>581</v>
      </c>
      <c r="C1504" s="13" t="s">
        <v>599</v>
      </c>
      <c r="D1504" s="61" t="n">
        <v>45986.3506944444</v>
      </c>
      <c r="E1504" s="61" t="n">
        <v>45986.3506944444</v>
      </c>
      <c r="F1504" s="61" t="n">
        <v>45986.3993055556</v>
      </c>
      <c r="G1504" s="62" t="n">
        <f aca="false">F1504-E1504</f>
        <v>0.0486111111111111</v>
      </c>
      <c r="H1504" s="13" t="s">
        <v>313</v>
      </c>
      <c r="J1504" s="13" t="s">
        <v>249</v>
      </c>
      <c r="K1504" s="13" t="s">
        <v>439</v>
      </c>
      <c r="L1504" s="13" t="s">
        <v>2609</v>
      </c>
      <c r="M1504" s="66" t="s">
        <v>288</v>
      </c>
      <c r="N1504" s="66" t="s">
        <v>289</v>
      </c>
      <c r="O1504" s="66" t="s">
        <v>2610</v>
      </c>
      <c r="P1504" s="0" t="s">
        <v>2625</v>
      </c>
      <c r="Q1504" s="66" t="s">
        <v>2612</v>
      </c>
    </row>
    <row r="1505" customFormat="false" ht="14.25" hidden="false" customHeight="false" outlineLevel="0" collapsed="false">
      <c r="A1505" s="13" t="s">
        <v>816</v>
      </c>
      <c r="B1505" s="13" t="s">
        <v>581</v>
      </c>
      <c r="C1505" s="13" t="s">
        <v>584</v>
      </c>
      <c r="D1505" s="61" t="n">
        <v>45986.3506944444</v>
      </c>
      <c r="E1505" s="61" t="n">
        <v>45986.3506944444</v>
      </c>
      <c r="F1505" s="61" t="n">
        <v>45986.3993055556</v>
      </c>
      <c r="G1505" s="62" t="n">
        <f aca="false">F1505-E1505</f>
        <v>0.0486111111111111</v>
      </c>
      <c r="H1505" s="13" t="s">
        <v>313</v>
      </c>
      <c r="J1505" s="13" t="s">
        <v>249</v>
      </c>
      <c r="K1505" s="13" t="s">
        <v>439</v>
      </c>
      <c r="L1505" s="13" t="s">
        <v>2609</v>
      </c>
      <c r="M1505" s="66" t="s">
        <v>288</v>
      </c>
      <c r="N1505" s="66" t="s">
        <v>289</v>
      </c>
      <c r="O1505" s="66" t="s">
        <v>2610</v>
      </c>
      <c r="P1505" s="0" t="s">
        <v>2626</v>
      </c>
      <c r="Q1505" s="66" t="s">
        <v>2612</v>
      </c>
    </row>
    <row r="1506" customFormat="false" ht="14.25" hidden="false" customHeight="false" outlineLevel="0" collapsed="false">
      <c r="A1506" s="13" t="s">
        <v>816</v>
      </c>
      <c r="B1506" s="13" t="s">
        <v>581</v>
      </c>
      <c r="C1506" s="13" t="s">
        <v>590</v>
      </c>
      <c r="D1506" s="61" t="n">
        <v>45986.3506944444</v>
      </c>
      <c r="E1506" s="61" t="n">
        <v>45986.3506944444</v>
      </c>
      <c r="F1506" s="61" t="n">
        <v>45986.3993055556</v>
      </c>
      <c r="G1506" s="62" t="n">
        <f aca="false">F1506-E1506</f>
        <v>0.0486111111111111</v>
      </c>
      <c r="H1506" s="13" t="s">
        <v>313</v>
      </c>
      <c r="J1506" s="13" t="s">
        <v>249</v>
      </c>
      <c r="K1506" s="13" t="s">
        <v>439</v>
      </c>
      <c r="L1506" s="13" t="s">
        <v>2609</v>
      </c>
      <c r="M1506" s="66" t="s">
        <v>288</v>
      </c>
      <c r="N1506" s="66" t="s">
        <v>289</v>
      </c>
      <c r="O1506" s="66" t="s">
        <v>2610</v>
      </c>
      <c r="P1506" s="0" t="s">
        <v>2627</v>
      </c>
      <c r="Q1506" s="66" t="s">
        <v>2612</v>
      </c>
    </row>
    <row r="1507" customFormat="false" ht="14.25" hidden="false" customHeight="false" outlineLevel="0" collapsed="false">
      <c r="A1507" s="13" t="s">
        <v>1155</v>
      </c>
      <c r="B1507" s="13" t="s">
        <v>643</v>
      </c>
      <c r="C1507" s="13" t="s">
        <v>644</v>
      </c>
      <c r="D1507" s="61" t="n">
        <v>45987.2347222222</v>
      </c>
      <c r="E1507" s="61" t="n">
        <v>45987.2347222222</v>
      </c>
      <c r="F1507" s="61" t="n">
        <v>45987.3958333333</v>
      </c>
      <c r="G1507" s="62" t="n">
        <v>0.161111111112405</v>
      </c>
      <c r="H1507" s="13" t="s">
        <v>248</v>
      </c>
      <c r="J1507" s="13" t="s">
        <v>256</v>
      </c>
      <c r="K1507" s="13" t="s">
        <v>430</v>
      </c>
      <c r="L1507" s="13" t="s">
        <v>1000</v>
      </c>
      <c r="M1507" s="66" t="s">
        <v>258</v>
      </c>
      <c r="N1507" s="66" t="s">
        <v>379</v>
      </c>
      <c r="O1507" s="66" t="s">
        <v>399</v>
      </c>
      <c r="P1507" s="0" t="s">
        <v>2628</v>
      </c>
      <c r="Q1507" s="66" t="s">
        <v>995</v>
      </c>
    </row>
    <row r="1508" customFormat="false" ht="14.25" hidden="false" customHeight="false" outlineLevel="0" collapsed="false">
      <c r="A1508" s="13" t="s">
        <v>1155</v>
      </c>
      <c r="B1508" s="13" t="s">
        <v>643</v>
      </c>
      <c r="C1508" s="13" t="s">
        <v>647</v>
      </c>
      <c r="D1508" s="61" t="n">
        <v>45987.2347222222</v>
      </c>
      <c r="E1508" s="61" t="n">
        <v>45987.2347222222</v>
      </c>
      <c r="F1508" s="61" t="n">
        <v>45987.3958333333</v>
      </c>
      <c r="G1508" s="62" t="n">
        <v>0.161111111112405</v>
      </c>
      <c r="H1508" s="13" t="s">
        <v>248</v>
      </c>
      <c r="J1508" s="13" t="s">
        <v>256</v>
      </c>
      <c r="K1508" s="13" t="s">
        <v>430</v>
      </c>
      <c r="L1508" s="13" t="s">
        <v>1000</v>
      </c>
      <c r="M1508" s="66" t="s">
        <v>258</v>
      </c>
      <c r="N1508" s="66" t="s">
        <v>379</v>
      </c>
      <c r="O1508" s="66" t="s">
        <v>399</v>
      </c>
      <c r="P1508" s="0" t="s">
        <v>2629</v>
      </c>
      <c r="Q1508" s="66" t="s">
        <v>995</v>
      </c>
    </row>
    <row r="1509" customFormat="false" ht="14.25" hidden="false" customHeight="false" outlineLevel="0" collapsed="false">
      <c r="A1509" s="13" t="s">
        <v>1155</v>
      </c>
      <c r="B1509" s="13" t="s">
        <v>643</v>
      </c>
      <c r="C1509" s="13" t="s">
        <v>648</v>
      </c>
      <c r="D1509" s="61" t="n">
        <v>45987.2347222222</v>
      </c>
      <c r="E1509" s="61" t="n">
        <v>45987.2347222222</v>
      </c>
      <c r="F1509" s="61" t="n">
        <v>45987.3958333333</v>
      </c>
      <c r="G1509" s="62" t="n">
        <v>0.161111111112405</v>
      </c>
      <c r="H1509" s="13" t="s">
        <v>248</v>
      </c>
      <c r="J1509" s="13" t="s">
        <v>256</v>
      </c>
      <c r="K1509" s="13" t="s">
        <v>430</v>
      </c>
      <c r="L1509" s="13" t="s">
        <v>1000</v>
      </c>
      <c r="M1509" s="66" t="s">
        <v>258</v>
      </c>
      <c r="N1509" s="66" t="s">
        <v>379</v>
      </c>
      <c r="O1509" s="66" t="s">
        <v>399</v>
      </c>
      <c r="P1509" s="0" t="s">
        <v>2630</v>
      </c>
      <c r="Q1509" s="66" t="s">
        <v>995</v>
      </c>
    </row>
    <row r="1510" customFormat="false" ht="14.25" hidden="false" customHeight="false" outlineLevel="0" collapsed="false">
      <c r="A1510" s="13" t="s">
        <v>1155</v>
      </c>
      <c r="B1510" s="13" t="s">
        <v>643</v>
      </c>
      <c r="C1510" s="13" t="s">
        <v>649</v>
      </c>
      <c r="D1510" s="61" t="n">
        <v>45987.2347222222</v>
      </c>
      <c r="E1510" s="61" t="n">
        <v>45987.2347222222</v>
      </c>
      <c r="F1510" s="61" t="n">
        <v>45987.3958333333</v>
      </c>
      <c r="G1510" s="62" t="n">
        <v>0.161111111112405</v>
      </c>
      <c r="H1510" s="13" t="s">
        <v>248</v>
      </c>
      <c r="J1510" s="13" t="s">
        <v>256</v>
      </c>
      <c r="K1510" s="13" t="s">
        <v>430</v>
      </c>
      <c r="L1510" s="13" t="s">
        <v>1000</v>
      </c>
      <c r="M1510" s="66" t="s">
        <v>258</v>
      </c>
      <c r="N1510" s="66" t="s">
        <v>379</v>
      </c>
      <c r="O1510" s="66" t="s">
        <v>399</v>
      </c>
      <c r="P1510" s="0" t="s">
        <v>2631</v>
      </c>
      <c r="Q1510" s="66" t="s">
        <v>995</v>
      </c>
    </row>
    <row r="1511" customFormat="false" ht="14.25" hidden="false" customHeight="false" outlineLevel="0" collapsed="false">
      <c r="A1511" s="13" t="s">
        <v>896</v>
      </c>
      <c r="B1511" s="13" t="s">
        <v>650</v>
      </c>
      <c r="C1511" s="13" t="s">
        <v>651</v>
      </c>
      <c r="D1511" s="61" t="n">
        <v>45987.2347222222</v>
      </c>
      <c r="E1511" s="61" t="n">
        <v>45987.2347222222</v>
      </c>
      <c r="F1511" s="61" t="n">
        <v>45987.3958333333</v>
      </c>
      <c r="G1511" s="62" t="n">
        <v>0.161111111112405</v>
      </c>
      <c r="H1511" s="13" t="s">
        <v>248</v>
      </c>
      <c r="J1511" s="13" t="s">
        <v>256</v>
      </c>
      <c r="K1511" s="13" t="s">
        <v>430</v>
      </c>
      <c r="L1511" s="13" t="s">
        <v>1000</v>
      </c>
      <c r="M1511" s="66" t="s">
        <v>258</v>
      </c>
      <c r="N1511" s="66" t="s">
        <v>379</v>
      </c>
      <c r="O1511" s="66" t="s">
        <v>399</v>
      </c>
      <c r="P1511" s="0" t="s">
        <v>2632</v>
      </c>
      <c r="Q1511" s="66" t="s">
        <v>995</v>
      </c>
    </row>
    <row r="1512" customFormat="false" ht="14.25" hidden="false" customHeight="false" outlineLevel="0" collapsed="false">
      <c r="A1512" s="13" t="s">
        <v>896</v>
      </c>
      <c r="B1512" s="13" t="s">
        <v>650</v>
      </c>
      <c r="C1512" s="13" t="s">
        <v>653</v>
      </c>
      <c r="D1512" s="61" t="n">
        <v>45987.2347222222</v>
      </c>
      <c r="E1512" s="61" t="n">
        <v>45987.2347222222</v>
      </c>
      <c r="F1512" s="61" t="n">
        <v>45987.3958333333</v>
      </c>
      <c r="G1512" s="62" t="n">
        <v>0.161111111112405</v>
      </c>
      <c r="H1512" s="13" t="s">
        <v>248</v>
      </c>
      <c r="J1512" s="13" t="s">
        <v>256</v>
      </c>
      <c r="K1512" s="13" t="s">
        <v>430</v>
      </c>
      <c r="L1512" s="13" t="s">
        <v>1000</v>
      </c>
      <c r="M1512" s="66" t="s">
        <v>258</v>
      </c>
      <c r="N1512" s="66" t="s">
        <v>379</v>
      </c>
      <c r="O1512" s="66" t="s">
        <v>399</v>
      </c>
      <c r="P1512" s="0" t="s">
        <v>2633</v>
      </c>
      <c r="Q1512" s="66" t="s">
        <v>995</v>
      </c>
    </row>
    <row r="1513" customFormat="false" ht="14.25" hidden="false" customHeight="false" outlineLevel="0" collapsed="false">
      <c r="A1513" s="13" t="s">
        <v>896</v>
      </c>
      <c r="B1513" s="13" t="s">
        <v>650</v>
      </c>
      <c r="C1513" s="13" t="s">
        <v>654</v>
      </c>
      <c r="D1513" s="61" t="n">
        <v>45987.2347222222</v>
      </c>
      <c r="E1513" s="61" t="n">
        <v>45987.2347222222</v>
      </c>
      <c r="F1513" s="61" t="n">
        <v>45987.3958333333</v>
      </c>
      <c r="G1513" s="62" t="n">
        <v>0.161111111112405</v>
      </c>
      <c r="H1513" s="13" t="s">
        <v>248</v>
      </c>
      <c r="J1513" s="13" t="s">
        <v>256</v>
      </c>
      <c r="K1513" s="13" t="s">
        <v>430</v>
      </c>
      <c r="L1513" s="13" t="s">
        <v>1000</v>
      </c>
      <c r="M1513" s="66" t="s">
        <v>258</v>
      </c>
      <c r="N1513" s="66" t="s">
        <v>379</v>
      </c>
      <c r="O1513" s="66" t="s">
        <v>399</v>
      </c>
      <c r="P1513" s="0" t="s">
        <v>2634</v>
      </c>
      <c r="Q1513" s="66" t="s">
        <v>995</v>
      </c>
    </row>
    <row r="1514" customFormat="false" ht="14.25" hidden="false" customHeight="false" outlineLevel="0" collapsed="false">
      <c r="A1514" s="13" t="s">
        <v>896</v>
      </c>
      <c r="B1514" s="13" t="s">
        <v>650</v>
      </c>
      <c r="C1514" s="13" t="s">
        <v>655</v>
      </c>
      <c r="D1514" s="61" t="n">
        <v>45987.2347222222</v>
      </c>
      <c r="E1514" s="61" t="n">
        <v>45987.2347222222</v>
      </c>
      <c r="F1514" s="61" t="n">
        <v>45987.3958333333</v>
      </c>
      <c r="G1514" s="62" t="n">
        <v>0.161111111112405</v>
      </c>
      <c r="H1514" s="13" t="s">
        <v>248</v>
      </c>
      <c r="J1514" s="13" t="s">
        <v>256</v>
      </c>
      <c r="K1514" s="13" t="s">
        <v>430</v>
      </c>
      <c r="L1514" s="13" t="s">
        <v>1000</v>
      </c>
      <c r="M1514" s="66" t="s">
        <v>258</v>
      </c>
      <c r="N1514" s="66" t="s">
        <v>379</v>
      </c>
      <c r="O1514" s="66" t="s">
        <v>399</v>
      </c>
      <c r="P1514" s="0" t="s">
        <v>2635</v>
      </c>
      <c r="Q1514" s="66" t="s">
        <v>995</v>
      </c>
    </row>
    <row r="1515" customFormat="false" ht="14.25" hidden="false" customHeight="false" outlineLevel="0" collapsed="false">
      <c r="A1515" s="13" t="s">
        <v>896</v>
      </c>
      <c r="B1515" s="13" t="s">
        <v>650</v>
      </c>
      <c r="C1515" s="13" t="s">
        <v>656</v>
      </c>
      <c r="D1515" s="61" t="n">
        <v>45987.2347222222</v>
      </c>
      <c r="E1515" s="61" t="n">
        <v>45987.2347222222</v>
      </c>
      <c r="F1515" s="61" t="n">
        <v>45987.3958333333</v>
      </c>
      <c r="G1515" s="62" t="n">
        <v>0.161111111112405</v>
      </c>
      <c r="H1515" s="13" t="s">
        <v>248</v>
      </c>
      <c r="J1515" s="13" t="s">
        <v>256</v>
      </c>
      <c r="K1515" s="13" t="s">
        <v>430</v>
      </c>
      <c r="L1515" s="13" t="s">
        <v>1000</v>
      </c>
      <c r="M1515" s="66" t="s">
        <v>258</v>
      </c>
      <c r="N1515" s="66" t="s">
        <v>379</v>
      </c>
      <c r="O1515" s="66" t="s">
        <v>399</v>
      </c>
      <c r="P1515" s="0" t="s">
        <v>2636</v>
      </c>
      <c r="Q1515" s="66" t="s">
        <v>995</v>
      </c>
    </row>
    <row r="1516" customFormat="false" ht="14.25" hidden="false" customHeight="false" outlineLevel="0" collapsed="false">
      <c r="A1516" s="13" t="s">
        <v>896</v>
      </c>
      <c r="B1516" s="13" t="s">
        <v>650</v>
      </c>
      <c r="C1516" s="13" t="s">
        <v>657</v>
      </c>
      <c r="D1516" s="61" t="n">
        <v>45987.2347222222</v>
      </c>
      <c r="E1516" s="61" t="n">
        <v>45987.2347222222</v>
      </c>
      <c r="F1516" s="61" t="n">
        <v>45987.3958333333</v>
      </c>
      <c r="G1516" s="62" t="n">
        <v>0.161111111112405</v>
      </c>
      <c r="H1516" s="13" t="s">
        <v>248</v>
      </c>
      <c r="J1516" s="13" t="s">
        <v>256</v>
      </c>
      <c r="K1516" s="13" t="s">
        <v>430</v>
      </c>
      <c r="L1516" s="13" t="s">
        <v>1000</v>
      </c>
      <c r="M1516" s="66" t="s">
        <v>258</v>
      </c>
      <c r="N1516" s="66" t="s">
        <v>379</v>
      </c>
      <c r="O1516" s="66" t="s">
        <v>399</v>
      </c>
      <c r="P1516" s="0" t="s">
        <v>2637</v>
      </c>
      <c r="Q1516" s="66" t="s">
        <v>995</v>
      </c>
    </row>
    <row r="1517" customFormat="false" ht="14.25" hidden="false" customHeight="false" outlineLevel="0" collapsed="false">
      <c r="A1517" s="13" t="s">
        <v>896</v>
      </c>
      <c r="B1517" s="13" t="s">
        <v>650</v>
      </c>
      <c r="C1517" s="13" t="s">
        <v>658</v>
      </c>
      <c r="D1517" s="61" t="n">
        <v>45987.2347222222</v>
      </c>
      <c r="E1517" s="61" t="n">
        <v>45987.2347222222</v>
      </c>
      <c r="F1517" s="61" t="n">
        <v>45987.3958333333</v>
      </c>
      <c r="G1517" s="62" t="n">
        <v>0.161111111112405</v>
      </c>
      <c r="H1517" s="13" t="s">
        <v>248</v>
      </c>
      <c r="J1517" s="13" t="s">
        <v>256</v>
      </c>
      <c r="K1517" s="13" t="s">
        <v>430</v>
      </c>
      <c r="L1517" s="13" t="s">
        <v>1000</v>
      </c>
      <c r="M1517" s="66" t="s">
        <v>258</v>
      </c>
      <c r="N1517" s="66" t="s">
        <v>379</v>
      </c>
      <c r="O1517" s="66" t="s">
        <v>399</v>
      </c>
      <c r="P1517" s="0" t="s">
        <v>2638</v>
      </c>
      <c r="Q1517" s="66" t="s">
        <v>995</v>
      </c>
    </row>
    <row r="1518" customFormat="false" ht="14.25" hidden="false" customHeight="false" outlineLevel="0" collapsed="false">
      <c r="A1518" s="13" t="s">
        <v>896</v>
      </c>
      <c r="B1518" s="13" t="s">
        <v>650</v>
      </c>
      <c r="C1518" s="13" t="s">
        <v>659</v>
      </c>
      <c r="D1518" s="61" t="n">
        <v>45987.2347222222</v>
      </c>
      <c r="E1518" s="61" t="n">
        <v>45987.2347222222</v>
      </c>
      <c r="F1518" s="61" t="n">
        <v>45987.3958333333</v>
      </c>
      <c r="G1518" s="62" t="n">
        <v>0.161111111112405</v>
      </c>
      <c r="H1518" s="13" t="s">
        <v>248</v>
      </c>
      <c r="J1518" s="13" t="s">
        <v>256</v>
      </c>
      <c r="K1518" s="13" t="s">
        <v>430</v>
      </c>
      <c r="L1518" s="13" t="s">
        <v>1000</v>
      </c>
      <c r="M1518" s="66" t="s">
        <v>258</v>
      </c>
      <c r="N1518" s="66" t="s">
        <v>379</v>
      </c>
      <c r="O1518" s="66" t="s">
        <v>399</v>
      </c>
      <c r="P1518" s="0" t="s">
        <v>2639</v>
      </c>
      <c r="Q1518" s="66" t="s">
        <v>995</v>
      </c>
    </row>
    <row r="1519" customFormat="false" ht="14.25" hidden="false" customHeight="false" outlineLevel="0" collapsed="false">
      <c r="A1519" s="13" t="s">
        <v>896</v>
      </c>
      <c r="B1519" s="13" t="s">
        <v>650</v>
      </c>
      <c r="C1519" s="13" t="s">
        <v>660</v>
      </c>
      <c r="D1519" s="61" t="n">
        <v>45987.2347222222</v>
      </c>
      <c r="E1519" s="61" t="n">
        <v>45987.2347222222</v>
      </c>
      <c r="F1519" s="61" t="n">
        <v>45987.3958333333</v>
      </c>
      <c r="G1519" s="62" t="n">
        <v>0.161111111112405</v>
      </c>
      <c r="H1519" s="13" t="s">
        <v>248</v>
      </c>
      <c r="J1519" s="13" t="s">
        <v>256</v>
      </c>
      <c r="K1519" s="13" t="s">
        <v>430</v>
      </c>
      <c r="L1519" s="13" t="s">
        <v>1000</v>
      </c>
      <c r="M1519" s="66" t="s">
        <v>258</v>
      </c>
      <c r="N1519" s="66" t="s">
        <v>379</v>
      </c>
      <c r="O1519" s="66" t="s">
        <v>399</v>
      </c>
      <c r="P1519" s="0" t="s">
        <v>2640</v>
      </c>
      <c r="Q1519" s="66" t="s">
        <v>995</v>
      </c>
    </row>
    <row r="1520" customFormat="false" ht="14.25" hidden="false" customHeight="false" outlineLevel="0" collapsed="false">
      <c r="A1520" s="13" t="s">
        <v>896</v>
      </c>
      <c r="B1520" s="13" t="s">
        <v>650</v>
      </c>
      <c r="C1520" s="13" t="s">
        <v>661</v>
      </c>
      <c r="D1520" s="61" t="n">
        <v>45987.2347222222</v>
      </c>
      <c r="E1520" s="61" t="n">
        <v>45987.2347222222</v>
      </c>
      <c r="F1520" s="61" t="n">
        <v>45987.3958333333</v>
      </c>
      <c r="G1520" s="62" t="n">
        <v>0.161111111112405</v>
      </c>
      <c r="H1520" s="13" t="s">
        <v>248</v>
      </c>
      <c r="J1520" s="13" t="s">
        <v>256</v>
      </c>
      <c r="K1520" s="13" t="s">
        <v>430</v>
      </c>
      <c r="L1520" s="13" t="s">
        <v>1000</v>
      </c>
      <c r="M1520" s="66" t="s">
        <v>258</v>
      </c>
      <c r="N1520" s="66" t="s">
        <v>379</v>
      </c>
      <c r="O1520" s="66" t="s">
        <v>399</v>
      </c>
      <c r="P1520" s="0" t="s">
        <v>2641</v>
      </c>
      <c r="Q1520" s="66" t="s">
        <v>995</v>
      </c>
    </row>
    <row r="1521" customFormat="false" ht="14.25" hidden="false" customHeight="false" outlineLevel="0" collapsed="false">
      <c r="A1521" s="13" t="s">
        <v>896</v>
      </c>
      <c r="B1521" s="13" t="s">
        <v>650</v>
      </c>
      <c r="C1521" s="13" t="s">
        <v>662</v>
      </c>
      <c r="D1521" s="61" t="n">
        <v>45987.2347222222</v>
      </c>
      <c r="E1521" s="61" t="n">
        <v>45987.2347222222</v>
      </c>
      <c r="F1521" s="61" t="n">
        <v>45987.3958333333</v>
      </c>
      <c r="G1521" s="62" t="n">
        <v>0.161111111112405</v>
      </c>
      <c r="H1521" s="13" t="s">
        <v>248</v>
      </c>
      <c r="J1521" s="13" t="s">
        <v>256</v>
      </c>
      <c r="K1521" s="13" t="s">
        <v>430</v>
      </c>
      <c r="L1521" s="13" t="s">
        <v>1000</v>
      </c>
      <c r="M1521" s="66" t="s">
        <v>258</v>
      </c>
      <c r="N1521" s="66" t="s">
        <v>379</v>
      </c>
      <c r="O1521" s="66" t="s">
        <v>399</v>
      </c>
      <c r="P1521" s="0" t="s">
        <v>2642</v>
      </c>
      <c r="Q1521" s="66" t="s">
        <v>995</v>
      </c>
    </row>
    <row r="1522" customFormat="false" ht="14.25" hidden="false" customHeight="false" outlineLevel="0" collapsed="false">
      <c r="A1522" s="13" t="s">
        <v>896</v>
      </c>
      <c r="B1522" s="13" t="s">
        <v>650</v>
      </c>
      <c r="C1522" s="13" t="s">
        <v>663</v>
      </c>
      <c r="D1522" s="61" t="n">
        <v>45987.2347222222</v>
      </c>
      <c r="E1522" s="61" t="n">
        <v>45987.2347222222</v>
      </c>
      <c r="F1522" s="61" t="n">
        <v>45987.3958333333</v>
      </c>
      <c r="G1522" s="62" t="n">
        <v>0.161111111112405</v>
      </c>
      <c r="H1522" s="13" t="s">
        <v>248</v>
      </c>
      <c r="J1522" s="13" t="s">
        <v>256</v>
      </c>
      <c r="K1522" s="13" t="s">
        <v>430</v>
      </c>
      <c r="L1522" s="13" t="s">
        <v>1000</v>
      </c>
      <c r="M1522" s="66" t="s">
        <v>258</v>
      </c>
      <c r="N1522" s="66" t="s">
        <v>379</v>
      </c>
      <c r="O1522" s="66" t="s">
        <v>399</v>
      </c>
      <c r="P1522" s="0" t="s">
        <v>2643</v>
      </c>
      <c r="Q1522" s="66" t="s">
        <v>995</v>
      </c>
    </row>
    <row r="1523" customFormat="false" ht="14.25" hidden="false" customHeight="false" outlineLevel="0" collapsed="false">
      <c r="A1523" s="13" t="s">
        <v>896</v>
      </c>
      <c r="B1523" s="13" t="s">
        <v>650</v>
      </c>
      <c r="C1523" s="13" t="s">
        <v>664</v>
      </c>
      <c r="D1523" s="61" t="n">
        <v>45987.2347222222</v>
      </c>
      <c r="E1523" s="61" t="n">
        <v>45987.2347222222</v>
      </c>
      <c r="F1523" s="61" t="n">
        <v>45987.3958333333</v>
      </c>
      <c r="G1523" s="62" t="n">
        <v>0.161111111112405</v>
      </c>
      <c r="H1523" s="13" t="s">
        <v>248</v>
      </c>
      <c r="J1523" s="13" t="s">
        <v>256</v>
      </c>
      <c r="K1523" s="13" t="s">
        <v>430</v>
      </c>
      <c r="L1523" s="13" t="s">
        <v>1000</v>
      </c>
      <c r="M1523" s="66" t="s">
        <v>258</v>
      </c>
      <c r="N1523" s="66" t="s">
        <v>379</v>
      </c>
      <c r="O1523" s="66" t="s">
        <v>399</v>
      </c>
      <c r="P1523" s="0" t="s">
        <v>2644</v>
      </c>
      <c r="Q1523" s="66" t="s">
        <v>995</v>
      </c>
    </row>
    <row r="1524" customFormat="false" ht="14.25" hidden="false" customHeight="false" outlineLevel="0" collapsed="false">
      <c r="A1524" s="13" t="s">
        <v>896</v>
      </c>
      <c r="B1524" s="13" t="s">
        <v>650</v>
      </c>
      <c r="C1524" s="13" t="s">
        <v>665</v>
      </c>
      <c r="D1524" s="61" t="n">
        <v>45987.2347222222</v>
      </c>
      <c r="E1524" s="61" t="n">
        <v>45987.2347222222</v>
      </c>
      <c r="F1524" s="61" t="n">
        <v>45987.3958333333</v>
      </c>
      <c r="G1524" s="62" t="n">
        <v>0.161111111112405</v>
      </c>
      <c r="H1524" s="13" t="s">
        <v>248</v>
      </c>
      <c r="J1524" s="13" t="s">
        <v>256</v>
      </c>
      <c r="K1524" s="13" t="s">
        <v>430</v>
      </c>
      <c r="L1524" s="13" t="s">
        <v>1000</v>
      </c>
      <c r="M1524" s="66" t="s">
        <v>258</v>
      </c>
      <c r="N1524" s="66" t="s">
        <v>379</v>
      </c>
      <c r="O1524" s="66" t="s">
        <v>399</v>
      </c>
      <c r="P1524" s="0" t="s">
        <v>2645</v>
      </c>
      <c r="Q1524" s="66" t="s">
        <v>995</v>
      </c>
    </row>
    <row r="1525" customFormat="false" ht="14.25" hidden="false" customHeight="false" outlineLevel="0" collapsed="false">
      <c r="A1525" s="13" t="s">
        <v>896</v>
      </c>
      <c r="B1525" s="13" t="s">
        <v>650</v>
      </c>
      <c r="C1525" s="13" t="s">
        <v>666</v>
      </c>
      <c r="D1525" s="61" t="n">
        <v>45987.2347222222</v>
      </c>
      <c r="E1525" s="61" t="n">
        <v>45987.2347222222</v>
      </c>
      <c r="F1525" s="61" t="n">
        <v>45987.3958333333</v>
      </c>
      <c r="G1525" s="62" t="n">
        <v>0.161111111112405</v>
      </c>
      <c r="H1525" s="13" t="s">
        <v>248</v>
      </c>
      <c r="J1525" s="13" t="s">
        <v>256</v>
      </c>
      <c r="K1525" s="13" t="s">
        <v>430</v>
      </c>
      <c r="L1525" s="13" t="s">
        <v>1000</v>
      </c>
      <c r="M1525" s="66" t="s">
        <v>258</v>
      </c>
      <c r="N1525" s="66" t="s">
        <v>379</v>
      </c>
      <c r="O1525" s="66" t="s">
        <v>399</v>
      </c>
      <c r="P1525" s="0" t="s">
        <v>2646</v>
      </c>
      <c r="Q1525" s="66" t="s">
        <v>995</v>
      </c>
    </row>
    <row r="1526" customFormat="false" ht="14.25" hidden="false" customHeight="false" outlineLevel="0" collapsed="false">
      <c r="A1526" s="13" t="s">
        <v>896</v>
      </c>
      <c r="B1526" s="13" t="s">
        <v>650</v>
      </c>
      <c r="C1526" s="13" t="s">
        <v>667</v>
      </c>
      <c r="D1526" s="61" t="n">
        <v>45987.2347222222</v>
      </c>
      <c r="E1526" s="61" t="n">
        <v>45987.2347222222</v>
      </c>
      <c r="F1526" s="61" t="n">
        <v>45987.3958333333</v>
      </c>
      <c r="G1526" s="62" t="n">
        <v>0.161111111112405</v>
      </c>
      <c r="H1526" s="13" t="s">
        <v>248</v>
      </c>
      <c r="J1526" s="13" t="s">
        <v>256</v>
      </c>
      <c r="K1526" s="13" t="s">
        <v>430</v>
      </c>
      <c r="L1526" s="13" t="s">
        <v>1000</v>
      </c>
      <c r="M1526" s="66" t="s">
        <v>258</v>
      </c>
      <c r="N1526" s="66" t="s">
        <v>379</v>
      </c>
      <c r="O1526" s="66" t="s">
        <v>399</v>
      </c>
      <c r="P1526" s="0" t="s">
        <v>2647</v>
      </c>
      <c r="Q1526" s="66" t="s">
        <v>995</v>
      </c>
    </row>
    <row r="1527" customFormat="false" ht="14.25" hidden="false" customHeight="false" outlineLevel="0" collapsed="false">
      <c r="A1527" s="13" t="s">
        <v>896</v>
      </c>
      <c r="B1527" s="13" t="s">
        <v>650</v>
      </c>
      <c r="C1527" s="13" t="s">
        <v>668</v>
      </c>
      <c r="D1527" s="61" t="n">
        <v>45987.2347222222</v>
      </c>
      <c r="E1527" s="61" t="n">
        <v>45987.2347222222</v>
      </c>
      <c r="F1527" s="61" t="n">
        <v>45987.3958333333</v>
      </c>
      <c r="G1527" s="62" t="n">
        <v>0.161111111112405</v>
      </c>
      <c r="H1527" s="13" t="s">
        <v>248</v>
      </c>
      <c r="J1527" s="13" t="s">
        <v>256</v>
      </c>
      <c r="K1527" s="13" t="s">
        <v>430</v>
      </c>
      <c r="L1527" s="13" t="s">
        <v>1000</v>
      </c>
      <c r="M1527" s="66" t="s">
        <v>258</v>
      </c>
      <c r="N1527" s="66" t="s">
        <v>379</v>
      </c>
      <c r="O1527" s="66" t="s">
        <v>399</v>
      </c>
      <c r="P1527" s="0" t="s">
        <v>2648</v>
      </c>
      <c r="Q1527" s="66" t="s">
        <v>995</v>
      </c>
    </row>
    <row r="1528" customFormat="false" ht="14.25" hidden="false" customHeight="false" outlineLevel="0" collapsed="false">
      <c r="A1528" s="13" t="s">
        <v>578</v>
      </c>
      <c r="B1528" s="13" t="s">
        <v>578</v>
      </c>
      <c r="C1528" s="13" t="s">
        <v>397</v>
      </c>
      <c r="D1528" s="61" t="n">
        <v>45987.5430555556</v>
      </c>
      <c r="E1528" s="61" t="n">
        <v>45987.5430555556</v>
      </c>
      <c r="F1528" s="61" t="n">
        <v>45987.5590277778</v>
      </c>
      <c r="G1528" s="62" t="n">
        <v>0.015972222223354</v>
      </c>
      <c r="H1528" s="13" t="s">
        <v>313</v>
      </c>
      <c r="J1528" s="13" t="s">
        <v>230</v>
      </c>
      <c r="K1528" s="13" t="s">
        <v>230</v>
      </c>
      <c r="L1528" s="13" t="s">
        <v>1569</v>
      </c>
      <c r="M1528" s="66" t="s">
        <v>288</v>
      </c>
      <c r="N1528" s="66" t="s">
        <v>315</v>
      </c>
      <c r="O1528" s="66" t="s">
        <v>2649</v>
      </c>
      <c r="P1528" s="0" t="s">
        <v>2650</v>
      </c>
      <c r="Q1528" s="66" t="s">
        <v>1393</v>
      </c>
    </row>
    <row r="1529" customFormat="false" ht="14.25" hidden="false" customHeight="false" outlineLevel="0" collapsed="false">
      <c r="A1529" s="13" t="s">
        <v>578</v>
      </c>
      <c r="B1529" s="13" t="s">
        <v>578</v>
      </c>
      <c r="C1529" s="13" t="s">
        <v>394</v>
      </c>
      <c r="D1529" s="61" t="n">
        <v>45987.5430555556</v>
      </c>
      <c r="E1529" s="61" t="n">
        <v>45987.5430555556</v>
      </c>
      <c r="F1529" s="61" t="n">
        <v>45987.5590277778</v>
      </c>
      <c r="G1529" s="62" t="n">
        <v>0.015972222223354</v>
      </c>
      <c r="H1529" s="13" t="s">
        <v>313</v>
      </c>
      <c r="J1529" s="13" t="s">
        <v>230</v>
      </c>
      <c r="K1529" s="13" t="s">
        <v>230</v>
      </c>
      <c r="L1529" s="13" t="s">
        <v>1569</v>
      </c>
      <c r="M1529" s="66" t="s">
        <v>288</v>
      </c>
      <c r="N1529" s="66" t="s">
        <v>315</v>
      </c>
      <c r="O1529" s="66" t="s">
        <v>2649</v>
      </c>
      <c r="P1529" s="0" t="s">
        <v>2651</v>
      </c>
      <c r="Q1529" s="66" t="s">
        <v>1393</v>
      </c>
    </row>
    <row r="1530" customFormat="false" ht="14.25" hidden="false" customHeight="false" outlineLevel="0" collapsed="false">
      <c r="A1530" s="13" t="s">
        <v>578</v>
      </c>
      <c r="B1530" s="13" t="s">
        <v>578</v>
      </c>
      <c r="C1530" s="13" t="s">
        <v>395</v>
      </c>
      <c r="D1530" s="61" t="n">
        <v>45987.5430555556</v>
      </c>
      <c r="E1530" s="61" t="n">
        <v>45987.5430555556</v>
      </c>
      <c r="F1530" s="61" t="n">
        <v>45987.5590277778</v>
      </c>
      <c r="G1530" s="62" t="n">
        <v>0.015972222223354</v>
      </c>
      <c r="H1530" s="13" t="s">
        <v>313</v>
      </c>
      <c r="J1530" s="13" t="s">
        <v>230</v>
      </c>
      <c r="K1530" s="13" t="s">
        <v>230</v>
      </c>
      <c r="L1530" s="13" t="s">
        <v>1569</v>
      </c>
      <c r="M1530" s="66" t="s">
        <v>288</v>
      </c>
      <c r="N1530" s="66" t="s">
        <v>315</v>
      </c>
      <c r="O1530" s="66" t="s">
        <v>2649</v>
      </c>
      <c r="P1530" s="0" t="s">
        <v>2652</v>
      </c>
      <c r="Q1530" s="66" t="s">
        <v>1393</v>
      </c>
    </row>
    <row r="1531" customFormat="false" ht="14.25" hidden="false" customHeight="false" outlineLevel="0" collapsed="false">
      <c r="A1531" s="13" t="s">
        <v>578</v>
      </c>
      <c r="B1531" s="13" t="s">
        <v>578</v>
      </c>
      <c r="C1531" s="13" t="s">
        <v>396</v>
      </c>
      <c r="D1531" s="61" t="n">
        <v>45987.5430555556</v>
      </c>
      <c r="E1531" s="61" t="n">
        <v>45987.5430555556</v>
      </c>
      <c r="F1531" s="61" t="n">
        <v>45987.5590277778</v>
      </c>
      <c r="G1531" s="62" t="n">
        <v>0.015972222223354</v>
      </c>
      <c r="H1531" s="13" t="s">
        <v>313</v>
      </c>
      <c r="J1531" s="13" t="s">
        <v>230</v>
      </c>
      <c r="K1531" s="13" t="s">
        <v>230</v>
      </c>
      <c r="L1531" s="13" t="s">
        <v>1569</v>
      </c>
      <c r="M1531" s="66" t="s">
        <v>288</v>
      </c>
      <c r="N1531" s="66" t="s">
        <v>315</v>
      </c>
      <c r="O1531" s="66" t="s">
        <v>2649</v>
      </c>
      <c r="P1531" s="0" t="s">
        <v>2653</v>
      </c>
      <c r="Q1531" s="66" t="s">
        <v>1393</v>
      </c>
    </row>
    <row r="1532" customFormat="false" ht="14.25" hidden="false" customHeight="false" outlineLevel="0" collapsed="false">
      <c r="A1532" s="13" t="s">
        <v>578</v>
      </c>
      <c r="B1532" s="13" t="s">
        <v>578</v>
      </c>
      <c r="C1532" s="13" t="s">
        <v>391</v>
      </c>
      <c r="D1532" s="61" t="n">
        <v>45987.5430555556</v>
      </c>
      <c r="E1532" s="61" t="n">
        <v>45987.5430555556</v>
      </c>
      <c r="F1532" s="61" t="n">
        <v>45987.5590277778</v>
      </c>
      <c r="G1532" s="62" t="n">
        <v>0.015972222223354</v>
      </c>
      <c r="H1532" s="13" t="s">
        <v>313</v>
      </c>
      <c r="J1532" s="13" t="s">
        <v>230</v>
      </c>
      <c r="K1532" s="13" t="s">
        <v>230</v>
      </c>
      <c r="L1532" s="13" t="s">
        <v>1569</v>
      </c>
      <c r="M1532" s="66" t="s">
        <v>288</v>
      </c>
      <c r="N1532" s="66" t="s">
        <v>315</v>
      </c>
      <c r="O1532" s="66" t="s">
        <v>2649</v>
      </c>
      <c r="P1532" s="0" t="s">
        <v>2654</v>
      </c>
      <c r="Q1532" s="66" t="s">
        <v>1393</v>
      </c>
    </row>
    <row r="1533" customFormat="false" ht="14.25" hidden="false" customHeight="false" outlineLevel="0" collapsed="false">
      <c r="A1533" s="13" t="s">
        <v>797</v>
      </c>
      <c r="B1533" s="13" t="s">
        <v>797</v>
      </c>
      <c r="C1533" s="13" t="s">
        <v>277</v>
      </c>
      <c r="D1533" s="61" t="n">
        <v>45988.2152777778</v>
      </c>
      <c r="E1533" s="61" t="n">
        <v>45988.2152777778</v>
      </c>
      <c r="F1533" s="61" t="n">
        <v>45989.625</v>
      </c>
      <c r="G1533" s="62" t="n">
        <v>1.40972222221899</v>
      </c>
      <c r="H1533" s="13" t="s">
        <v>248</v>
      </c>
      <c r="J1533" s="13" t="s">
        <v>703</v>
      </c>
      <c r="K1533" s="13" t="s">
        <v>2655</v>
      </c>
      <c r="L1533" s="13" t="s">
        <v>2656</v>
      </c>
      <c r="M1533" s="66" t="s">
        <v>288</v>
      </c>
      <c r="N1533" s="66" t="s">
        <v>289</v>
      </c>
      <c r="O1533" s="66" t="s">
        <v>2657</v>
      </c>
      <c r="P1533" s="0" t="s">
        <v>2658</v>
      </c>
      <c r="Q1533" s="66" t="s">
        <v>2659</v>
      </c>
    </row>
    <row r="1534" customFormat="false" ht="14.25" hidden="false" customHeight="false" outlineLevel="0" collapsed="false">
      <c r="A1534" s="13" t="s">
        <v>797</v>
      </c>
      <c r="B1534" s="13" t="s">
        <v>797</v>
      </c>
      <c r="C1534" s="13" t="s">
        <v>247</v>
      </c>
      <c r="D1534" s="61" t="n">
        <v>45988.2152777778</v>
      </c>
      <c r="E1534" s="61" t="n">
        <v>45988.2152777778</v>
      </c>
      <c r="F1534" s="61" t="n">
        <v>45989.625</v>
      </c>
      <c r="G1534" s="62" t="n">
        <v>1.40972222221899</v>
      </c>
      <c r="H1534" s="13" t="s">
        <v>248</v>
      </c>
      <c r="J1534" s="13" t="s">
        <v>703</v>
      </c>
      <c r="K1534" s="13" t="s">
        <v>2655</v>
      </c>
      <c r="L1534" s="13" t="s">
        <v>2656</v>
      </c>
      <c r="M1534" s="66" t="s">
        <v>288</v>
      </c>
      <c r="N1534" s="66" t="s">
        <v>289</v>
      </c>
      <c r="O1534" s="66" t="s">
        <v>2657</v>
      </c>
      <c r="P1534" s="0" t="s">
        <v>2660</v>
      </c>
      <c r="Q1534" s="66" t="s">
        <v>2659</v>
      </c>
    </row>
    <row r="1535" customFormat="false" ht="14.25" hidden="false" customHeight="false" outlineLevel="0" collapsed="false">
      <c r="A1535" s="13" t="s">
        <v>797</v>
      </c>
      <c r="B1535" s="13" t="s">
        <v>797</v>
      </c>
      <c r="C1535" s="13" t="s">
        <v>280</v>
      </c>
      <c r="D1535" s="61" t="n">
        <v>45988.2152777778</v>
      </c>
      <c r="E1535" s="61" t="n">
        <v>45988.2152777778</v>
      </c>
      <c r="F1535" s="61" t="n">
        <v>45989.625</v>
      </c>
      <c r="G1535" s="62" t="n">
        <v>1.40972222221899</v>
      </c>
      <c r="H1535" s="13" t="s">
        <v>248</v>
      </c>
      <c r="J1535" s="13" t="s">
        <v>703</v>
      </c>
      <c r="K1535" s="13" t="s">
        <v>2655</v>
      </c>
      <c r="L1535" s="13" t="s">
        <v>2656</v>
      </c>
      <c r="M1535" s="66" t="s">
        <v>288</v>
      </c>
      <c r="N1535" s="66" t="s">
        <v>289</v>
      </c>
      <c r="O1535" s="66" t="s">
        <v>2657</v>
      </c>
      <c r="P1535" s="0" t="s">
        <v>2661</v>
      </c>
      <c r="Q1535" s="66" t="s">
        <v>2659</v>
      </c>
    </row>
    <row r="1536" customFormat="false" ht="14.25" hidden="false" customHeight="false" outlineLevel="0" collapsed="false">
      <c r="A1536" s="13" t="s">
        <v>797</v>
      </c>
      <c r="B1536" s="13" t="s">
        <v>797</v>
      </c>
      <c r="C1536" s="13" t="s">
        <v>279</v>
      </c>
      <c r="D1536" s="61" t="n">
        <v>45988.2152777778</v>
      </c>
      <c r="E1536" s="61" t="n">
        <v>45988.2152777778</v>
      </c>
      <c r="F1536" s="61" t="n">
        <v>45989.625</v>
      </c>
      <c r="G1536" s="62" t="n">
        <v>1.40972222221899</v>
      </c>
      <c r="H1536" s="13" t="s">
        <v>248</v>
      </c>
      <c r="J1536" s="13" t="s">
        <v>703</v>
      </c>
      <c r="K1536" s="13" t="s">
        <v>2655</v>
      </c>
      <c r="L1536" s="13" t="s">
        <v>2656</v>
      </c>
      <c r="M1536" s="66" t="s">
        <v>288</v>
      </c>
      <c r="N1536" s="66" t="s">
        <v>289</v>
      </c>
      <c r="O1536" s="66" t="s">
        <v>2657</v>
      </c>
      <c r="P1536" s="0" t="s">
        <v>2662</v>
      </c>
      <c r="Q1536" s="66" t="s">
        <v>2659</v>
      </c>
    </row>
    <row r="1537" customFormat="false" ht="14.25" hidden="false" customHeight="false" outlineLevel="0" collapsed="false">
      <c r="A1537" s="13" t="s">
        <v>883</v>
      </c>
      <c r="B1537" s="13" t="s">
        <v>883</v>
      </c>
      <c r="C1537" s="13" t="s">
        <v>277</v>
      </c>
      <c r="D1537" s="61" t="n">
        <v>45988.2152777778</v>
      </c>
      <c r="E1537" s="61" t="n">
        <v>45988.2152777778</v>
      </c>
      <c r="F1537" s="61" t="n">
        <v>45989.625</v>
      </c>
      <c r="G1537" s="62" t="n">
        <v>1.40972222221899</v>
      </c>
      <c r="H1537" s="13" t="s">
        <v>445</v>
      </c>
      <c r="I1537" s="13" t="s">
        <v>263</v>
      </c>
      <c r="J1537" s="13" t="s">
        <v>264</v>
      </c>
      <c r="K1537" s="13" t="s">
        <v>456</v>
      </c>
      <c r="L1537" s="13" t="s">
        <v>2656</v>
      </c>
      <c r="M1537" s="66" t="s">
        <v>288</v>
      </c>
      <c r="N1537" s="66" t="s">
        <v>289</v>
      </c>
      <c r="O1537" s="66" t="s">
        <v>2657</v>
      </c>
      <c r="P1537" s="0" t="s">
        <v>2663</v>
      </c>
      <c r="Q1537" s="66" t="s">
        <v>1430</v>
      </c>
    </row>
    <row r="1538" customFormat="false" ht="14.25" hidden="false" customHeight="false" outlineLevel="0" collapsed="false">
      <c r="A1538" s="13" t="s">
        <v>883</v>
      </c>
      <c r="B1538" s="13" t="s">
        <v>883</v>
      </c>
      <c r="C1538" s="13" t="s">
        <v>247</v>
      </c>
      <c r="D1538" s="61" t="n">
        <v>45988.2152777778</v>
      </c>
      <c r="E1538" s="61" t="n">
        <v>45988.2152777778</v>
      </c>
      <c r="F1538" s="61" t="n">
        <v>45989.625</v>
      </c>
      <c r="G1538" s="62" t="n">
        <v>1.40972222221899</v>
      </c>
      <c r="H1538" s="13" t="s">
        <v>445</v>
      </c>
      <c r="I1538" s="13" t="s">
        <v>263</v>
      </c>
      <c r="J1538" s="13" t="s">
        <v>264</v>
      </c>
      <c r="K1538" s="13" t="s">
        <v>456</v>
      </c>
      <c r="L1538" s="13" t="s">
        <v>2656</v>
      </c>
      <c r="M1538" s="66" t="s">
        <v>266</v>
      </c>
      <c r="N1538" s="66" t="s">
        <v>252</v>
      </c>
      <c r="O1538" s="66" t="s">
        <v>2657</v>
      </c>
      <c r="P1538" s="0" t="s">
        <v>2664</v>
      </c>
      <c r="Q1538" s="66" t="s">
        <v>1430</v>
      </c>
    </row>
    <row r="1539" customFormat="false" ht="14.25" hidden="false" customHeight="false" outlineLevel="0" collapsed="false">
      <c r="A1539" s="13" t="s">
        <v>883</v>
      </c>
      <c r="B1539" s="13" t="s">
        <v>883</v>
      </c>
      <c r="C1539" s="13" t="s">
        <v>280</v>
      </c>
      <c r="D1539" s="61" t="n">
        <v>45988.2152777778</v>
      </c>
      <c r="E1539" s="61" t="n">
        <v>45988.2152777778</v>
      </c>
      <c r="F1539" s="61" t="n">
        <v>45989.625</v>
      </c>
      <c r="G1539" s="62" t="n">
        <v>1.40972222221899</v>
      </c>
      <c r="H1539" s="13" t="s">
        <v>445</v>
      </c>
      <c r="I1539" s="13" t="s">
        <v>263</v>
      </c>
      <c r="J1539" s="13" t="s">
        <v>264</v>
      </c>
      <c r="K1539" s="13" t="s">
        <v>456</v>
      </c>
      <c r="L1539" s="13" t="s">
        <v>2656</v>
      </c>
      <c r="M1539" s="66" t="s">
        <v>266</v>
      </c>
      <c r="N1539" s="66" t="s">
        <v>252</v>
      </c>
      <c r="O1539" s="66" t="s">
        <v>2657</v>
      </c>
      <c r="P1539" s="0" t="s">
        <v>2665</v>
      </c>
      <c r="Q1539" s="66" t="s">
        <v>1430</v>
      </c>
    </row>
    <row r="1540" customFormat="false" ht="14.25" hidden="false" customHeight="false" outlineLevel="0" collapsed="false">
      <c r="A1540" s="13" t="s">
        <v>883</v>
      </c>
      <c r="B1540" s="13" t="s">
        <v>883</v>
      </c>
      <c r="C1540" s="13" t="s">
        <v>279</v>
      </c>
      <c r="D1540" s="61" t="n">
        <v>45988.2152777778</v>
      </c>
      <c r="E1540" s="61" t="n">
        <v>45988.2152777778</v>
      </c>
      <c r="F1540" s="61" t="n">
        <v>45989.625</v>
      </c>
      <c r="G1540" s="62" t="n">
        <v>1.40972222221899</v>
      </c>
      <c r="H1540" s="13" t="s">
        <v>445</v>
      </c>
      <c r="I1540" s="13" t="s">
        <v>263</v>
      </c>
      <c r="J1540" s="13" t="s">
        <v>264</v>
      </c>
      <c r="K1540" s="13" t="s">
        <v>456</v>
      </c>
      <c r="L1540" s="13" t="s">
        <v>2656</v>
      </c>
      <c r="M1540" s="66" t="s">
        <v>266</v>
      </c>
      <c r="N1540" s="66" t="s">
        <v>252</v>
      </c>
      <c r="O1540" s="66" t="s">
        <v>2657</v>
      </c>
      <c r="P1540" s="0" t="s">
        <v>2666</v>
      </c>
      <c r="Q1540" s="66" t="s">
        <v>1430</v>
      </c>
    </row>
    <row r="1541" customFormat="false" ht="14.25" hidden="false" customHeight="false" outlineLevel="0" collapsed="false">
      <c r="A1541" s="13" t="s">
        <v>246</v>
      </c>
      <c r="B1541" s="13" t="s">
        <v>246</v>
      </c>
      <c r="C1541" s="13" t="s">
        <v>255</v>
      </c>
      <c r="D1541" s="61" t="n">
        <v>45988.2152777778</v>
      </c>
      <c r="E1541" s="61" t="n">
        <v>45988.2152777778</v>
      </c>
      <c r="F1541" s="61" t="n">
        <v>45989.625</v>
      </c>
      <c r="G1541" s="62" t="n">
        <v>1.40972222221899</v>
      </c>
      <c r="H1541" s="13" t="s">
        <v>445</v>
      </c>
      <c r="I1541" s="13" t="s">
        <v>263</v>
      </c>
      <c r="J1541" s="13" t="s">
        <v>264</v>
      </c>
      <c r="K1541" s="13" t="s">
        <v>456</v>
      </c>
      <c r="L1541" s="13" t="s">
        <v>2656</v>
      </c>
      <c r="M1541" s="66" t="s">
        <v>266</v>
      </c>
      <c r="N1541" s="66" t="s">
        <v>252</v>
      </c>
      <c r="O1541" s="66" t="s">
        <v>2657</v>
      </c>
      <c r="P1541" s="0" t="s">
        <v>2667</v>
      </c>
      <c r="Q1541" s="66" t="s">
        <v>1430</v>
      </c>
    </row>
    <row r="1542" customFormat="false" ht="14.25" hidden="false" customHeight="false" outlineLevel="0" collapsed="false">
      <c r="A1542" s="13" t="s">
        <v>246</v>
      </c>
      <c r="B1542" s="13" t="s">
        <v>246</v>
      </c>
      <c r="C1542" s="13" t="s">
        <v>247</v>
      </c>
      <c r="D1542" s="61" t="n">
        <v>45988.2152777778</v>
      </c>
      <c r="E1542" s="61" t="n">
        <v>45988.2152777778</v>
      </c>
      <c r="F1542" s="61" t="n">
        <v>45989.625</v>
      </c>
      <c r="G1542" s="62" t="n">
        <v>1.40972222221899</v>
      </c>
      <c r="H1542" s="13" t="s">
        <v>445</v>
      </c>
      <c r="I1542" s="13" t="s">
        <v>263</v>
      </c>
      <c r="J1542" s="13" t="s">
        <v>264</v>
      </c>
      <c r="K1542" s="13" t="s">
        <v>456</v>
      </c>
      <c r="L1542" s="13" t="s">
        <v>2656</v>
      </c>
      <c r="M1542" s="66" t="s">
        <v>266</v>
      </c>
      <c r="N1542" s="66" t="s">
        <v>252</v>
      </c>
      <c r="O1542" s="66" t="s">
        <v>2657</v>
      </c>
      <c r="P1542" s="0" t="s">
        <v>2668</v>
      </c>
      <c r="Q1542" s="66" t="s">
        <v>1430</v>
      </c>
    </row>
    <row r="1543" customFormat="false" ht="14.25" hidden="false" customHeight="false" outlineLevel="0" collapsed="false">
      <c r="A1543" s="13" t="s">
        <v>246</v>
      </c>
      <c r="B1543" s="13" t="s">
        <v>246</v>
      </c>
      <c r="C1543" s="13" t="s">
        <v>280</v>
      </c>
      <c r="D1543" s="61" t="n">
        <v>45988.2152777778</v>
      </c>
      <c r="E1543" s="61" t="n">
        <v>45988.2152777778</v>
      </c>
      <c r="F1543" s="61" t="n">
        <v>45989.625</v>
      </c>
      <c r="G1543" s="62" t="n">
        <v>1.40972222221899</v>
      </c>
      <c r="H1543" s="13" t="s">
        <v>445</v>
      </c>
      <c r="I1543" s="13" t="s">
        <v>263</v>
      </c>
      <c r="J1543" s="13" t="s">
        <v>264</v>
      </c>
      <c r="K1543" s="13" t="s">
        <v>456</v>
      </c>
      <c r="L1543" s="13" t="s">
        <v>2656</v>
      </c>
      <c r="M1543" s="66" t="s">
        <v>266</v>
      </c>
      <c r="N1543" s="66" t="s">
        <v>252</v>
      </c>
      <c r="O1543" s="66" t="s">
        <v>2657</v>
      </c>
      <c r="P1543" s="0" t="s">
        <v>2669</v>
      </c>
      <c r="Q1543" s="66" t="s">
        <v>1430</v>
      </c>
    </row>
    <row r="1544" customFormat="false" ht="14.25" hidden="false" customHeight="false" outlineLevel="0" collapsed="false">
      <c r="A1544" s="13" t="s">
        <v>246</v>
      </c>
      <c r="B1544" s="13" t="s">
        <v>246</v>
      </c>
      <c r="C1544" s="13" t="s">
        <v>279</v>
      </c>
      <c r="D1544" s="61" t="n">
        <v>45988.2152777778</v>
      </c>
      <c r="E1544" s="61" t="n">
        <v>45988.2152777778</v>
      </c>
      <c r="F1544" s="61" t="n">
        <v>45989.625</v>
      </c>
      <c r="G1544" s="62" t="n">
        <v>1.40972222221899</v>
      </c>
      <c r="H1544" s="13" t="s">
        <v>445</v>
      </c>
      <c r="I1544" s="13" t="s">
        <v>263</v>
      </c>
      <c r="J1544" s="13" t="s">
        <v>264</v>
      </c>
      <c r="K1544" s="13" t="s">
        <v>456</v>
      </c>
      <c r="L1544" s="13" t="s">
        <v>2656</v>
      </c>
      <c r="M1544" s="66" t="s">
        <v>266</v>
      </c>
      <c r="N1544" s="66" t="s">
        <v>252</v>
      </c>
      <c r="O1544" s="66" t="s">
        <v>2657</v>
      </c>
      <c r="P1544" s="0" t="s">
        <v>2670</v>
      </c>
      <c r="Q1544" s="66" t="s">
        <v>1430</v>
      </c>
    </row>
    <row r="1545" customFormat="false" ht="14.25" hidden="false" customHeight="false" outlineLevel="0" collapsed="false">
      <c r="A1545" s="13" t="s">
        <v>884</v>
      </c>
      <c r="B1545" s="13" t="s">
        <v>884</v>
      </c>
      <c r="C1545" s="13" t="s">
        <v>277</v>
      </c>
      <c r="D1545" s="61" t="n">
        <v>45988.2152777778</v>
      </c>
      <c r="E1545" s="61" t="n">
        <v>45988.2152777778</v>
      </c>
      <c r="F1545" s="61" t="n">
        <v>45989.625</v>
      </c>
      <c r="G1545" s="62" t="n">
        <v>1.40972222221899</v>
      </c>
      <c r="H1545" s="13" t="s">
        <v>445</v>
      </c>
      <c r="I1545" s="13" t="s">
        <v>263</v>
      </c>
      <c r="J1545" s="13" t="s">
        <v>264</v>
      </c>
      <c r="K1545" s="13" t="s">
        <v>456</v>
      </c>
      <c r="L1545" s="13" t="s">
        <v>2656</v>
      </c>
      <c r="M1545" s="66" t="s">
        <v>266</v>
      </c>
      <c r="N1545" s="66" t="s">
        <v>252</v>
      </c>
      <c r="O1545" s="66" t="s">
        <v>2657</v>
      </c>
      <c r="P1545" s="0" t="s">
        <v>2671</v>
      </c>
      <c r="Q1545" s="66" t="s">
        <v>1430</v>
      </c>
    </row>
    <row r="1546" customFormat="false" ht="14.25" hidden="false" customHeight="false" outlineLevel="0" collapsed="false">
      <c r="A1546" s="13" t="s">
        <v>884</v>
      </c>
      <c r="B1546" s="13" t="s">
        <v>884</v>
      </c>
      <c r="C1546" s="13" t="s">
        <v>247</v>
      </c>
      <c r="D1546" s="61" t="n">
        <v>45988.2152777778</v>
      </c>
      <c r="E1546" s="61" t="n">
        <v>45988.2152777778</v>
      </c>
      <c r="F1546" s="61" t="n">
        <v>45989.625</v>
      </c>
      <c r="G1546" s="62" t="n">
        <v>1.40972222221899</v>
      </c>
      <c r="H1546" s="13" t="s">
        <v>445</v>
      </c>
      <c r="I1546" s="13" t="s">
        <v>263</v>
      </c>
      <c r="J1546" s="13" t="s">
        <v>264</v>
      </c>
      <c r="K1546" s="13" t="s">
        <v>456</v>
      </c>
      <c r="L1546" s="13" t="s">
        <v>2656</v>
      </c>
      <c r="M1546" s="66" t="s">
        <v>266</v>
      </c>
      <c r="N1546" s="66" t="s">
        <v>252</v>
      </c>
      <c r="O1546" s="66" t="s">
        <v>2657</v>
      </c>
      <c r="P1546" s="0" t="s">
        <v>2672</v>
      </c>
      <c r="Q1546" s="66" t="s">
        <v>1430</v>
      </c>
    </row>
    <row r="1547" customFormat="false" ht="14.25" hidden="false" customHeight="false" outlineLevel="0" collapsed="false">
      <c r="A1547" s="13" t="s">
        <v>884</v>
      </c>
      <c r="B1547" s="13" t="s">
        <v>884</v>
      </c>
      <c r="C1547" s="13" t="s">
        <v>280</v>
      </c>
      <c r="D1547" s="61" t="n">
        <v>45988.2152777778</v>
      </c>
      <c r="E1547" s="61" t="n">
        <v>45988.2152777778</v>
      </c>
      <c r="F1547" s="61" t="n">
        <v>45989.625</v>
      </c>
      <c r="G1547" s="62" t="n">
        <v>1.40972222221899</v>
      </c>
      <c r="H1547" s="13" t="s">
        <v>445</v>
      </c>
      <c r="I1547" s="13" t="s">
        <v>263</v>
      </c>
      <c r="J1547" s="13" t="s">
        <v>264</v>
      </c>
      <c r="K1547" s="13" t="s">
        <v>456</v>
      </c>
      <c r="L1547" s="13" t="s">
        <v>2656</v>
      </c>
      <c r="M1547" s="66" t="s">
        <v>266</v>
      </c>
      <c r="N1547" s="66" t="s">
        <v>252</v>
      </c>
      <c r="O1547" s="66" t="s">
        <v>2657</v>
      </c>
      <c r="P1547" s="0" t="s">
        <v>2673</v>
      </c>
      <c r="Q1547" s="66" t="s">
        <v>1430</v>
      </c>
    </row>
    <row r="1548" customFormat="false" ht="14.25" hidden="false" customHeight="false" outlineLevel="0" collapsed="false">
      <c r="A1548" s="13" t="s">
        <v>884</v>
      </c>
      <c r="B1548" s="13" t="s">
        <v>884</v>
      </c>
      <c r="C1548" s="13" t="s">
        <v>279</v>
      </c>
      <c r="D1548" s="61" t="n">
        <v>45988.2152777778</v>
      </c>
      <c r="E1548" s="61" t="n">
        <v>45988.2152777778</v>
      </c>
      <c r="F1548" s="61" t="n">
        <v>45989.625</v>
      </c>
      <c r="G1548" s="62" t="n">
        <v>1.40972222221899</v>
      </c>
      <c r="H1548" s="13" t="s">
        <v>445</v>
      </c>
      <c r="I1548" s="13" t="s">
        <v>263</v>
      </c>
      <c r="J1548" s="13" t="s">
        <v>264</v>
      </c>
      <c r="K1548" s="13" t="s">
        <v>456</v>
      </c>
      <c r="L1548" s="13" t="s">
        <v>2656</v>
      </c>
      <c r="M1548" s="66" t="s">
        <v>266</v>
      </c>
      <c r="N1548" s="66" t="s">
        <v>252</v>
      </c>
      <c r="O1548" s="66" t="s">
        <v>2657</v>
      </c>
      <c r="P1548" s="0" t="s">
        <v>2674</v>
      </c>
      <c r="Q1548" s="66" t="s">
        <v>1430</v>
      </c>
    </row>
    <row r="1549" customFormat="false" ht="14.25" hidden="false" customHeight="false" outlineLevel="0" collapsed="false">
      <c r="A1549" s="13" t="s">
        <v>885</v>
      </c>
      <c r="B1549" s="13" t="s">
        <v>885</v>
      </c>
      <c r="C1549" s="13" t="s">
        <v>277</v>
      </c>
      <c r="D1549" s="61" t="n">
        <v>45988.2152777778</v>
      </c>
      <c r="E1549" s="61" t="n">
        <v>45988.2152777778</v>
      </c>
      <c r="F1549" s="61" t="n">
        <v>45989.625</v>
      </c>
      <c r="G1549" s="62" t="n">
        <v>1.40972222221899</v>
      </c>
      <c r="H1549" s="13" t="s">
        <v>445</v>
      </c>
      <c r="I1549" s="13" t="s">
        <v>263</v>
      </c>
      <c r="J1549" s="13" t="s">
        <v>264</v>
      </c>
      <c r="K1549" s="13" t="s">
        <v>456</v>
      </c>
      <c r="L1549" s="13" t="s">
        <v>2656</v>
      </c>
      <c r="M1549" s="66" t="s">
        <v>266</v>
      </c>
      <c r="N1549" s="66" t="s">
        <v>252</v>
      </c>
      <c r="O1549" s="66" t="s">
        <v>2657</v>
      </c>
      <c r="P1549" s="0" t="s">
        <v>2675</v>
      </c>
      <c r="Q1549" s="66" t="s">
        <v>1430</v>
      </c>
    </row>
    <row r="1550" customFormat="false" ht="14.25" hidden="false" customHeight="false" outlineLevel="0" collapsed="false">
      <c r="A1550" s="13" t="s">
        <v>885</v>
      </c>
      <c r="B1550" s="13" t="s">
        <v>885</v>
      </c>
      <c r="C1550" s="13" t="s">
        <v>247</v>
      </c>
      <c r="D1550" s="61" t="n">
        <v>45988.2152777778</v>
      </c>
      <c r="E1550" s="61" t="n">
        <v>45988.2152777778</v>
      </c>
      <c r="F1550" s="61" t="n">
        <v>45989.625</v>
      </c>
      <c r="G1550" s="62" t="n">
        <v>1.40972222221899</v>
      </c>
      <c r="H1550" s="13" t="s">
        <v>445</v>
      </c>
      <c r="I1550" s="13" t="s">
        <v>263</v>
      </c>
      <c r="J1550" s="13" t="s">
        <v>264</v>
      </c>
      <c r="K1550" s="13" t="s">
        <v>456</v>
      </c>
      <c r="L1550" s="13" t="s">
        <v>2656</v>
      </c>
      <c r="M1550" s="66" t="s">
        <v>266</v>
      </c>
      <c r="N1550" s="66" t="s">
        <v>252</v>
      </c>
      <c r="O1550" s="66" t="s">
        <v>2657</v>
      </c>
      <c r="P1550" s="0" t="s">
        <v>2676</v>
      </c>
      <c r="Q1550" s="66" t="s">
        <v>1430</v>
      </c>
    </row>
    <row r="1551" customFormat="false" ht="14.25" hidden="false" customHeight="false" outlineLevel="0" collapsed="false">
      <c r="A1551" s="13" t="s">
        <v>885</v>
      </c>
      <c r="B1551" s="13" t="s">
        <v>885</v>
      </c>
      <c r="C1551" s="13" t="s">
        <v>280</v>
      </c>
      <c r="D1551" s="61" t="n">
        <v>45988.2152777778</v>
      </c>
      <c r="E1551" s="61" t="n">
        <v>45988.2152777778</v>
      </c>
      <c r="F1551" s="61" t="n">
        <v>45989.625</v>
      </c>
      <c r="G1551" s="62" t="n">
        <v>1.40972222221899</v>
      </c>
      <c r="H1551" s="13" t="s">
        <v>445</v>
      </c>
      <c r="I1551" s="13" t="s">
        <v>263</v>
      </c>
      <c r="J1551" s="13" t="s">
        <v>264</v>
      </c>
      <c r="K1551" s="13" t="s">
        <v>456</v>
      </c>
      <c r="L1551" s="13" t="s">
        <v>2656</v>
      </c>
      <c r="M1551" s="66" t="s">
        <v>266</v>
      </c>
      <c r="N1551" s="66" t="s">
        <v>252</v>
      </c>
      <c r="O1551" s="66" t="s">
        <v>2657</v>
      </c>
      <c r="P1551" s="0" t="s">
        <v>2677</v>
      </c>
      <c r="Q1551" s="66" t="s">
        <v>1430</v>
      </c>
    </row>
    <row r="1552" customFormat="false" ht="14.25" hidden="false" customHeight="false" outlineLevel="0" collapsed="false">
      <c r="A1552" s="13" t="s">
        <v>885</v>
      </c>
      <c r="B1552" s="13" t="s">
        <v>885</v>
      </c>
      <c r="C1552" s="13" t="s">
        <v>255</v>
      </c>
      <c r="D1552" s="61" t="n">
        <v>45988.2152777778</v>
      </c>
      <c r="E1552" s="61" t="n">
        <v>45988.2152777778</v>
      </c>
      <c r="F1552" s="61" t="n">
        <v>45989.625</v>
      </c>
      <c r="G1552" s="62" t="n">
        <v>1.40972222221899</v>
      </c>
      <c r="H1552" s="13" t="s">
        <v>445</v>
      </c>
      <c r="I1552" s="13" t="s">
        <v>263</v>
      </c>
      <c r="J1552" s="13" t="s">
        <v>264</v>
      </c>
      <c r="K1552" s="13" t="s">
        <v>456</v>
      </c>
      <c r="L1552" s="13" t="s">
        <v>2656</v>
      </c>
      <c r="M1552" s="66" t="s">
        <v>266</v>
      </c>
      <c r="N1552" s="66" t="s">
        <v>252</v>
      </c>
      <c r="O1552" s="66" t="s">
        <v>2657</v>
      </c>
      <c r="P1552" s="0" t="s">
        <v>2678</v>
      </c>
      <c r="Q1552" s="66" t="s">
        <v>1430</v>
      </c>
    </row>
    <row r="1553" customFormat="false" ht="14.25" hidden="false" customHeight="false" outlineLevel="0" collapsed="false">
      <c r="A1553" s="13" t="s">
        <v>726</v>
      </c>
      <c r="B1553" s="13" t="s">
        <v>726</v>
      </c>
      <c r="C1553" s="13" t="s">
        <v>277</v>
      </c>
      <c r="D1553" s="61" t="n">
        <v>45988.4041666667</v>
      </c>
      <c r="E1553" s="61" t="n">
        <v>45988.4041666667</v>
      </c>
      <c r="F1553" s="61" t="n">
        <v>45988.4083333333</v>
      </c>
      <c r="G1553" s="62" t="n">
        <v>0.00416666666569654</v>
      </c>
      <c r="H1553" s="13" t="s">
        <v>445</v>
      </c>
      <c r="I1553" s="13" t="s">
        <v>263</v>
      </c>
      <c r="J1553" s="13" t="s">
        <v>417</v>
      </c>
      <c r="K1553" s="13" t="s">
        <v>1405</v>
      </c>
      <c r="L1553" s="13" t="s">
        <v>420</v>
      </c>
      <c r="M1553" s="66" t="s">
        <v>418</v>
      </c>
      <c r="N1553" s="66" t="s">
        <v>252</v>
      </c>
      <c r="O1553" s="66" t="s">
        <v>791</v>
      </c>
      <c r="P1553" s="0" t="s">
        <v>2679</v>
      </c>
      <c r="Q1553" s="66" t="s">
        <v>1407</v>
      </c>
    </row>
    <row r="1554" customFormat="false" ht="14.25" hidden="false" customHeight="false" outlineLevel="0" collapsed="false">
      <c r="A1554" s="13" t="s">
        <v>726</v>
      </c>
      <c r="B1554" s="13" t="s">
        <v>726</v>
      </c>
      <c r="C1554" s="13" t="s">
        <v>247</v>
      </c>
      <c r="D1554" s="61" t="n">
        <v>45988.4041666667</v>
      </c>
      <c r="E1554" s="61" t="n">
        <v>45988.4041666667</v>
      </c>
      <c r="F1554" s="61" t="n">
        <v>45988.4083333333</v>
      </c>
      <c r="G1554" s="62" t="n">
        <v>0.00416666666569654</v>
      </c>
      <c r="H1554" s="13" t="s">
        <v>445</v>
      </c>
      <c r="I1554" s="13" t="s">
        <v>263</v>
      </c>
      <c r="J1554" s="13" t="s">
        <v>417</v>
      </c>
      <c r="K1554" s="13" t="s">
        <v>1405</v>
      </c>
      <c r="L1554" s="13" t="s">
        <v>420</v>
      </c>
      <c r="M1554" s="66" t="s">
        <v>418</v>
      </c>
      <c r="N1554" s="66" t="s">
        <v>252</v>
      </c>
      <c r="O1554" s="66" t="s">
        <v>791</v>
      </c>
      <c r="P1554" s="0" t="s">
        <v>2680</v>
      </c>
      <c r="Q1554" s="66" t="s">
        <v>1407</v>
      </c>
    </row>
    <row r="1555" customFormat="false" ht="14.25" hidden="false" customHeight="false" outlineLevel="0" collapsed="false">
      <c r="A1555" s="13" t="s">
        <v>726</v>
      </c>
      <c r="B1555" s="13" t="s">
        <v>726</v>
      </c>
      <c r="C1555" s="13" t="s">
        <v>729</v>
      </c>
      <c r="D1555" s="61" t="n">
        <v>45988.4041666667</v>
      </c>
      <c r="E1555" s="61" t="n">
        <v>45988.4041666667</v>
      </c>
      <c r="F1555" s="61" t="n">
        <v>45988.4083333333</v>
      </c>
      <c r="G1555" s="62" t="n">
        <v>0.00416666666569654</v>
      </c>
      <c r="H1555" s="13" t="s">
        <v>445</v>
      </c>
      <c r="I1555" s="13" t="s">
        <v>263</v>
      </c>
      <c r="J1555" s="13" t="s">
        <v>417</v>
      </c>
      <c r="K1555" s="13" t="s">
        <v>1405</v>
      </c>
      <c r="L1555" s="13" t="s">
        <v>420</v>
      </c>
      <c r="M1555" s="66" t="s">
        <v>418</v>
      </c>
      <c r="N1555" s="66" t="s">
        <v>252</v>
      </c>
      <c r="O1555" s="66" t="s">
        <v>791</v>
      </c>
      <c r="P1555" s="0" t="s">
        <v>2681</v>
      </c>
      <c r="Q1555" s="66" t="s">
        <v>1407</v>
      </c>
    </row>
    <row r="1556" customFormat="false" ht="14.25" hidden="false" customHeight="false" outlineLevel="0" collapsed="false">
      <c r="A1556" s="13" t="s">
        <v>726</v>
      </c>
      <c r="B1556" s="13" t="s">
        <v>726</v>
      </c>
      <c r="C1556" s="13" t="s">
        <v>730</v>
      </c>
      <c r="D1556" s="61" t="n">
        <v>45988.4041666667</v>
      </c>
      <c r="E1556" s="61" t="n">
        <v>45988.4041666667</v>
      </c>
      <c r="F1556" s="61" t="n">
        <v>45988.4083333333</v>
      </c>
      <c r="G1556" s="62" t="n">
        <v>0.00416666666569654</v>
      </c>
      <c r="H1556" s="13" t="s">
        <v>445</v>
      </c>
      <c r="I1556" s="13" t="s">
        <v>263</v>
      </c>
      <c r="J1556" s="13" t="s">
        <v>417</v>
      </c>
      <c r="K1556" s="13" t="s">
        <v>1405</v>
      </c>
      <c r="L1556" s="13" t="s">
        <v>420</v>
      </c>
      <c r="M1556" s="66" t="s">
        <v>418</v>
      </c>
      <c r="N1556" s="66" t="s">
        <v>252</v>
      </c>
      <c r="O1556" s="66" t="s">
        <v>791</v>
      </c>
      <c r="P1556" s="0" t="s">
        <v>2682</v>
      </c>
      <c r="Q1556" s="66" t="s">
        <v>1407</v>
      </c>
    </row>
    <row r="1557" customFormat="false" ht="14.25" hidden="false" customHeight="false" outlineLevel="0" collapsed="false">
      <c r="A1557" s="13" t="s">
        <v>726</v>
      </c>
      <c r="B1557" s="13" t="s">
        <v>726</v>
      </c>
      <c r="C1557" s="13" t="s">
        <v>690</v>
      </c>
      <c r="D1557" s="61" t="n">
        <v>45988.4041666667</v>
      </c>
      <c r="E1557" s="61" t="n">
        <v>45988.4041666667</v>
      </c>
      <c r="F1557" s="61" t="n">
        <v>45988.4083333333</v>
      </c>
      <c r="G1557" s="62" t="n">
        <v>0.00416666666569654</v>
      </c>
      <c r="H1557" s="13" t="s">
        <v>445</v>
      </c>
      <c r="I1557" s="13" t="s">
        <v>263</v>
      </c>
      <c r="J1557" s="13" t="s">
        <v>417</v>
      </c>
      <c r="K1557" s="13" t="s">
        <v>1405</v>
      </c>
      <c r="L1557" s="13" t="s">
        <v>420</v>
      </c>
      <c r="M1557" s="66" t="s">
        <v>418</v>
      </c>
      <c r="N1557" s="66" t="s">
        <v>252</v>
      </c>
      <c r="O1557" s="66" t="s">
        <v>791</v>
      </c>
      <c r="P1557" s="0" t="s">
        <v>2683</v>
      </c>
      <c r="Q1557" s="66" t="s">
        <v>1407</v>
      </c>
    </row>
    <row r="1558" customFormat="false" ht="14.25" hidden="false" customHeight="false" outlineLevel="0" collapsed="false">
      <c r="A1558" s="13" t="s">
        <v>731</v>
      </c>
      <c r="B1558" s="13" t="s">
        <v>731</v>
      </c>
      <c r="C1558" s="13" t="s">
        <v>732</v>
      </c>
      <c r="D1558" s="61" t="n">
        <v>45988.4041666667</v>
      </c>
      <c r="E1558" s="61" t="n">
        <v>45988.4041666667</v>
      </c>
      <c r="F1558" s="61" t="n">
        <v>45988.4083333333</v>
      </c>
      <c r="G1558" s="62" t="n">
        <v>0.00416666666569654</v>
      </c>
      <c r="H1558" s="13" t="s">
        <v>445</v>
      </c>
      <c r="I1558" s="13" t="s">
        <v>263</v>
      </c>
      <c r="J1558" s="13" t="s">
        <v>417</v>
      </c>
      <c r="K1558" s="13" t="s">
        <v>1405</v>
      </c>
      <c r="L1558" s="13" t="s">
        <v>420</v>
      </c>
      <c r="M1558" s="66" t="s">
        <v>418</v>
      </c>
      <c r="N1558" s="66" t="s">
        <v>252</v>
      </c>
      <c r="O1558" s="66" t="s">
        <v>791</v>
      </c>
      <c r="P1558" s="0" t="s">
        <v>2684</v>
      </c>
      <c r="Q1558" s="66" t="s">
        <v>1407</v>
      </c>
    </row>
    <row r="1559" customFormat="false" ht="14.25" hidden="false" customHeight="false" outlineLevel="0" collapsed="false">
      <c r="A1559" s="13" t="s">
        <v>731</v>
      </c>
      <c r="B1559" s="13" t="s">
        <v>731</v>
      </c>
      <c r="C1559" s="13" t="s">
        <v>733</v>
      </c>
      <c r="D1559" s="61" t="n">
        <v>45988.4041666667</v>
      </c>
      <c r="E1559" s="61" t="n">
        <v>45988.4041666667</v>
      </c>
      <c r="F1559" s="61" t="n">
        <v>45988.4083333333</v>
      </c>
      <c r="G1559" s="62" t="n">
        <v>0.00416666666569654</v>
      </c>
      <c r="H1559" s="13" t="s">
        <v>445</v>
      </c>
      <c r="I1559" s="13" t="s">
        <v>263</v>
      </c>
      <c r="J1559" s="13" t="s">
        <v>417</v>
      </c>
      <c r="K1559" s="13" t="s">
        <v>1405</v>
      </c>
      <c r="L1559" s="13" t="s">
        <v>420</v>
      </c>
      <c r="M1559" s="66" t="s">
        <v>418</v>
      </c>
      <c r="N1559" s="66" t="s">
        <v>252</v>
      </c>
      <c r="O1559" s="66" t="s">
        <v>791</v>
      </c>
      <c r="P1559" s="0" t="s">
        <v>2685</v>
      </c>
      <c r="Q1559" s="66" t="s">
        <v>1407</v>
      </c>
    </row>
    <row r="1560" customFormat="false" ht="14.25" hidden="false" customHeight="false" outlineLevel="0" collapsed="false">
      <c r="A1560" s="13" t="s">
        <v>731</v>
      </c>
      <c r="B1560" s="13" t="s">
        <v>731</v>
      </c>
      <c r="C1560" s="13" t="s">
        <v>734</v>
      </c>
      <c r="D1560" s="61" t="n">
        <v>45988.4041666667</v>
      </c>
      <c r="E1560" s="61" t="n">
        <v>45988.4041666667</v>
      </c>
      <c r="F1560" s="61" t="n">
        <v>45988.4083333333</v>
      </c>
      <c r="G1560" s="62" t="n">
        <v>0.00416666666569654</v>
      </c>
      <c r="H1560" s="13" t="s">
        <v>445</v>
      </c>
      <c r="I1560" s="13" t="s">
        <v>263</v>
      </c>
      <c r="J1560" s="13" t="s">
        <v>417</v>
      </c>
      <c r="K1560" s="13" t="s">
        <v>1405</v>
      </c>
      <c r="L1560" s="13" t="s">
        <v>420</v>
      </c>
      <c r="M1560" s="66" t="s">
        <v>418</v>
      </c>
      <c r="N1560" s="66" t="s">
        <v>252</v>
      </c>
      <c r="O1560" s="66" t="s">
        <v>791</v>
      </c>
      <c r="P1560" s="0" t="s">
        <v>2686</v>
      </c>
      <c r="Q1560" s="66" t="s">
        <v>1407</v>
      </c>
    </row>
    <row r="1561" customFormat="false" ht="14.25" hidden="false" customHeight="false" outlineLevel="0" collapsed="false">
      <c r="A1561" s="13" t="s">
        <v>626</v>
      </c>
      <c r="B1561" s="13" t="s">
        <v>626</v>
      </c>
      <c r="C1561" s="13" t="s">
        <v>627</v>
      </c>
      <c r="D1561" s="61" t="n">
        <v>45988.4951388889</v>
      </c>
      <c r="E1561" s="61" t="n">
        <v>45988.4951388889</v>
      </c>
      <c r="F1561" s="61" t="n">
        <v>45988.5173611111</v>
      </c>
      <c r="G1561" s="62" t="n">
        <v>0.0222222222218988</v>
      </c>
      <c r="H1561" s="13" t="s">
        <v>248</v>
      </c>
      <c r="J1561" s="13" t="s">
        <v>256</v>
      </c>
      <c r="K1561" s="13" t="s">
        <v>430</v>
      </c>
      <c r="L1561" s="13" t="s">
        <v>2687</v>
      </c>
      <c r="M1561" s="66" t="s">
        <v>258</v>
      </c>
      <c r="N1561" s="66" t="s">
        <v>379</v>
      </c>
      <c r="O1561" s="66" t="s">
        <v>399</v>
      </c>
      <c r="P1561" s="0" t="s">
        <v>2688</v>
      </c>
      <c r="Q1561" s="66" t="s">
        <v>995</v>
      </c>
    </row>
    <row r="1562" customFormat="false" ht="14.25" hidden="false" customHeight="false" outlineLevel="0" collapsed="false">
      <c r="A1562" s="13" t="s">
        <v>626</v>
      </c>
      <c r="B1562" s="13" t="s">
        <v>626</v>
      </c>
      <c r="C1562" s="13" t="s">
        <v>629</v>
      </c>
      <c r="D1562" s="61" t="n">
        <v>45988.4951388889</v>
      </c>
      <c r="E1562" s="61" t="n">
        <v>45988.4951388889</v>
      </c>
      <c r="F1562" s="61" t="n">
        <v>45988.5173611111</v>
      </c>
      <c r="G1562" s="62" t="n">
        <v>0.0222222222218988</v>
      </c>
      <c r="H1562" s="13" t="s">
        <v>248</v>
      </c>
      <c r="J1562" s="13" t="s">
        <v>256</v>
      </c>
      <c r="K1562" s="13" t="s">
        <v>430</v>
      </c>
      <c r="L1562" s="13" t="s">
        <v>2687</v>
      </c>
      <c r="M1562" s="66" t="s">
        <v>258</v>
      </c>
      <c r="N1562" s="66" t="s">
        <v>379</v>
      </c>
      <c r="O1562" s="66" t="s">
        <v>399</v>
      </c>
      <c r="P1562" s="0" t="s">
        <v>2689</v>
      </c>
      <c r="Q1562" s="66" t="s">
        <v>995</v>
      </c>
    </row>
    <row r="1563" customFormat="false" ht="14.25" hidden="false" customHeight="false" outlineLevel="0" collapsed="false">
      <c r="A1563" s="13" t="s">
        <v>626</v>
      </c>
      <c r="B1563" s="13" t="s">
        <v>626</v>
      </c>
      <c r="C1563" s="13" t="s">
        <v>282</v>
      </c>
      <c r="D1563" s="61" t="n">
        <v>45988.4951388889</v>
      </c>
      <c r="E1563" s="61" t="n">
        <v>45988.4951388889</v>
      </c>
      <c r="F1563" s="61" t="n">
        <v>45988.5173611111</v>
      </c>
      <c r="G1563" s="62" t="n">
        <v>0.0222222222218988</v>
      </c>
      <c r="H1563" s="13" t="s">
        <v>248</v>
      </c>
      <c r="J1563" s="13" t="s">
        <v>256</v>
      </c>
      <c r="K1563" s="13" t="s">
        <v>430</v>
      </c>
      <c r="L1563" s="13" t="s">
        <v>2687</v>
      </c>
      <c r="M1563" s="66" t="s">
        <v>258</v>
      </c>
      <c r="N1563" s="66" t="s">
        <v>379</v>
      </c>
      <c r="O1563" s="66" t="s">
        <v>399</v>
      </c>
      <c r="P1563" s="0" t="s">
        <v>2690</v>
      </c>
      <c r="Q1563" s="66" t="s">
        <v>995</v>
      </c>
    </row>
    <row r="1564" customFormat="false" ht="14.25" hidden="false" customHeight="false" outlineLevel="0" collapsed="false">
      <c r="A1564" s="13" t="s">
        <v>626</v>
      </c>
      <c r="B1564" s="13" t="s">
        <v>626</v>
      </c>
      <c r="C1564" s="13" t="s">
        <v>630</v>
      </c>
      <c r="D1564" s="61" t="n">
        <v>45988.4951388889</v>
      </c>
      <c r="E1564" s="61" t="n">
        <v>45988.4951388889</v>
      </c>
      <c r="F1564" s="61" t="n">
        <v>45988.5173611111</v>
      </c>
      <c r="G1564" s="62" t="n">
        <v>0.0222222222218988</v>
      </c>
      <c r="H1564" s="13" t="s">
        <v>248</v>
      </c>
      <c r="J1564" s="13" t="s">
        <v>256</v>
      </c>
      <c r="K1564" s="13" t="s">
        <v>430</v>
      </c>
      <c r="L1564" s="13" t="s">
        <v>2687</v>
      </c>
      <c r="M1564" s="66" t="s">
        <v>258</v>
      </c>
      <c r="N1564" s="66" t="s">
        <v>379</v>
      </c>
      <c r="O1564" s="66" t="s">
        <v>399</v>
      </c>
      <c r="P1564" s="0" t="s">
        <v>2691</v>
      </c>
      <c r="Q1564" s="66" t="s">
        <v>995</v>
      </c>
    </row>
    <row r="1565" customFormat="false" ht="14.25" hidden="false" customHeight="false" outlineLevel="0" collapsed="false">
      <c r="A1565" s="13" t="s">
        <v>626</v>
      </c>
      <c r="B1565" s="13" t="s">
        <v>626</v>
      </c>
      <c r="C1565" s="13" t="s">
        <v>631</v>
      </c>
      <c r="D1565" s="61" t="n">
        <v>45988.4951388889</v>
      </c>
      <c r="E1565" s="61" t="n">
        <v>45988.4951388889</v>
      </c>
      <c r="F1565" s="61" t="n">
        <v>45988.5173611111</v>
      </c>
      <c r="G1565" s="62" t="n">
        <v>0.0222222222218988</v>
      </c>
      <c r="H1565" s="13" t="s">
        <v>248</v>
      </c>
      <c r="J1565" s="13" t="s">
        <v>256</v>
      </c>
      <c r="K1565" s="13" t="s">
        <v>430</v>
      </c>
      <c r="L1565" s="13" t="s">
        <v>2687</v>
      </c>
      <c r="M1565" s="66" t="s">
        <v>258</v>
      </c>
      <c r="N1565" s="66" t="s">
        <v>379</v>
      </c>
      <c r="O1565" s="66" t="s">
        <v>399</v>
      </c>
      <c r="P1565" s="0" t="s">
        <v>2692</v>
      </c>
      <c r="Q1565" s="66" t="s">
        <v>995</v>
      </c>
    </row>
    <row r="1566" customFormat="false" ht="14.25" hidden="false" customHeight="false" outlineLevel="0" collapsed="false">
      <c r="A1566" s="13" t="s">
        <v>380</v>
      </c>
      <c r="B1566" s="13" t="s">
        <v>380</v>
      </c>
      <c r="C1566" s="13" t="s">
        <v>277</v>
      </c>
      <c r="D1566" s="61" t="n">
        <v>45988.6527777778</v>
      </c>
      <c r="E1566" s="61" t="n">
        <v>45988.6527777778</v>
      </c>
      <c r="F1566" s="61" t="n">
        <v>45988.6826388889</v>
      </c>
      <c r="G1566" s="62" t="n">
        <v>0.0298611111065839</v>
      </c>
      <c r="H1566" s="13" t="s">
        <v>248</v>
      </c>
      <c r="J1566" s="13" t="s">
        <v>256</v>
      </c>
      <c r="K1566" s="13" t="s">
        <v>430</v>
      </c>
      <c r="L1566" s="13" t="s">
        <v>2687</v>
      </c>
      <c r="M1566" s="66" t="s">
        <v>787</v>
      </c>
      <c r="N1566" s="66" t="s">
        <v>379</v>
      </c>
      <c r="O1566" s="66" t="s">
        <v>399</v>
      </c>
      <c r="P1566" s="0" t="s">
        <v>2693</v>
      </c>
      <c r="Q1566" s="66" t="s">
        <v>995</v>
      </c>
    </row>
    <row r="1567" customFormat="false" ht="14.25" hidden="false" customHeight="false" outlineLevel="0" collapsed="false">
      <c r="A1567" s="13" t="s">
        <v>380</v>
      </c>
      <c r="B1567" s="13" t="s">
        <v>380</v>
      </c>
      <c r="C1567" s="13" t="s">
        <v>247</v>
      </c>
      <c r="D1567" s="61" t="n">
        <v>45988.6527777778</v>
      </c>
      <c r="E1567" s="61" t="n">
        <v>45988.6527777778</v>
      </c>
      <c r="F1567" s="61" t="n">
        <v>45988.6826388889</v>
      </c>
      <c r="G1567" s="62" t="n">
        <v>0.0298611111065839</v>
      </c>
      <c r="H1567" s="13" t="s">
        <v>248</v>
      </c>
      <c r="J1567" s="13" t="s">
        <v>256</v>
      </c>
      <c r="K1567" s="13" t="s">
        <v>430</v>
      </c>
      <c r="L1567" s="13" t="s">
        <v>2687</v>
      </c>
      <c r="M1567" s="66" t="s">
        <v>787</v>
      </c>
      <c r="N1567" s="66" t="s">
        <v>379</v>
      </c>
      <c r="O1567" s="66" t="s">
        <v>399</v>
      </c>
      <c r="P1567" s="0" t="s">
        <v>2694</v>
      </c>
      <c r="Q1567" s="66" t="s">
        <v>995</v>
      </c>
    </row>
    <row r="1568" customFormat="false" ht="14.25" hidden="false" customHeight="false" outlineLevel="0" collapsed="false">
      <c r="A1568" s="13" t="s">
        <v>380</v>
      </c>
      <c r="B1568" s="13" t="s">
        <v>380</v>
      </c>
      <c r="C1568" s="13" t="s">
        <v>280</v>
      </c>
      <c r="D1568" s="61" t="n">
        <v>45988.6527777778</v>
      </c>
      <c r="E1568" s="61" t="n">
        <v>45988.6527777778</v>
      </c>
      <c r="F1568" s="61" t="n">
        <v>45988.6826388889</v>
      </c>
      <c r="G1568" s="62" t="n">
        <v>0.0298611111065839</v>
      </c>
      <c r="H1568" s="13" t="s">
        <v>248</v>
      </c>
      <c r="J1568" s="13" t="s">
        <v>256</v>
      </c>
      <c r="K1568" s="13" t="s">
        <v>430</v>
      </c>
      <c r="L1568" s="13" t="s">
        <v>2687</v>
      </c>
      <c r="M1568" s="66" t="s">
        <v>787</v>
      </c>
      <c r="N1568" s="66" t="s">
        <v>379</v>
      </c>
      <c r="O1568" s="66" t="s">
        <v>399</v>
      </c>
      <c r="P1568" s="0" t="s">
        <v>2695</v>
      </c>
      <c r="Q1568" s="66" t="s">
        <v>995</v>
      </c>
    </row>
    <row r="1569" customFormat="false" ht="14.25" hidden="false" customHeight="false" outlineLevel="0" collapsed="false">
      <c r="A1569" s="13" t="s">
        <v>380</v>
      </c>
      <c r="B1569" s="13" t="s">
        <v>380</v>
      </c>
      <c r="C1569" s="13" t="s">
        <v>279</v>
      </c>
      <c r="D1569" s="61" t="n">
        <v>45988.6527777778</v>
      </c>
      <c r="E1569" s="61" t="n">
        <v>45988.6527777778</v>
      </c>
      <c r="F1569" s="61" t="n">
        <v>45988.6826388889</v>
      </c>
      <c r="G1569" s="62" t="n">
        <v>0.0298611111065839</v>
      </c>
      <c r="H1569" s="13" t="s">
        <v>248</v>
      </c>
      <c r="J1569" s="13" t="s">
        <v>256</v>
      </c>
      <c r="K1569" s="13" t="s">
        <v>430</v>
      </c>
      <c r="L1569" s="13" t="s">
        <v>2687</v>
      </c>
      <c r="M1569" s="66" t="s">
        <v>787</v>
      </c>
      <c r="N1569" s="66" t="s">
        <v>379</v>
      </c>
      <c r="O1569" s="66" t="s">
        <v>399</v>
      </c>
      <c r="P1569" s="0" t="s">
        <v>2696</v>
      </c>
      <c r="Q1569" s="66" t="s">
        <v>995</v>
      </c>
    </row>
    <row r="1570" customFormat="false" ht="14.25" hidden="false" customHeight="false" outlineLevel="0" collapsed="false">
      <c r="A1570" s="13" t="s">
        <v>381</v>
      </c>
      <c r="B1570" s="13" t="s">
        <v>381</v>
      </c>
      <c r="C1570" s="13" t="s">
        <v>277</v>
      </c>
      <c r="D1570" s="61" t="n">
        <v>45988.6527777778</v>
      </c>
      <c r="E1570" s="61" t="n">
        <v>45988.6527777778</v>
      </c>
      <c r="F1570" s="61" t="n">
        <v>45988.6826388889</v>
      </c>
      <c r="G1570" s="62" t="n">
        <v>0.0298611111065839</v>
      </c>
      <c r="H1570" s="13" t="s">
        <v>248</v>
      </c>
      <c r="J1570" s="13" t="s">
        <v>256</v>
      </c>
      <c r="K1570" s="13" t="s">
        <v>430</v>
      </c>
      <c r="L1570" s="13" t="s">
        <v>2687</v>
      </c>
      <c r="M1570" s="66" t="s">
        <v>787</v>
      </c>
      <c r="N1570" s="66" t="s">
        <v>379</v>
      </c>
      <c r="O1570" s="66" t="s">
        <v>399</v>
      </c>
      <c r="P1570" s="0" t="s">
        <v>2697</v>
      </c>
      <c r="Q1570" s="66" t="s">
        <v>995</v>
      </c>
    </row>
    <row r="1571" customFormat="false" ht="14.25" hidden="false" customHeight="false" outlineLevel="0" collapsed="false">
      <c r="A1571" s="13" t="s">
        <v>381</v>
      </c>
      <c r="B1571" s="13" t="s">
        <v>381</v>
      </c>
      <c r="C1571" s="13" t="s">
        <v>247</v>
      </c>
      <c r="D1571" s="61" t="n">
        <v>45988.6527777778</v>
      </c>
      <c r="E1571" s="61" t="n">
        <v>45988.6527777778</v>
      </c>
      <c r="F1571" s="61" t="n">
        <v>45988.6826388889</v>
      </c>
      <c r="G1571" s="62" t="n">
        <v>0.0298611111065839</v>
      </c>
      <c r="H1571" s="13" t="s">
        <v>248</v>
      </c>
      <c r="J1571" s="13" t="s">
        <v>256</v>
      </c>
      <c r="K1571" s="13" t="s">
        <v>430</v>
      </c>
      <c r="L1571" s="13" t="s">
        <v>2687</v>
      </c>
      <c r="M1571" s="66" t="s">
        <v>787</v>
      </c>
      <c r="N1571" s="66" t="s">
        <v>379</v>
      </c>
      <c r="O1571" s="66" t="s">
        <v>399</v>
      </c>
      <c r="P1571" s="0" t="s">
        <v>2698</v>
      </c>
      <c r="Q1571" s="66" t="s">
        <v>995</v>
      </c>
    </row>
    <row r="1572" customFormat="false" ht="14.25" hidden="false" customHeight="false" outlineLevel="0" collapsed="false">
      <c r="A1572" s="13" t="s">
        <v>381</v>
      </c>
      <c r="B1572" s="13" t="s">
        <v>381</v>
      </c>
      <c r="C1572" s="13" t="s">
        <v>280</v>
      </c>
      <c r="D1572" s="61" t="n">
        <v>45988.6527777778</v>
      </c>
      <c r="E1572" s="61" t="n">
        <v>45988.6527777778</v>
      </c>
      <c r="F1572" s="61" t="n">
        <v>45988.6826388889</v>
      </c>
      <c r="G1572" s="62" t="n">
        <v>0.0298611111065839</v>
      </c>
      <c r="H1572" s="13" t="s">
        <v>248</v>
      </c>
      <c r="J1572" s="13" t="s">
        <v>256</v>
      </c>
      <c r="K1572" s="13" t="s">
        <v>430</v>
      </c>
      <c r="L1572" s="13" t="s">
        <v>2687</v>
      </c>
      <c r="M1572" s="66" t="s">
        <v>787</v>
      </c>
      <c r="N1572" s="66" t="s">
        <v>379</v>
      </c>
      <c r="O1572" s="66" t="s">
        <v>399</v>
      </c>
      <c r="P1572" s="0" t="s">
        <v>2699</v>
      </c>
      <c r="Q1572" s="66" t="s">
        <v>995</v>
      </c>
    </row>
    <row r="1573" customFormat="false" ht="14.25" hidden="false" customHeight="false" outlineLevel="0" collapsed="false">
      <c r="A1573" s="13" t="s">
        <v>381</v>
      </c>
      <c r="B1573" s="13" t="s">
        <v>381</v>
      </c>
      <c r="C1573" s="13" t="s">
        <v>279</v>
      </c>
      <c r="D1573" s="61" t="n">
        <v>45988.6527777778</v>
      </c>
      <c r="E1573" s="61" t="n">
        <v>45988.6527777778</v>
      </c>
      <c r="F1573" s="61" t="n">
        <v>45988.6826388889</v>
      </c>
      <c r="G1573" s="62" t="n">
        <v>0.0298611111065839</v>
      </c>
      <c r="H1573" s="13" t="s">
        <v>248</v>
      </c>
      <c r="J1573" s="13" t="s">
        <v>256</v>
      </c>
      <c r="K1573" s="13" t="s">
        <v>430</v>
      </c>
      <c r="L1573" s="13" t="s">
        <v>2687</v>
      </c>
      <c r="M1573" s="66" t="s">
        <v>787</v>
      </c>
      <c r="N1573" s="66" t="s">
        <v>379</v>
      </c>
      <c r="O1573" s="66" t="s">
        <v>399</v>
      </c>
      <c r="P1573" s="0" t="s">
        <v>2700</v>
      </c>
      <c r="Q1573" s="66" t="s">
        <v>995</v>
      </c>
    </row>
    <row r="1574" customFormat="false" ht="14.25" hidden="false" customHeight="false" outlineLevel="0" collapsed="false">
      <c r="A1574" s="13" t="s">
        <v>382</v>
      </c>
      <c r="B1574" s="13" t="s">
        <v>382</v>
      </c>
      <c r="C1574" s="13" t="s">
        <v>383</v>
      </c>
      <c r="D1574" s="61" t="n">
        <v>45988.6527777778</v>
      </c>
      <c r="E1574" s="61" t="n">
        <v>45988.6527777778</v>
      </c>
      <c r="F1574" s="61" t="n">
        <v>45988.6826388889</v>
      </c>
      <c r="G1574" s="62" t="n">
        <v>0.0298611111065839</v>
      </c>
      <c r="H1574" s="13" t="s">
        <v>248</v>
      </c>
      <c r="J1574" s="13" t="s">
        <v>256</v>
      </c>
      <c r="K1574" s="13" t="s">
        <v>430</v>
      </c>
      <c r="L1574" s="13" t="s">
        <v>2687</v>
      </c>
      <c r="M1574" s="66" t="s">
        <v>787</v>
      </c>
      <c r="N1574" s="66" t="s">
        <v>379</v>
      </c>
      <c r="O1574" s="66" t="s">
        <v>399</v>
      </c>
      <c r="P1574" s="0" t="s">
        <v>2701</v>
      </c>
      <c r="Q1574" s="66" t="s">
        <v>995</v>
      </c>
    </row>
    <row r="1575" customFormat="false" ht="14.25" hidden="false" customHeight="false" outlineLevel="0" collapsed="false">
      <c r="A1575" s="13" t="s">
        <v>382</v>
      </c>
      <c r="B1575" s="13" t="s">
        <v>382</v>
      </c>
      <c r="C1575" s="13" t="s">
        <v>255</v>
      </c>
      <c r="D1575" s="61" t="n">
        <v>45988.6527777778</v>
      </c>
      <c r="E1575" s="61" t="n">
        <v>45988.6527777778</v>
      </c>
      <c r="F1575" s="61" t="n">
        <v>45988.6826388889</v>
      </c>
      <c r="G1575" s="62" t="n">
        <v>0.0298611111065839</v>
      </c>
      <c r="H1575" s="13" t="s">
        <v>248</v>
      </c>
      <c r="J1575" s="13" t="s">
        <v>256</v>
      </c>
      <c r="K1575" s="13" t="s">
        <v>430</v>
      </c>
      <c r="L1575" s="13" t="s">
        <v>2687</v>
      </c>
      <c r="M1575" s="66" t="s">
        <v>787</v>
      </c>
      <c r="N1575" s="66" t="s">
        <v>379</v>
      </c>
      <c r="O1575" s="66" t="s">
        <v>399</v>
      </c>
      <c r="P1575" s="0" t="s">
        <v>2702</v>
      </c>
      <c r="Q1575" s="66" t="s">
        <v>995</v>
      </c>
    </row>
    <row r="1576" customFormat="false" ht="14.25" hidden="false" customHeight="false" outlineLevel="0" collapsed="false">
      <c r="A1576" s="13" t="s">
        <v>276</v>
      </c>
      <c r="B1576" s="13" t="s">
        <v>276</v>
      </c>
      <c r="C1576" s="13" t="s">
        <v>247</v>
      </c>
      <c r="D1576" s="61" t="n">
        <v>45988.6527777778</v>
      </c>
      <c r="E1576" s="61" t="n">
        <v>45988.6527777778</v>
      </c>
      <c r="F1576" s="61" t="n">
        <v>45988.6826388889</v>
      </c>
      <c r="G1576" s="62" t="n">
        <v>0.0298611111065839</v>
      </c>
      <c r="H1576" s="13" t="s">
        <v>248</v>
      </c>
      <c r="J1576" s="13" t="s">
        <v>256</v>
      </c>
      <c r="K1576" s="13" t="s">
        <v>430</v>
      </c>
      <c r="L1576" s="13" t="s">
        <v>2687</v>
      </c>
      <c r="M1576" s="66" t="s">
        <v>787</v>
      </c>
      <c r="N1576" s="66" t="s">
        <v>379</v>
      </c>
      <c r="O1576" s="66" t="s">
        <v>399</v>
      </c>
      <c r="P1576" s="0" t="s">
        <v>2703</v>
      </c>
      <c r="Q1576" s="66" t="s">
        <v>995</v>
      </c>
    </row>
    <row r="1577" customFormat="false" ht="14.25" hidden="false" customHeight="false" outlineLevel="0" collapsed="false">
      <c r="A1577" s="13" t="s">
        <v>276</v>
      </c>
      <c r="B1577" s="13" t="s">
        <v>276</v>
      </c>
      <c r="C1577" s="13" t="s">
        <v>277</v>
      </c>
      <c r="D1577" s="61" t="n">
        <v>45988.6527777778</v>
      </c>
      <c r="E1577" s="61" t="n">
        <v>45988.6527777778</v>
      </c>
      <c r="F1577" s="61" t="n">
        <v>45988.6826388889</v>
      </c>
      <c r="G1577" s="62" t="n">
        <v>0.0298611111065839</v>
      </c>
      <c r="H1577" s="13" t="s">
        <v>248</v>
      </c>
      <c r="J1577" s="13" t="s">
        <v>256</v>
      </c>
      <c r="K1577" s="13" t="s">
        <v>430</v>
      </c>
      <c r="L1577" s="13" t="s">
        <v>2687</v>
      </c>
      <c r="M1577" s="66" t="s">
        <v>787</v>
      </c>
      <c r="N1577" s="66" t="s">
        <v>379</v>
      </c>
      <c r="O1577" s="66" t="s">
        <v>399</v>
      </c>
      <c r="P1577" s="0" t="s">
        <v>2704</v>
      </c>
      <c r="Q1577" s="66" t="s">
        <v>995</v>
      </c>
    </row>
    <row r="1578" customFormat="false" ht="14.25" hidden="false" customHeight="false" outlineLevel="0" collapsed="false">
      <c r="A1578" s="13" t="s">
        <v>276</v>
      </c>
      <c r="B1578" s="13" t="s">
        <v>276</v>
      </c>
      <c r="C1578" s="13" t="s">
        <v>279</v>
      </c>
      <c r="D1578" s="61" t="n">
        <v>45988.6527777778</v>
      </c>
      <c r="E1578" s="61" t="n">
        <v>45988.6527777778</v>
      </c>
      <c r="F1578" s="61" t="n">
        <v>45988.6826388889</v>
      </c>
      <c r="G1578" s="62" t="n">
        <v>0.0298611111065839</v>
      </c>
      <c r="H1578" s="13" t="s">
        <v>248</v>
      </c>
      <c r="J1578" s="13" t="s">
        <v>256</v>
      </c>
      <c r="K1578" s="13" t="s">
        <v>430</v>
      </c>
      <c r="L1578" s="13" t="s">
        <v>2687</v>
      </c>
      <c r="M1578" s="66" t="s">
        <v>787</v>
      </c>
      <c r="N1578" s="66" t="s">
        <v>379</v>
      </c>
      <c r="O1578" s="66" t="s">
        <v>399</v>
      </c>
      <c r="P1578" s="0" t="s">
        <v>2705</v>
      </c>
      <c r="Q1578" s="66" t="s">
        <v>995</v>
      </c>
    </row>
    <row r="1579" customFormat="false" ht="14.25" hidden="false" customHeight="false" outlineLevel="0" collapsed="false">
      <c r="A1579" s="13" t="s">
        <v>276</v>
      </c>
      <c r="B1579" s="13" t="s">
        <v>276</v>
      </c>
      <c r="C1579" s="13" t="s">
        <v>280</v>
      </c>
      <c r="D1579" s="61" t="n">
        <v>45988.6527777778</v>
      </c>
      <c r="E1579" s="61" t="n">
        <v>45988.6527777778</v>
      </c>
      <c r="F1579" s="61" t="n">
        <v>45988.6826388889</v>
      </c>
      <c r="G1579" s="62" t="n">
        <v>0.0298611111065839</v>
      </c>
      <c r="H1579" s="13" t="s">
        <v>248</v>
      </c>
      <c r="J1579" s="13" t="s">
        <v>256</v>
      </c>
      <c r="K1579" s="13" t="s">
        <v>430</v>
      </c>
      <c r="L1579" s="13" t="s">
        <v>2687</v>
      </c>
      <c r="M1579" s="66" t="s">
        <v>787</v>
      </c>
      <c r="N1579" s="66" t="s">
        <v>379</v>
      </c>
      <c r="O1579" s="66" t="s">
        <v>399</v>
      </c>
      <c r="P1579" s="0" t="s">
        <v>2706</v>
      </c>
      <c r="Q1579" s="66" t="s">
        <v>995</v>
      </c>
    </row>
    <row r="1580" customFormat="false" ht="14.25" hidden="false" customHeight="false" outlineLevel="0" collapsed="false">
      <c r="A1580" s="13" t="s">
        <v>386</v>
      </c>
      <c r="B1580" s="13" t="s">
        <v>386</v>
      </c>
      <c r="C1580" s="13" t="s">
        <v>279</v>
      </c>
      <c r="D1580" s="61" t="n">
        <v>45988.6527777778</v>
      </c>
      <c r="E1580" s="61" t="n">
        <v>45988.6527777778</v>
      </c>
      <c r="F1580" s="61" t="n">
        <v>45988.6826388889</v>
      </c>
      <c r="G1580" s="62" t="n">
        <v>0.0298611111065839</v>
      </c>
      <c r="H1580" s="13" t="s">
        <v>248</v>
      </c>
      <c r="J1580" s="13" t="s">
        <v>256</v>
      </c>
      <c r="K1580" s="13" t="s">
        <v>430</v>
      </c>
      <c r="L1580" s="13" t="s">
        <v>2687</v>
      </c>
      <c r="M1580" s="66" t="s">
        <v>787</v>
      </c>
      <c r="N1580" s="66" t="s">
        <v>379</v>
      </c>
      <c r="O1580" s="66" t="s">
        <v>399</v>
      </c>
      <c r="P1580" s="0" t="s">
        <v>2707</v>
      </c>
      <c r="Q1580" s="66" t="s">
        <v>995</v>
      </c>
    </row>
    <row r="1581" customFormat="false" ht="14.25" hidden="false" customHeight="false" outlineLevel="0" collapsed="false">
      <c r="A1581" s="13" t="s">
        <v>386</v>
      </c>
      <c r="B1581" s="13" t="s">
        <v>386</v>
      </c>
      <c r="C1581" s="13" t="s">
        <v>247</v>
      </c>
      <c r="D1581" s="61" t="n">
        <v>45988.6527777778</v>
      </c>
      <c r="E1581" s="61" t="n">
        <v>45988.6527777778</v>
      </c>
      <c r="F1581" s="61" t="n">
        <v>45988.6826388889</v>
      </c>
      <c r="G1581" s="62" t="n">
        <v>0.0298611111065839</v>
      </c>
      <c r="H1581" s="13" t="s">
        <v>248</v>
      </c>
      <c r="J1581" s="13" t="s">
        <v>256</v>
      </c>
      <c r="K1581" s="13" t="s">
        <v>430</v>
      </c>
      <c r="L1581" s="13" t="s">
        <v>2687</v>
      </c>
      <c r="M1581" s="66" t="s">
        <v>787</v>
      </c>
      <c r="N1581" s="66" t="s">
        <v>379</v>
      </c>
      <c r="O1581" s="66" t="s">
        <v>399</v>
      </c>
      <c r="P1581" s="0" t="s">
        <v>2708</v>
      </c>
      <c r="Q1581" s="66" t="s">
        <v>995</v>
      </c>
    </row>
    <row r="1582" customFormat="false" ht="14.25" hidden="false" customHeight="false" outlineLevel="0" collapsed="false">
      <c r="A1582" s="13" t="s">
        <v>386</v>
      </c>
      <c r="B1582" s="13" t="s">
        <v>386</v>
      </c>
      <c r="C1582" s="13" t="s">
        <v>280</v>
      </c>
      <c r="D1582" s="61" t="n">
        <v>45988.6527777778</v>
      </c>
      <c r="E1582" s="61" t="n">
        <v>45988.6527777778</v>
      </c>
      <c r="F1582" s="61" t="n">
        <v>45988.6826388889</v>
      </c>
      <c r="G1582" s="62" t="n">
        <v>0.0298611111065839</v>
      </c>
      <c r="H1582" s="13" t="s">
        <v>248</v>
      </c>
      <c r="J1582" s="13" t="s">
        <v>256</v>
      </c>
      <c r="K1582" s="13" t="s">
        <v>430</v>
      </c>
      <c r="L1582" s="13" t="s">
        <v>2687</v>
      </c>
      <c r="M1582" s="66" t="s">
        <v>787</v>
      </c>
      <c r="N1582" s="66" t="s">
        <v>379</v>
      </c>
      <c r="O1582" s="66" t="s">
        <v>399</v>
      </c>
      <c r="P1582" s="0" t="s">
        <v>2709</v>
      </c>
      <c r="Q1582" s="66" t="s">
        <v>995</v>
      </c>
    </row>
    <row r="1583" customFormat="false" ht="14.25" hidden="false" customHeight="false" outlineLevel="0" collapsed="false">
      <c r="A1583" s="13" t="s">
        <v>386</v>
      </c>
      <c r="B1583" s="13" t="s">
        <v>386</v>
      </c>
      <c r="C1583" s="13" t="s">
        <v>277</v>
      </c>
      <c r="D1583" s="61" t="n">
        <v>45988.6527777778</v>
      </c>
      <c r="E1583" s="61" t="n">
        <v>45988.6527777778</v>
      </c>
      <c r="F1583" s="61" t="n">
        <v>45988.6826388889</v>
      </c>
      <c r="G1583" s="62" t="n">
        <v>0.0298611111065839</v>
      </c>
      <c r="H1583" s="13" t="s">
        <v>248</v>
      </c>
      <c r="J1583" s="13" t="s">
        <v>256</v>
      </c>
      <c r="K1583" s="13" t="s">
        <v>430</v>
      </c>
      <c r="L1583" s="13" t="s">
        <v>2687</v>
      </c>
      <c r="M1583" s="66" t="s">
        <v>787</v>
      </c>
      <c r="N1583" s="66" t="s">
        <v>379</v>
      </c>
      <c r="O1583" s="66" t="s">
        <v>399</v>
      </c>
      <c r="P1583" s="0" t="s">
        <v>2710</v>
      </c>
      <c r="Q1583" s="66" t="s">
        <v>995</v>
      </c>
    </row>
    <row r="1584" customFormat="false" ht="14.25" hidden="false" customHeight="false" outlineLevel="0" collapsed="false">
      <c r="A1584" s="13" t="s">
        <v>388</v>
      </c>
      <c r="B1584" s="13" t="s">
        <v>388</v>
      </c>
      <c r="C1584" s="13" t="s">
        <v>277</v>
      </c>
      <c r="D1584" s="61" t="n">
        <v>45988.6527777778</v>
      </c>
      <c r="E1584" s="61" t="n">
        <v>45988.6527777778</v>
      </c>
      <c r="F1584" s="61" t="n">
        <v>45988.6826388889</v>
      </c>
      <c r="G1584" s="62" t="n">
        <v>0.0298611111065839</v>
      </c>
      <c r="H1584" s="13" t="s">
        <v>248</v>
      </c>
      <c r="J1584" s="13" t="s">
        <v>256</v>
      </c>
      <c r="K1584" s="13" t="s">
        <v>430</v>
      </c>
      <c r="L1584" s="13" t="s">
        <v>2687</v>
      </c>
      <c r="M1584" s="66" t="s">
        <v>787</v>
      </c>
      <c r="N1584" s="66" t="s">
        <v>379</v>
      </c>
      <c r="O1584" s="66" t="s">
        <v>399</v>
      </c>
      <c r="P1584" s="0" t="s">
        <v>2711</v>
      </c>
      <c r="Q1584" s="66" t="s">
        <v>995</v>
      </c>
    </row>
    <row r="1585" customFormat="false" ht="14.25" hidden="false" customHeight="false" outlineLevel="0" collapsed="false">
      <c r="A1585" s="13" t="s">
        <v>388</v>
      </c>
      <c r="B1585" s="13" t="s">
        <v>388</v>
      </c>
      <c r="C1585" s="13" t="s">
        <v>247</v>
      </c>
      <c r="D1585" s="61" t="n">
        <v>45988.6527777778</v>
      </c>
      <c r="E1585" s="61" t="n">
        <v>45988.6527777778</v>
      </c>
      <c r="F1585" s="61" t="n">
        <v>45988.6826388889</v>
      </c>
      <c r="G1585" s="62" t="n">
        <v>0.0298611111065839</v>
      </c>
      <c r="H1585" s="13" t="s">
        <v>248</v>
      </c>
      <c r="J1585" s="13" t="s">
        <v>256</v>
      </c>
      <c r="K1585" s="13" t="s">
        <v>430</v>
      </c>
      <c r="L1585" s="13" t="s">
        <v>2687</v>
      </c>
      <c r="M1585" s="66" t="s">
        <v>787</v>
      </c>
      <c r="N1585" s="66" t="s">
        <v>379</v>
      </c>
      <c r="O1585" s="66" t="s">
        <v>399</v>
      </c>
      <c r="P1585" s="0" t="s">
        <v>2712</v>
      </c>
      <c r="Q1585" s="66" t="s">
        <v>995</v>
      </c>
    </row>
    <row r="1586" customFormat="false" ht="14.25" hidden="false" customHeight="false" outlineLevel="0" collapsed="false">
      <c r="A1586" s="13" t="s">
        <v>380</v>
      </c>
      <c r="B1586" s="13" t="s">
        <v>380</v>
      </c>
      <c r="C1586" s="13" t="s">
        <v>277</v>
      </c>
      <c r="D1586" s="61" t="n">
        <v>45989.6493055556</v>
      </c>
      <c r="E1586" s="61" t="n">
        <v>45989.6493055556</v>
      </c>
      <c r="F1586" s="61" t="n">
        <v>45989.6791666667</v>
      </c>
      <c r="G1586" s="62" t="n">
        <v>0.0298611111138598</v>
      </c>
      <c r="H1586" s="13" t="s">
        <v>248</v>
      </c>
      <c r="J1586" s="13" t="s">
        <v>256</v>
      </c>
      <c r="K1586" s="13" t="s">
        <v>430</v>
      </c>
      <c r="L1586" s="13" t="s">
        <v>2713</v>
      </c>
      <c r="M1586" s="66" t="s">
        <v>787</v>
      </c>
      <c r="N1586" s="66" t="s">
        <v>379</v>
      </c>
      <c r="O1586" s="66" t="s">
        <v>399</v>
      </c>
      <c r="P1586" s="0" t="s">
        <v>2714</v>
      </c>
      <c r="Q1586" s="66" t="s">
        <v>995</v>
      </c>
    </row>
    <row r="1587" customFormat="false" ht="14.25" hidden="false" customHeight="false" outlineLevel="0" collapsed="false">
      <c r="A1587" s="13" t="s">
        <v>380</v>
      </c>
      <c r="B1587" s="13" t="s">
        <v>380</v>
      </c>
      <c r="C1587" s="13" t="s">
        <v>247</v>
      </c>
      <c r="D1587" s="61" t="n">
        <v>45989.6493055556</v>
      </c>
      <c r="E1587" s="61" t="n">
        <v>45989.6493055556</v>
      </c>
      <c r="F1587" s="61" t="n">
        <v>45989.6791666667</v>
      </c>
      <c r="G1587" s="62" t="n">
        <v>0.0298611111138598</v>
      </c>
      <c r="H1587" s="13" t="s">
        <v>248</v>
      </c>
      <c r="J1587" s="13" t="s">
        <v>256</v>
      </c>
      <c r="K1587" s="13" t="s">
        <v>430</v>
      </c>
      <c r="L1587" s="13" t="s">
        <v>2713</v>
      </c>
      <c r="M1587" s="66" t="s">
        <v>787</v>
      </c>
      <c r="N1587" s="66" t="s">
        <v>379</v>
      </c>
      <c r="O1587" s="66" t="s">
        <v>399</v>
      </c>
      <c r="P1587" s="0" t="s">
        <v>2715</v>
      </c>
      <c r="Q1587" s="66" t="s">
        <v>995</v>
      </c>
    </row>
    <row r="1588" customFormat="false" ht="14.25" hidden="false" customHeight="false" outlineLevel="0" collapsed="false">
      <c r="A1588" s="13" t="s">
        <v>380</v>
      </c>
      <c r="B1588" s="13" t="s">
        <v>380</v>
      </c>
      <c r="C1588" s="13" t="s">
        <v>280</v>
      </c>
      <c r="D1588" s="61" t="n">
        <v>45989.6493055556</v>
      </c>
      <c r="E1588" s="61" t="n">
        <v>45989.6493055556</v>
      </c>
      <c r="F1588" s="61" t="n">
        <v>45989.6791666667</v>
      </c>
      <c r="G1588" s="62" t="n">
        <v>0.0298611111138598</v>
      </c>
      <c r="H1588" s="13" t="s">
        <v>248</v>
      </c>
      <c r="J1588" s="13" t="s">
        <v>256</v>
      </c>
      <c r="K1588" s="13" t="s">
        <v>430</v>
      </c>
      <c r="L1588" s="13" t="s">
        <v>2713</v>
      </c>
      <c r="M1588" s="66" t="s">
        <v>787</v>
      </c>
      <c r="N1588" s="66" t="s">
        <v>379</v>
      </c>
      <c r="O1588" s="66" t="s">
        <v>399</v>
      </c>
      <c r="P1588" s="0" t="s">
        <v>2716</v>
      </c>
      <c r="Q1588" s="66" t="s">
        <v>995</v>
      </c>
    </row>
    <row r="1589" customFormat="false" ht="14.25" hidden="false" customHeight="false" outlineLevel="0" collapsed="false">
      <c r="A1589" s="13" t="s">
        <v>380</v>
      </c>
      <c r="B1589" s="13" t="s">
        <v>380</v>
      </c>
      <c r="C1589" s="13" t="s">
        <v>279</v>
      </c>
      <c r="D1589" s="61" t="n">
        <v>45989.6493055556</v>
      </c>
      <c r="E1589" s="61" t="n">
        <v>45989.6493055556</v>
      </c>
      <c r="F1589" s="61" t="n">
        <v>45989.6791666667</v>
      </c>
      <c r="G1589" s="62" t="n">
        <v>0.0298611111138598</v>
      </c>
      <c r="H1589" s="13" t="s">
        <v>248</v>
      </c>
      <c r="J1589" s="13" t="s">
        <v>256</v>
      </c>
      <c r="K1589" s="13" t="s">
        <v>430</v>
      </c>
      <c r="L1589" s="13" t="s">
        <v>2713</v>
      </c>
      <c r="M1589" s="66" t="s">
        <v>787</v>
      </c>
      <c r="N1589" s="66" t="s">
        <v>379</v>
      </c>
      <c r="O1589" s="66" t="s">
        <v>399</v>
      </c>
      <c r="P1589" s="0" t="s">
        <v>2717</v>
      </c>
      <c r="Q1589" s="66" t="s">
        <v>995</v>
      </c>
    </row>
    <row r="1590" customFormat="false" ht="14.25" hidden="false" customHeight="false" outlineLevel="0" collapsed="false">
      <c r="A1590" s="13" t="s">
        <v>381</v>
      </c>
      <c r="B1590" s="13" t="s">
        <v>381</v>
      </c>
      <c r="C1590" s="13" t="s">
        <v>277</v>
      </c>
      <c r="D1590" s="61" t="n">
        <v>45989.6493055556</v>
      </c>
      <c r="E1590" s="61" t="n">
        <v>45989.6493055556</v>
      </c>
      <c r="F1590" s="61" t="n">
        <v>45989.6791666667</v>
      </c>
      <c r="G1590" s="62" t="n">
        <v>0.0298611111138598</v>
      </c>
      <c r="H1590" s="13" t="s">
        <v>248</v>
      </c>
      <c r="J1590" s="13" t="s">
        <v>256</v>
      </c>
      <c r="K1590" s="13" t="s">
        <v>430</v>
      </c>
      <c r="L1590" s="13" t="s">
        <v>2713</v>
      </c>
      <c r="M1590" s="66" t="s">
        <v>787</v>
      </c>
      <c r="N1590" s="66" t="s">
        <v>379</v>
      </c>
      <c r="O1590" s="66" t="s">
        <v>399</v>
      </c>
      <c r="P1590" s="0" t="s">
        <v>2718</v>
      </c>
      <c r="Q1590" s="66" t="s">
        <v>995</v>
      </c>
    </row>
    <row r="1591" customFormat="false" ht="14.25" hidden="false" customHeight="false" outlineLevel="0" collapsed="false">
      <c r="A1591" s="13" t="s">
        <v>381</v>
      </c>
      <c r="B1591" s="13" t="s">
        <v>381</v>
      </c>
      <c r="C1591" s="13" t="s">
        <v>247</v>
      </c>
      <c r="D1591" s="61" t="n">
        <v>45989.6493055556</v>
      </c>
      <c r="E1591" s="61" t="n">
        <v>45989.6493055556</v>
      </c>
      <c r="F1591" s="61" t="n">
        <v>45989.6791666667</v>
      </c>
      <c r="G1591" s="62" t="n">
        <v>0.0298611111138598</v>
      </c>
      <c r="H1591" s="13" t="s">
        <v>248</v>
      </c>
      <c r="J1591" s="13" t="s">
        <v>256</v>
      </c>
      <c r="K1591" s="13" t="s">
        <v>430</v>
      </c>
      <c r="L1591" s="13" t="s">
        <v>2713</v>
      </c>
      <c r="M1591" s="66" t="s">
        <v>787</v>
      </c>
      <c r="N1591" s="66" t="s">
        <v>379</v>
      </c>
      <c r="O1591" s="66" t="s">
        <v>399</v>
      </c>
      <c r="P1591" s="0" t="s">
        <v>2719</v>
      </c>
      <c r="Q1591" s="66" t="s">
        <v>995</v>
      </c>
    </row>
    <row r="1592" customFormat="false" ht="14.25" hidden="false" customHeight="false" outlineLevel="0" collapsed="false">
      <c r="A1592" s="13" t="s">
        <v>381</v>
      </c>
      <c r="B1592" s="13" t="s">
        <v>381</v>
      </c>
      <c r="C1592" s="13" t="s">
        <v>280</v>
      </c>
      <c r="D1592" s="61" t="n">
        <v>45989.6493055556</v>
      </c>
      <c r="E1592" s="61" t="n">
        <v>45989.6493055556</v>
      </c>
      <c r="F1592" s="61" t="n">
        <v>45989.6791666667</v>
      </c>
      <c r="G1592" s="62" t="n">
        <v>0.0298611111138598</v>
      </c>
      <c r="H1592" s="13" t="s">
        <v>248</v>
      </c>
      <c r="J1592" s="13" t="s">
        <v>256</v>
      </c>
      <c r="K1592" s="13" t="s">
        <v>430</v>
      </c>
      <c r="L1592" s="13" t="s">
        <v>2713</v>
      </c>
      <c r="M1592" s="66" t="s">
        <v>787</v>
      </c>
      <c r="N1592" s="66" t="s">
        <v>379</v>
      </c>
      <c r="O1592" s="66" t="s">
        <v>399</v>
      </c>
      <c r="P1592" s="0" t="s">
        <v>2720</v>
      </c>
      <c r="Q1592" s="66" t="s">
        <v>995</v>
      </c>
    </row>
    <row r="1593" customFormat="false" ht="14.25" hidden="false" customHeight="false" outlineLevel="0" collapsed="false">
      <c r="A1593" s="13" t="s">
        <v>381</v>
      </c>
      <c r="B1593" s="13" t="s">
        <v>381</v>
      </c>
      <c r="C1593" s="13" t="s">
        <v>279</v>
      </c>
      <c r="D1593" s="61" t="n">
        <v>45989.6493055556</v>
      </c>
      <c r="E1593" s="61" t="n">
        <v>45989.6493055556</v>
      </c>
      <c r="F1593" s="61" t="n">
        <v>45989.6791666667</v>
      </c>
      <c r="G1593" s="62" t="n">
        <v>0.0298611111138598</v>
      </c>
      <c r="H1593" s="13" t="s">
        <v>248</v>
      </c>
      <c r="J1593" s="13" t="s">
        <v>256</v>
      </c>
      <c r="K1593" s="13" t="s">
        <v>430</v>
      </c>
      <c r="L1593" s="13" t="s">
        <v>2713</v>
      </c>
      <c r="M1593" s="66" t="s">
        <v>787</v>
      </c>
      <c r="N1593" s="66" t="s">
        <v>379</v>
      </c>
      <c r="O1593" s="66" t="s">
        <v>399</v>
      </c>
      <c r="P1593" s="0" t="s">
        <v>2721</v>
      </c>
      <c r="Q1593" s="66" t="s">
        <v>995</v>
      </c>
    </row>
    <row r="1594" customFormat="false" ht="14.25" hidden="false" customHeight="false" outlineLevel="0" collapsed="false">
      <c r="A1594" s="13" t="s">
        <v>382</v>
      </c>
      <c r="B1594" s="13" t="s">
        <v>382</v>
      </c>
      <c r="C1594" s="13" t="s">
        <v>383</v>
      </c>
      <c r="D1594" s="61" t="n">
        <v>45989.6493055556</v>
      </c>
      <c r="E1594" s="61" t="n">
        <v>45989.6493055556</v>
      </c>
      <c r="F1594" s="61" t="n">
        <v>45989.6791666667</v>
      </c>
      <c r="G1594" s="62" t="n">
        <v>0.0298611111138598</v>
      </c>
      <c r="H1594" s="13" t="s">
        <v>248</v>
      </c>
      <c r="J1594" s="13" t="s">
        <v>256</v>
      </c>
      <c r="K1594" s="13" t="s">
        <v>430</v>
      </c>
      <c r="L1594" s="13" t="s">
        <v>2713</v>
      </c>
      <c r="M1594" s="66" t="s">
        <v>787</v>
      </c>
      <c r="N1594" s="66" t="s">
        <v>379</v>
      </c>
      <c r="O1594" s="66" t="s">
        <v>399</v>
      </c>
      <c r="P1594" s="0" t="s">
        <v>2722</v>
      </c>
      <c r="Q1594" s="66" t="s">
        <v>995</v>
      </c>
    </row>
    <row r="1595" customFormat="false" ht="14.25" hidden="false" customHeight="false" outlineLevel="0" collapsed="false">
      <c r="A1595" s="13" t="s">
        <v>382</v>
      </c>
      <c r="B1595" s="13" t="s">
        <v>382</v>
      </c>
      <c r="C1595" s="13" t="s">
        <v>255</v>
      </c>
      <c r="D1595" s="61" t="n">
        <v>45989.6493055556</v>
      </c>
      <c r="E1595" s="61" t="n">
        <v>45989.6493055556</v>
      </c>
      <c r="F1595" s="61" t="n">
        <v>45989.6791666667</v>
      </c>
      <c r="G1595" s="62" t="n">
        <v>0.0298611111138598</v>
      </c>
      <c r="H1595" s="13" t="s">
        <v>248</v>
      </c>
      <c r="J1595" s="13" t="s">
        <v>256</v>
      </c>
      <c r="K1595" s="13" t="s">
        <v>430</v>
      </c>
      <c r="L1595" s="13" t="s">
        <v>2713</v>
      </c>
      <c r="M1595" s="66" t="s">
        <v>787</v>
      </c>
      <c r="N1595" s="66" t="s">
        <v>379</v>
      </c>
      <c r="O1595" s="66" t="s">
        <v>399</v>
      </c>
      <c r="P1595" s="0" t="s">
        <v>2723</v>
      </c>
      <c r="Q1595" s="66" t="s">
        <v>995</v>
      </c>
    </row>
    <row r="1596" customFormat="false" ht="14.25" hidden="false" customHeight="false" outlineLevel="0" collapsed="false">
      <c r="A1596" s="13" t="s">
        <v>276</v>
      </c>
      <c r="B1596" s="13" t="s">
        <v>276</v>
      </c>
      <c r="C1596" s="13" t="s">
        <v>247</v>
      </c>
      <c r="D1596" s="61" t="n">
        <v>45989.6493055556</v>
      </c>
      <c r="E1596" s="61" t="n">
        <v>45989.6493055556</v>
      </c>
      <c r="F1596" s="61" t="n">
        <v>45989.6791666667</v>
      </c>
      <c r="G1596" s="62" t="n">
        <v>0.0298611111138598</v>
      </c>
      <c r="H1596" s="13" t="s">
        <v>248</v>
      </c>
      <c r="J1596" s="13" t="s">
        <v>256</v>
      </c>
      <c r="K1596" s="13" t="s">
        <v>430</v>
      </c>
      <c r="L1596" s="13" t="s">
        <v>2713</v>
      </c>
      <c r="M1596" s="66" t="s">
        <v>787</v>
      </c>
      <c r="N1596" s="66" t="s">
        <v>379</v>
      </c>
      <c r="O1596" s="66" t="s">
        <v>399</v>
      </c>
      <c r="P1596" s="0" t="s">
        <v>2724</v>
      </c>
      <c r="Q1596" s="66" t="s">
        <v>995</v>
      </c>
    </row>
    <row r="1597" customFormat="false" ht="14.25" hidden="false" customHeight="false" outlineLevel="0" collapsed="false">
      <c r="A1597" s="13" t="s">
        <v>276</v>
      </c>
      <c r="B1597" s="13" t="s">
        <v>276</v>
      </c>
      <c r="C1597" s="13" t="s">
        <v>277</v>
      </c>
      <c r="D1597" s="61" t="n">
        <v>45989.6493055556</v>
      </c>
      <c r="E1597" s="61" t="n">
        <v>45989.6493055556</v>
      </c>
      <c r="F1597" s="61" t="n">
        <v>45989.6791666667</v>
      </c>
      <c r="G1597" s="62" t="n">
        <v>0.0298611111138598</v>
      </c>
      <c r="H1597" s="13" t="s">
        <v>248</v>
      </c>
      <c r="J1597" s="13" t="s">
        <v>256</v>
      </c>
      <c r="K1597" s="13" t="s">
        <v>430</v>
      </c>
      <c r="L1597" s="13" t="s">
        <v>2713</v>
      </c>
      <c r="M1597" s="66" t="s">
        <v>787</v>
      </c>
      <c r="N1597" s="66" t="s">
        <v>379</v>
      </c>
      <c r="O1597" s="66" t="s">
        <v>399</v>
      </c>
      <c r="P1597" s="0" t="s">
        <v>2725</v>
      </c>
      <c r="Q1597" s="66" t="s">
        <v>995</v>
      </c>
    </row>
    <row r="1598" customFormat="false" ht="14.25" hidden="false" customHeight="false" outlineLevel="0" collapsed="false">
      <c r="A1598" s="13" t="s">
        <v>276</v>
      </c>
      <c r="B1598" s="13" t="s">
        <v>276</v>
      </c>
      <c r="C1598" s="13" t="s">
        <v>279</v>
      </c>
      <c r="D1598" s="61" t="n">
        <v>45989.6493055556</v>
      </c>
      <c r="E1598" s="61" t="n">
        <v>45989.6493055556</v>
      </c>
      <c r="F1598" s="61" t="n">
        <v>45989.6791666667</v>
      </c>
      <c r="G1598" s="62" t="n">
        <v>0.0298611111138598</v>
      </c>
      <c r="H1598" s="13" t="s">
        <v>248</v>
      </c>
      <c r="J1598" s="13" t="s">
        <v>256</v>
      </c>
      <c r="K1598" s="13" t="s">
        <v>430</v>
      </c>
      <c r="L1598" s="13" t="s">
        <v>2713</v>
      </c>
      <c r="M1598" s="66" t="s">
        <v>787</v>
      </c>
      <c r="N1598" s="66" t="s">
        <v>379</v>
      </c>
      <c r="O1598" s="66" t="s">
        <v>399</v>
      </c>
      <c r="P1598" s="0" t="s">
        <v>2726</v>
      </c>
      <c r="Q1598" s="66" t="s">
        <v>995</v>
      </c>
    </row>
    <row r="1599" customFormat="false" ht="14.25" hidden="false" customHeight="false" outlineLevel="0" collapsed="false">
      <c r="A1599" s="13" t="s">
        <v>276</v>
      </c>
      <c r="B1599" s="13" t="s">
        <v>276</v>
      </c>
      <c r="C1599" s="13" t="s">
        <v>280</v>
      </c>
      <c r="D1599" s="61" t="n">
        <v>45989.6493055556</v>
      </c>
      <c r="E1599" s="61" t="n">
        <v>45989.6493055556</v>
      </c>
      <c r="F1599" s="61" t="n">
        <v>45989.6791666667</v>
      </c>
      <c r="G1599" s="62" t="n">
        <v>0.0298611111138598</v>
      </c>
      <c r="H1599" s="13" t="s">
        <v>248</v>
      </c>
      <c r="J1599" s="13" t="s">
        <v>256</v>
      </c>
      <c r="K1599" s="13" t="s">
        <v>430</v>
      </c>
      <c r="L1599" s="13" t="s">
        <v>2713</v>
      </c>
      <c r="M1599" s="66" t="s">
        <v>787</v>
      </c>
      <c r="N1599" s="66" t="s">
        <v>379</v>
      </c>
      <c r="O1599" s="66" t="s">
        <v>399</v>
      </c>
      <c r="P1599" s="0" t="s">
        <v>2727</v>
      </c>
      <c r="Q1599" s="66" t="s">
        <v>995</v>
      </c>
    </row>
    <row r="1600" customFormat="false" ht="14.25" hidden="false" customHeight="false" outlineLevel="0" collapsed="false">
      <c r="A1600" s="13" t="s">
        <v>386</v>
      </c>
      <c r="B1600" s="13" t="s">
        <v>386</v>
      </c>
      <c r="C1600" s="13" t="s">
        <v>279</v>
      </c>
      <c r="D1600" s="61" t="n">
        <v>45989.6493055556</v>
      </c>
      <c r="E1600" s="61" t="n">
        <v>45989.6493055556</v>
      </c>
      <c r="F1600" s="61" t="n">
        <v>45989.6791666667</v>
      </c>
      <c r="G1600" s="62" t="n">
        <v>0.0298611111138598</v>
      </c>
      <c r="H1600" s="13" t="s">
        <v>248</v>
      </c>
      <c r="J1600" s="13" t="s">
        <v>256</v>
      </c>
      <c r="K1600" s="13" t="s">
        <v>430</v>
      </c>
      <c r="L1600" s="13" t="s">
        <v>2713</v>
      </c>
      <c r="M1600" s="66" t="s">
        <v>787</v>
      </c>
      <c r="N1600" s="66" t="s">
        <v>379</v>
      </c>
      <c r="O1600" s="66" t="s">
        <v>399</v>
      </c>
      <c r="P1600" s="0" t="s">
        <v>2728</v>
      </c>
      <c r="Q1600" s="66" t="s">
        <v>995</v>
      </c>
    </row>
    <row r="1601" customFormat="false" ht="14.25" hidden="false" customHeight="false" outlineLevel="0" collapsed="false">
      <c r="A1601" s="13" t="s">
        <v>386</v>
      </c>
      <c r="B1601" s="13" t="s">
        <v>386</v>
      </c>
      <c r="C1601" s="13" t="s">
        <v>247</v>
      </c>
      <c r="D1601" s="61" t="n">
        <v>45989.6493055556</v>
      </c>
      <c r="E1601" s="61" t="n">
        <v>45989.6493055556</v>
      </c>
      <c r="F1601" s="61" t="n">
        <v>45989.6791666667</v>
      </c>
      <c r="G1601" s="62" t="n">
        <v>0.0298611111138598</v>
      </c>
      <c r="H1601" s="13" t="s">
        <v>248</v>
      </c>
      <c r="J1601" s="13" t="s">
        <v>256</v>
      </c>
      <c r="K1601" s="13" t="s">
        <v>430</v>
      </c>
      <c r="L1601" s="13" t="s">
        <v>2713</v>
      </c>
      <c r="M1601" s="66" t="s">
        <v>787</v>
      </c>
      <c r="N1601" s="66" t="s">
        <v>379</v>
      </c>
      <c r="O1601" s="66" t="s">
        <v>399</v>
      </c>
      <c r="P1601" s="0" t="s">
        <v>2729</v>
      </c>
      <c r="Q1601" s="66" t="s">
        <v>995</v>
      </c>
    </row>
    <row r="1602" customFormat="false" ht="14.25" hidden="false" customHeight="false" outlineLevel="0" collapsed="false">
      <c r="A1602" s="13" t="s">
        <v>386</v>
      </c>
      <c r="B1602" s="13" t="s">
        <v>386</v>
      </c>
      <c r="C1602" s="13" t="s">
        <v>280</v>
      </c>
      <c r="D1602" s="61" t="n">
        <v>45989.6493055556</v>
      </c>
      <c r="E1602" s="61" t="n">
        <v>45989.6493055556</v>
      </c>
      <c r="F1602" s="61" t="n">
        <v>45989.6791666667</v>
      </c>
      <c r="G1602" s="62" t="n">
        <v>0.0298611111138598</v>
      </c>
      <c r="H1602" s="13" t="s">
        <v>248</v>
      </c>
      <c r="J1602" s="13" t="s">
        <v>256</v>
      </c>
      <c r="K1602" s="13" t="s">
        <v>430</v>
      </c>
      <c r="L1602" s="13" t="s">
        <v>2713</v>
      </c>
      <c r="M1602" s="66" t="s">
        <v>787</v>
      </c>
      <c r="N1602" s="66" t="s">
        <v>379</v>
      </c>
      <c r="O1602" s="66" t="s">
        <v>399</v>
      </c>
      <c r="P1602" s="0" t="s">
        <v>2730</v>
      </c>
      <c r="Q1602" s="66" t="s">
        <v>995</v>
      </c>
    </row>
    <row r="1603" customFormat="false" ht="14.25" hidden="false" customHeight="false" outlineLevel="0" collapsed="false">
      <c r="A1603" s="13" t="s">
        <v>386</v>
      </c>
      <c r="B1603" s="13" t="s">
        <v>386</v>
      </c>
      <c r="C1603" s="13" t="s">
        <v>277</v>
      </c>
      <c r="D1603" s="61" t="n">
        <v>45989.6493055556</v>
      </c>
      <c r="E1603" s="61" t="n">
        <v>45989.6493055556</v>
      </c>
      <c r="F1603" s="61" t="n">
        <v>45989.6791666667</v>
      </c>
      <c r="G1603" s="62" t="n">
        <v>0.0298611111138598</v>
      </c>
      <c r="H1603" s="13" t="s">
        <v>248</v>
      </c>
      <c r="J1603" s="13" t="s">
        <v>256</v>
      </c>
      <c r="K1603" s="13" t="s">
        <v>430</v>
      </c>
      <c r="L1603" s="13" t="s">
        <v>2713</v>
      </c>
      <c r="M1603" s="66" t="s">
        <v>787</v>
      </c>
      <c r="N1603" s="66" t="s">
        <v>379</v>
      </c>
      <c r="O1603" s="66" t="s">
        <v>399</v>
      </c>
      <c r="P1603" s="0" t="s">
        <v>2731</v>
      </c>
      <c r="Q1603" s="66" t="s">
        <v>995</v>
      </c>
    </row>
    <row r="1604" customFormat="false" ht="14.25" hidden="false" customHeight="false" outlineLevel="0" collapsed="false">
      <c r="A1604" s="13" t="s">
        <v>388</v>
      </c>
      <c r="B1604" s="13" t="s">
        <v>388</v>
      </c>
      <c r="C1604" s="13" t="s">
        <v>277</v>
      </c>
      <c r="D1604" s="61" t="n">
        <v>45989.6493055556</v>
      </c>
      <c r="E1604" s="61" t="n">
        <v>45989.6493055556</v>
      </c>
      <c r="F1604" s="61" t="n">
        <v>45989.6791666667</v>
      </c>
      <c r="G1604" s="62" t="n">
        <v>0.0298611111138598</v>
      </c>
      <c r="H1604" s="13" t="s">
        <v>248</v>
      </c>
      <c r="J1604" s="13" t="s">
        <v>256</v>
      </c>
      <c r="K1604" s="13" t="s">
        <v>430</v>
      </c>
      <c r="L1604" s="13" t="s">
        <v>2713</v>
      </c>
      <c r="M1604" s="66" t="s">
        <v>787</v>
      </c>
      <c r="N1604" s="66" t="s">
        <v>379</v>
      </c>
      <c r="O1604" s="66" t="s">
        <v>399</v>
      </c>
      <c r="P1604" s="0" t="s">
        <v>2732</v>
      </c>
      <c r="Q1604" s="66" t="s">
        <v>995</v>
      </c>
    </row>
    <row r="1605" customFormat="false" ht="14.25" hidden="false" customHeight="false" outlineLevel="0" collapsed="false">
      <c r="A1605" s="13" t="s">
        <v>388</v>
      </c>
      <c r="B1605" s="13" t="s">
        <v>388</v>
      </c>
      <c r="C1605" s="13" t="s">
        <v>247</v>
      </c>
      <c r="D1605" s="61" t="n">
        <v>45989.6493055556</v>
      </c>
      <c r="E1605" s="61" t="n">
        <v>45989.6493055556</v>
      </c>
      <c r="F1605" s="61" t="n">
        <v>45989.6791666667</v>
      </c>
      <c r="G1605" s="62" t="n">
        <v>0.0298611111138598</v>
      </c>
      <c r="H1605" s="13" t="s">
        <v>248</v>
      </c>
      <c r="J1605" s="13" t="s">
        <v>256</v>
      </c>
      <c r="K1605" s="13" t="s">
        <v>430</v>
      </c>
      <c r="L1605" s="13" t="s">
        <v>2713</v>
      </c>
      <c r="M1605" s="66" t="s">
        <v>787</v>
      </c>
      <c r="N1605" s="66" t="s">
        <v>379</v>
      </c>
      <c r="O1605" s="66" t="s">
        <v>399</v>
      </c>
      <c r="P1605" s="0" t="s">
        <v>2733</v>
      </c>
      <c r="Q1605" s="66" t="s">
        <v>995</v>
      </c>
    </row>
    <row r="1606" customFormat="false" ht="14.25" hidden="false" customHeight="false" outlineLevel="0" collapsed="false">
      <c r="A1606" s="13" t="s">
        <v>797</v>
      </c>
      <c r="B1606" s="13" t="s">
        <v>797</v>
      </c>
      <c r="C1606" s="13" t="s">
        <v>280</v>
      </c>
      <c r="D1606" s="61" t="n">
        <v>45989.6958332755</v>
      </c>
      <c r="E1606" s="61" t="n">
        <v>45989.6958332755</v>
      </c>
      <c r="F1606" s="61" t="n">
        <v>45989.7083333333</v>
      </c>
      <c r="G1606" s="62" t="n">
        <v>0.0125000578700565</v>
      </c>
      <c r="H1606" s="13" t="s">
        <v>248</v>
      </c>
      <c r="J1606" s="13" t="s">
        <v>256</v>
      </c>
      <c r="K1606" s="13" t="s">
        <v>430</v>
      </c>
      <c r="L1606" s="13" t="s">
        <v>2734</v>
      </c>
      <c r="M1606" s="66" t="s">
        <v>787</v>
      </c>
      <c r="N1606" s="66" t="s">
        <v>379</v>
      </c>
      <c r="O1606" s="66" t="s">
        <v>2735</v>
      </c>
      <c r="P1606" s="0" t="s">
        <v>2736</v>
      </c>
      <c r="Q1606" s="66" t="s">
        <v>995</v>
      </c>
    </row>
    <row r="1607" customFormat="false" ht="14.25" hidden="false" customHeight="false" outlineLevel="0" collapsed="false">
      <c r="A1607" s="13" t="s">
        <v>797</v>
      </c>
      <c r="B1607" s="13" t="s">
        <v>797</v>
      </c>
      <c r="C1607" s="13" t="s">
        <v>279</v>
      </c>
      <c r="D1607" s="61" t="n">
        <v>45989.6958332755</v>
      </c>
      <c r="E1607" s="61" t="n">
        <v>45989.6958332755</v>
      </c>
      <c r="F1607" s="61" t="n">
        <v>45989.7083333333</v>
      </c>
      <c r="G1607" s="62" t="n">
        <v>0.0125000578700565</v>
      </c>
      <c r="H1607" s="13" t="s">
        <v>248</v>
      </c>
      <c r="J1607" s="13" t="s">
        <v>256</v>
      </c>
      <c r="K1607" s="13" t="s">
        <v>430</v>
      </c>
      <c r="L1607" s="13" t="s">
        <v>2734</v>
      </c>
      <c r="M1607" s="66" t="s">
        <v>787</v>
      </c>
      <c r="N1607" s="66" t="s">
        <v>379</v>
      </c>
      <c r="O1607" s="66" t="s">
        <v>2735</v>
      </c>
      <c r="P1607" s="0" t="s">
        <v>2737</v>
      </c>
      <c r="Q1607" s="66" t="s">
        <v>995</v>
      </c>
    </row>
    <row r="1608" customFormat="false" ht="14.25" hidden="false" customHeight="false" outlineLevel="0" collapsed="false">
      <c r="A1608" s="13" t="s">
        <v>883</v>
      </c>
      <c r="B1608" s="13" t="s">
        <v>883</v>
      </c>
      <c r="C1608" s="13" t="s">
        <v>277</v>
      </c>
      <c r="D1608" s="61" t="n">
        <v>45989.6958332755</v>
      </c>
      <c r="E1608" s="61" t="n">
        <v>45989.6958332755</v>
      </c>
      <c r="F1608" s="61" t="n">
        <v>45989.7083333333</v>
      </c>
      <c r="G1608" s="62" t="n">
        <v>0.0125000578700565</v>
      </c>
      <c r="H1608" s="13" t="s">
        <v>248</v>
      </c>
      <c r="J1608" s="13" t="s">
        <v>256</v>
      </c>
      <c r="K1608" s="13" t="s">
        <v>430</v>
      </c>
      <c r="L1608" s="13" t="s">
        <v>2734</v>
      </c>
      <c r="M1608" s="66" t="s">
        <v>787</v>
      </c>
      <c r="N1608" s="66" t="s">
        <v>379</v>
      </c>
      <c r="O1608" s="66" t="s">
        <v>2735</v>
      </c>
      <c r="P1608" s="0" t="s">
        <v>2738</v>
      </c>
      <c r="Q1608" s="66" t="s">
        <v>995</v>
      </c>
    </row>
    <row r="1609" customFormat="false" ht="14.25" hidden="false" customHeight="false" outlineLevel="0" collapsed="false">
      <c r="A1609" s="13" t="s">
        <v>883</v>
      </c>
      <c r="B1609" s="13" t="s">
        <v>883</v>
      </c>
      <c r="C1609" s="13" t="s">
        <v>247</v>
      </c>
      <c r="D1609" s="61" t="n">
        <v>45989.6958332755</v>
      </c>
      <c r="E1609" s="61" t="n">
        <v>45989.6958332755</v>
      </c>
      <c r="F1609" s="61" t="n">
        <v>45989.7083333333</v>
      </c>
      <c r="G1609" s="62" t="n">
        <v>0.0125000578700565</v>
      </c>
      <c r="H1609" s="13" t="s">
        <v>248</v>
      </c>
      <c r="J1609" s="13" t="s">
        <v>256</v>
      </c>
      <c r="K1609" s="13" t="s">
        <v>430</v>
      </c>
      <c r="L1609" s="13" t="s">
        <v>2734</v>
      </c>
      <c r="M1609" s="66" t="s">
        <v>787</v>
      </c>
      <c r="N1609" s="66" t="s">
        <v>379</v>
      </c>
      <c r="O1609" s="66" t="s">
        <v>2735</v>
      </c>
      <c r="P1609" s="0" t="s">
        <v>2739</v>
      </c>
      <c r="Q1609" s="66" t="s">
        <v>995</v>
      </c>
    </row>
    <row r="1610" customFormat="false" ht="14.25" hidden="false" customHeight="false" outlineLevel="0" collapsed="false">
      <c r="A1610" s="13" t="s">
        <v>883</v>
      </c>
      <c r="B1610" s="13" t="s">
        <v>883</v>
      </c>
      <c r="C1610" s="13" t="s">
        <v>280</v>
      </c>
      <c r="D1610" s="61" t="n">
        <v>45989.6958332755</v>
      </c>
      <c r="E1610" s="61" t="n">
        <v>45989.6958332755</v>
      </c>
      <c r="F1610" s="61" t="n">
        <v>45989.7083333333</v>
      </c>
      <c r="G1610" s="62" t="n">
        <v>0.0125000578700565</v>
      </c>
      <c r="H1610" s="13" t="s">
        <v>248</v>
      </c>
      <c r="J1610" s="13" t="s">
        <v>256</v>
      </c>
      <c r="K1610" s="13" t="s">
        <v>430</v>
      </c>
      <c r="L1610" s="13" t="s">
        <v>2734</v>
      </c>
      <c r="M1610" s="66" t="s">
        <v>787</v>
      </c>
      <c r="N1610" s="66" t="s">
        <v>379</v>
      </c>
      <c r="O1610" s="66" t="s">
        <v>2735</v>
      </c>
      <c r="P1610" s="0" t="s">
        <v>2740</v>
      </c>
      <c r="Q1610" s="66" t="s">
        <v>995</v>
      </c>
    </row>
    <row r="1611" customFormat="false" ht="14.25" hidden="false" customHeight="false" outlineLevel="0" collapsed="false">
      <c r="A1611" s="13" t="s">
        <v>883</v>
      </c>
      <c r="B1611" s="13" t="s">
        <v>883</v>
      </c>
      <c r="C1611" s="13" t="s">
        <v>279</v>
      </c>
      <c r="D1611" s="61" t="n">
        <v>45989.6958332755</v>
      </c>
      <c r="E1611" s="61" t="n">
        <v>45989.6958332755</v>
      </c>
      <c r="F1611" s="61" t="n">
        <v>45989.7083333333</v>
      </c>
      <c r="G1611" s="62" t="n">
        <v>0.0125000578700565</v>
      </c>
      <c r="H1611" s="13" t="s">
        <v>248</v>
      </c>
      <c r="J1611" s="13" t="s">
        <v>256</v>
      </c>
      <c r="K1611" s="13" t="s">
        <v>430</v>
      </c>
      <c r="L1611" s="13" t="s">
        <v>2734</v>
      </c>
      <c r="M1611" s="66" t="s">
        <v>787</v>
      </c>
      <c r="N1611" s="66" t="s">
        <v>379</v>
      </c>
      <c r="O1611" s="66" t="s">
        <v>2735</v>
      </c>
      <c r="P1611" s="0" t="s">
        <v>2741</v>
      </c>
      <c r="Q1611" s="66" t="s">
        <v>995</v>
      </c>
    </row>
    <row r="1612" customFormat="false" ht="14.25" hidden="false" customHeight="false" outlineLevel="0" collapsed="false">
      <c r="A1612" s="13" t="s">
        <v>246</v>
      </c>
      <c r="B1612" s="13" t="s">
        <v>246</v>
      </c>
      <c r="C1612" s="13" t="s">
        <v>255</v>
      </c>
      <c r="D1612" s="61" t="n">
        <v>45989.6958332755</v>
      </c>
      <c r="E1612" s="61" t="n">
        <v>45989.6958332755</v>
      </c>
      <c r="F1612" s="61" t="n">
        <v>45989.7083333333</v>
      </c>
      <c r="G1612" s="62" t="n">
        <v>0.0125000578700565</v>
      </c>
      <c r="H1612" s="13" t="s">
        <v>248</v>
      </c>
      <c r="J1612" s="13" t="s">
        <v>256</v>
      </c>
      <c r="K1612" s="13" t="s">
        <v>430</v>
      </c>
      <c r="L1612" s="13" t="s">
        <v>2734</v>
      </c>
      <c r="M1612" s="66" t="s">
        <v>787</v>
      </c>
      <c r="N1612" s="66" t="s">
        <v>379</v>
      </c>
      <c r="O1612" s="66" t="s">
        <v>2735</v>
      </c>
      <c r="P1612" s="0" t="s">
        <v>2742</v>
      </c>
      <c r="Q1612" s="66" t="s">
        <v>995</v>
      </c>
    </row>
    <row r="1613" customFormat="false" ht="14.25" hidden="false" customHeight="false" outlineLevel="0" collapsed="false">
      <c r="A1613" s="13" t="s">
        <v>246</v>
      </c>
      <c r="B1613" s="13" t="s">
        <v>246</v>
      </c>
      <c r="C1613" s="13" t="s">
        <v>247</v>
      </c>
      <c r="D1613" s="61" t="n">
        <v>45989.6958332755</v>
      </c>
      <c r="E1613" s="61" t="n">
        <v>45989.6958332755</v>
      </c>
      <c r="F1613" s="61" t="n">
        <v>45989.7083333333</v>
      </c>
      <c r="G1613" s="62" t="n">
        <v>0.0125000578700565</v>
      </c>
      <c r="H1613" s="13" t="s">
        <v>248</v>
      </c>
      <c r="J1613" s="13" t="s">
        <v>256</v>
      </c>
      <c r="K1613" s="13" t="s">
        <v>430</v>
      </c>
      <c r="L1613" s="13" t="s">
        <v>2734</v>
      </c>
      <c r="M1613" s="66" t="s">
        <v>787</v>
      </c>
      <c r="N1613" s="66" t="s">
        <v>379</v>
      </c>
      <c r="O1613" s="66" t="s">
        <v>2735</v>
      </c>
      <c r="P1613" s="0" t="s">
        <v>2743</v>
      </c>
      <c r="Q1613" s="66" t="s">
        <v>995</v>
      </c>
    </row>
    <row r="1614" customFormat="false" ht="14.25" hidden="false" customHeight="false" outlineLevel="0" collapsed="false">
      <c r="A1614" s="13" t="s">
        <v>246</v>
      </c>
      <c r="B1614" s="13" t="s">
        <v>246</v>
      </c>
      <c r="C1614" s="13" t="s">
        <v>280</v>
      </c>
      <c r="D1614" s="61" t="n">
        <v>45989.6958332755</v>
      </c>
      <c r="E1614" s="61" t="n">
        <v>45989.6958332755</v>
      </c>
      <c r="F1614" s="61" t="n">
        <v>45989.7083333333</v>
      </c>
      <c r="G1614" s="62" t="n">
        <v>0.0125000578700565</v>
      </c>
      <c r="H1614" s="13" t="s">
        <v>248</v>
      </c>
      <c r="J1614" s="13" t="s">
        <v>256</v>
      </c>
      <c r="K1614" s="13" t="s">
        <v>430</v>
      </c>
      <c r="L1614" s="13" t="s">
        <v>2734</v>
      </c>
      <c r="M1614" s="66" t="s">
        <v>787</v>
      </c>
      <c r="N1614" s="66" t="s">
        <v>379</v>
      </c>
      <c r="O1614" s="66" t="s">
        <v>2735</v>
      </c>
      <c r="P1614" s="0" t="s">
        <v>2744</v>
      </c>
      <c r="Q1614" s="66" t="s">
        <v>995</v>
      </c>
    </row>
    <row r="1615" customFormat="false" ht="14.25" hidden="false" customHeight="false" outlineLevel="0" collapsed="false">
      <c r="A1615" s="13" t="s">
        <v>246</v>
      </c>
      <c r="B1615" s="13" t="s">
        <v>246</v>
      </c>
      <c r="C1615" s="13" t="s">
        <v>279</v>
      </c>
      <c r="D1615" s="61" t="n">
        <v>45989.6958332755</v>
      </c>
      <c r="E1615" s="61" t="n">
        <v>45989.6958332755</v>
      </c>
      <c r="F1615" s="61" t="n">
        <v>45989.7083333333</v>
      </c>
      <c r="G1615" s="62" t="n">
        <v>0.0125000578700565</v>
      </c>
      <c r="H1615" s="13" t="s">
        <v>248</v>
      </c>
      <c r="J1615" s="13" t="s">
        <v>256</v>
      </c>
      <c r="K1615" s="13" t="s">
        <v>430</v>
      </c>
      <c r="L1615" s="13" t="s">
        <v>2734</v>
      </c>
      <c r="M1615" s="66" t="s">
        <v>787</v>
      </c>
      <c r="N1615" s="66" t="s">
        <v>379</v>
      </c>
      <c r="O1615" s="66" t="s">
        <v>2735</v>
      </c>
      <c r="P1615" s="0" t="s">
        <v>2745</v>
      </c>
      <c r="Q1615" s="66" t="s">
        <v>995</v>
      </c>
    </row>
    <row r="1616" customFormat="false" ht="14.25" hidden="false" customHeight="false" outlineLevel="0" collapsed="false">
      <c r="A1616" s="13" t="s">
        <v>884</v>
      </c>
      <c r="B1616" s="13" t="s">
        <v>884</v>
      </c>
      <c r="C1616" s="13" t="s">
        <v>277</v>
      </c>
      <c r="D1616" s="61" t="n">
        <v>45989.6958332755</v>
      </c>
      <c r="E1616" s="61" t="n">
        <v>45989.6958332755</v>
      </c>
      <c r="F1616" s="61" t="n">
        <v>45989.7083333333</v>
      </c>
      <c r="G1616" s="62" t="n">
        <v>0.0125000578700565</v>
      </c>
      <c r="H1616" s="13" t="s">
        <v>248</v>
      </c>
      <c r="J1616" s="13" t="s">
        <v>256</v>
      </c>
      <c r="K1616" s="13" t="s">
        <v>430</v>
      </c>
      <c r="L1616" s="13" t="s">
        <v>2734</v>
      </c>
      <c r="M1616" s="66" t="s">
        <v>787</v>
      </c>
      <c r="N1616" s="66" t="s">
        <v>379</v>
      </c>
      <c r="O1616" s="66" t="s">
        <v>2735</v>
      </c>
      <c r="P1616" s="0" t="s">
        <v>2746</v>
      </c>
      <c r="Q1616" s="66" t="s">
        <v>995</v>
      </c>
    </row>
    <row r="1617" customFormat="false" ht="14.25" hidden="false" customHeight="false" outlineLevel="0" collapsed="false">
      <c r="A1617" s="13" t="s">
        <v>884</v>
      </c>
      <c r="B1617" s="13" t="s">
        <v>884</v>
      </c>
      <c r="C1617" s="13" t="s">
        <v>247</v>
      </c>
      <c r="D1617" s="61" t="n">
        <v>45989.6958332755</v>
      </c>
      <c r="E1617" s="61" t="n">
        <v>45989.6958332755</v>
      </c>
      <c r="F1617" s="61" t="n">
        <v>45989.7083333333</v>
      </c>
      <c r="G1617" s="62" t="n">
        <v>0.0125000578700565</v>
      </c>
      <c r="H1617" s="13" t="s">
        <v>248</v>
      </c>
      <c r="J1617" s="13" t="s">
        <v>256</v>
      </c>
      <c r="K1617" s="13" t="s">
        <v>430</v>
      </c>
      <c r="L1617" s="13" t="s">
        <v>2734</v>
      </c>
      <c r="M1617" s="66" t="s">
        <v>787</v>
      </c>
      <c r="N1617" s="66" t="s">
        <v>379</v>
      </c>
      <c r="O1617" s="66" t="s">
        <v>2735</v>
      </c>
      <c r="P1617" s="0" t="s">
        <v>2747</v>
      </c>
      <c r="Q1617" s="66" t="s">
        <v>995</v>
      </c>
    </row>
    <row r="1618" customFormat="false" ht="14.25" hidden="false" customHeight="false" outlineLevel="0" collapsed="false">
      <c r="A1618" s="13" t="s">
        <v>884</v>
      </c>
      <c r="B1618" s="13" t="s">
        <v>884</v>
      </c>
      <c r="C1618" s="13" t="s">
        <v>280</v>
      </c>
      <c r="D1618" s="61" t="n">
        <v>45989.6958332755</v>
      </c>
      <c r="E1618" s="61" t="n">
        <v>45989.6958332755</v>
      </c>
      <c r="F1618" s="61" t="n">
        <v>45989.7083333333</v>
      </c>
      <c r="G1618" s="62" t="n">
        <v>0.0125000578700565</v>
      </c>
      <c r="H1618" s="13" t="s">
        <v>248</v>
      </c>
      <c r="J1618" s="13" t="s">
        <v>256</v>
      </c>
      <c r="K1618" s="13" t="s">
        <v>430</v>
      </c>
      <c r="L1618" s="13" t="s">
        <v>2734</v>
      </c>
      <c r="M1618" s="66" t="s">
        <v>787</v>
      </c>
      <c r="N1618" s="66" t="s">
        <v>379</v>
      </c>
      <c r="O1618" s="66" t="s">
        <v>2735</v>
      </c>
      <c r="P1618" s="0" t="s">
        <v>2748</v>
      </c>
      <c r="Q1618" s="66" t="s">
        <v>995</v>
      </c>
    </row>
    <row r="1619" customFormat="false" ht="14.25" hidden="false" customHeight="false" outlineLevel="0" collapsed="false">
      <c r="A1619" s="13" t="s">
        <v>884</v>
      </c>
      <c r="B1619" s="13" t="s">
        <v>884</v>
      </c>
      <c r="C1619" s="13" t="s">
        <v>279</v>
      </c>
      <c r="D1619" s="61" t="n">
        <v>45989.6958332755</v>
      </c>
      <c r="E1619" s="61" t="n">
        <v>45989.6958332755</v>
      </c>
      <c r="F1619" s="61" t="n">
        <v>45989.7083333333</v>
      </c>
      <c r="G1619" s="62" t="n">
        <v>0.0125000578700565</v>
      </c>
      <c r="H1619" s="13" t="s">
        <v>248</v>
      </c>
      <c r="J1619" s="13" t="s">
        <v>256</v>
      </c>
      <c r="K1619" s="13" t="s">
        <v>430</v>
      </c>
      <c r="L1619" s="13" t="s">
        <v>2734</v>
      </c>
      <c r="M1619" s="66" t="s">
        <v>787</v>
      </c>
      <c r="N1619" s="66" t="s">
        <v>379</v>
      </c>
      <c r="O1619" s="66" t="s">
        <v>2735</v>
      </c>
      <c r="P1619" s="0" t="s">
        <v>2749</v>
      </c>
      <c r="Q1619" s="66" t="s">
        <v>995</v>
      </c>
    </row>
    <row r="1620" customFormat="false" ht="14.25" hidden="false" customHeight="false" outlineLevel="0" collapsed="false">
      <c r="A1620" s="13" t="s">
        <v>885</v>
      </c>
      <c r="B1620" s="13" t="s">
        <v>885</v>
      </c>
      <c r="C1620" s="13" t="s">
        <v>277</v>
      </c>
      <c r="D1620" s="61" t="n">
        <v>45989.6958332755</v>
      </c>
      <c r="E1620" s="61" t="n">
        <v>45989.6958332755</v>
      </c>
      <c r="F1620" s="61" t="n">
        <v>45989.7083333333</v>
      </c>
      <c r="G1620" s="62" t="n">
        <v>0.0125000578700565</v>
      </c>
      <c r="H1620" s="13" t="s">
        <v>248</v>
      </c>
      <c r="J1620" s="13" t="s">
        <v>256</v>
      </c>
      <c r="K1620" s="13" t="s">
        <v>430</v>
      </c>
      <c r="L1620" s="13" t="s">
        <v>2734</v>
      </c>
      <c r="M1620" s="66" t="s">
        <v>787</v>
      </c>
      <c r="N1620" s="66" t="s">
        <v>379</v>
      </c>
      <c r="O1620" s="66" t="s">
        <v>2735</v>
      </c>
      <c r="P1620" s="0" t="s">
        <v>2750</v>
      </c>
      <c r="Q1620" s="66" t="s">
        <v>995</v>
      </c>
    </row>
    <row r="1621" customFormat="false" ht="14.25" hidden="false" customHeight="false" outlineLevel="0" collapsed="false">
      <c r="A1621" s="13" t="s">
        <v>885</v>
      </c>
      <c r="B1621" s="13" t="s">
        <v>885</v>
      </c>
      <c r="C1621" s="13" t="s">
        <v>247</v>
      </c>
      <c r="D1621" s="61" t="n">
        <v>45989.6958332755</v>
      </c>
      <c r="E1621" s="61" t="n">
        <v>45989.6958332755</v>
      </c>
      <c r="F1621" s="61" t="n">
        <v>45989.7083333333</v>
      </c>
      <c r="G1621" s="62" t="n">
        <v>0.0125000578700565</v>
      </c>
      <c r="H1621" s="13" t="s">
        <v>248</v>
      </c>
      <c r="J1621" s="13" t="s">
        <v>256</v>
      </c>
      <c r="K1621" s="13" t="s">
        <v>430</v>
      </c>
      <c r="L1621" s="13" t="s">
        <v>2734</v>
      </c>
      <c r="M1621" s="66" t="s">
        <v>787</v>
      </c>
      <c r="N1621" s="66" t="s">
        <v>379</v>
      </c>
      <c r="O1621" s="66" t="s">
        <v>2735</v>
      </c>
      <c r="P1621" s="0" t="s">
        <v>2751</v>
      </c>
      <c r="Q1621" s="66" t="s">
        <v>995</v>
      </c>
    </row>
    <row r="1622" customFormat="false" ht="14.25" hidden="false" customHeight="false" outlineLevel="0" collapsed="false">
      <c r="A1622" s="13" t="s">
        <v>885</v>
      </c>
      <c r="B1622" s="13" t="s">
        <v>885</v>
      </c>
      <c r="C1622" s="13" t="s">
        <v>280</v>
      </c>
      <c r="D1622" s="61" t="n">
        <v>45989.6958332755</v>
      </c>
      <c r="E1622" s="61" t="n">
        <v>45989.6958332755</v>
      </c>
      <c r="F1622" s="61" t="n">
        <v>45989.7083333333</v>
      </c>
      <c r="G1622" s="62" t="n">
        <v>0.0125000578700565</v>
      </c>
      <c r="H1622" s="13" t="s">
        <v>248</v>
      </c>
      <c r="J1622" s="13" t="s">
        <v>256</v>
      </c>
      <c r="K1622" s="13" t="s">
        <v>430</v>
      </c>
      <c r="L1622" s="13" t="s">
        <v>2734</v>
      </c>
      <c r="M1622" s="66" t="s">
        <v>787</v>
      </c>
      <c r="N1622" s="66" t="s">
        <v>379</v>
      </c>
      <c r="O1622" s="66" t="s">
        <v>2735</v>
      </c>
      <c r="P1622" s="0" t="s">
        <v>2752</v>
      </c>
      <c r="Q1622" s="66" t="s">
        <v>995</v>
      </c>
    </row>
    <row r="1623" customFormat="false" ht="14.25" hidden="false" customHeight="false" outlineLevel="0" collapsed="false">
      <c r="A1623" s="13" t="s">
        <v>885</v>
      </c>
      <c r="B1623" s="13" t="s">
        <v>885</v>
      </c>
      <c r="C1623" s="13" t="s">
        <v>255</v>
      </c>
      <c r="D1623" s="61" t="n">
        <v>45989.6958332755</v>
      </c>
      <c r="E1623" s="61" t="n">
        <v>45989.6958332755</v>
      </c>
      <c r="F1623" s="61" t="n">
        <v>45989.7083333333</v>
      </c>
      <c r="G1623" s="62" t="n">
        <v>0.0125000578700565</v>
      </c>
      <c r="H1623" s="13" t="s">
        <v>248</v>
      </c>
      <c r="J1623" s="13" t="s">
        <v>256</v>
      </c>
      <c r="K1623" s="13" t="s">
        <v>430</v>
      </c>
      <c r="L1623" s="13" t="s">
        <v>2734</v>
      </c>
      <c r="M1623" s="66" t="s">
        <v>787</v>
      </c>
      <c r="N1623" s="66" t="s">
        <v>379</v>
      </c>
      <c r="O1623" s="66" t="s">
        <v>2735</v>
      </c>
      <c r="P1623" s="0" t="s">
        <v>2753</v>
      </c>
      <c r="Q1623" s="66" t="s">
        <v>995</v>
      </c>
    </row>
    <row r="1624" customFormat="false" ht="14.25" hidden="false" customHeight="false" outlineLevel="0" collapsed="false">
      <c r="A1624" s="13" t="s">
        <v>797</v>
      </c>
      <c r="B1624" s="13" t="s">
        <v>797</v>
      </c>
      <c r="C1624" s="13" t="s">
        <v>277</v>
      </c>
      <c r="D1624" s="61" t="n">
        <v>45989.6958333333</v>
      </c>
      <c r="E1624" s="61" t="n">
        <v>45989.6958333333</v>
      </c>
      <c r="F1624" s="61" t="n">
        <v>45989.7083333333</v>
      </c>
      <c r="G1624" s="62" t="n">
        <v>0.0125000000043656</v>
      </c>
      <c r="H1624" s="13" t="s">
        <v>248</v>
      </c>
      <c r="J1624" s="13" t="s">
        <v>256</v>
      </c>
      <c r="K1624" s="13" t="s">
        <v>430</v>
      </c>
      <c r="L1624" s="13" t="s">
        <v>2734</v>
      </c>
      <c r="M1624" s="66" t="s">
        <v>787</v>
      </c>
      <c r="N1624" s="66" t="s">
        <v>379</v>
      </c>
      <c r="O1624" s="66" t="s">
        <v>2735</v>
      </c>
      <c r="P1624" s="0" t="s">
        <v>2754</v>
      </c>
      <c r="Q1624" s="66" t="s">
        <v>995</v>
      </c>
    </row>
    <row r="1625" customFormat="false" ht="14.25" hidden="false" customHeight="false" outlineLevel="0" collapsed="false">
      <c r="A1625" s="13" t="s">
        <v>797</v>
      </c>
      <c r="B1625" s="13" t="s">
        <v>797</v>
      </c>
      <c r="C1625" s="13" t="s">
        <v>247</v>
      </c>
      <c r="D1625" s="61" t="n">
        <v>45989.6958333333</v>
      </c>
      <c r="E1625" s="61" t="n">
        <v>45989.6958333333</v>
      </c>
      <c r="F1625" s="61" t="n">
        <v>45989.7083333333</v>
      </c>
      <c r="G1625" s="62" t="n">
        <v>0.0125000000043656</v>
      </c>
      <c r="H1625" s="13" t="s">
        <v>248</v>
      </c>
      <c r="J1625" s="13" t="s">
        <v>256</v>
      </c>
      <c r="K1625" s="13" t="s">
        <v>430</v>
      </c>
      <c r="L1625" s="13" t="s">
        <v>2734</v>
      </c>
      <c r="M1625" s="66" t="s">
        <v>787</v>
      </c>
      <c r="N1625" s="66" t="s">
        <v>379</v>
      </c>
      <c r="O1625" s="66" t="s">
        <v>2735</v>
      </c>
      <c r="P1625" s="0" t="s">
        <v>2755</v>
      </c>
      <c r="Q1625" s="66" t="s">
        <v>995</v>
      </c>
    </row>
    <row r="1626" customFormat="false" ht="14.25" hidden="false" customHeight="false" outlineLevel="0" collapsed="false">
      <c r="A1626" s="13" t="s">
        <v>380</v>
      </c>
      <c r="B1626" s="13" t="s">
        <v>380</v>
      </c>
      <c r="C1626" s="13" t="s">
        <v>277</v>
      </c>
      <c r="D1626" s="61" t="n">
        <v>45989.8333333333</v>
      </c>
      <c r="E1626" s="61" t="n">
        <v>45989.8333333333</v>
      </c>
      <c r="F1626" s="61" t="n">
        <v>45990.2854166667</v>
      </c>
      <c r="G1626" s="62" t="n">
        <v>0.452083333329938</v>
      </c>
      <c r="H1626" s="13" t="s">
        <v>248</v>
      </c>
      <c r="J1626" s="13" t="s">
        <v>256</v>
      </c>
      <c r="K1626" s="13" t="s">
        <v>430</v>
      </c>
      <c r="L1626" s="13" t="s">
        <v>2713</v>
      </c>
      <c r="M1626" s="66" t="s">
        <v>787</v>
      </c>
      <c r="N1626" s="66" t="s">
        <v>379</v>
      </c>
      <c r="O1626" s="66" t="s">
        <v>399</v>
      </c>
      <c r="P1626" s="0" t="s">
        <v>2756</v>
      </c>
      <c r="Q1626" s="66" t="s">
        <v>995</v>
      </c>
    </row>
    <row r="1627" customFormat="false" ht="14.25" hidden="false" customHeight="false" outlineLevel="0" collapsed="false">
      <c r="A1627" s="13" t="s">
        <v>380</v>
      </c>
      <c r="B1627" s="13" t="s">
        <v>380</v>
      </c>
      <c r="C1627" s="13" t="s">
        <v>247</v>
      </c>
      <c r="D1627" s="61" t="n">
        <v>45989.8333333333</v>
      </c>
      <c r="E1627" s="61" t="n">
        <v>45989.8333333333</v>
      </c>
      <c r="F1627" s="61" t="n">
        <v>45990.2854166667</v>
      </c>
      <c r="G1627" s="62" t="n">
        <v>0.452083333329938</v>
      </c>
      <c r="H1627" s="13" t="s">
        <v>248</v>
      </c>
      <c r="J1627" s="13" t="s">
        <v>256</v>
      </c>
      <c r="K1627" s="13" t="s">
        <v>430</v>
      </c>
      <c r="L1627" s="13" t="s">
        <v>2713</v>
      </c>
      <c r="M1627" s="66" t="s">
        <v>787</v>
      </c>
      <c r="N1627" s="66" t="s">
        <v>379</v>
      </c>
      <c r="O1627" s="66" t="s">
        <v>399</v>
      </c>
      <c r="P1627" s="0" t="s">
        <v>2757</v>
      </c>
      <c r="Q1627" s="66" t="s">
        <v>995</v>
      </c>
    </row>
    <row r="1628" customFormat="false" ht="14.25" hidden="false" customHeight="false" outlineLevel="0" collapsed="false">
      <c r="A1628" s="13" t="s">
        <v>380</v>
      </c>
      <c r="B1628" s="13" t="s">
        <v>380</v>
      </c>
      <c r="C1628" s="13" t="s">
        <v>280</v>
      </c>
      <c r="D1628" s="61" t="n">
        <v>45989.8333333333</v>
      </c>
      <c r="E1628" s="61" t="n">
        <v>45989.8333333333</v>
      </c>
      <c r="F1628" s="61" t="n">
        <v>45990.2854166667</v>
      </c>
      <c r="G1628" s="62" t="n">
        <v>0.452083333329938</v>
      </c>
      <c r="H1628" s="13" t="s">
        <v>248</v>
      </c>
      <c r="J1628" s="13" t="s">
        <v>256</v>
      </c>
      <c r="K1628" s="13" t="s">
        <v>430</v>
      </c>
      <c r="L1628" s="13" t="s">
        <v>2713</v>
      </c>
      <c r="M1628" s="66" t="s">
        <v>787</v>
      </c>
      <c r="N1628" s="66" t="s">
        <v>379</v>
      </c>
      <c r="O1628" s="66" t="s">
        <v>399</v>
      </c>
      <c r="P1628" s="0" t="s">
        <v>2758</v>
      </c>
      <c r="Q1628" s="66" t="s">
        <v>995</v>
      </c>
    </row>
    <row r="1629" customFormat="false" ht="14.25" hidden="false" customHeight="false" outlineLevel="0" collapsed="false">
      <c r="A1629" s="13" t="s">
        <v>380</v>
      </c>
      <c r="B1629" s="13" t="s">
        <v>380</v>
      </c>
      <c r="C1629" s="13" t="s">
        <v>279</v>
      </c>
      <c r="D1629" s="61" t="n">
        <v>45989.8333333333</v>
      </c>
      <c r="E1629" s="61" t="n">
        <v>45989.8333333333</v>
      </c>
      <c r="F1629" s="61" t="n">
        <v>45990.2854166667</v>
      </c>
      <c r="G1629" s="62" t="n">
        <v>0.452083333329938</v>
      </c>
      <c r="H1629" s="13" t="s">
        <v>248</v>
      </c>
      <c r="J1629" s="13" t="s">
        <v>256</v>
      </c>
      <c r="K1629" s="13" t="s">
        <v>430</v>
      </c>
      <c r="L1629" s="13" t="s">
        <v>2713</v>
      </c>
      <c r="M1629" s="66" t="s">
        <v>787</v>
      </c>
      <c r="N1629" s="66" t="s">
        <v>379</v>
      </c>
      <c r="O1629" s="66" t="s">
        <v>399</v>
      </c>
      <c r="P1629" s="0" t="s">
        <v>2759</v>
      </c>
      <c r="Q1629" s="66" t="s">
        <v>995</v>
      </c>
    </row>
    <row r="1630" customFormat="false" ht="14.25" hidden="false" customHeight="false" outlineLevel="0" collapsed="false">
      <c r="A1630" s="13" t="s">
        <v>381</v>
      </c>
      <c r="B1630" s="13" t="s">
        <v>381</v>
      </c>
      <c r="C1630" s="13" t="s">
        <v>277</v>
      </c>
      <c r="D1630" s="61" t="n">
        <v>45989.8333333333</v>
      </c>
      <c r="E1630" s="61" t="n">
        <v>45989.8333333333</v>
      </c>
      <c r="F1630" s="61" t="n">
        <v>45990.2854166667</v>
      </c>
      <c r="G1630" s="62" t="n">
        <v>0.452083333329938</v>
      </c>
      <c r="H1630" s="13" t="s">
        <v>248</v>
      </c>
      <c r="J1630" s="13" t="s">
        <v>256</v>
      </c>
      <c r="K1630" s="13" t="s">
        <v>430</v>
      </c>
      <c r="L1630" s="13" t="s">
        <v>2713</v>
      </c>
      <c r="M1630" s="66" t="s">
        <v>787</v>
      </c>
      <c r="N1630" s="66" t="s">
        <v>379</v>
      </c>
      <c r="O1630" s="66" t="s">
        <v>399</v>
      </c>
      <c r="P1630" s="0" t="s">
        <v>2760</v>
      </c>
      <c r="Q1630" s="66" t="s">
        <v>995</v>
      </c>
    </row>
    <row r="1631" customFormat="false" ht="14.25" hidden="false" customHeight="false" outlineLevel="0" collapsed="false">
      <c r="A1631" s="13" t="s">
        <v>381</v>
      </c>
      <c r="B1631" s="13" t="s">
        <v>381</v>
      </c>
      <c r="C1631" s="13" t="s">
        <v>247</v>
      </c>
      <c r="D1631" s="61" t="n">
        <v>45989.8333333333</v>
      </c>
      <c r="E1631" s="61" t="n">
        <v>45989.8333333333</v>
      </c>
      <c r="F1631" s="61" t="n">
        <v>45990.2854166667</v>
      </c>
      <c r="G1631" s="62" t="n">
        <v>0.452083333329938</v>
      </c>
      <c r="H1631" s="13" t="s">
        <v>248</v>
      </c>
      <c r="J1631" s="13" t="s">
        <v>256</v>
      </c>
      <c r="K1631" s="13" t="s">
        <v>430</v>
      </c>
      <c r="L1631" s="13" t="s">
        <v>2713</v>
      </c>
      <c r="M1631" s="66" t="s">
        <v>787</v>
      </c>
      <c r="N1631" s="66" t="s">
        <v>379</v>
      </c>
      <c r="O1631" s="66" t="s">
        <v>399</v>
      </c>
      <c r="P1631" s="0" t="s">
        <v>2761</v>
      </c>
      <c r="Q1631" s="66" t="s">
        <v>995</v>
      </c>
    </row>
    <row r="1632" customFormat="false" ht="14.25" hidden="false" customHeight="false" outlineLevel="0" collapsed="false">
      <c r="A1632" s="13" t="s">
        <v>381</v>
      </c>
      <c r="B1632" s="13" t="s">
        <v>381</v>
      </c>
      <c r="C1632" s="13" t="s">
        <v>280</v>
      </c>
      <c r="D1632" s="61" t="n">
        <v>45989.8333333333</v>
      </c>
      <c r="E1632" s="61" t="n">
        <v>45989.8333333333</v>
      </c>
      <c r="F1632" s="61" t="n">
        <v>45990.2854166667</v>
      </c>
      <c r="G1632" s="62" t="n">
        <v>0.452083333329938</v>
      </c>
      <c r="H1632" s="13" t="s">
        <v>248</v>
      </c>
      <c r="J1632" s="13" t="s">
        <v>256</v>
      </c>
      <c r="K1632" s="13" t="s">
        <v>430</v>
      </c>
      <c r="L1632" s="13" t="s">
        <v>2713</v>
      </c>
      <c r="M1632" s="66" t="s">
        <v>787</v>
      </c>
      <c r="N1632" s="66" t="s">
        <v>379</v>
      </c>
      <c r="O1632" s="66" t="s">
        <v>399</v>
      </c>
      <c r="P1632" s="0" t="s">
        <v>2762</v>
      </c>
      <c r="Q1632" s="66" t="s">
        <v>995</v>
      </c>
    </row>
    <row r="1633" customFormat="false" ht="14.25" hidden="false" customHeight="false" outlineLevel="0" collapsed="false">
      <c r="A1633" s="13" t="s">
        <v>381</v>
      </c>
      <c r="B1633" s="13" t="s">
        <v>381</v>
      </c>
      <c r="C1633" s="13" t="s">
        <v>279</v>
      </c>
      <c r="D1633" s="61" t="n">
        <v>45989.8333333333</v>
      </c>
      <c r="E1633" s="61" t="n">
        <v>45989.8333333333</v>
      </c>
      <c r="F1633" s="61" t="n">
        <v>45990.2854166667</v>
      </c>
      <c r="G1633" s="62" t="n">
        <v>0.452083333329938</v>
      </c>
      <c r="H1633" s="13" t="s">
        <v>248</v>
      </c>
      <c r="J1633" s="13" t="s">
        <v>256</v>
      </c>
      <c r="K1633" s="13" t="s">
        <v>430</v>
      </c>
      <c r="L1633" s="13" t="s">
        <v>2713</v>
      </c>
      <c r="M1633" s="66" t="s">
        <v>787</v>
      </c>
      <c r="N1633" s="66" t="s">
        <v>379</v>
      </c>
      <c r="O1633" s="66" t="s">
        <v>399</v>
      </c>
      <c r="P1633" s="0" t="s">
        <v>2763</v>
      </c>
      <c r="Q1633" s="66" t="s">
        <v>995</v>
      </c>
    </row>
    <row r="1634" customFormat="false" ht="14.25" hidden="false" customHeight="false" outlineLevel="0" collapsed="false">
      <c r="A1634" s="13" t="s">
        <v>382</v>
      </c>
      <c r="B1634" s="13" t="s">
        <v>382</v>
      </c>
      <c r="C1634" s="13" t="s">
        <v>383</v>
      </c>
      <c r="D1634" s="61" t="n">
        <v>45989.8333333333</v>
      </c>
      <c r="E1634" s="61" t="n">
        <v>45989.8333333333</v>
      </c>
      <c r="F1634" s="61" t="n">
        <v>45990.2854166667</v>
      </c>
      <c r="G1634" s="62" t="n">
        <v>0.452083333329938</v>
      </c>
      <c r="H1634" s="13" t="s">
        <v>248</v>
      </c>
      <c r="J1634" s="13" t="s">
        <v>256</v>
      </c>
      <c r="K1634" s="13" t="s">
        <v>430</v>
      </c>
      <c r="L1634" s="13" t="s">
        <v>2713</v>
      </c>
      <c r="M1634" s="66" t="s">
        <v>787</v>
      </c>
      <c r="N1634" s="66" t="s">
        <v>379</v>
      </c>
      <c r="O1634" s="66" t="s">
        <v>399</v>
      </c>
      <c r="P1634" s="0" t="s">
        <v>2764</v>
      </c>
      <c r="Q1634" s="66" t="s">
        <v>995</v>
      </c>
    </row>
    <row r="1635" customFormat="false" ht="14.25" hidden="false" customHeight="false" outlineLevel="0" collapsed="false">
      <c r="A1635" s="13" t="s">
        <v>382</v>
      </c>
      <c r="B1635" s="13" t="s">
        <v>382</v>
      </c>
      <c r="C1635" s="13" t="s">
        <v>255</v>
      </c>
      <c r="D1635" s="61" t="n">
        <v>45989.8333333333</v>
      </c>
      <c r="E1635" s="61" t="n">
        <v>45989.8333333333</v>
      </c>
      <c r="F1635" s="61" t="n">
        <v>45990.2854166667</v>
      </c>
      <c r="G1635" s="62" t="n">
        <v>0.452083333329938</v>
      </c>
      <c r="H1635" s="13" t="s">
        <v>248</v>
      </c>
      <c r="J1635" s="13" t="s">
        <v>256</v>
      </c>
      <c r="K1635" s="13" t="s">
        <v>430</v>
      </c>
      <c r="L1635" s="13" t="s">
        <v>2713</v>
      </c>
      <c r="M1635" s="66" t="s">
        <v>787</v>
      </c>
      <c r="N1635" s="66" t="s">
        <v>379</v>
      </c>
      <c r="O1635" s="66" t="s">
        <v>399</v>
      </c>
      <c r="P1635" s="0" t="s">
        <v>2765</v>
      </c>
      <c r="Q1635" s="66" t="s">
        <v>995</v>
      </c>
    </row>
    <row r="1636" customFormat="false" ht="14.25" hidden="false" customHeight="false" outlineLevel="0" collapsed="false">
      <c r="A1636" s="13" t="s">
        <v>698</v>
      </c>
      <c r="B1636" s="13" t="s">
        <v>698</v>
      </c>
      <c r="C1636" s="13" t="s">
        <v>247</v>
      </c>
      <c r="D1636" s="61" t="n">
        <v>45990.4777777778</v>
      </c>
      <c r="E1636" s="61" t="n">
        <v>45990.4777777778</v>
      </c>
      <c r="F1636" s="61" t="n">
        <v>45990.5</v>
      </c>
      <c r="G1636" s="62" t="n">
        <v>0.0222222222218988</v>
      </c>
      <c r="H1636" s="13" t="s">
        <v>248</v>
      </c>
      <c r="J1636" s="13" t="s">
        <v>256</v>
      </c>
      <c r="K1636" s="13" t="s">
        <v>430</v>
      </c>
      <c r="L1636" s="13" t="s">
        <v>2766</v>
      </c>
      <c r="M1636" s="66" t="s">
        <v>258</v>
      </c>
      <c r="N1636" s="66" t="s">
        <v>252</v>
      </c>
      <c r="O1636" s="66" t="s">
        <v>696</v>
      </c>
      <c r="P1636" s="0" t="s">
        <v>2767</v>
      </c>
      <c r="Q1636" s="66" t="s">
        <v>995</v>
      </c>
    </row>
    <row r="1637" customFormat="false" ht="14.25" hidden="false" customHeight="false" outlineLevel="0" collapsed="false">
      <c r="A1637" s="13" t="s">
        <v>698</v>
      </c>
      <c r="B1637" s="13" t="s">
        <v>698</v>
      </c>
      <c r="C1637" s="13" t="s">
        <v>277</v>
      </c>
      <c r="D1637" s="61" t="n">
        <v>45990.4777777778</v>
      </c>
      <c r="E1637" s="61" t="n">
        <v>45990.4777777778</v>
      </c>
      <c r="F1637" s="61" t="n">
        <v>45990.5</v>
      </c>
      <c r="G1637" s="62" t="n">
        <v>0.0222222222218988</v>
      </c>
      <c r="H1637" s="13" t="s">
        <v>248</v>
      </c>
      <c r="J1637" s="13" t="s">
        <v>256</v>
      </c>
      <c r="K1637" s="13" t="s">
        <v>430</v>
      </c>
      <c r="L1637" s="13" t="s">
        <v>2766</v>
      </c>
      <c r="M1637" s="66" t="s">
        <v>258</v>
      </c>
      <c r="N1637" s="66" t="s">
        <v>252</v>
      </c>
      <c r="O1637" s="66" t="s">
        <v>696</v>
      </c>
      <c r="P1637" s="0" t="s">
        <v>2768</v>
      </c>
      <c r="Q1637" s="66" t="s">
        <v>995</v>
      </c>
    </row>
    <row r="1638" customFormat="false" ht="14.25" hidden="false" customHeight="false" outlineLevel="0" collapsed="false">
      <c r="A1638" s="13" t="s">
        <v>698</v>
      </c>
      <c r="B1638" s="13" t="s">
        <v>698</v>
      </c>
      <c r="C1638" s="13" t="s">
        <v>279</v>
      </c>
      <c r="D1638" s="61" t="n">
        <v>45990.4777777778</v>
      </c>
      <c r="E1638" s="61" t="n">
        <v>45990.4777777778</v>
      </c>
      <c r="F1638" s="61" t="n">
        <v>45990.5</v>
      </c>
      <c r="G1638" s="62" t="n">
        <v>0.0222222222218988</v>
      </c>
      <c r="H1638" s="13" t="s">
        <v>248</v>
      </c>
      <c r="J1638" s="13" t="s">
        <v>256</v>
      </c>
      <c r="K1638" s="13" t="s">
        <v>430</v>
      </c>
      <c r="L1638" s="13" t="s">
        <v>2766</v>
      </c>
      <c r="M1638" s="66" t="s">
        <v>258</v>
      </c>
      <c r="N1638" s="66" t="s">
        <v>252</v>
      </c>
      <c r="O1638" s="66" t="s">
        <v>696</v>
      </c>
      <c r="P1638" s="0" t="s">
        <v>2769</v>
      </c>
      <c r="Q1638" s="66" t="s">
        <v>995</v>
      </c>
    </row>
    <row r="1639" customFormat="false" ht="14.25" hidden="false" customHeight="false" outlineLevel="0" collapsed="false">
      <c r="A1639" s="13" t="s">
        <v>698</v>
      </c>
      <c r="B1639" s="13" t="s">
        <v>698</v>
      </c>
      <c r="C1639" s="13" t="s">
        <v>280</v>
      </c>
      <c r="D1639" s="61" t="n">
        <v>45990.4777777778</v>
      </c>
      <c r="E1639" s="61" t="n">
        <v>45990.4777777778</v>
      </c>
      <c r="F1639" s="61" t="n">
        <v>45990.5</v>
      </c>
      <c r="G1639" s="62" t="n">
        <v>0.0222222222218988</v>
      </c>
      <c r="H1639" s="13" t="s">
        <v>248</v>
      </c>
      <c r="J1639" s="13" t="s">
        <v>256</v>
      </c>
      <c r="K1639" s="13" t="s">
        <v>430</v>
      </c>
      <c r="L1639" s="13" t="s">
        <v>2766</v>
      </c>
      <c r="M1639" s="66" t="s">
        <v>258</v>
      </c>
      <c r="N1639" s="66" t="s">
        <v>252</v>
      </c>
      <c r="O1639" s="66" t="s">
        <v>696</v>
      </c>
      <c r="P1639" s="0" t="s">
        <v>2770</v>
      </c>
      <c r="Q1639" s="66" t="s">
        <v>995</v>
      </c>
    </row>
    <row r="1640" customFormat="false" ht="14.25" hidden="false" customHeight="false" outlineLevel="0" collapsed="false">
      <c r="A1640" s="13" t="s">
        <v>622</v>
      </c>
      <c r="B1640" s="13" t="s">
        <v>622</v>
      </c>
      <c r="C1640" s="13" t="s">
        <v>280</v>
      </c>
      <c r="D1640" s="61" t="n">
        <v>45991.2527777778</v>
      </c>
      <c r="E1640" s="61" t="n">
        <v>45991.2527777778</v>
      </c>
      <c r="F1640" s="61" t="n">
        <v>45991.3888888889</v>
      </c>
      <c r="G1640" s="62" t="n">
        <v>0.136111111110949</v>
      </c>
      <c r="H1640" s="13" t="s">
        <v>248</v>
      </c>
      <c r="J1640" s="13" t="s">
        <v>256</v>
      </c>
      <c r="K1640" s="13" t="s">
        <v>430</v>
      </c>
      <c r="L1640" s="13" t="s">
        <v>2771</v>
      </c>
      <c r="M1640" s="66" t="s">
        <v>258</v>
      </c>
      <c r="N1640" s="66" t="s">
        <v>252</v>
      </c>
      <c r="O1640" s="66" t="s">
        <v>696</v>
      </c>
      <c r="P1640" s="0" t="s">
        <v>2772</v>
      </c>
      <c r="Q1640" s="66" t="s">
        <v>995</v>
      </c>
    </row>
    <row r="1641" customFormat="false" ht="14.25" hidden="false" customHeight="false" outlineLevel="0" collapsed="false">
      <c r="A1641" s="13" t="s">
        <v>622</v>
      </c>
      <c r="B1641" s="13" t="s">
        <v>622</v>
      </c>
      <c r="C1641" s="13" t="s">
        <v>247</v>
      </c>
      <c r="D1641" s="61" t="n">
        <v>45991.2527777778</v>
      </c>
      <c r="E1641" s="61" t="n">
        <v>45991.2527777778</v>
      </c>
      <c r="F1641" s="61" t="n">
        <v>45991.3888888889</v>
      </c>
      <c r="G1641" s="62" t="n">
        <v>0.136111111110949</v>
      </c>
      <c r="H1641" s="13" t="s">
        <v>248</v>
      </c>
      <c r="J1641" s="13" t="s">
        <v>256</v>
      </c>
      <c r="K1641" s="13" t="s">
        <v>430</v>
      </c>
      <c r="L1641" s="13" t="s">
        <v>2771</v>
      </c>
      <c r="M1641" s="66" t="s">
        <v>258</v>
      </c>
      <c r="N1641" s="66" t="s">
        <v>252</v>
      </c>
      <c r="O1641" s="66" t="s">
        <v>696</v>
      </c>
      <c r="P1641" s="0" t="s">
        <v>2773</v>
      </c>
      <c r="Q1641" s="66" t="s">
        <v>995</v>
      </c>
    </row>
    <row r="1642" customFormat="false" ht="14.25" hidden="false" customHeight="false" outlineLevel="0" collapsed="false">
      <c r="A1642" s="13" t="s">
        <v>622</v>
      </c>
      <c r="B1642" s="13" t="s">
        <v>622</v>
      </c>
      <c r="C1642" s="13" t="s">
        <v>277</v>
      </c>
      <c r="D1642" s="61" t="n">
        <v>45991.2527777778</v>
      </c>
      <c r="E1642" s="61" t="n">
        <v>45991.2527777778</v>
      </c>
      <c r="F1642" s="61" t="n">
        <v>45991.3888888889</v>
      </c>
      <c r="G1642" s="62" t="n">
        <v>0.136111111110949</v>
      </c>
      <c r="H1642" s="13" t="s">
        <v>248</v>
      </c>
      <c r="J1642" s="13" t="s">
        <v>256</v>
      </c>
      <c r="K1642" s="13" t="s">
        <v>430</v>
      </c>
      <c r="L1642" s="13" t="s">
        <v>2771</v>
      </c>
      <c r="M1642" s="66" t="s">
        <v>258</v>
      </c>
      <c r="N1642" s="66" t="s">
        <v>252</v>
      </c>
      <c r="O1642" s="66" t="s">
        <v>696</v>
      </c>
      <c r="P1642" s="0" t="s">
        <v>2774</v>
      </c>
      <c r="Q1642" s="66" t="s">
        <v>995</v>
      </c>
    </row>
    <row r="1643" customFormat="false" ht="14.25" hidden="false" customHeight="false" outlineLevel="0" collapsed="false">
      <c r="A1643" s="13" t="s">
        <v>622</v>
      </c>
      <c r="B1643" s="13" t="s">
        <v>622</v>
      </c>
      <c r="C1643" s="13" t="s">
        <v>255</v>
      </c>
      <c r="D1643" s="61" t="n">
        <v>45991.2527777778</v>
      </c>
      <c r="E1643" s="61" t="n">
        <v>45991.2527777778</v>
      </c>
      <c r="F1643" s="61" t="n">
        <v>45991.3888888889</v>
      </c>
      <c r="G1643" s="62" t="n">
        <v>0.136111111110949</v>
      </c>
      <c r="H1643" s="13" t="s">
        <v>248</v>
      </c>
      <c r="J1643" s="13" t="s">
        <v>256</v>
      </c>
      <c r="K1643" s="13" t="s">
        <v>430</v>
      </c>
      <c r="L1643" s="13" t="s">
        <v>2771</v>
      </c>
      <c r="M1643" s="66" t="s">
        <v>258</v>
      </c>
      <c r="N1643" s="66" t="s">
        <v>252</v>
      </c>
      <c r="O1643" s="66" t="s">
        <v>696</v>
      </c>
      <c r="P1643" s="0" t="s">
        <v>2775</v>
      </c>
      <c r="Q1643" s="66" t="s">
        <v>995</v>
      </c>
    </row>
    <row r="1644" customFormat="false" ht="14.25" hidden="false" customHeight="false" outlineLevel="0" collapsed="false">
      <c r="A1644" s="13" t="s">
        <v>380</v>
      </c>
      <c r="B1644" s="13" t="s">
        <v>380</v>
      </c>
      <c r="C1644" s="13" t="s">
        <v>277</v>
      </c>
      <c r="D1644" s="61" t="n">
        <v>45991.4354166667</v>
      </c>
      <c r="E1644" s="61" t="n">
        <v>45991.4354166667</v>
      </c>
      <c r="F1644" s="61" t="n">
        <v>45991.4652777778</v>
      </c>
      <c r="G1644" s="62" t="n">
        <v>0.0298611111138598</v>
      </c>
      <c r="H1644" s="13" t="s">
        <v>445</v>
      </c>
      <c r="I1644" s="13" t="s">
        <v>263</v>
      </c>
      <c r="J1644" s="13" t="s">
        <v>264</v>
      </c>
      <c r="K1644" s="13" t="s">
        <v>456</v>
      </c>
      <c r="L1644" s="13" t="s">
        <v>2776</v>
      </c>
      <c r="M1644" s="66" t="s">
        <v>266</v>
      </c>
      <c r="N1644" s="66" t="s">
        <v>252</v>
      </c>
      <c r="O1644" s="66" t="s">
        <v>2777</v>
      </c>
      <c r="P1644" s="0" t="s">
        <v>2778</v>
      </c>
      <c r="Q1644" s="66" t="s">
        <v>1430</v>
      </c>
    </row>
    <row r="1645" customFormat="false" ht="14.25" hidden="false" customHeight="false" outlineLevel="0" collapsed="false">
      <c r="A1645" s="13" t="s">
        <v>380</v>
      </c>
      <c r="B1645" s="13" t="s">
        <v>380</v>
      </c>
      <c r="C1645" s="13" t="s">
        <v>247</v>
      </c>
      <c r="D1645" s="61" t="n">
        <v>45991.4354166667</v>
      </c>
      <c r="E1645" s="61" t="n">
        <v>45991.4354166667</v>
      </c>
      <c r="F1645" s="61" t="n">
        <v>45991.4652777778</v>
      </c>
      <c r="G1645" s="62" t="n">
        <v>0.0298611111138598</v>
      </c>
      <c r="H1645" s="13" t="s">
        <v>445</v>
      </c>
      <c r="I1645" s="13" t="s">
        <v>263</v>
      </c>
      <c r="J1645" s="13" t="s">
        <v>264</v>
      </c>
      <c r="K1645" s="13" t="s">
        <v>456</v>
      </c>
      <c r="L1645" s="13" t="s">
        <v>2776</v>
      </c>
      <c r="M1645" s="66" t="s">
        <v>266</v>
      </c>
      <c r="N1645" s="66" t="s">
        <v>252</v>
      </c>
      <c r="O1645" s="66" t="s">
        <v>2777</v>
      </c>
      <c r="P1645" s="0" t="s">
        <v>2779</v>
      </c>
      <c r="Q1645" s="66" t="s">
        <v>1430</v>
      </c>
    </row>
    <row r="1646" customFormat="false" ht="14.25" hidden="false" customHeight="false" outlineLevel="0" collapsed="false">
      <c r="A1646" s="13" t="s">
        <v>380</v>
      </c>
      <c r="B1646" s="13" t="s">
        <v>380</v>
      </c>
      <c r="C1646" s="13" t="s">
        <v>280</v>
      </c>
      <c r="D1646" s="61" t="n">
        <v>45991.4354166667</v>
      </c>
      <c r="E1646" s="61" t="n">
        <v>45991.4354166667</v>
      </c>
      <c r="F1646" s="61" t="n">
        <v>45991.4652777778</v>
      </c>
      <c r="G1646" s="62" t="n">
        <v>0.0298611111138598</v>
      </c>
      <c r="H1646" s="13" t="s">
        <v>445</v>
      </c>
      <c r="I1646" s="13" t="s">
        <v>263</v>
      </c>
      <c r="J1646" s="13" t="s">
        <v>264</v>
      </c>
      <c r="K1646" s="13" t="s">
        <v>456</v>
      </c>
      <c r="L1646" s="13" t="s">
        <v>2776</v>
      </c>
      <c r="M1646" s="66" t="s">
        <v>266</v>
      </c>
      <c r="N1646" s="66" t="s">
        <v>252</v>
      </c>
      <c r="O1646" s="66" t="s">
        <v>2777</v>
      </c>
      <c r="P1646" s="0" t="s">
        <v>2780</v>
      </c>
      <c r="Q1646" s="66" t="s">
        <v>1430</v>
      </c>
    </row>
    <row r="1647" customFormat="false" ht="14.25" hidden="false" customHeight="false" outlineLevel="0" collapsed="false">
      <c r="A1647" s="13" t="s">
        <v>380</v>
      </c>
      <c r="B1647" s="13" t="s">
        <v>380</v>
      </c>
      <c r="C1647" s="13" t="s">
        <v>279</v>
      </c>
      <c r="D1647" s="61" t="n">
        <v>45991.4354166667</v>
      </c>
      <c r="E1647" s="61" t="n">
        <v>45991.4354166667</v>
      </c>
      <c r="F1647" s="61" t="n">
        <v>45991.4652777778</v>
      </c>
      <c r="G1647" s="62" t="n">
        <v>0.0298611111138598</v>
      </c>
      <c r="H1647" s="13" t="s">
        <v>445</v>
      </c>
      <c r="I1647" s="13" t="s">
        <v>263</v>
      </c>
      <c r="J1647" s="13" t="s">
        <v>264</v>
      </c>
      <c r="K1647" s="13" t="s">
        <v>456</v>
      </c>
      <c r="L1647" s="13" t="s">
        <v>2776</v>
      </c>
      <c r="M1647" s="66" t="s">
        <v>266</v>
      </c>
      <c r="N1647" s="66" t="s">
        <v>252</v>
      </c>
      <c r="O1647" s="66" t="s">
        <v>2777</v>
      </c>
      <c r="P1647" s="0" t="s">
        <v>2781</v>
      </c>
      <c r="Q1647" s="66" t="s">
        <v>1430</v>
      </c>
    </row>
    <row r="1648" customFormat="false" ht="14.25" hidden="false" customHeight="false" outlineLevel="0" collapsed="false">
      <c r="A1648" s="13" t="s">
        <v>381</v>
      </c>
      <c r="B1648" s="13" t="s">
        <v>381</v>
      </c>
      <c r="C1648" s="13" t="s">
        <v>277</v>
      </c>
      <c r="D1648" s="61" t="n">
        <v>45991.4354166667</v>
      </c>
      <c r="E1648" s="61" t="n">
        <v>45991.4354166667</v>
      </c>
      <c r="F1648" s="61" t="n">
        <v>45991.4652777778</v>
      </c>
      <c r="G1648" s="62" t="n">
        <v>0.0298611111138598</v>
      </c>
      <c r="H1648" s="13" t="s">
        <v>445</v>
      </c>
      <c r="I1648" s="13" t="s">
        <v>263</v>
      </c>
      <c r="J1648" s="13" t="s">
        <v>264</v>
      </c>
      <c r="K1648" s="13" t="s">
        <v>456</v>
      </c>
      <c r="L1648" s="13" t="s">
        <v>2776</v>
      </c>
      <c r="M1648" s="66" t="s">
        <v>266</v>
      </c>
      <c r="N1648" s="66" t="s">
        <v>252</v>
      </c>
      <c r="O1648" s="66" t="s">
        <v>2777</v>
      </c>
      <c r="P1648" s="0" t="s">
        <v>2782</v>
      </c>
      <c r="Q1648" s="66" t="s">
        <v>1430</v>
      </c>
    </row>
    <row r="1649" customFormat="false" ht="14.25" hidden="false" customHeight="false" outlineLevel="0" collapsed="false">
      <c r="A1649" s="13" t="s">
        <v>381</v>
      </c>
      <c r="B1649" s="13" t="s">
        <v>381</v>
      </c>
      <c r="C1649" s="13" t="s">
        <v>247</v>
      </c>
      <c r="D1649" s="61" t="n">
        <v>45991.4354166667</v>
      </c>
      <c r="E1649" s="61" t="n">
        <v>45991.4354166667</v>
      </c>
      <c r="F1649" s="61" t="n">
        <v>45991.4652777778</v>
      </c>
      <c r="G1649" s="62" t="n">
        <v>0.0298611111138598</v>
      </c>
      <c r="H1649" s="13" t="s">
        <v>445</v>
      </c>
      <c r="I1649" s="13" t="s">
        <v>263</v>
      </c>
      <c r="J1649" s="13" t="s">
        <v>264</v>
      </c>
      <c r="K1649" s="13" t="s">
        <v>456</v>
      </c>
      <c r="L1649" s="13" t="s">
        <v>2776</v>
      </c>
      <c r="M1649" s="66" t="s">
        <v>266</v>
      </c>
      <c r="N1649" s="66" t="s">
        <v>252</v>
      </c>
      <c r="O1649" s="66" t="s">
        <v>2777</v>
      </c>
      <c r="P1649" s="0" t="s">
        <v>2783</v>
      </c>
      <c r="Q1649" s="66" t="s">
        <v>1430</v>
      </c>
    </row>
    <row r="1650" customFormat="false" ht="14.25" hidden="false" customHeight="false" outlineLevel="0" collapsed="false">
      <c r="A1650" s="13" t="s">
        <v>381</v>
      </c>
      <c r="B1650" s="13" t="s">
        <v>381</v>
      </c>
      <c r="C1650" s="13" t="s">
        <v>280</v>
      </c>
      <c r="D1650" s="61" t="n">
        <v>45991.4354166667</v>
      </c>
      <c r="E1650" s="61" t="n">
        <v>45991.4354166667</v>
      </c>
      <c r="F1650" s="61" t="n">
        <v>45991.4652777778</v>
      </c>
      <c r="G1650" s="62" t="n">
        <v>0.0298611111138598</v>
      </c>
      <c r="H1650" s="13" t="s">
        <v>445</v>
      </c>
      <c r="I1650" s="13" t="s">
        <v>263</v>
      </c>
      <c r="J1650" s="13" t="s">
        <v>264</v>
      </c>
      <c r="K1650" s="13" t="s">
        <v>456</v>
      </c>
      <c r="L1650" s="13" t="s">
        <v>2776</v>
      </c>
      <c r="M1650" s="66" t="s">
        <v>266</v>
      </c>
      <c r="N1650" s="66" t="s">
        <v>252</v>
      </c>
      <c r="O1650" s="66" t="s">
        <v>2777</v>
      </c>
      <c r="P1650" s="0" t="s">
        <v>2784</v>
      </c>
      <c r="Q1650" s="66" t="s">
        <v>1430</v>
      </c>
    </row>
    <row r="1651" customFormat="false" ht="14.25" hidden="false" customHeight="false" outlineLevel="0" collapsed="false">
      <c r="A1651" s="13" t="s">
        <v>381</v>
      </c>
      <c r="B1651" s="13" t="s">
        <v>381</v>
      </c>
      <c r="C1651" s="13" t="s">
        <v>279</v>
      </c>
      <c r="D1651" s="61" t="n">
        <v>45991.4354166667</v>
      </c>
      <c r="E1651" s="61" t="n">
        <v>45991.4354166667</v>
      </c>
      <c r="F1651" s="61" t="n">
        <v>45991.4652777778</v>
      </c>
      <c r="G1651" s="62" t="n">
        <v>0.0298611111138598</v>
      </c>
      <c r="H1651" s="13" t="s">
        <v>445</v>
      </c>
      <c r="I1651" s="13" t="s">
        <v>263</v>
      </c>
      <c r="J1651" s="13" t="s">
        <v>264</v>
      </c>
      <c r="K1651" s="13" t="s">
        <v>456</v>
      </c>
      <c r="L1651" s="13" t="s">
        <v>2776</v>
      </c>
      <c r="M1651" s="66" t="s">
        <v>266</v>
      </c>
      <c r="N1651" s="66" t="s">
        <v>252</v>
      </c>
      <c r="O1651" s="66" t="s">
        <v>2777</v>
      </c>
      <c r="P1651" s="0" t="s">
        <v>2785</v>
      </c>
      <c r="Q1651" s="66" t="s">
        <v>1430</v>
      </c>
    </row>
    <row r="1652" customFormat="false" ht="14.25" hidden="false" customHeight="false" outlineLevel="0" collapsed="false">
      <c r="A1652" s="13" t="s">
        <v>382</v>
      </c>
      <c r="B1652" s="13" t="s">
        <v>382</v>
      </c>
      <c r="C1652" s="13" t="s">
        <v>383</v>
      </c>
      <c r="D1652" s="61" t="n">
        <v>45991.4354166667</v>
      </c>
      <c r="E1652" s="61" t="n">
        <v>45991.4354166667</v>
      </c>
      <c r="F1652" s="61" t="n">
        <v>45991.4652777778</v>
      </c>
      <c r="G1652" s="62" t="n">
        <v>0.0298611111138598</v>
      </c>
      <c r="H1652" s="13" t="s">
        <v>445</v>
      </c>
      <c r="I1652" s="13" t="s">
        <v>263</v>
      </c>
      <c r="J1652" s="13" t="s">
        <v>264</v>
      </c>
      <c r="K1652" s="13" t="s">
        <v>456</v>
      </c>
      <c r="L1652" s="13" t="s">
        <v>2776</v>
      </c>
      <c r="M1652" s="66" t="s">
        <v>266</v>
      </c>
      <c r="N1652" s="66" t="s">
        <v>252</v>
      </c>
      <c r="O1652" s="66" t="s">
        <v>2777</v>
      </c>
      <c r="P1652" s="0" t="s">
        <v>2786</v>
      </c>
      <c r="Q1652" s="66" t="s">
        <v>1430</v>
      </c>
    </row>
    <row r="1653" customFormat="false" ht="14.25" hidden="false" customHeight="false" outlineLevel="0" collapsed="false">
      <c r="A1653" s="13" t="s">
        <v>382</v>
      </c>
      <c r="B1653" s="13" t="s">
        <v>382</v>
      </c>
      <c r="C1653" s="13" t="s">
        <v>255</v>
      </c>
      <c r="D1653" s="61" t="n">
        <v>45991.4354166667</v>
      </c>
      <c r="E1653" s="61" t="n">
        <v>45991.4354166667</v>
      </c>
      <c r="F1653" s="61" t="n">
        <v>45991.4652777778</v>
      </c>
      <c r="G1653" s="62" t="n">
        <v>0.0298611111138598</v>
      </c>
      <c r="H1653" s="13" t="s">
        <v>445</v>
      </c>
      <c r="I1653" s="13" t="s">
        <v>263</v>
      </c>
      <c r="J1653" s="13" t="s">
        <v>264</v>
      </c>
      <c r="K1653" s="13" t="s">
        <v>456</v>
      </c>
      <c r="L1653" s="13" t="s">
        <v>2776</v>
      </c>
      <c r="M1653" s="66" t="s">
        <v>266</v>
      </c>
      <c r="N1653" s="66" t="s">
        <v>252</v>
      </c>
      <c r="O1653" s="66" t="s">
        <v>2777</v>
      </c>
      <c r="P1653" s="0" t="s">
        <v>2787</v>
      </c>
      <c r="Q1653" s="66" t="s">
        <v>1430</v>
      </c>
    </row>
    <row r="1654" customFormat="false" ht="14.25" hidden="false" customHeight="false" outlineLevel="0" collapsed="false">
      <c r="A1654" s="13" t="s">
        <v>276</v>
      </c>
      <c r="B1654" s="13" t="s">
        <v>276</v>
      </c>
      <c r="C1654" s="13" t="s">
        <v>247</v>
      </c>
      <c r="D1654" s="61" t="n">
        <v>45991.4354166667</v>
      </c>
      <c r="E1654" s="61" t="n">
        <v>45991.4354166667</v>
      </c>
      <c r="F1654" s="61" t="n">
        <v>45991.4652777778</v>
      </c>
      <c r="G1654" s="62" t="n">
        <v>0.0298611111138598</v>
      </c>
      <c r="H1654" s="13" t="s">
        <v>445</v>
      </c>
      <c r="I1654" s="13" t="s">
        <v>263</v>
      </c>
      <c r="J1654" s="13" t="s">
        <v>264</v>
      </c>
      <c r="K1654" s="13" t="s">
        <v>456</v>
      </c>
      <c r="L1654" s="13" t="s">
        <v>2776</v>
      </c>
      <c r="M1654" s="66" t="s">
        <v>266</v>
      </c>
      <c r="N1654" s="66" t="s">
        <v>252</v>
      </c>
      <c r="O1654" s="66" t="s">
        <v>2777</v>
      </c>
      <c r="P1654" s="0" t="s">
        <v>2788</v>
      </c>
      <c r="Q1654" s="66" t="s">
        <v>1430</v>
      </c>
    </row>
    <row r="1655" customFormat="false" ht="14.25" hidden="false" customHeight="false" outlineLevel="0" collapsed="false">
      <c r="A1655" s="13" t="s">
        <v>276</v>
      </c>
      <c r="B1655" s="13" t="s">
        <v>276</v>
      </c>
      <c r="C1655" s="13" t="s">
        <v>277</v>
      </c>
      <c r="D1655" s="61" t="n">
        <v>45991.4354166667</v>
      </c>
      <c r="E1655" s="61" t="n">
        <v>45991.4354166667</v>
      </c>
      <c r="F1655" s="61" t="n">
        <v>45991.4652777778</v>
      </c>
      <c r="G1655" s="62" t="n">
        <v>0.0298611111138598</v>
      </c>
      <c r="H1655" s="13" t="s">
        <v>445</v>
      </c>
      <c r="I1655" s="13" t="s">
        <v>263</v>
      </c>
      <c r="J1655" s="13" t="s">
        <v>264</v>
      </c>
      <c r="K1655" s="13" t="s">
        <v>456</v>
      </c>
      <c r="L1655" s="13" t="s">
        <v>2776</v>
      </c>
      <c r="M1655" s="66" t="s">
        <v>266</v>
      </c>
      <c r="N1655" s="66" t="s">
        <v>252</v>
      </c>
      <c r="O1655" s="66" t="s">
        <v>2777</v>
      </c>
      <c r="P1655" s="0" t="s">
        <v>2789</v>
      </c>
      <c r="Q1655" s="66" t="s">
        <v>1430</v>
      </c>
    </row>
    <row r="1656" customFormat="false" ht="14.25" hidden="false" customHeight="false" outlineLevel="0" collapsed="false">
      <c r="A1656" s="13" t="s">
        <v>276</v>
      </c>
      <c r="B1656" s="13" t="s">
        <v>276</v>
      </c>
      <c r="C1656" s="13" t="s">
        <v>279</v>
      </c>
      <c r="D1656" s="61" t="n">
        <v>45991.4354166667</v>
      </c>
      <c r="E1656" s="61" t="n">
        <v>45991.4354166667</v>
      </c>
      <c r="F1656" s="61" t="n">
        <v>45991.4652777778</v>
      </c>
      <c r="G1656" s="62" t="n">
        <v>0.0298611111138598</v>
      </c>
      <c r="H1656" s="13" t="s">
        <v>445</v>
      </c>
      <c r="I1656" s="13" t="s">
        <v>263</v>
      </c>
      <c r="J1656" s="13" t="s">
        <v>264</v>
      </c>
      <c r="K1656" s="13" t="s">
        <v>456</v>
      </c>
      <c r="L1656" s="13" t="s">
        <v>2776</v>
      </c>
      <c r="M1656" s="66" t="s">
        <v>266</v>
      </c>
      <c r="N1656" s="66" t="s">
        <v>252</v>
      </c>
      <c r="O1656" s="66" t="s">
        <v>2777</v>
      </c>
      <c r="P1656" s="0" t="s">
        <v>2790</v>
      </c>
      <c r="Q1656" s="66" t="s">
        <v>1430</v>
      </c>
    </row>
    <row r="1657" customFormat="false" ht="14.25" hidden="false" customHeight="false" outlineLevel="0" collapsed="false">
      <c r="A1657" s="13" t="s">
        <v>276</v>
      </c>
      <c r="B1657" s="13" t="s">
        <v>276</v>
      </c>
      <c r="C1657" s="13" t="s">
        <v>280</v>
      </c>
      <c r="D1657" s="61" t="n">
        <v>45991.4354166667</v>
      </c>
      <c r="E1657" s="61" t="n">
        <v>45991.4354166667</v>
      </c>
      <c r="F1657" s="61" t="n">
        <v>45991.4652777778</v>
      </c>
      <c r="G1657" s="62" t="n">
        <v>0.0298611111138598</v>
      </c>
      <c r="H1657" s="13" t="s">
        <v>445</v>
      </c>
      <c r="I1657" s="13" t="s">
        <v>263</v>
      </c>
      <c r="J1657" s="13" t="s">
        <v>264</v>
      </c>
      <c r="K1657" s="13" t="s">
        <v>456</v>
      </c>
      <c r="L1657" s="13" t="s">
        <v>2776</v>
      </c>
      <c r="M1657" s="66" t="s">
        <v>266</v>
      </c>
      <c r="N1657" s="66" t="s">
        <v>252</v>
      </c>
      <c r="O1657" s="66" t="s">
        <v>2777</v>
      </c>
      <c r="P1657" s="0" t="s">
        <v>2791</v>
      </c>
      <c r="Q1657" s="66" t="s">
        <v>1430</v>
      </c>
    </row>
    <row r="1658" customFormat="false" ht="14.25" hidden="false" customHeight="false" outlineLevel="0" collapsed="false">
      <c r="A1658" s="13" t="s">
        <v>386</v>
      </c>
      <c r="B1658" s="13" t="s">
        <v>386</v>
      </c>
      <c r="C1658" s="13" t="s">
        <v>279</v>
      </c>
      <c r="D1658" s="61" t="n">
        <v>45991.4354166667</v>
      </c>
      <c r="E1658" s="61" t="n">
        <v>45991.4354166667</v>
      </c>
      <c r="F1658" s="61" t="n">
        <v>45991.4652777778</v>
      </c>
      <c r="G1658" s="62" t="n">
        <v>0.0298611111138598</v>
      </c>
      <c r="H1658" s="13" t="s">
        <v>445</v>
      </c>
      <c r="I1658" s="13" t="s">
        <v>263</v>
      </c>
      <c r="J1658" s="13" t="s">
        <v>264</v>
      </c>
      <c r="K1658" s="13" t="s">
        <v>456</v>
      </c>
      <c r="L1658" s="13" t="s">
        <v>2776</v>
      </c>
      <c r="M1658" s="66" t="s">
        <v>266</v>
      </c>
      <c r="N1658" s="66" t="s">
        <v>252</v>
      </c>
      <c r="O1658" s="66" t="s">
        <v>2777</v>
      </c>
      <c r="P1658" s="0" t="s">
        <v>2792</v>
      </c>
      <c r="Q1658" s="66" t="s">
        <v>1430</v>
      </c>
    </row>
    <row r="1659" customFormat="false" ht="14.25" hidden="false" customHeight="false" outlineLevel="0" collapsed="false">
      <c r="A1659" s="13" t="s">
        <v>386</v>
      </c>
      <c r="B1659" s="13" t="s">
        <v>386</v>
      </c>
      <c r="C1659" s="13" t="s">
        <v>247</v>
      </c>
      <c r="D1659" s="61" t="n">
        <v>45991.4354166667</v>
      </c>
      <c r="E1659" s="61" t="n">
        <v>45991.4354166667</v>
      </c>
      <c r="F1659" s="61" t="n">
        <v>45991.4652777778</v>
      </c>
      <c r="G1659" s="62" t="n">
        <v>0.0298611111138598</v>
      </c>
      <c r="H1659" s="13" t="s">
        <v>445</v>
      </c>
      <c r="I1659" s="13" t="s">
        <v>263</v>
      </c>
      <c r="J1659" s="13" t="s">
        <v>264</v>
      </c>
      <c r="K1659" s="13" t="s">
        <v>456</v>
      </c>
      <c r="L1659" s="13" t="s">
        <v>2776</v>
      </c>
      <c r="M1659" s="66" t="s">
        <v>266</v>
      </c>
      <c r="N1659" s="66" t="s">
        <v>252</v>
      </c>
      <c r="O1659" s="66" t="s">
        <v>2777</v>
      </c>
      <c r="P1659" s="0" t="s">
        <v>2793</v>
      </c>
      <c r="Q1659" s="66" t="s">
        <v>1430</v>
      </c>
    </row>
    <row r="1660" customFormat="false" ht="14.25" hidden="false" customHeight="false" outlineLevel="0" collapsed="false">
      <c r="A1660" s="13" t="s">
        <v>386</v>
      </c>
      <c r="B1660" s="13" t="s">
        <v>386</v>
      </c>
      <c r="C1660" s="13" t="s">
        <v>280</v>
      </c>
      <c r="D1660" s="61" t="n">
        <v>45991.4354166667</v>
      </c>
      <c r="E1660" s="61" t="n">
        <v>45991.4354166667</v>
      </c>
      <c r="F1660" s="61" t="n">
        <v>45991.4652777778</v>
      </c>
      <c r="G1660" s="62" t="n">
        <v>0.0298611111138598</v>
      </c>
      <c r="H1660" s="13" t="s">
        <v>445</v>
      </c>
      <c r="I1660" s="13" t="s">
        <v>263</v>
      </c>
      <c r="J1660" s="13" t="s">
        <v>264</v>
      </c>
      <c r="K1660" s="13" t="s">
        <v>456</v>
      </c>
      <c r="L1660" s="13" t="s">
        <v>2776</v>
      </c>
      <c r="M1660" s="66" t="s">
        <v>266</v>
      </c>
      <c r="N1660" s="66" t="s">
        <v>252</v>
      </c>
      <c r="O1660" s="66" t="s">
        <v>2777</v>
      </c>
      <c r="P1660" s="0" t="s">
        <v>2794</v>
      </c>
      <c r="Q1660" s="66" t="s">
        <v>1430</v>
      </c>
    </row>
    <row r="1661" customFormat="false" ht="14.25" hidden="false" customHeight="false" outlineLevel="0" collapsed="false">
      <c r="A1661" s="13" t="s">
        <v>386</v>
      </c>
      <c r="B1661" s="13" t="s">
        <v>386</v>
      </c>
      <c r="C1661" s="13" t="s">
        <v>277</v>
      </c>
      <c r="D1661" s="61" t="n">
        <v>45991.4354166667</v>
      </c>
      <c r="E1661" s="61" t="n">
        <v>45991.4354166667</v>
      </c>
      <c r="F1661" s="61" t="n">
        <v>45991.4652777778</v>
      </c>
      <c r="G1661" s="62" t="n">
        <v>0.0298611111138598</v>
      </c>
      <c r="H1661" s="13" t="s">
        <v>445</v>
      </c>
      <c r="I1661" s="13" t="s">
        <v>263</v>
      </c>
      <c r="J1661" s="13" t="s">
        <v>264</v>
      </c>
      <c r="K1661" s="13" t="s">
        <v>456</v>
      </c>
      <c r="L1661" s="13" t="s">
        <v>2776</v>
      </c>
      <c r="M1661" s="66" t="s">
        <v>266</v>
      </c>
      <c r="N1661" s="66" t="s">
        <v>252</v>
      </c>
      <c r="O1661" s="66" t="s">
        <v>2777</v>
      </c>
      <c r="P1661" s="0" t="s">
        <v>2795</v>
      </c>
      <c r="Q1661" s="66" t="s">
        <v>1430</v>
      </c>
    </row>
    <row r="1662" customFormat="false" ht="14.25" hidden="false" customHeight="false" outlineLevel="0" collapsed="false">
      <c r="A1662" s="13" t="s">
        <v>388</v>
      </c>
      <c r="B1662" s="13" t="s">
        <v>388</v>
      </c>
      <c r="C1662" s="13" t="s">
        <v>277</v>
      </c>
      <c r="D1662" s="61" t="n">
        <v>45991.4354166667</v>
      </c>
      <c r="E1662" s="61" t="n">
        <v>45991.4354166667</v>
      </c>
      <c r="F1662" s="61" t="n">
        <v>45991.4652777778</v>
      </c>
      <c r="G1662" s="62" t="n">
        <v>0.0298611111138598</v>
      </c>
      <c r="H1662" s="13" t="s">
        <v>445</v>
      </c>
      <c r="I1662" s="13" t="s">
        <v>263</v>
      </c>
      <c r="J1662" s="13" t="s">
        <v>264</v>
      </c>
      <c r="K1662" s="13" t="s">
        <v>456</v>
      </c>
      <c r="L1662" s="13" t="s">
        <v>2776</v>
      </c>
      <c r="M1662" s="66" t="s">
        <v>266</v>
      </c>
      <c r="N1662" s="66" t="s">
        <v>252</v>
      </c>
      <c r="O1662" s="66" t="s">
        <v>2777</v>
      </c>
      <c r="P1662" s="0" t="s">
        <v>2796</v>
      </c>
      <c r="Q1662" s="66" t="s">
        <v>1430</v>
      </c>
    </row>
    <row r="1663" customFormat="false" ht="14.25" hidden="false" customHeight="false" outlineLevel="0" collapsed="false">
      <c r="A1663" s="13" t="s">
        <v>388</v>
      </c>
      <c r="B1663" s="13" t="s">
        <v>388</v>
      </c>
      <c r="C1663" s="13" t="s">
        <v>247</v>
      </c>
      <c r="D1663" s="61" t="n">
        <v>45991.4354166667</v>
      </c>
      <c r="E1663" s="61" t="n">
        <v>45991.4354166667</v>
      </c>
      <c r="F1663" s="61" t="n">
        <v>45991.4652777778</v>
      </c>
      <c r="G1663" s="62" t="n">
        <v>0.0298611111138598</v>
      </c>
      <c r="H1663" s="13" t="s">
        <v>445</v>
      </c>
      <c r="I1663" s="13" t="s">
        <v>263</v>
      </c>
      <c r="J1663" s="13" t="s">
        <v>264</v>
      </c>
      <c r="K1663" s="13" t="s">
        <v>456</v>
      </c>
      <c r="L1663" s="13" t="s">
        <v>2776</v>
      </c>
      <c r="M1663" s="66" t="s">
        <v>266</v>
      </c>
      <c r="N1663" s="66" t="s">
        <v>252</v>
      </c>
      <c r="O1663" s="66" t="s">
        <v>2777</v>
      </c>
      <c r="P1663" s="0" t="s">
        <v>2797</v>
      </c>
      <c r="Q1663" s="66" t="s">
        <v>1430</v>
      </c>
    </row>
    <row r="1664" customFormat="false" ht="14.25" hidden="false" customHeight="false" outlineLevel="0" collapsed="false">
      <c r="A1664" s="13" t="s">
        <v>626</v>
      </c>
      <c r="B1664" s="13" t="s">
        <v>626</v>
      </c>
      <c r="C1664" s="13" t="s">
        <v>627</v>
      </c>
      <c r="D1664" s="61" t="n">
        <v>45991.6604166667</v>
      </c>
      <c r="E1664" s="61" t="n">
        <v>45991.6604166667</v>
      </c>
      <c r="F1664" s="61" t="n">
        <v>45991.6631944444</v>
      </c>
      <c r="G1664" s="62" t="n">
        <v>0.00277777777955635</v>
      </c>
      <c r="H1664" s="13" t="s">
        <v>248</v>
      </c>
      <c r="J1664" s="13" t="s">
        <v>249</v>
      </c>
      <c r="K1664" s="13" t="s">
        <v>439</v>
      </c>
      <c r="L1664" s="13" t="s">
        <v>670</v>
      </c>
      <c r="M1664" s="66" t="s">
        <v>251</v>
      </c>
      <c r="N1664" s="66" t="s">
        <v>625</v>
      </c>
      <c r="O1664" s="66" t="s">
        <v>625</v>
      </c>
      <c r="P1664" s="0" t="s">
        <v>2798</v>
      </c>
      <c r="Q1664" s="66" t="s">
        <v>1253</v>
      </c>
    </row>
    <row r="1665" customFormat="false" ht="14.25" hidden="false" customHeight="false" outlineLevel="0" collapsed="false">
      <c r="A1665" s="13" t="s">
        <v>792</v>
      </c>
      <c r="B1665" s="13" t="s">
        <v>512</v>
      </c>
      <c r="C1665" s="13" t="s">
        <v>523</v>
      </c>
      <c r="D1665" s="61" t="s">
        <v>2799</v>
      </c>
      <c r="E1665" s="61" t="s">
        <v>2799</v>
      </c>
      <c r="F1665" s="61" t="s">
        <v>2800</v>
      </c>
      <c r="G1665" s="62" t="n">
        <v>0.00207175926334457</v>
      </c>
      <c r="H1665" s="13" t="s">
        <v>248</v>
      </c>
      <c r="J1665" s="13" t="s">
        <v>249</v>
      </c>
      <c r="K1665" s="13" t="s">
        <v>439</v>
      </c>
      <c r="L1665" s="13" t="s">
        <v>2801</v>
      </c>
      <c r="M1665" s="66" t="s">
        <v>251</v>
      </c>
      <c r="N1665" s="66" t="s">
        <v>625</v>
      </c>
      <c r="O1665" s="66" t="s">
        <v>625</v>
      </c>
      <c r="P1665" s="0" t="s">
        <v>2802</v>
      </c>
      <c r="Q1665" s="66" t="s">
        <v>1253</v>
      </c>
    </row>
    <row r="1666" customFormat="false" ht="14.25" hidden="false" customHeight="false" outlineLevel="0" collapsed="false">
      <c r="A1666" s="13" t="s">
        <v>792</v>
      </c>
      <c r="B1666" s="13" t="s">
        <v>512</v>
      </c>
      <c r="C1666" s="13" t="s">
        <v>523</v>
      </c>
      <c r="D1666" s="61" t="s">
        <v>2803</v>
      </c>
      <c r="E1666" s="61" t="s">
        <v>2803</v>
      </c>
      <c r="F1666" s="61" t="s">
        <v>2804</v>
      </c>
      <c r="G1666" s="62" t="n">
        <v>0.00304398148000473</v>
      </c>
      <c r="H1666" s="13" t="s">
        <v>248</v>
      </c>
      <c r="J1666" s="13" t="s">
        <v>249</v>
      </c>
      <c r="K1666" s="13" t="s">
        <v>439</v>
      </c>
      <c r="L1666" s="13" t="s">
        <v>2801</v>
      </c>
      <c r="M1666" s="66" t="s">
        <v>251</v>
      </c>
      <c r="N1666" s="66" t="s">
        <v>625</v>
      </c>
      <c r="O1666" s="66" t="s">
        <v>625</v>
      </c>
      <c r="P1666" s="0" t="s">
        <v>2805</v>
      </c>
      <c r="Q1666" s="66" t="s">
        <v>1253</v>
      </c>
    </row>
    <row r="1667" customFormat="false" ht="14.25" hidden="false" customHeight="false" outlineLevel="0" collapsed="false">
      <c r="A1667" s="13" t="s">
        <v>879</v>
      </c>
      <c r="B1667" s="13" t="s">
        <v>512</v>
      </c>
      <c r="C1667" s="13" t="s">
        <v>517</v>
      </c>
      <c r="D1667" s="61" t="s">
        <v>2806</v>
      </c>
      <c r="E1667" s="61" t="s">
        <v>2806</v>
      </c>
      <c r="F1667" s="61" t="s">
        <v>2807</v>
      </c>
      <c r="G1667" s="62" t="n">
        <v>0.00203703704028158</v>
      </c>
      <c r="H1667" s="13" t="s">
        <v>248</v>
      </c>
      <c r="J1667" s="13" t="s">
        <v>249</v>
      </c>
      <c r="K1667" s="13" t="s">
        <v>439</v>
      </c>
      <c r="L1667" s="13" t="s">
        <v>2808</v>
      </c>
      <c r="M1667" s="66" t="s">
        <v>251</v>
      </c>
      <c r="N1667" s="66" t="s">
        <v>625</v>
      </c>
      <c r="O1667" s="66" t="s">
        <v>625</v>
      </c>
      <c r="P1667" s="0" t="s">
        <v>2809</v>
      </c>
      <c r="Q1667" s="66" t="s">
        <v>1253</v>
      </c>
    </row>
    <row r="1668" customFormat="false" ht="14.25" hidden="false" customHeight="false" outlineLevel="0" collapsed="false">
      <c r="A1668" s="13" t="s">
        <v>879</v>
      </c>
      <c r="B1668" s="13" t="s">
        <v>512</v>
      </c>
      <c r="C1668" s="13" t="s">
        <v>517</v>
      </c>
      <c r="D1668" s="61" t="s">
        <v>2810</v>
      </c>
      <c r="E1668" s="61" t="s">
        <v>2810</v>
      </c>
      <c r="F1668" s="61" t="s">
        <v>2811</v>
      </c>
      <c r="G1668" s="62" t="n">
        <v>0.00207175925606862</v>
      </c>
      <c r="H1668" s="13" t="s">
        <v>248</v>
      </c>
      <c r="J1668" s="13" t="s">
        <v>249</v>
      </c>
      <c r="K1668" s="13" t="s">
        <v>439</v>
      </c>
      <c r="L1668" s="13" t="s">
        <v>2808</v>
      </c>
      <c r="M1668" s="66" t="s">
        <v>251</v>
      </c>
      <c r="N1668" s="66" t="s">
        <v>625</v>
      </c>
      <c r="O1668" s="66" t="s">
        <v>625</v>
      </c>
      <c r="P1668" s="0" t="s">
        <v>2812</v>
      </c>
      <c r="Q1668" s="66" t="s">
        <v>1253</v>
      </c>
    </row>
    <row r="1669" customFormat="false" ht="14.25" hidden="false" customHeight="false" outlineLevel="0" collapsed="false">
      <c r="A1669" s="13" t="s">
        <v>879</v>
      </c>
      <c r="B1669" s="13" t="s">
        <v>512</v>
      </c>
      <c r="C1669" s="13" t="s">
        <v>517</v>
      </c>
      <c r="D1669" s="61" t="s">
        <v>2813</v>
      </c>
      <c r="E1669" s="61" t="s">
        <v>2813</v>
      </c>
      <c r="F1669" s="61" t="s">
        <v>2814</v>
      </c>
      <c r="G1669" s="62" t="n">
        <v>0.00209490740962792</v>
      </c>
      <c r="H1669" s="13" t="s">
        <v>248</v>
      </c>
      <c r="J1669" s="13" t="s">
        <v>249</v>
      </c>
      <c r="K1669" s="13" t="s">
        <v>439</v>
      </c>
      <c r="L1669" s="13" t="s">
        <v>2808</v>
      </c>
      <c r="M1669" s="66" t="s">
        <v>251</v>
      </c>
      <c r="N1669" s="66" t="s">
        <v>625</v>
      </c>
      <c r="O1669" s="66" t="s">
        <v>625</v>
      </c>
      <c r="P1669" s="0" t="s">
        <v>2815</v>
      </c>
      <c r="Q1669" s="66" t="s">
        <v>1253</v>
      </c>
    </row>
    <row r="1670" customFormat="false" ht="14.25" hidden="false" customHeight="false" outlineLevel="0" collapsed="false">
      <c r="A1670" s="13" t="s">
        <v>879</v>
      </c>
      <c r="B1670" s="13" t="s">
        <v>512</v>
      </c>
      <c r="C1670" s="13" t="s">
        <v>517</v>
      </c>
      <c r="D1670" s="61" t="s">
        <v>2816</v>
      </c>
      <c r="E1670" s="61" t="s">
        <v>2816</v>
      </c>
      <c r="F1670" s="61" t="s">
        <v>2817</v>
      </c>
      <c r="G1670" s="62" t="n">
        <v>0.00204861110978527</v>
      </c>
      <c r="H1670" s="13" t="s">
        <v>248</v>
      </c>
      <c r="J1670" s="13" t="s">
        <v>249</v>
      </c>
      <c r="K1670" s="13" t="s">
        <v>439</v>
      </c>
      <c r="L1670" s="13" t="s">
        <v>2808</v>
      </c>
      <c r="M1670" s="66" t="s">
        <v>251</v>
      </c>
      <c r="N1670" s="66" t="s">
        <v>625</v>
      </c>
      <c r="O1670" s="66" t="s">
        <v>625</v>
      </c>
      <c r="P1670" s="0" t="s">
        <v>2818</v>
      </c>
      <c r="Q1670" s="66" t="s">
        <v>1253</v>
      </c>
    </row>
    <row r="1671" customFormat="false" ht="14.25" hidden="false" customHeight="false" outlineLevel="0" collapsed="false">
      <c r="A1671" s="13" t="s">
        <v>792</v>
      </c>
      <c r="B1671" s="13" t="s">
        <v>512</v>
      </c>
      <c r="C1671" s="13" t="s">
        <v>523</v>
      </c>
      <c r="D1671" s="61" t="s">
        <v>2819</v>
      </c>
      <c r="E1671" s="61" t="s">
        <v>2819</v>
      </c>
      <c r="F1671" s="61" t="s">
        <v>2820</v>
      </c>
      <c r="G1671" s="62" t="n">
        <v>0.00568287037458504</v>
      </c>
      <c r="H1671" s="13" t="s">
        <v>248</v>
      </c>
      <c r="J1671" s="13" t="s">
        <v>249</v>
      </c>
      <c r="K1671" s="13" t="s">
        <v>439</v>
      </c>
      <c r="L1671" s="13" t="s">
        <v>2801</v>
      </c>
      <c r="M1671" s="66" t="s">
        <v>251</v>
      </c>
      <c r="N1671" s="66" t="s">
        <v>625</v>
      </c>
      <c r="O1671" s="66" t="s">
        <v>625</v>
      </c>
      <c r="P1671" s="0" t="s">
        <v>2821</v>
      </c>
      <c r="Q1671" s="66" t="s">
        <v>1253</v>
      </c>
    </row>
    <row r="1672" customFormat="false" ht="14.25" hidden="false" customHeight="false" outlineLevel="0" collapsed="false">
      <c r="A1672" s="13" t="s">
        <v>879</v>
      </c>
      <c r="B1672" s="13" t="s">
        <v>512</v>
      </c>
      <c r="C1672" s="13" t="s">
        <v>517</v>
      </c>
      <c r="D1672" s="61" t="s">
        <v>2822</v>
      </c>
      <c r="E1672" s="61" t="s">
        <v>2822</v>
      </c>
      <c r="F1672" s="61" t="s">
        <v>2823</v>
      </c>
      <c r="G1672" s="62" t="n">
        <v>0.00206018517928896</v>
      </c>
      <c r="H1672" s="13" t="s">
        <v>248</v>
      </c>
      <c r="J1672" s="13" t="s">
        <v>249</v>
      </c>
      <c r="K1672" s="13" t="s">
        <v>439</v>
      </c>
      <c r="L1672" s="13" t="s">
        <v>2808</v>
      </c>
      <c r="M1672" s="66" t="s">
        <v>251</v>
      </c>
      <c r="N1672" s="66" t="s">
        <v>625</v>
      </c>
      <c r="O1672" s="66" t="s">
        <v>625</v>
      </c>
      <c r="P1672" s="0" t="s">
        <v>2824</v>
      </c>
      <c r="Q1672" s="66" t="s">
        <v>1253</v>
      </c>
    </row>
    <row r="1673" customFormat="false" ht="14.25" hidden="false" customHeight="false" outlineLevel="0" collapsed="false">
      <c r="A1673" s="13" t="s">
        <v>879</v>
      </c>
      <c r="B1673" s="13" t="s">
        <v>512</v>
      </c>
      <c r="C1673" s="13" t="s">
        <v>517</v>
      </c>
      <c r="D1673" s="61" t="s">
        <v>2825</v>
      </c>
      <c r="E1673" s="61" t="s">
        <v>2825</v>
      </c>
      <c r="F1673" s="61" t="s">
        <v>2826</v>
      </c>
      <c r="G1673" s="62" t="n">
        <v>0.0955208333325572</v>
      </c>
      <c r="H1673" s="13" t="s">
        <v>248</v>
      </c>
      <c r="J1673" s="13" t="s">
        <v>249</v>
      </c>
      <c r="K1673" s="13" t="s">
        <v>439</v>
      </c>
      <c r="L1673" s="13" t="s">
        <v>2827</v>
      </c>
      <c r="M1673" s="66" t="s">
        <v>251</v>
      </c>
      <c r="N1673" s="66" t="s">
        <v>252</v>
      </c>
      <c r="O1673" s="66" t="s">
        <v>2828</v>
      </c>
      <c r="P1673" s="0" t="s">
        <v>2829</v>
      </c>
      <c r="Q1673" s="66" t="s">
        <v>1253</v>
      </c>
    </row>
    <row r="1674" customFormat="false" ht="14.25" hidden="false" customHeight="false" outlineLevel="0" collapsed="false">
      <c r="A1674" s="13" t="s">
        <v>879</v>
      </c>
      <c r="B1674" s="13" t="s">
        <v>512</v>
      </c>
      <c r="C1674" s="13" t="s">
        <v>518</v>
      </c>
      <c r="D1674" s="61" t="s">
        <v>2830</v>
      </c>
      <c r="E1674" s="61" t="s">
        <v>2830</v>
      </c>
      <c r="F1674" s="61" t="s">
        <v>2831</v>
      </c>
      <c r="G1674" s="62" t="n">
        <v>0.0956134259249666</v>
      </c>
      <c r="H1674" s="13" t="s">
        <v>248</v>
      </c>
      <c r="J1674" s="13" t="s">
        <v>249</v>
      </c>
      <c r="K1674" s="13" t="s">
        <v>439</v>
      </c>
      <c r="L1674" s="13" t="s">
        <v>2827</v>
      </c>
      <c r="M1674" s="66" t="s">
        <v>251</v>
      </c>
      <c r="N1674" s="66" t="s">
        <v>252</v>
      </c>
      <c r="O1674" s="66" t="s">
        <v>2828</v>
      </c>
      <c r="P1674" s="0" t="s">
        <v>2832</v>
      </c>
      <c r="Q1674" s="66" t="s">
        <v>1253</v>
      </c>
    </row>
    <row r="1675" customFormat="false" ht="14.25" hidden="false" customHeight="false" outlineLevel="0" collapsed="false">
      <c r="A1675" s="13" t="s">
        <v>792</v>
      </c>
      <c r="B1675" s="13" t="s">
        <v>512</v>
      </c>
      <c r="C1675" s="13" t="s">
        <v>523</v>
      </c>
      <c r="D1675" s="61" t="s">
        <v>2833</v>
      </c>
      <c r="E1675" s="61" t="s">
        <v>2833</v>
      </c>
      <c r="F1675" s="61" t="s">
        <v>2834</v>
      </c>
      <c r="G1675" s="62" t="n">
        <v>0.00446759258920793</v>
      </c>
      <c r="H1675" s="13" t="s">
        <v>248</v>
      </c>
      <c r="J1675" s="13" t="s">
        <v>249</v>
      </c>
      <c r="K1675" s="13" t="s">
        <v>439</v>
      </c>
      <c r="L1675" s="13" t="s">
        <v>2801</v>
      </c>
      <c r="M1675" s="66" t="s">
        <v>251</v>
      </c>
      <c r="N1675" s="66" t="s">
        <v>625</v>
      </c>
      <c r="O1675" s="66" t="s">
        <v>625</v>
      </c>
      <c r="P1675" s="0" t="s">
        <v>2835</v>
      </c>
      <c r="Q1675" s="66" t="s">
        <v>1253</v>
      </c>
    </row>
    <row r="1676" customFormat="false" ht="14.25" hidden="false" customHeight="false" outlineLevel="0" collapsed="false">
      <c r="A1676" s="13" t="s">
        <v>792</v>
      </c>
      <c r="B1676" s="13" t="s">
        <v>512</v>
      </c>
      <c r="C1676" s="13" t="s">
        <v>523</v>
      </c>
      <c r="D1676" s="61" t="s">
        <v>2836</v>
      </c>
      <c r="E1676" s="61" t="s">
        <v>2836</v>
      </c>
      <c r="F1676" s="61" t="s">
        <v>2837</v>
      </c>
      <c r="G1676" s="62" t="n">
        <v>0.00940972221724223</v>
      </c>
      <c r="H1676" s="13" t="s">
        <v>248</v>
      </c>
      <c r="J1676" s="13" t="s">
        <v>249</v>
      </c>
      <c r="K1676" s="13" t="s">
        <v>439</v>
      </c>
      <c r="L1676" s="13" t="s">
        <v>2801</v>
      </c>
      <c r="M1676" s="66" t="s">
        <v>251</v>
      </c>
      <c r="N1676" s="66" t="s">
        <v>625</v>
      </c>
      <c r="O1676" s="66" t="s">
        <v>625</v>
      </c>
      <c r="P1676" s="0" t="s">
        <v>2838</v>
      </c>
      <c r="Q1676" s="66" t="s">
        <v>1253</v>
      </c>
    </row>
    <row r="1677" customFormat="false" ht="14.25" hidden="false" customHeight="false" outlineLevel="0" collapsed="false">
      <c r="A1677" s="13" t="s">
        <v>792</v>
      </c>
      <c r="B1677" s="13" t="s">
        <v>512</v>
      </c>
      <c r="C1677" s="13" t="s">
        <v>523</v>
      </c>
      <c r="D1677" s="61" t="s">
        <v>2839</v>
      </c>
      <c r="E1677" s="61" t="s">
        <v>2839</v>
      </c>
      <c r="F1677" s="61" t="s">
        <v>2840</v>
      </c>
      <c r="G1677" s="62" t="n">
        <v>0.059918981474766</v>
      </c>
      <c r="H1677" s="13" t="s">
        <v>248</v>
      </c>
      <c r="J1677" s="13" t="s">
        <v>249</v>
      </c>
      <c r="K1677" s="13" t="s">
        <v>439</v>
      </c>
      <c r="L1677" s="13" t="s">
        <v>2801</v>
      </c>
      <c r="M1677" s="66" t="s">
        <v>251</v>
      </c>
      <c r="N1677" s="66" t="s">
        <v>625</v>
      </c>
      <c r="O1677" s="66" t="s">
        <v>625</v>
      </c>
      <c r="P1677" s="0" t="s">
        <v>2841</v>
      </c>
      <c r="Q1677" s="66" t="s">
        <v>1253</v>
      </c>
    </row>
    <row r="1678" customFormat="false" ht="14.25" hidden="false" customHeight="false" outlineLevel="0" collapsed="false">
      <c r="A1678" s="13" t="s">
        <v>792</v>
      </c>
      <c r="B1678" s="13" t="s">
        <v>512</v>
      </c>
      <c r="C1678" s="13" t="s">
        <v>523</v>
      </c>
      <c r="D1678" s="61" t="s">
        <v>2842</v>
      </c>
      <c r="E1678" s="61" t="s">
        <v>2842</v>
      </c>
      <c r="F1678" s="61" t="s">
        <v>2843</v>
      </c>
      <c r="G1678" s="62" t="n">
        <v>0.0573495370408637</v>
      </c>
      <c r="H1678" s="13" t="s">
        <v>248</v>
      </c>
      <c r="J1678" s="13" t="s">
        <v>249</v>
      </c>
      <c r="K1678" s="13" t="s">
        <v>439</v>
      </c>
      <c r="L1678" s="13" t="s">
        <v>2801</v>
      </c>
      <c r="M1678" s="66" t="s">
        <v>251</v>
      </c>
      <c r="N1678" s="66" t="s">
        <v>625</v>
      </c>
      <c r="O1678" s="66" t="s">
        <v>625</v>
      </c>
      <c r="P1678" s="0" t="s">
        <v>2844</v>
      </c>
      <c r="Q1678" s="66" t="s">
        <v>1253</v>
      </c>
    </row>
    <row r="1679" customFormat="false" ht="14.25" hidden="false" customHeight="false" outlineLevel="0" collapsed="false">
      <c r="A1679" s="13" t="s">
        <v>792</v>
      </c>
      <c r="B1679" s="13" t="s">
        <v>512</v>
      </c>
      <c r="C1679" s="13" t="s">
        <v>523</v>
      </c>
      <c r="D1679" s="61" t="s">
        <v>2845</v>
      </c>
      <c r="E1679" s="61" t="s">
        <v>2845</v>
      </c>
      <c r="F1679" s="61" t="s">
        <v>2846</v>
      </c>
      <c r="G1679" s="62" t="n">
        <v>0.00634259259095416</v>
      </c>
      <c r="H1679" s="13" t="s">
        <v>248</v>
      </c>
      <c r="J1679" s="13" t="s">
        <v>249</v>
      </c>
      <c r="K1679" s="13" t="s">
        <v>439</v>
      </c>
      <c r="L1679" s="13" t="s">
        <v>2801</v>
      </c>
      <c r="M1679" s="66" t="s">
        <v>251</v>
      </c>
      <c r="N1679" s="66" t="s">
        <v>625</v>
      </c>
      <c r="O1679" s="66" t="s">
        <v>625</v>
      </c>
      <c r="P1679" s="0" t="s">
        <v>2847</v>
      </c>
      <c r="Q1679" s="66" t="s">
        <v>1253</v>
      </c>
    </row>
    <row r="1680" customFormat="false" ht="14.25" hidden="false" customHeight="false" outlineLevel="0" collapsed="false">
      <c r="A1680" s="13" t="s">
        <v>879</v>
      </c>
      <c r="B1680" s="13" t="s">
        <v>512</v>
      </c>
      <c r="C1680" s="13" t="s">
        <v>517</v>
      </c>
      <c r="D1680" s="61" t="s">
        <v>2848</v>
      </c>
      <c r="E1680" s="61" t="s">
        <v>2848</v>
      </c>
      <c r="F1680" s="61" t="s">
        <v>2849</v>
      </c>
      <c r="G1680" s="62" t="n">
        <v>0.00210648147913162</v>
      </c>
      <c r="H1680" s="13" t="s">
        <v>248</v>
      </c>
      <c r="J1680" s="13" t="s">
        <v>249</v>
      </c>
      <c r="K1680" s="13" t="s">
        <v>439</v>
      </c>
      <c r="L1680" s="13" t="s">
        <v>2808</v>
      </c>
      <c r="M1680" s="66" t="s">
        <v>251</v>
      </c>
      <c r="N1680" s="66" t="s">
        <v>625</v>
      </c>
      <c r="O1680" s="66" t="s">
        <v>625</v>
      </c>
      <c r="P1680" s="0" t="s">
        <v>2850</v>
      </c>
      <c r="Q1680" s="66" t="s">
        <v>1253</v>
      </c>
    </row>
    <row r="1681" customFormat="false" ht="14.25" hidden="false" customHeight="false" outlineLevel="0" collapsed="false">
      <c r="A1681" s="13" t="s">
        <v>792</v>
      </c>
      <c r="B1681" s="13" t="s">
        <v>512</v>
      </c>
      <c r="C1681" s="13" t="s">
        <v>523</v>
      </c>
      <c r="D1681" s="61" t="s">
        <v>2851</v>
      </c>
      <c r="E1681" s="61" t="s">
        <v>2851</v>
      </c>
      <c r="F1681" s="61" t="s">
        <v>2852</v>
      </c>
      <c r="G1681" s="62" t="n">
        <v>0.010567129633273</v>
      </c>
      <c r="H1681" s="13" t="s">
        <v>248</v>
      </c>
      <c r="J1681" s="13" t="s">
        <v>249</v>
      </c>
      <c r="K1681" s="13" t="s">
        <v>439</v>
      </c>
      <c r="L1681" s="13" t="s">
        <v>2801</v>
      </c>
      <c r="M1681" s="66" t="s">
        <v>251</v>
      </c>
      <c r="N1681" s="66" t="s">
        <v>625</v>
      </c>
      <c r="O1681" s="66" t="s">
        <v>625</v>
      </c>
      <c r="P1681" s="0" t="s">
        <v>2853</v>
      </c>
      <c r="Q1681" s="66" t="s">
        <v>1253</v>
      </c>
    </row>
    <row r="1682" customFormat="false" ht="14.25" hidden="false" customHeight="false" outlineLevel="0" collapsed="false">
      <c r="A1682" s="13" t="s">
        <v>792</v>
      </c>
      <c r="B1682" s="13" t="s">
        <v>512</v>
      </c>
      <c r="C1682" s="13" t="s">
        <v>523</v>
      </c>
      <c r="D1682" s="61" t="s">
        <v>2854</v>
      </c>
      <c r="E1682" s="61" t="s">
        <v>2854</v>
      </c>
      <c r="F1682" s="61" t="s">
        <v>2855</v>
      </c>
      <c r="G1682" s="62" t="n">
        <v>0.00053240740817273</v>
      </c>
      <c r="H1682" s="13" t="s">
        <v>248</v>
      </c>
      <c r="J1682" s="13" t="s">
        <v>249</v>
      </c>
      <c r="K1682" s="13" t="s">
        <v>439</v>
      </c>
      <c r="L1682" s="13" t="s">
        <v>2801</v>
      </c>
      <c r="M1682" s="66" t="s">
        <v>251</v>
      </c>
      <c r="N1682" s="66" t="s">
        <v>625</v>
      </c>
      <c r="O1682" s="66" t="s">
        <v>625</v>
      </c>
      <c r="P1682" s="0" t="s">
        <v>2856</v>
      </c>
      <c r="Q1682" s="66" t="s">
        <v>1253</v>
      </c>
    </row>
    <row r="1683" customFormat="false" ht="14.25" hidden="false" customHeight="false" outlineLevel="0" collapsed="false">
      <c r="A1683" s="13" t="s">
        <v>879</v>
      </c>
      <c r="B1683" s="13" t="s">
        <v>512</v>
      </c>
      <c r="C1683" s="13" t="s">
        <v>517</v>
      </c>
      <c r="D1683" s="61" t="s">
        <v>2857</v>
      </c>
      <c r="E1683" s="61" t="s">
        <v>2857</v>
      </c>
      <c r="F1683" s="61" t="s">
        <v>2858</v>
      </c>
      <c r="G1683" s="62" t="n">
        <v>0.00201388888672227</v>
      </c>
      <c r="H1683" s="13" t="s">
        <v>248</v>
      </c>
      <c r="J1683" s="13" t="s">
        <v>249</v>
      </c>
      <c r="K1683" s="13" t="s">
        <v>439</v>
      </c>
      <c r="L1683" s="13" t="s">
        <v>2808</v>
      </c>
      <c r="M1683" s="66" t="s">
        <v>251</v>
      </c>
      <c r="N1683" s="66" t="s">
        <v>625</v>
      </c>
      <c r="O1683" s="66" t="s">
        <v>625</v>
      </c>
      <c r="P1683" s="0" t="s">
        <v>2859</v>
      </c>
      <c r="Q1683" s="66" t="s">
        <v>1253</v>
      </c>
    </row>
    <row r="1685" customFormat="false" ht="14.25" hidden="false" customHeight="false" outlineLevel="0" collapsed="false">
      <c r="G1685" s="69"/>
    </row>
  </sheetData>
  <autoFilter ref="A1:Q1683">
    <sortState ref="A2:Q1683">
      <sortCondition ref="A2:A1683" customList=""/>
    </sortState>
  </autoFilter>
  <conditionalFormatting sqref="P1:P1048576">
    <cfRule type="duplicateValues" priority="2" aboveAverage="0" equalAverage="0" bottom="0" percent="0" rank="0" text="" dxfId="14"/>
  </conditionalFormatting>
  <conditionalFormatting sqref="P1">
    <cfRule type="duplicateValues" priority="3" aboveAverage="0" equalAverage="0" bottom="0" percent="0" rank="0" text="" dxfId="15"/>
    <cfRule type="duplicateValues" priority="4" aboveAverage="0" equalAverage="0" bottom="0" percent="0" rank="0" text="" dxfId="16"/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1"/>
  <sheetViews>
    <sheetView showFormulas="false" showGridLines="true" showRowColHeaders="true" showZeros="true" rightToLeft="false" tabSelected="false" showOutlineSymbols="true" defaultGridColor="true" view="normal" topLeftCell="A134" colorId="64" zoomScale="100" zoomScaleNormal="100" zoomScalePageLayoutView="100" workbookViewId="0">
      <selection pane="topLeft" activeCell="A135" activeCellId="0" sqref="A135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4.71"/>
    <col collapsed="false" customWidth="true" hidden="false" outlineLevel="0" max="9" min="9" style="0" width="44.85"/>
    <col collapsed="false" customWidth="true" hidden="false" outlineLevel="0" max="10" min="10" style="0" width="30.43"/>
    <col collapsed="false" customWidth="true" hidden="false" outlineLevel="0" max="12" min="12" style="0" width="18.29"/>
  </cols>
  <sheetData>
    <row r="1" customFormat="false" ht="41.75" hidden="false" customHeight="false" outlineLevel="0" collapsed="false">
      <c r="A1" s="70" t="s">
        <v>2860</v>
      </c>
      <c r="B1" s="70" t="s">
        <v>2861</v>
      </c>
      <c r="C1" s="70" t="s">
        <v>2862</v>
      </c>
      <c r="D1" s="70" t="s">
        <v>2863</v>
      </c>
      <c r="E1" s="70" t="s">
        <v>2864</v>
      </c>
      <c r="F1" s="70" t="s">
        <v>2865</v>
      </c>
      <c r="G1" s="70" t="s">
        <v>2866</v>
      </c>
      <c r="H1" s="70" t="s">
        <v>2867</v>
      </c>
      <c r="I1" s="70" t="s">
        <v>2868</v>
      </c>
      <c r="J1" s="70" t="s">
        <v>2869</v>
      </c>
      <c r="K1" s="70" t="s">
        <v>2870</v>
      </c>
      <c r="L1" s="70" t="s">
        <v>2871</v>
      </c>
    </row>
    <row r="2" customFormat="false" ht="41.75" hidden="false" customHeight="false" outlineLevel="0" collapsed="false">
      <c r="A2" s="70" t="s">
        <v>2872</v>
      </c>
      <c r="B2" s="71" t="n">
        <v>45992</v>
      </c>
      <c r="C2" s="72" t="n">
        <v>0.125</v>
      </c>
      <c r="D2" s="72" t="n">
        <v>0.125</v>
      </c>
      <c r="E2" s="60" t="s">
        <v>2873</v>
      </c>
      <c r="F2" s="60" t="s">
        <v>2874</v>
      </c>
      <c r="G2" s="60" t="s">
        <v>2875</v>
      </c>
      <c r="H2" s="60" t="n">
        <v>2025121</v>
      </c>
      <c r="I2" s="60" t="s">
        <v>2876</v>
      </c>
      <c r="J2" s="60" t="s">
        <v>2877</v>
      </c>
      <c r="K2" s="72" t="n">
        <v>0.302083333333333</v>
      </c>
      <c r="L2" s="71" t="n">
        <v>45992</v>
      </c>
    </row>
    <row r="3" customFormat="false" ht="55.2" hidden="false" customHeight="false" outlineLevel="0" collapsed="false">
      <c r="A3" s="73" t="s">
        <v>2878</v>
      </c>
      <c r="B3" s="74" t="n">
        <v>45992</v>
      </c>
      <c r="C3" s="75" t="n">
        <v>0.284722222222222</v>
      </c>
      <c r="D3" s="75" t="n">
        <v>0.284722222222222</v>
      </c>
      <c r="E3" s="76" t="s">
        <v>230</v>
      </c>
      <c r="F3" s="76" t="s">
        <v>2879</v>
      </c>
      <c r="G3" s="76" t="s">
        <v>2880</v>
      </c>
      <c r="H3" s="76" t="n">
        <v>2025122</v>
      </c>
      <c r="I3" s="76" t="s">
        <v>2881</v>
      </c>
      <c r="J3" s="76" t="s">
        <v>2882</v>
      </c>
      <c r="K3" s="76" t="s">
        <v>971</v>
      </c>
      <c r="L3" s="76" t="s">
        <v>971</v>
      </c>
    </row>
    <row r="4" customFormat="false" ht="55.2" hidden="false" customHeight="false" outlineLevel="0" collapsed="false">
      <c r="A4" s="70" t="s">
        <v>2883</v>
      </c>
      <c r="B4" s="71" t="n">
        <v>45992</v>
      </c>
      <c r="C4" s="72" t="n">
        <v>0.395833333333333</v>
      </c>
      <c r="D4" s="72" t="n">
        <v>0.395833333333333</v>
      </c>
      <c r="E4" s="60" t="s">
        <v>2884</v>
      </c>
      <c r="F4" s="60" t="s">
        <v>2885</v>
      </c>
      <c r="G4" s="60" t="s">
        <v>2880</v>
      </c>
      <c r="H4" s="60" t="n">
        <v>2025123</v>
      </c>
      <c r="I4" s="60" t="s">
        <v>2886</v>
      </c>
      <c r="J4" s="60" t="s">
        <v>2887</v>
      </c>
      <c r="K4" s="60"/>
      <c r="L4" s="60"/>
    </row>
    <row r="5" customFormat="false" ht="55.2" hidden="false" customHeight="false" outlineLevel="0" collapsed="false">
      <c r="A5" s="70" t="s">
        <v>2888</v>
      </c>
      <c r="B5" s="71" t="n">
        <v>45992</v>
      </c>
      <c r="C5" s="60" t="s">
        <v>2889</v>
      </c>
      <c r="D5" s="60" t="s">
        <v>2889</v>
      </c>
      <c r="E5" s="60" t="s">
        <v>2890</v>
      </c>
      <c r="F5" s="60" t="s">
        <v>2891</v>
      </c>
      <c r="G5" s="60" t="s">
        <v>2880</v>
      </c>
      <c r="H5" s="60" t="n">
        <v>8307396</v>
      </c>
      <c r="I5" s="60" t="s">
        <v>2892</v>
      </c>
      <c r="J5" s="60" t="s">
        <v>2893</v>
      </c>
      <c r="K5" s="60" t="s">
        <v>2894</v>
      </c>
      <c r="L5" s="71" t="n">
        <v>45992</v>
      </c>
    </row>
    <row r="6" customFormat="false" ht="55.2" hidden="false" customHeight="false" outlineLevel="0" collapsed="false">
      <c r="A6" s="77" t="s">
        <v>39</v>
      </c>
      <c r="B6" s="78" t="n">
        <v>45992</v>
      </c>
      <c r="C6" s="79" t="n">
        <v>0.729166666666667</v>
      </c>
      <c r="D6" s="79" t="n">
        <v>0.729166666666667</v>
      </c>
      <c r="E6" s="80" t="s">
        <v>2895</v>
      </c>
      <c r="F6" s="80" t="s">
        <v>2885</v>
      </c>
      <c r="G6" s="80" t="s">
        <v>2896</v>
      </c>
      <c r="H6" s="80" t="n">
        <v>2025124</v>
      </c>
      <c r="I6" s="80" t="s">
        <v>673</v>
      </c>
      <c r="J6" s="80" t="s">
        <v>419</v>
      </c>
      <c r="K6" s="79" t="n">
        <v>0.833333333333333</v>
      </c>
      <c r="L6" s="78" t="n">
        <v>45992</v>
      </c>
    </row>
    <row r="7" customFormat="false" ht="55.2" hidden="false" customHeight="false" outlineLevel="0" collapsed="false">
      <c r="A7" s="77" t="s">
        <v>2897</v>
      </c>
      <c r="B7" s="78" t="n">
        <v>45992</v>
      </c>
      <c r="C7" s="79" t="n">
        <v>0.75</v>
      </c>
      <c r="D7" s="79" t="n">
        <v>0.75</v>
      </c>
      <c r="E7" s="80" t="s">
        <v>230</v>
      </c>
      <c r="F7" s="80" t="s">
        <v>2898</v>
      </c>
      <c r="G7" s="80" t="s">
        <v>2896</v>
      </c>
      <c r="H7" s="80" t="n">
        <v>2025125</v>
      </c>
      <c r="I7" s="80" t="s">
        <v>2899</v>
      </c>
      <c r="J7" s="80" t="s">
        <v>2900</v>
      </c>
      <c r="K7" s="79" t="n">
        <v>0.8125</v>
      </c>
      <c r="L7" s="78" t="n">
        <v>46012</v>
      </c>
    </row>
    <row r="8" customFormat="false" ht="68.65" hidden="false" customHeight="false" outlineLevel="0" collapsed="false">
      <c r="A8" s="70" t="s">
        <v>2901</v>
      </c>
      <c r="B8" s="71" t="n">
        <v>45992</v>
      </c>
      <c r="C8" s="72" t="n">
        <v>0.760416666666667</v>
      </c>
      <c r="D8" s="72" t="n">
        <v>0.760416666666667</v>
      </c>
      <c r="E8" s="60" t="s">
        <v>2884</v>
      </c>
      <c r="F8" s="60" t="s">
        <v>2885</v>
      </c>
      <c r="G8" s="60" t="s">
        <v>2875</v>
      </c>
      <c r="H8" s="60" t="n">
        <v>2025126</v>
      </c>
      <c r="I8" s="60" t="s">
        <v>2902</v>
      </c>
      <c r="J8" s="60" t="s">
        <v>2903</v>
      </c>
      <c r="K8" s="72" t="n">
        <v>0.767361111111111</v>
      </c>
      <c r="L8" s="71" t="n">
        <v>45992</v>
      </c>
    </row>
    <row r="9" customFormat="false" ht="68.65" hidden="false" customHeight="false" outlineLevel="0" collapsed="false">
      <c r="A9" s="77" t="s">
        <v>2904</v>
      </c>
      <c r="B9" s="78" t="n">
        <v>45262</v>
      </c>
      <c r="C9" s="79" t="n">
        <v>0.247222222222222</v>
      </c>
      <c r="D9" s="79" t="n">
        <v>0.247222222222222</v>
      </c>
      <c r="E9" s="80" t="s">
        <v>230</v>
      </c>
      <c r="F9" s="80" t="s">
        <v>2905</v>
      </c>
      <c r="G9" s="80" t="s">
        <v>2875</v>
      </c>
      <c r="H9" s="80" t="n">
        <v>8371356</v>
      </c>
      <c r="I9" s="80" t="s">
        <v>2906</v>
      </c>
      <c r="J9" s="80" t="s">
        <v>2907</v>
      </c>
      <c r="K9" s="79" t="n">
        <v>0.308333333333333</v>
      </c>
      <c r="L9" s="78" t="n">
        <v>45993</v>
      </c>
    </row>
    <row r="10" customFormat="false" ht="68.65" hidden="false" customHeight="false" outlineLevel="0" collapsed="false">
      <c r="A10" s="70" t="s">
        <v>2908</v>
      </c>
      <c r="B10" s="71" t="n">
        <v>45993</v>
      </c>
      <c r="C10" s="72" t="n">
        <v>0.284027777777778</v>
      </c>
      <c r="D10" s="72" t="n">
        <v>0.284027777777778</v>
      </c>
      <c r="E10" s="60" t="s">
        <v>2895</v>
      </c>
      <c r="F10" s="60" t="s">
        <v>2909</v>
      </c>
      <c r="G10" s="60" t="s">
        <v>2875</v>
      </c>
      <c r="H10" s="60" t="n">
        <v>2025128</v>
      </c>
      <c r="I10" s="60" t="s">
        <v>2910</v>
      </c>
      <c r="J10" s="60" t="s">
        <v>2911</v>
      </c>
      <c r="K10" s="72" t="n">
        <v>0.335416666666667</v>
      </c>
      <c r="L10" s="71" t="n">
        <v>45993</v>
      </c>
    </row>
    <row r="11" customFormat="false" ht="68.65" hidden="false" customHeight="false" outlineLevel="0" collapsed="false">
      <c r="A11" s="70" t="s">
        <v>2912</v>
      </c>
      <c r="B11" s="71" t="n">
        <v>45993</v>
      </c>
      <c r="C11" s="72" t="n">
        <v>0.3125</v>
      </c>
      <c r="D11" s="72" t="n">
        <v>0.3125</v>
      </c>
      <c r="E11" s="60" t="s">
        <v>2895</v>
      </c>
      <c r="F11" s="60" t="s">
        <v>2913</v>
      </c>
      <c r="G11" s="60" t="s">
        <v>2896</v>
      </c>
      <c r="H11" s="60" t="n">
        <v>8371490</v>
      </c>
      <c r="I11" s="60" t="s">
        <v>2914</v>
      </c>
      <c r="J11" s="60" t="s">
        <v>2915</v>
      </c>
      <c r="K11" s="72" t="n">
        <v>0.756944444444444</v>
      </c>
      <c r="L11" s="71" t="n">
        <v>45993</v>
      </c>
    </row>
    <row r="12" customFormat="false" ht="41.75" hidden="false" customHeight="false" outlineLevel="0" collapsed="false">
      <c r="A12" s="70" t="s">
        <v>2916</v>
      </c>
      <c r="B12" s="71" t="n">
        <v>45993</v>
      </c>
      <c r="C12" s="72" t="n">
        <v>0.466666666666667</v>
      </c>
      <c r="D12" s="72" t="n">
        <v>0.466666666666667</v>
      </c>
      <c r="E12" s="60" t="s">
        <v>230</v>
      </c>
      <c r="F12" s="60" t="s">
        <v>2905</v>
      </c>
      <c r="G12" s="60" t="s">
        <v>2875</v>
      </c>
      <c r="H12" s="60" t="n">
        <v>2025129</v>
      </c>
      <c r="I12" s="60" t="s">
        <v>2917</v>
      </c>
      <c r="J12" s="60" t="s">
        <v>2918</v>
      </c>
      <c r="K12" s="72" t="n">
        <v>0.472222222222222</v>
      </c>
      <c r="L12" s="71" t="n">
        <v>45993</v>
      </c>
    </row>
    <row r="13" customFormat="false" ht="68.65" hidden="false" customHeight="false" outlineLevel="0" collapsed="false">
      <c r="A13" s="70" t="s">
        <v>2919</v>
      </c>
      <c r="B13" s="71" t="n">
        <v>45993</v>
      </c>
      <c r="C13" s="72" t="n">
        <v>0.590277777777778</v>
      </c>
      <c r="D13" s="72" t="n">
        <v>0.590277777777778</v>
      </c>
      <c r="E13" s="60" t="s">
        <v>2920</v>
      </c>
      <c r="F13" s="60" t="s">
        <v>2921</v>
      </c>
      <c r="G13" s="60" t="s">
        <v>2896</v>
      </c>
      <c r="H13" s="60" t="n">
        <v>8350930</v>
      </c>
      <c r="I13" s="60" t="s">
        <v>721</v>
      </c>
      <c r="J13" s="60" t="s">
        <v>2922</v>
      </c>
      <c r="K13" s="72" t="n">
        <v>0.709027777777778</v>
      </c>
      <c r="L13" s="71" t="n">
        <v>45993</v>
      </c>
    </row>
    <row r="14" customFormat="false" ht="41.75" hidden="false" customHeight="false" outlineLevel="0" collapsed="false">
      <c r="A14" s="70" t="s">
        <v>2883</v>
      </c>
      <c r="B14" s="71" t="n">
        <v>45993</v>
      </c>
      <c r="C14" s="72" t="n">
        <v>0.604166666666667</v>
      </c>
      <c r="D14" s="72" t="n">
        <v>0.604166666666667</v>
      </c>
      <c r="E14" s="60" t="s">
        <v>230</v>
      </c>
      <c r="F14" s="60" t="s">
        <v>2923</v>
      </c>
      <c r="G14" s="60" t="s">
        <v>2875</v>
      </c>
      <c r="H14" s="60"/>
      <c r="I14" s="60" t="s">
        <v>727</v>
      </c>
      <c r="J14" s="60" t="s">
        <v>2924</v>
      </c>
      <c r="K14" s="72" t="n">
        <v>0.694444444444444</v>
      </c>
      <c r="L14" s="71" t="n">
        <v>45993</v>
      </c>
    </row>
    <row r="15" customFormat="false" ht="41.75" hidden="false" customHeight="false" outlineLevel="0" collapsed="false">
      <c r="A15" s="70" t="s">
        <v>2925</v>
      </c>
      <c r="B15" s="71" t="n">
        <v>45993</v>
      </c>
      <c r="C15" s="72" t="n">
        <v>0.975694444444444</v>
      </c>
      <c r="D15" s="72" t="n">
        <v>0.975694444444444</v>
      </c>
      <c r="E15" s="60" t="s">
        <v>2873</v>
      </c>
      <c r="F15" s="60" t="s">
        <v>2926</v>
      </c>
      <c r="G15" s="60" t="s">
        <v>2875</v>
      </c>
      <c r="H15" s="60" t="n">
        <v>20251210</v>
      </c>
      <c r="I15" s="60" t="s">
        <v>2927</v>
      </c>
      <c r="J15" s="60" t="s">
        <v>2928</v>
      </c>
      <c r="K15" s="72" t="n">
        <v>0.291666666666667</v>
      </c>
      <c r="L15" s="71" t="n">
        <v>45994</v>
      </c>
    </row>
    <row r="16" customFormat="false" ht="41.75" hidden="false" customHeight="false" outlineLevel="0" collapsed="false">
      <c r="A16" s="70" t="s">
        <v>2929</v>
      </c>
      <c r="B16" s="71" t="n">
        <v>45994</v>
      </c>
      <c r="C16" s="72" t="n">
        <v>0.270833333333333</v>
      </c>
      <c r="D16" s="72" t="n">
        <v>0.270833333333333</v>
      </c>
      <c r="E16" s="60" t="s">
        <v>230</v>
      </c>
      <c r="F16" s="60" t="s">
        <v>2930</v>
      </c>
      <c r="G16" s="60" t="s">
        <v>2896</v>
      </c>
      <c r="H16" s="60" t="n">
        <v>20251211</v>
      </c>
      <c r="I16" s="60" t="s">
        <v>2931</v>
      </c>
      <c r="J16" s="60" t="s">
        <v>2932</v>
      </c>
      <c r="K16" s="72" t="n">
        <v>0.277777777777778</v>
      </c>
      <c r="L16" s="71" t="n">
        <v>45994</v>
      </c>
    </row>
    <row r="17" customFormat="false" ht="41.75" hidden="false" customHeight="false" outlineLevel="0" collapsed="false">
      <c r="A17" s="70" t="s">
        <v>2888</v>
      </c>
      <c r="B17" s="71" t="n">
        <v>45994</v>
      </c>
      <c r="C17" s="60" t="s">
        <v>2933</v>
      </c>
      <c r="D17" s="60" t="s">
        <v>2933</v>
      </c>
      <c r="E17" s="60" t="s">
        <v>230</v>
      </c>
      <c r="F17" s="60" t="s">
        <v>2930</v>
      </c>
      <c r="G17" s="60" t="s">
        <v>2880</v>
      </c>
      <c r="H17" s="60" t="n">
        <v>8378189</v>
      </c>
      <c r="I17" s="60" t="s">
        <v>2934</v>
      </c>
      <c r="J17" s="60" t="s">
        <v>2935</v>
      </c>
      <c r="K17" s="60" t="s">
        <v>2936</v>
      </c>
      <c r="L17" s="71" t="n">
        <v>45994</v>
      </c>
    </row>
    <row r="18" customFormat="false" ht="41.75" hidden="false" customHeight="false" outlineLevel="0" collapsed="false">
      <c r="A18" s="70" t="s">
        <v>2937</v>
      </c>
      <c r="B18" s="71" t="n">
        <v>45994</v>
      </c>
      <c r="C18" s="72" t="n">
        <v>0.302083333333333</v>
      </c>
      <c r="D18" s="72" t="n">
        <v>0.302083333333333</v>
      </c>
      <c r="E18" s="60" t="s">
        <v>2895</v>
      </c>
      <c r="F18" s="60" t="s">
        <v>2938</v>
      </c>
      <c r="G18" s="60" t="s">
        <v>2880</v>
      </c>
      <c r="H18" s="60" t="n">
        <v>8371490</v>
      </c>
      <c r="I18" s="60" t="s">
        <v>2914</v>
      </c>
      <c r="J18" s="60" t="s">
        <v>2939</v>
      </c>
      <c r="K18" s="60"/>
      <c r="L18" s="60"/>
    </row>
    <row r="19" customFormat="false" ht="68.65" hidden="false" customHeight="false" outlineLevel="0" collapsed="false">
      <c r="A19" s="70" t="s">
        <v>2940</v>
      </c>
      <c r="B19" s="71" t="n">
        <v>45994</v>
      </c>
      <c r="C19" s="72" t="n">
        <v>0.333333333333333</v>
      </c>
      <c r="D19" s="72" t="n">
        <v>0.333333333333333</v>
      </c>
      <c r="E19" s="60" t="s">
        <v>2920</v>
      </c>
      <c r="F19" s="60" t="s">
        <v>2938</v>
      </c>
      <c r="G19" s="60" t="s">
        <v>2880</v>
      </c>
      <c r="H19" s="60"/>
      <c r="I19" s="60" t="s">
        <v>721</v>
      </c>
      <c r="J19" s="60" t="s">
        <v>2941</v>
      </c>
      <c r="K19" s="60"/>
      <c r="L19" s="60"/>
    </row>
    <row r="20" customFormat="false" ht="41.75" hidden="false" customHeight="false" outlineLevel="0" collapsed="false">
      <c r="A20" s="70" t="s">
        <v>2942</v>
      </c>
      <c r="B20" s="71" t="n">
        <v>45994</v>
      </c>
      <c r="C20" s="72" t="n">
        <v>0.395833333333333</v>
      </c>
      <c r="D20" s="72" t="n">
        <v>0.395833333333333</v>
      </c>
      <c r="E20" s="60" t="s">
        <v>2873</v>
      </c>
      <c r="F20" s="60" t="s">
        <v>2943</v>
      </c>
      <c r="G20" s="60" t="s">
        <v>2875</v>
      </c>
      <c r="H20" s="60" t="n">
        <v>20251212</v>
      </c>
      <c r="I20" s="60" t="s">
        <v>2944</v>
      </c>
      <c r="J20" s="60" t="s">
        <v>2945</v>
      </c>
      <c r="K20" s="72" t="n">
        <v>0.416666666666667</v>
      </c>
      <c r="L20" s="71" t="n">
        <v>45994</v>
      </c>
    </row>
    <row r="21" customFormat="false" ht="68.65" hidden="false" customHeight="false" outlineLevel="0" collapsed="false">
      <c r="A21" s="70" t="s">
        <v>2919</v>
      </c>
      <c r="B21" s="71" t="n">
        <v>45994</v>
      </c>
      <c r="C21" s="60" t="s">
        <v>2946</v>
      </c>
      <c r="D21" s="72" t="n">
        <v>0.548611111111111</v>
      </c>
      <c r="E21" s="60" t="s">
        <v>230</v>
      </c>
      <c r="F21" s="60" t="s">
        <v>2947</v>
      </c>
      <c r="G21" s="60" t="s">
        <v>2896</v>
      </c>
      <c r="H21" s="60" t="n">
        <v>8350930</v>
      </c>
      <c r="I21" s="60" t="s">
        <v>2914</v>
      </c>
      <c r="J21" s="60" t="s">
        <v>2915</v>
      </c>
      <c r="K21" s="72" t="n">
        <v>0.680555555555556</v>
      </c>
      <c r="L21" s="71" t="n">
        <v>45994</v>
      </c>
    </row>
    <row r="22" customFormat="false" ht="41.75" hidden="false" customHeight="false" outlineLevel="0" collapsed="false">
      <c r="A22" s="70" t="s">
        <v>2948</v>
      </c>
      <c r="B22" s="71" t="n">
        <v>45994</v>
      </c>
      <c r="C22" s="72" t="n">
        <v>0.6875</v>
      </c>
      <c r="D22" s="72" t="n">
        <v>0.6875</v>
      </c>
      <c r="E22" s="60" t="s">
        <v>230</v>
      </c>
      <c r="F22" s="60" t="s">
        <v>2949</v>
      </c>
      <c r="G22" s="60" t="s">
        <v>2875</v>
      </c>
      <c r="H22" s="60" t="n">
        <v>8371491</v>
      </c>
      <c r="I22" s="60" t="s">
        <v>2950</v>
      </c>
      <c r="J22" s="60" t="s">
        <v>2951</v>
      </c>
      <c r="K22" s="72" t="n">
        <v>0.333333333333333</v>
      </c>
      <c r="L22" s="71" t="n">
        <v>45995</v>
      </c>
    </row>
    <row r="23" customFormat="false" ht="68.65" hidden="false" customHeight="false" outlineLevel="0" collapsed="false">
      <c r="A23" s="70" t="s">
        <v>2952</v>
      </c>
      <c r="B23" s="71" t="n">
        <v>45995</v>
      </c>
      <c r="C23" s="72" t="n">
        <v>0.291666666666667</v>
      </c>
      <c r="D23" s="72" t="n">
        <v>0.291666666666667</v>
      </c>
      <c r="E23" s="60" t="s">
        <v>230</v>
      </c>
      <c r="F23" s="60" t="s">
        <v>2953</v>
      </c>
      <c r="G23" s="60" t="s">
        <v>2896</v>
      </c>
      <c r="H23" s="60" t="n">
        <v>20251215</v>
      </c>
      <c r="I23" s="60" t="s">
        <v>686</v>
      </c>
      <c r="J23" s="60" t="s">
        <v>2954</v>
      </c>
      <c r="K23" s="72" t="n">
        <v>0.302083333333333</v>
      </c>
      <c r="L23" s="71" t="n">
        <v>45995</v>
      </c>
    </row>
    <row r="24" customFormat="false" ht="41.75" hidden="false" customHeight="false" outlineLevel="0" collapsed="false">
      <c r="A24" s="70" t="s">
        <v>2955</v>
      </c>
      <c r="B24" s="71" t="n">
        <v>45995</v>
      </c>
      <c r="C24" s="72" t="n">
        <v>0.39375</v>
      </c>
      <c r="D24" s="72" t="n">
        <v>0.39375</v>
      </c>
      <c r="E24" s="60" t="s">
        <v>230</v>
      </c>
      <c r="F24" s="60" t="s">
        <v>2905</v>
      </c>
      <c r="G24" s="60" t="s">
        <v>2875</v>
      </c>
      <c r="H24" s="60" t="n">
        <v>20251216</v>
      </c>
      <c r="I24" s="60" t="s">
        <v>2956</v>
      </c>
      <c r="J24" s="60" t="s">
        <v>2957</v>
      </c>
      <c r="K24" s="72" t="n">
        <v>0.413194444444444</v>
      </c>
      <c r="L24" s="71" t="n">
        <v>45995</v>
      </c>
    </row>
    <row r="25" customFormat="false" ht="108.95" hidden="false" customHeight="false" outlineLevel="0" collapsed="false">
      <c r="A25" s="70" t="s">
        <v>2958</v>
      </c>
      <c r="B25" s="71" t="n">
        <v>45995</v>
      </c>
      <c r="C25" s="72" t="n">
        <v>0.40625</v>
      </c>
      <c r="D25" s="72" t="n">
        <v>0.40625</v>
      </c>
      <c r="E25" s="60" t="s">
        <v>2959</v>
      </c>
      <c r="F25" s="60" t="s">
        <v>2960</v>
      </c>
      <c r="G25" s="60" t="s">
        <v>2896</v>
      </c>
      <c r="H25" s="60" t="n">
        <v>8350901</v>
      </c>
      <c r="I25" s="60" t="s">
        <v>2961</v>
      </c>
      <c r="J25" s="60" t="s">
        <v>2962</v>
      </c>
      <c r="K25" s="72" t="n">
        <v>0.486111111111111</v>
      </c>
      <c r="L25" s="71" t="n">
        <v>45995</v>
      </c>
    </row>
    <row r="26" customFormat="false" ht="55.2" hidden="false" customHeight="false" outlineLevel="0" collapsed="false">
      <c r="A26" s="70" t="s">
        <v>2963</v>
      </c>
      <c r="B26" s="71" t="n">
        <v>45995</v>
      </c>
      <c r="C26" s="72" t="n">
        <v>0.409722222222222</v>
      </c>
      <c r="D26" s="72" t="n">
        <v>0.409722222222222</v>
      </c>
      <c r="E26" s="60" t="s">
        <v>230</v>
      </c>
      <c r="F26" s="60" t="s">
        <v>286</v>
      </c>
      <c r="G26" s="60" t="s">
        <v>2964</v>
      </c>
      <c r="H26" s="60" t="n">
        <v>8384935</v>
      </c>
      <c r="I26" s="60" t="s">
        <v>776</v>
      </c>
      <c r="J26" s="60" t="s">
        <v>777</v>
      </c>
      <c r="K26" s="72" t="n">
        <v>0.625</v>
      </c>
      <c r="L26" s="71" t="n">
        <v>45996</v>
      </c>
    </row>
    <row r="27" customFormat="false" ht="68.65" hidden="false" customHeight="false" outlineLevel="0" collapsed="false">
      <c r="A27" s="70" t="s">
        <v>2940</v>
      </c>
      <c r="B27" s="71" t="n">
        <v>45995</v>
      </c>
      <c r="C27" s="60" t="s">
        <v>2965</v>
      </c>
      <c r="D27" s="60" t="s">
        <v>2965</v>
      </c>
      <c r="E27" s="60" t="s">
        <v>2959</v>
      </c>
      <c r="F27" s="60" t="s">
        <v>2898</v>
      </c>
      <c r="G27" s="60" t="s">
        <v>2896</v>
      </c>
      <c r="H27" s="60" t="n">
        <v>8350930</v>
      </c>
      <c r="I27" s="60" t="s">
        <v>2966</v>
      </c>
      <c r="J27" s="60" t="s">
        <v>2967</v>
      </c>
      <c r="K27" s="60" t="s">
        <v>2968</v>
      </c>
      <c r="L27" s="71" t="n">
        <v>45995</v>
      </c>
    </row>
    <row r="28" customFormat="false" ht="108.95" hidden="false" customHeight="false" outlineLevel="0" collapsed="false">
      <c r="A28" s="70" t="s">
        <v>2969</v>
      </c>
      <c r="B28" s="71" t="n">
        <v>45995</v>
      </c>
      <c r="C28" s="72" t="n">
        <v>0.545138888888889</v>
      </c>
      <c r="D28" s="72" t="n">
        <v>0.545138888888889</v>
      </c>
      <c r="E28" s="60" t="s">
        <v>2959</v>
      </c>
      <c r="F28" s="60" t="s">
        <v>2960</v>
      </c>
      <c r="G28" s="60" t="s">
        <v>2875</v>
      </c>
      <c r="H28" s="60" t="n">
        <v>8350901</v>
      </c>
      <c r="I28" s="60" t="s">
        <v>2961</v>
      </c>
      <c r="J28" s="60" t="s">
        <v>2962</v>
      </c>
      <c r="K28" s="72" t="n">
        <v>0.604166666666667</v>
      </c>
      <c r="L28" s="71" t="n">
        <v>45995</v>
      </c>
    </row>
    <row r="29" customFormat="false" ht="108.95" hidden="false" customHeight="false" outlineLevel="0" collapsed="false">
      <c r="A29" s="70" t="s">
        <v>2970</v>
      </c>
      <c r="B29" s="71" t="n">
        <v>45995</v>
      </c>
      <c r="C29" s="72" t="n">
        <v>0.605555555555556</v>
      </c>
      <c r="D29" s="72" t="n">
        <v>0.605555555555556</v>
      </c>
      <c r="E29" s="60" t="s">
        <v>2959</v>
      </c>
      <c r="F29" s="60" t="s">
        <v>2960</v>
      </c>
      <c r="G29" s="60" t="s">
        <v>2896</v>
      </c>
      <c r="H29" s="60" t="n">
        <v>8350901</v>
      </c>
      <c r="I29" s="60" t="s">
        <v>2961</v>
      </c>
      <c r="J29" s="60" t="s">
        <v>2962</v>
      </c>
      <c r="K29" s="72" t="n">
        <v>0.65625</v>
      </c>
      <c r="L29" s="71" t="n">
        <v>45995</v>
      </c>
    </row>
    <row r="30" customFormat="false" ht="68.65" hidden="false" customHeight="false" outlineLevel="0" collapsed="false">
      <c r="A30" s="70" t="s">
        <v>2971</v>
      </c>
      <c r="B30" s="71" t="n">
        <v>45995</v>
      </c>
      <c r="C30" s="72" t="n">
        <v>0.700694444444444</v>
      </c>
      <c r="D30" s="72" t="n">
        <v>0.700694444444444</v>
      </c>
      <c r="E30" s="60" t="s">
        <v>2959</v>
      </c>
      <c r="F30" s="60" t="s">
        <v>2972</v>
      </c>
      <c r="G30" s="60" t="s">
        <v>2896</v>
      </c>
      <c r="H30" s="60" t="n">
        <v>8386000</v>
      </c>
      <c r="I30" s="60" t="s">
        <v>2973</v>
      </c>
      <c r="J30" s="60" t="s">
        <v>2974</v>
      </c>
      <c r="K30" s="60"/>
      <c r="L30" s="60"/>
    </row>
    <row r="31" customFormat="false" ht="41.75" hidden="false" customHeight="false" outlineLevel="0" collapsed="false">
      <c r="A31" s="70" t="s">
        <v>2975</v>
      </c>
      <c r="B31" s="71" t="n">
        <v>45995</v>
      </c>
      <c r="C31" s="72" t="n">
        <v>0.923611111111111</v>
      </c>
      <c r="D31" s="72" t="n">
        <v>0.923611111111111</v>
      </c>
      <c r="E31" s="60" t="s">
        <v>230</v>
      </c>
      <c r="F31" s="60" t="s">
        <v>2976</v>
      </c>
      <c r="G31" s="60" t="s">
        <v>2880</v>
      </c>
      <c r="H31" s="60" t="n">
        <v>20251217</v>
      </c>
      <c r="I31" s="60" t="s">
        <v>2930</v>
      </c>
      <c r="J31" s="60" t="s">
        <v>2977</v>
      </c>
      <c r="K31" s="72" t="n">
        <v>0.302083333333333</v>
      </c>
      <c r="L31" s="71" t="n">
        <v>45996</v>
      </c>
    </row>
    <row r="32" customFormat="false" ht="41.75" hidden="false" customHeight="false" outlineLevel="0" collapsed="false">
      <c r="A32" s="70" t="s">
        <v>2978</v>
      </c>
      <c r="B32" s="71" t="n">
        <v>45996</v>
      </c>
      <c r="C32" s="72" t="n">
        <v>0.267361111111111</v>
      </c>
      <c r="D32" s="72" t="n">
        <v>0.267361111111111</v>
      </c>
      <c r="E32" s="60" t="s">
        <v>230</v>
      </c>
      <c r="F32" s="60" t="s">
        <v>2947</v>
      </c>
      <c r="G32" s="60" t="s">
        <v>2896</v>
      </c>
      <c r="H32" s="60" t="n">
        <v>20251219</v>
      </c>
      <c r="I32" s="60" t="s">
        <v>2979</v>
      </c>
      <c r="J32" s="60" t="s">
        <v>447</v>
      </c>
      <c r="K32" s="60" t="s">
        <v>2980</v>
      </c>
      <c r="L32" s="71" t="n">
        <v>45996</v>
      </c>
    </row>
    <row r="33" customFormat="false" ht="41.75" hidden="false" customHeight="false" outlineLevel="0" collapsed="false">
      <c r="A33" s="70" t="s">
        <v>2929</v>
      </c>
      <c r="B33" s="71" t="n">
        <v>45996</v>
      </c>
      <c r="C33" s="72" t="n">
        <v>0.256944444444444</v>
      </c>
      <c r="D33" s="72" t="n">
        <v>0.256944444444444</v>
      </c>
      <c r="E33" s="60" t="s">
        <v>230</v>
      </c>
      <c r="F33" s="60" t="s">
        <v>2976</v>
      </c>
      <c r="G33" s="60" t="s">
        <v>2875</v>
      </c>
      <c r="H33" s="60" t="n">
        <v>20251218</v>
      </c>
      <c r="I33" s="60" t="s">
        <v>2981</v>
      </c>
      <c r="J33" s="60" t="s">
        <v>2982</v>
      </c>
      <c r="K33" s="72" t="n">
        <v>0.383333333333333</v>
      </c>
      <c r="L33" s="71" t="n">
        <v>45996</v>
      </c>
    </row>
    <row r="34" customFormat="false" ht="108.95" hidden="false" customHeight="false" outlineLevel="0" collapsed="false">
      <c r="A34" s="70" t="s">
        <v>2983</v>
      </c>
      <c r="B34" s="71" t="n">
        <v>45996</v>
      </c>
      <c r="C34" s="72" t="n">
        <v>0.313888888888889</v>
      </c>
      <c r="D34" s="72" t="n">
        <v>0.313888888888889</v>
      </c>
      <c r="E34" s="60" t="s">
        <v>2959</v>
      </c>
      <c r="F34" s="60" t="s">
        <v>2960</v>
      </c>
      <c r="G34" s="60" t="s">
        <v>2875</v>
      </c>
      <c r="H34" s="60" t="n">
        <v>8350915</v>
      </c>
      <c r="I34" s="60" t="s">
        <v>2961</v>
      </c>
      <c r="J34" s="60" t="s">
        <v>2962</v>
      </c>
      <c r="K34" s="72" t="n">
        <v>0.364583333333333</v>
      </c>
      <c r="L34" s="71" t="n">
        <v>45996</v>
      </c>
    </row>
    <row r="35" customFormat="false" ht="108.95" hidden="false" customHeight="false" outlineLevel="0" collapsed="false">
      <c r="A35" s="70" t="s">
        <v>2984</v>
      </c>
      <c r="B35" s="71" t="n">
        <v>45996</v>
      </c>
      <c r="C35" s="72" t="n">
        <v>0.365277777777778</v>
      </c>
      <c r="D35" s="72" t="n">
        <v>0.365277777777778</v>
      </c>
      <c r="E35" s="60" t="s">
        <v>2959</v>
      </c>
      <c r="F35" s="60" t="s">
        <v>2960</v>
      </c>
      <c r="G35" s="60" t="s">
        <v>2896</v>
      </c>
      <c r="H35" s="60" t="n">
        <v>8350915</v>
      </c>
      <c r="I35" s="60" t="s">
        <v>2961</v>
      </c>
      <c r="J35" s="60" t="s">
        <v>2962</v>
      </c>
      <c r="K35" s="72" t="n">
        <v>0.406944444444444</v>
      </c>
      <c r="L35" s="71" t="n">
        <v>45996</v>
      </c>
    </row>
    <row r="36" customFormat="false" ht="41.75" hidden="false" customHeight="false" outlineLevel="0" collapsed="false">
      <c r="A36" s="70" t="s">
        <v>2985</v>
      </c>
      <c r="B36" s="71" t="n">
        <v>45996</v>
      </c>
      <c r="C36" s="72" t="n">
        <v>0.368055555555556</v>
      </c>
      <c r="D36" s="72" t="n">
        <v>0.368055555555556</v>
      </c>
      <c r="E36" s="60" t="s">
        <v>230</v>
      </c>
      <c r="F36" s="60" t="s">
        <v>2976</v>
      </c>
      <c r="G36" s="60" t="s">
        <v>2880</v>
      </c>
      <c r="H36" s="60" t="n">
        <v>20251220</v>
      </c>
      <c r="I36" s="60" t="s">
        <v>2930</v>
      </c>
      <c r="J36" s="60" t="s">
        <v>2986</v>
      </c>
      <c r="K36" s="60"/>
      <c r="L36" s="60"/>
    </row>
    <row r="37" customFormat="false" ht="108.95" hidden="false" customHeight="false" outlineLevel="0" collapsed="false">
      <c r="A37" s="70" t="s">
        <v>2987</v>
      </c>
      <c r="B37" s="71" t="n">
        <v>45996</v>
      </c>
      <c r="C37" s="72" t="n">
        <v>0.409722222222222</v>
      </c>
      <c r="D37" s="72" t="n">
        <v>0.409722222222222</v>
      </c>
      <c r="E37" s="60" t="s">
        <v>2959</v>
      </c>
      <c r="F37" s="60" t="s">
        <v>2960</v>
      </c>
      <c r="G37" s="60" t="s">
        <v>2896</v>
      </c>
      <c r="H37" s="60" t="n">
        <v>8350915</v>
      </c>
      <c r="I37" s="60" t="s">
        <v>2961</v>
      </c>
      <c r="J37" s="60" t="s">
        <v>2962</v>
      </c>
      <c r="K37" s="72" t="n">
        <v>0.458333333333333</v>
      </c>
      <c r="L37" s="71" t="n">
        <v>45996</v>
      </c>
    </row>
    <row r="38" customFormat="false" ht="41.75" hidden="false" customHeight="false" outlineLevel="0" collapsed="false">
      <c r="A38" s="70" t="s">
        <v>2929</v>
      </c>
      <c r="B38" s="71" t="n">
        <v>45996</v>
      </c>
      <c r="C38" s="72" t="n">
        <v>0.471527777777778</v>
      </c>
      <c r="D38" s="72" t="n">
        <v>0.471527777777778</v>
      </c>
      <c r="E38" s="60" t="s">
        <v>230</v>
      </c>
      <c r="F38" s="60" t="s">
        <v>2976</v>
      </c>
      <c r="G38" s="60" t="s">
        <v>2875</v>
      </c>
      <c r="H38" s="60" t="n">
        <v>8392759</v>
      </c>
      <c r="I38" s="60" t="s">
        <v>2988</v>
      </c>
      <c r="J38" s="60" t="s">
        <v>2989</v>
      </c>
      <c r="K38" s="72" t="n">
        <v>0.540972222222222</v>
      </c>
      <c r="L38" s="71" t="n">
        <v>45996</v>
      </c>
    </row>
    <row r="39" customFormat="false" ht="41.75" hidden="false" customHeight="false" outlineLevel="0" collapsed="false">
      <c r="A39" s="70" t="s">
        <v>2985</v>
      </c>
      <c r="B39" s="71" t="n">
        <v>45997</v>
      </c>
      <c r="C39" s="72" t="n">
        <v>0.358333333333333</v>
      </c>
      <c r="D39" s="72" t="n">
        <v>0.358333333333333</v>
      </c>
      <c r="E39" s="60" t="s">
        <v>230</v>
      </c>
      <c r="F39" s="60" t="s">
        <v>2976</v>
      </c>
      <c r="G39" s="60" t="s">
        <v>2880</v>
      </c>
      <c r="H39" s="60" t="n">
        <v>20251222</v>
      </c>
      <c r="I39" s="60" t="s">
        <v>2930</v>
      </c>
      <c r="J39" s="60" t="s">
        <v>2986</v>
      </c>
      <c r="K39" s="60"/>
      <c r="L39" s="60"/>
    </row>
    <row r="40" customFormat="false" ht="41.75" hidden="false" customHeight="false" outlineLevel="0" collapsed="false">
      <c r="A40" s="70" t="s">
        <v>2978</v>
      </c>
      <c r="B40" s="71" t="n">
        <v>45997</v>
      </c>
      <c r="C40" s="72" t="n">
        <v>0.361805555555556</v>
      </c>
      <c r="D40" s="72" t="n">
        <v>0.361805555555556</v>
      </c>
      <c r="E40" s="60" t="s">
        <v>230</v>
      </c>
      <c r="F40" s="60" t="s">
        <v>2947</v>
      </c>
      <c r="G40" s="60" t="s">
        <v>2896</v>
      </c>
      <c r="H40" s="60" t="n">
        <v>20251223</v>
      </c>
      <c r="I40" s="60" t="s">
        <v>2990</v>
      </c>
      <c r="J40" s="60" t="s">
        <v>1713</v>
      </c>
      <c r="K40" s="72" t="n">
        <v>0.416666666666667</v>
      </c>
      <c r="L40" s="71" t="n">
        <v>45997</v>
      </c>
    </row>
    <row r="41" customFormat="false" ht="41.75" hidden="false" customHeight="false" outlineLevel="0" collapsed="false">
      <c r="A41" s="70" t="s">
        <v>2991</v>
      </c>
      <c r="B41" s="71" t="n">
        <v>45997</v>
      </c>
      <c r="C41" s="72" t="n">
        <v>0.402777777777778</v>
      </c>
      <c r="D41" s="72" t="n">
        <v>0.402777777777778</v>
      </c>
      <c r="E41" s="60" t="s">
        <v>230</v>
      </c>
      <c r="F41" s="60" t="s">
        <v>2976</v>
      </c>
      <c r="G41" s="60" t="s">
        <v>2992</v>
      </c>
      <c r="H41" s="60" t="n">
        <v>20251224</v>
      </c>
      <c r="I41" s="60" t="s">
        <v>2993</v>
      </c>
      <c r="J41" s="60" t="s">
        <v>2994</v>
      </c>
      <c r="K41" s="72" t="n">
        <v>0.694444444444444</v>
      </c>
      <c r="L41" s="71" t="n">
        <v>45997</v>
      </c>
    </row>
    <row r="42" customFormat="false" ht="55.2" hidden="false" customHeight="false" outlineLevel="0" collapsed="false">
      <c r="A42" s="70" t="s">
        <v>2995</v>
      </c>
      <c r="B42" s="71" t="n">
        <v>45997</v>
      </c>
      <c r="C42" s="72" t="n">
        <v>0.427083333333333</v>
      </c>
      <c r="D42" s="72" t="n">
        <v>0.427083333333333</v>
      </c>
      <c r="E42" s="60" t="s">
        <v>2996</v>
      </c>
      <c r="F42" s="60" t="s">
        <v>2997</v>
      </c>
      <c r="G42" s="60" t="s">
        <v>2875</v>
      </c>
      <c r="H42" s="60" t="n">
        <v>20251225</v>
      </c>
      <c r="I42" s="60" t="s">
        <v>2998</v>
      </c>
      <c r="J42" s="60" t="s">
        <v>2999</v>
      </c>
      <c r="K42" s="72" t="n">
        <v>0.538194444444444</v>
      </c>
      <c r="L42" s="71" t="n">
        <v>45997</v>
      </c>
    </row>
    <row r="43" customFormat="false" ht="41.75" hidden="false" customHeight="false" outlineLevel="0" collapsed="false">
      <c r="A43" s="70" t="s">
        <v>3000</v>
      </c>
      <c r="B43" s="71" t="n">
        <v>45997</v>
      </c>
      <c r="C43" s="72" t="n">
        <v>0.461111111111111</v>
      </c>
      <c r="D43" s="72" t="n">
        <v>0.461111111111111</v>
      </c>
      <c r="E43" s="60" t="s">
        <v>2873</v>
      </c>
      <c r="F43" s="60" t="s">
        <v>3001</v>
      </c>
      <c r="G43" s="60" t="s">
        <v>2875</v>
      </c>
      <c r="H43" s="60" t="n">
        <v>20251226</v>
      </c>
      <c r="I43" s="60" t="s">
        <v>3002</v>
      </c>
      <c r="J43" s="60" t="s">
        <v>3003</v>
      </c>
      <c r="K43" s="72" t="n">
        <v>0.517361111111111</v>
      </c>
      <c r="L43" s="71" t="n">
        <v>45997</v>
      </c>
    </row>
    <row r="44" customFormat="false" ht="55.2" hidden="false" customHeight="false" outlineLevel="0" collapsed="false">
      <c r="A44" s="70" t="s">
        <v>3004</v>
      </c>
      <c r="B44" s="71" t="n">
        <v>45997</v>
      </c>
      <c r="C44" s="72" t="n">
        <v>0.531944444444444</v>
      </c>
      <c r="D44" s="72" t="n">
        <v>0.531944444444444</v>
      </c>
      <c r="E44" s="60" t="s">
        <v>2884</v>
      </c>
      <c r="F44" s="60" t="s">
        <v>3001</v>
      </c>
      <c r="G44" s="60" t="s">
        <v>2896</v>
      </c>
      <c r="H44" s="60" t="n">
        <v>20251227</v>
      </c>
      <c r="I44" s="60" t="s">
        <v>3005</v>
      </c>
      <c r="J44" s="60" t="s">
        <v>3006</v>
      </c>
      <c r="K44" s="72" t="n">
        <v>0.579861111111111</v>
      </c>
      <c r="L44" s="71" t="n">
        <v>45997</v>
      </c>
    </row>
    <row r="45" customFormat="false" ht="28.35" hidden="false" customHeight="false" outlineLevel="0" collapsed="false">
      <c r="A45" s="70" t="s">
        <v>3007</v>
      </c>
      <c r="B45" s="71" t="n">
        <v>45997</v>
      </c>
      <c r="C45" s="72" t="n">
        <v>0.934027777777778</v>
      </c>
      <c r="D45" s="72" t="n">
        <v>0.934027777777778</v>
      </c>
      <c r="E45" s="60" t="s">
        <v>2873</v>
      </c>
      <c r="F45" s="60" t="s">
        <v>3008</v>
      </c>
      <c r="G45" s="60" t="s">
        <v>2880</v>
      </c>
      <c r="H45" s="60" t="n">
        <v>20251228</v>
      </c>
      <c r="I45" s="60" t="s">
        <v>2886</v>
      </c>
      <c r="J45" s="60" t="s">
        <v>3009</v>
      </c>
      <c r="K45" s="60"/>
      <c r="L45" s="60"/>
    </row>
    <row r="46" customFormat="false" ht="55.2" hidden="false" customHeight="false" outlineLevel="0" collapsed="false">
      <c r="A46" s="70" t="s">
        <v>2978</v>
      </c>
      <c r="B46" s="71" t="n">
        <v>45998</v>
      </c>
      <c r="C46" s="72" t="n">
        <v>0.253472222222222</v>
      </c>
      <c r="D46" s="72" t="n">
        <v>0.253472222222222</v>
      </c>
      <c r="E46" s="60" t="s">
        <v>230</v>
      </c>
      <c r="F46" s="60" t="s">
        <v>3010</v>
      </c>
      <c r="G46" s="60" t="s">
        <v>2880</v>
      </c>
      <c r="H46" s="60" t="n">
        <v>20251229</v>
      </c>
      <c r="I46" s="60" t="s">
        <v>2886</v>
      </c>
      <c r="J46" s="60" t="s">
        <v>3011</v>
      </c>
      <c r="K46" s="60"/>
      <c r="L46" s="60"/>
    </row>
    <row r="47" customFormat="false" ht="28.35" hidden="false" customHeight="false" outlineLevel="0" collapsed="false">
      <c r="A47" s="70" t="s">
        <v>2929</v>
      </c>
      <c r="B47" s="71" t="n">
        <v>45998</v>
      </c>
      <c r="C47" s="72" t="n">
        <v>0.277777777777778</v>
      </c>
      <c r="D47" s="72" t="n">
        <v>0.277777777777778</v>
      </c>
      <c r="E47" s="60" t="s">
        <v>230</v>
      </c>
      <c r="F47" s="60" t="s">
        <v>3012</v>
      </c>
      <c r="G47" s="60" t="s">
        <v>2896</v>
      </c>
      <c r="H47" s="60" t="n">
        <v>20251230</v>
      </c>
      <c r="I47" s="60" t="s">
        <v>3013</v>
      </c>
      <c r="J47" s="60" t="s">
        <v>3014</v>
      </c>
      <c r="K47" s="72" t="n">
        <v>0.290277777777778</v>
      </c>
      <c r="L47" s="71" t="n">
        <v>45998</v>
      </c>
    </row>
    <row r="48" customFormat="false" ht="55.2" hidden="false" customHeight="false" outlineLevel="0" collapsed="false">
      <c r="A48" s="70" t="s">
        <v>3015</v>
      </c>
      <c r="B48" s="71" t="n">
        <v>45998</v>
      </c>
      <c r="C48" s="72" t="n">
        <v>0.284722222222222</v>
      </c>
      <c r="D48" s="72" t="n">
        <v>0.284722222222222</v>
      </c>
      <c r="E48" s="60" t="s">
        <v>230</v>
      </c>
      <c r="F48" s="60" t="s">
        <v>3016</v>
      </c>
      <c r="G48" s="60" t="s">
        <v>2875</v>
      </c>
      <c r="H48" s="60" t="n">
        <v>20251231</v>
      </c>
      <c r="I48" s="60" t="s">
        <v>3017</v>
      </c>
      <c r="J48" s="60" t="s">
        <v>3018</v>
      </c>
      <c r="K48" s="72" t="n">
        <v>0.395833333333333</v>
      </c>
      <c r="L48" s="71" t="n">
        <v>45815</v>
      </c>
    </row>
    <row r="49" customFormat="false" ht="28.35" hidden="false" customHeight="false" outlineLevel="0" collapsed="false">
      <c r="A49" s="70" t="s">
        <v>3019</v>
      </c>
      <c r="B49" s="71" t="n">
        <v>45998</v>
      </c>
      <c r="C49" s="72" t="n">
        <v>0.295138888888889</v>
      </c>
      <c r="D49" s="72" t="n">
        <v>0.295138888888889</v>
      </c>
      <c r="E49" s="60" t="s">
        <v>230</v>
      </c>
      <c r="F49" s="60" t="s">
        <v>3012</v>
      </c>
      <c r="G49" s="60" t="s">
        <v>2896</v>
      </c>
      <c r="H49" s="60" t="n">
        <v>20251232</v>
      </c>
      <c r="I49" s="60" t="s">
        <v>3020</v>
      </c>
      <c r="J49" s="60" t="s">
        <v>3021</v>
      </c>
      <c r="K49" s="72" t="n">
        <v>0.351388888888889</v>
      </c>
      <c r="L49" s="71" t="n">
        <v>45998</v>
      </c>
    </row>
    <row r="50" customFormat="false" ht="41.75" hidden="false" customHeight="false" outlineLevel="0" collapsed="false">
      <c r="A50" s="70" t="s">
        <v>3022</v>
      </c>
      <c r="B50" s="71" t="n">
        <v>45998</v>
      </c>
      <c r="C50" s="72" t="n">
        <v>0.378472222222222</v>
      </c>
      <c r="D50" s="72" t="n">
        <v>0.378472222222222</v>
      </c>
      <c r="E50" s="60" t="s">
        <v>2873</v>
      </c>
      <c r="F50" s="60" t="s">
        <v>3008</v>
      </c>
      <c r="G50" s="60" t="s">
        <v>2875</v>
      </c>
      <c r="H50" s="60" t="n">
        <v>20251229</v>
      </c>
      <c r="I50" s="60" t="s">
        <v>3023</v>
      </c>
      <c r="J50" s="60" t="s">
        <v>2877</v>
      </c>
      <c r="K50" s="72" t="n">
        <v>0.69375</v>
      </c>
      <c r="L50" s="71" t="n">
        <v>45968</v>
      </c>
    </row>
    <row r="51" customFormat="false" ht="28.35" hidden="false" customHeight="false" outlineLevel="0" collapsed="false">
      <c r="A51" s="70" t="s">
        <v>2925</v>
      </c>
      <c r="B51" s="71" t="n">
        <v>45998</v>
      </c>
      <c r="C51" s="72" t="n">
        <v>0.565972222222222</v>
      </c>
      <c r="D51" s="72" t="n">
        <v>0.565972222222222</v>
      </c>
      <c r="E51" s="60" t="s">
        <v>2873</v>
      </c>
      <c r="F51" s="60" t="s">
        <v>3008</v>
      </c>
      <c r="G51" s="60" t="s">
        <v>3024</v>
      </c>
      <c r="H51" s="60" t="n">
        <v>20251230</v>
      </c>
      <c r="I51" s="60" t="s">
        <v>3025</v>
      </c>
      <c r="J51" s="60" t="s">
        <v>3026</v>
      </c>
      <c r="K51" s="72" t="n">
        <v>0.625</v>
      </c>
      <c r="L51" s="71" t="n">
        <v>45998</v>
      </c>
    </row>
    <row r="52" customFormat="false" ht="41.75" hidden="false" customHeight="false" outlineLevel="0" collapsed="false">
      <c r="A52" s="70" t="s">
        <v>39</v>
      </c>
      <c r="B52" s="71" t="n">
        <v>45998</v>
      </c>
      <c r="C52" s="72" t="n">
        <v>0.625</v>
      </c>
      <c r="D52" s="72" t="n">
        <v>0.625</v>
      </c>
      <c r="E52" s="60" t="s">
        <v>230</v>
      </c>
      <c r="F52" s="60" t="s">
        <v>2898</v>
      </c>
      <c r="G52" s="60" t="s">
        <v>2896</v>
      </c>
      <c r="H52" s="60" t="n">
        <v>20251233</v>
      </c>
      <c r="I52" s="60" t="s">
        <v>977</v>
      </c>
      <c r="J52" s="60" t="s">
        <v>3027</v>
      </c>
      <c r="K52" s="72" t="n">
        <v>0.489583333333333</v>
      </c>
      <c r="L52" s="71" t="n">
        <v>45999</v>
      </c>
    </row>
    <row r="53" customFormat="false" ht="41.75" hidden="false" customHeight="false" outlineLevel="0" collapsed="false">
      <c r="A53" s="70" t="s">
        <v>3028</v>
      </c>
      <c r="B53" s="71" t="n">
        <v>45998</v>
      </c>
      <c r="C53" s="72" t="n">
        <v>0.6875</v>
      </c>
      <c r="D53" s="72" t="n">
        <v>0.6875</v>
      </c>
      <c r="E53" s="60" t="s">
        <v>230</v>
      </c>
      <c r="F53" s="60" t="s">
        <v>2930</v>
      </c>
      <c r="G53" s="60" t="s">
        <v>2880</v>
      </c>
      <c r="H53" s="60" t="n">
        <v>20251234</v>
      </c>
      <c r="I53" s="60" t="s">
        <v>3029</v>
      </c>
      <c r="J53" s="60" t="s">
        <v>3011</v>
      </c>
      <c r="K53" s="60"/>
      <c r="L53" s="60"/>
    </row>
    <row r="54" customFormat="false" ht="95.5" hidden="false" customHeight="false" outlineLevel="0" collapsed="false">
      <c r="A54" s="70" t="s">
        <v>3030</v>
      </c>
      <c r="B54" s="71" t="n">
        <v>45998</v>
      </c>
      <c r="C54" s="72" t="n">
        <v>0.967361111111111</v>
      </c>
      <c r="D54" s="72" t="n">
        <v>0.967361111111111</v>
      </c>
      <c r="E54" s="60" t="s">
        <v>2873</v>
      </c>
      <c r="F54" s="60" t="s">
        <v>3031</v>
      </c>
      <c r="G54" s="60" t="s">
        <v>3032</v>
      </c>
      <c r="H54" s="60" t="n">
        <v>202511</v>
      </c>
      <c r="I54" s="60" t="s">
        <v>3033</v>
      </c>
      <c r="J54" s="60" t="s">
        <v>3034</v>
      </c>
      <c r="K54" s="60"/>
      <c r="L54" s="60"/>
    </row>
    <row r="55" customFormat="false" ht="55.2" hidden="false" customHeight="false" outlineLevel="0" collapsed="false">
      <c r="A55" s="70" t="s">
        <v>3035</v>
      </c>
      <c r="B55" s="71" t="n">
        <v>45999</v>
      </c>
      <c r="C55" s="72" t="n">
        <v>0.220833333333333</v>
      </c>
      <c r="D55" s="72" t="n">
        <v>0.220833333333333</v>
      </c>
      <c r="E55" s="60" t="s">
        <v>2873</v>
      </c>
      <c r="F55" s="60" t="s">
        <v>3036</v>
      </c>
      <c r="G55" s="60" t="s">
        <v>3032</v>
      </c>
      <c r="H55" s="60" t="n">
        <v>20251137</v>
      </c>
      <c r="I55" s="60" t="s">
        <v>3033</v>
      </c>
      <c r="J55" s="60" t="s">
        <v>3034</v>
      </c>
      <c r="K55" s="60"/>
      <c r="L55" s="60"/>
    </row>
    <row r="56" customFormat="false" ht="41.75" hidden="false" customHeight="false" outlineLevel="0" collapsed="false">
      <c r="A56" s="70" t="s">
        <v>3037</v>
      </c>
      <c r="B56" s="71" t="n">
        <v>45999</v>
      </c>
      <c r="C56" s="72" t="n">
        <v>0.240972222222222</v>
      </c>
      <c r="D56" s="72" t="n">
        <v>0.240972222222222</v>
      </c>
      <c r="E56" s="60" t="s">
        <v>230</v>
      </c>
      <c r="F56" s="60" t="s">
        <v>2905</v>
      </c>
      <c r="G56" s="60" t="s">
        <v>2964</v>
      </c>
      <c r="H56" s="60" t="n">
        <v>20251138</v>
      </c>
      <c r="I56" s="60" t="s">
        <v>3013</v>
      </c>
      <c r="J56" s="60" t="s">
        <v>3038</v>
      </c>
      <c r="K56" s="72" t="n">
        <v>0.246527777777778</v>
      </c>
      <c r="L56" s="81" t="n">
        <v>45999</v>
      </c>
    </row>
    <row r="57" customFormat="false" ht="41.75" hidden="false" customHeight="false" outlineLevel="0" collapsed="false">
      <c r="A57" s="70" t="s">
        <v>3039</v>
      </c>
      <c r="B57" s="71" t="n">
        <v>45999</v>
      </c>
      <c r="C57" s="72" t="n">
        <v>0.272222222222222</v>
      </c>
      <c r="D57" s="72" t="n">
        <v>0.272222222222222</v>
      </c>
      <c r="E57" s="60" t="s">
        <v>230</v>
      </c>
      <c r="F57" s="60" t="s">
        <v>2905</v>
      </c>
      <c r="G57" s="60" t="s">
        <v>2964</v>
      </c>
      <c r="H57" s="60" t="n">
        <v>20251239</v>
      </c>
      <c r="I57" s="60" t="s">
        <v>3040</v>
      </c>
      <c r="J57" s="60" t="s">
        <v>3041</v>
      </c>
      <c r="K57" s="72" t="n">
        <v>0.321527777777778</v>
      </c>
      <c r="L57" s="71" t="n">
        <v>45999</v>
      </c>
    </row>
    <row r="58" customFormat="false" ht="41.75" hidden="false" customHeight="false" outlineLevel="0" collapsed="false">
      <c r="A58" s="70" t="s">
        <v>3042</v>
      </c>
      <c r="B58" s="71" t="n">
        <v>45999</v>
      </c>
      <c r="C58" s="72" t="n">
        <v>0.298611111111111</v>
      </c>
      <c r="D58" s="72" t="n">
        <v>0.298611111111111</v>
      </c>
      <c r="E58" s="60" t="s">
        <v>230</v>
      </c>
      <c r="F58" s="60" t="s">
        <v>2905</v>
      </c>
      <c r="G58" s="60" t="s">
        <v>2875</v>
      </c>
      <c r="H58" s="60" t="n">
        <v>8405182</v>
      </c>
      <c r="I58" s="60" t="s">
        <v>3043</v>
      </c>
      <c r="J58" s="60" t="s">
        <v>3044</v>
      </c>
      <c r="K58" s="72" t="n">
        <v>0.579166666666667</v>
      </c>
      <c r="L58" s="71" t="n">
        <v>45999</v>
      </c>
    </row>
    <row r="59" customFormat="false" ht="41.75" hidden="false" customHeight="false" outlineLevel="0" collapsed="false">
      <c r="A59" s="70" t="s">
        <v>2940</v>
      </c>
      <c r="B59" s="71" t="n">
        <v>45999</v>
      </c>
      <c r="C59" s="60" t="s">
        <v>3045</v>
      </c>
      <c r="D59" s="60" t="s">
        <v>3045</v>
      </c>
      <c r="E59" s="60" t="s">
        <v>230</v>
      </c>
      <c r="F59" s="60" t="s">
        <v>2923</v>
      </c>
      <c r="G59" s="60" t="s">
        <v>3046</v>
      </c>
      <c r="H59" s="60" t="n">
        <v>8405459</v>
      </c>
      <c r="I59" s="60" t="s">
        <v>3047</v>
      </c>
      <c r="J59" s="60" t="s">
        <v>3048</v>
      </c>
      <c r="K59" s="60"/>
      <c r="L59" s="60"/>
    </row>
    <row r="60" customFormat="false" ht="55.2" hidden="false" customHeight="false" outlineLevel="0" collapsed="false">
      <c r="A60" s="70" t="s">
        <v>3049</v>
      </c>
      <c r="B60" s="71" t="n">
        <v>45999</v>
      </c>
      <c r="C60" s="72" t="n">
        <v>0.470833333333333</v>
      </c>
      <c r="D60" s="72" t="n">
        <v>0.470833333333333</v>
      </c>
      <c r="E60" s="60" t="s">
        <v>2996</v>
      </c>
      <c r="F60" s="60" t="s">
        <v>3050</v>
      </c>
      <c r="G60" s="60" t="s">
        <v>2875</v>
      </c>
      <c r="H60" s="60" t="n">
        <v>20251240</v>
      </c>
      <c r="I60" s="60" t="s">
        <v>2998</v>
      </c>
      <c r="J60" s="60" t="s">
        <v>2877</v>
      </c>
      <c r="K60" s="72" t="n">
        <v>0.476388888888889</v>
      </c>
      <c r="L60" s="71" t="n">
        <v>45999</v>
      </c>
    </row>
    <row r="61" customFormat="false" ht="28.35" hidden="false" customHeight="false" outlineLevel="0" collapsed="false">
      <c r="A61" s="70" t="s">
        <v>3051</v>
      </c>
      <c r="B61" s="71" t="n">
        <v>45999</v>
      </c>
      <c r="C61" s="72" t="n">
        <v>0.558333333333333</v>
      </c>
      <c r="D61" s="72" t="n">
        <v>0.558333333333333</v>
      </c>
      <c r="E61" s="60" t="s">
        <v>2873</v>
      </c>
      <c r="F61" s="60" t="s">
        <v>3050</v>
      </c>
      <c r="G61" s="60" t="s">
        <v>2875</v>
      </c>
      <c r="H61" s="60" t="n">
        <v>20251241</v>
      </c>
      <c r="I61" s="60" t="s">
        <v>3052</v>
      </c>
      <c r="J61" s="60" t="s">
        <v>3053</v>
      </c>
      <c r="K61" s="72" t="n">
        <v>0.583333333333333</v>
      </c>
      <c r="L61" s="71" t="n">
        <v>45999</v>
      </c>
    </row>
    <row r="62" customFormat="false" ht="28.35" hidden="false" customHeight="false" outlineLevel="0" collapsed="false">
      <c r="A62" s="70" t="s">
        <v>3007</v>
      </c>
      <c r="B62" s="71" t="n">
        <v>45999</v>
      </c>
      <c r="C62" s="72" t="n">
        <v>0.989583333333333</v>
      </c>
      <c r="D62" s="72" t="n">
        <v>0.989583333333333</v>
      </c>
      <c r="E62" s="60" t="s">
        <v>2873</v>
      </c>
      <c r="F62" s="60" t="s">
        <v>3054</v>
      </c>
      <c r="G62" s="60" t="s">
        <v>2875</v>
      </c>
      <c r="H62" s="60" t="n">
        <v>20251242</v>
      </c>
      <c r="I62" s="60" t="s">
        <v>3055</v>
      </c>
      <c r="J62" s="60" t="s">
        <v>3056</v>
      </c>
      <c r="K62" s="72" t="n">
        <v>0.25</v>
      </c>
      <c r="L62" s="71" t="n">
        <v>46000</v>
      </c>
    </row>
    <row r="63" customFormat="false" ht="41.75" hidden="false" customHeight="false" outlineLevel="0" collapsed="false">
      <c r="A63" s="70" t="s">
        <v>3057</v>
      </c>
      <c r="B63" s="71" t="n">
        <v>46000</v>
      </c>
      <c r="C63" s="72" t="n">
        <v>0.267361111111111</v>
      </c>
      <c r="D63" s="72" t="n">
        <v>0.267361111111111</v>
      </c>
      <c r="E63" s="60" t="s">
        <v>230</v>
      </c>
      <c r="F63" s="60" t="s">
        <v>2930</v>
      </c>
      <c r="G63" s="60" t="s">
        <v>2875</v>
      </c>
      <c r="H63" s="60" t="n">
        <v>20251243</v>
      </c>
      <c r="I63" s="60" t="s">
        <v>3058</v>
      </c>
      <c r="J63" s="60" t="s">
        <v>3059</v>
      </c>
      <c r="K63" s="72" t="n">
        <v>0.364583333333333</v>
      </c>
      <c r="L63" s="71" t="n">
        <v>46000</v>
      </c>
    </row>
    <row r="64" customFormat="false" ht="68.65" hidden="false" customHeight="false" outlineLevel="0" collapsed="false">
      <c r="A64" s="70" t="s">
        <v>3060</v>
      </c>
      <c r="B64" s="71" t="n">
        <v>46000</v>
      </c>
      <c r="C64" s="72" t="n">
        <v>0.333333333333333</v>
      </c>
      <c r="D64" s="72" t="n">
        <v>0.333333333333333</v>
      </c>
      <c r="E64" s="60" t="s">
        <v>2959</v>
      </c>
      <c r="F64" s="60" t="s">
        <v>2972</v>
      </c>
      <c r="G64" s="60" t="s">
        <v>2880</v>
      </c>
      <c r="H64" s="60" t="n">
        <v>8350915</v>
      </c>
      <c r="I64" s="60" t="s">
        <v>3061</v>
      </c>
      <c r="J64" s="60" t="s">
        <v>3062</v>
      </c>
      <c r="K64" s="60"/>
      <c r="L64" s="60"/>
    </row>
    <row r="65" customFormat="false" ht="68.65" hidden="false" customHeight="false" outlineLevel="0" collapsed="false">
      <c r="A65" s="70" t="s">
        <v>3063</v>
      </c>
      <c r="B65" s="71" t="n">
        <v>46000</v>
      </c>
      <c r="C65" s="72" t="n">
        <v>0.333333333333333</v>
      </c>
      <c r="D65" s="72" t="n">
        <v>0.333333333333333</v>
      </c>
      <c r="E65" s="60" t="s">
        <v>2959</v>
      </c>
      <c r="F65" s="60" t="s">
        <v>2972</v>
      </c>
      <c r="G65" s="60" t="s">
        <v>2896</v>
      </c>
      <c r="H65" s="60" t="n">
        <v>8350915</v>
      </c>
      <c r="I65" s="60" t="s">
        <v>3061</v>
      </c>
      <c r="J65" s="60" t="s">
        <v>863</v>
      </c>
      <c r="K65" s="72" t="n">
        <v>0.430555555555556</v>
      </c>
      <c r="L65" s="71" t="n">
        <v>46000</v>
      </c>
    </row>
    <row r="66" customFormat="false" ht="28.35" hidden="false" customHeight="false" outlineLevel="0" collapsed="false">
      <c r="A66" s="70" t="s">
        <v>3064</v>
      </c>
      <c r="B66" s="71" t="n">
        <v>45970</v>
      </c>
      <c r="C66" s="72" t="n">
        <v>0.345138888888889</v>
      </c>
      <c r="D66" s="72" t="n">
        <v>0.345138888888889</v>
      </c>
      <c r="E66" s="60" t="s">
        <v>230</v>
      </c>
      <c r="F66" s="60" t="s">
        <v>3065</v>
      </c>
      <c r="G66" s="60" t="s">
        <v>2880</v>
      </c>
      <c r="H66" s="60" t="n">
        <v>20251244</v>
      </c>
      <c r="I66" s="60" t="s">
        <v>3066</v>
      </c>
      <c r="J66" s="60" t="s">
        <v>3067</v>
      </c>
      <c r="K66" s="60"/>
      <c r="L66" s="60"/>
    </row>
    <row r="67" customFormat="false" ht="68.65" hidden="false" customHeight="false" outlineLevel="0" collapsed="false">
      <c r="A67" s="70" t="s">
        <v>3068</v>
      </c>
      <c r="B67" s="71" t="n">
        <v>46000</v>
      </c>
      <c r="C67" s="72" t="n">
        <v>0.434027777777778</v>
      </c>
      <c r="D67" s="72" t="n">
        <v>0.434027777777778</v>
      </c>
      <c r="E67" s="60" t="s">
        <v>2959</v>
      </c>
      <c r="F67" s="60" t="s">
        <v>2972</v>
      </c>
      <c r="G67" s="60" t="s">
        <v>2896</v>
      </c>
      <c r="H67" s="60" t="n">
        <v>8350915</v>
      </c>
      <c r="I67" s="60" t="s">
        <v>3061</v>
      </c>
      <c r="J67" s="60" t="s">
        <v>863</v>
      </c>
      <c r="K67" s="72" t="n">
        <v>0.493055555555556</v>
      </c>
      <c r="L67" s="71" t="n">
        <v>46000</v>
      </c>
    </row>
    <row r="68" customFormat="false" ht="68.65" hidden="false" customHeight="false" outlineLevel="0" collapsed="false">
      <c r="A68" s="70" t="s">
        <v>3069</v>
      </c>
      <c r="B68" s="71" t="n">
        <v>45970</v>
      </c>
      <c r="C68" s="72" t="n">
        <v>0.4375</v>
      </c>
      <c r="D68" s="72" t="n">
        <v>0.4375</v>
      </c>
      <c r="E68" s="60" t="s">
        <v>2884</v>
      </c>
      <c r="F68" s="60" t="s">
        <v>3070</v>
      </c>
      <c r="G68" s="60" t="s">
        <v>2875</v>
      </c>
      <c r="H68" s="60" t="n">
        <v>20251245</v>
      </c>
      <c r="I68" s="60" t="s">
        <v>979</v>
      </c>
      <c r="J68" s="60" t="s">
        <v>3067</v>
      </c>
      <c r="K68" s="72" t="n">
        <v>0.444444444444444</v>
      </c>
      <c r="L68" s="71" t="n">
        <v>46000</v>
      </c>
    </row>
    <row r="69" customFormat="false" ht="41.75" hidden="false" customHeight="false" outlineLevel="0" collapsed="false">
      <c r="A69" s="70" t="s">
        <v>3057</v>
      </c>
      <c r="B69" s="71" t="n">
        <v>46000</v>
      </c>
      <c r="C69" s="72" t="n">
        <v>0.509027777777778</v>
      </c>
      <c r="D69" s="72" t="n">
        <v>0.509027777777778</v>
      </c>
      <c r="E69" s="60" t="s">
        <v>230</v>
      </c>
      <c r="F69" s="60" t="s">
        <v>2930</v>
      </c>
      <c r="G69" s="60" t="s">
        <v>2875</v>
      </c>
      <c r="H69" s="60" t="n">
        <v>20251246</v>
      </c>
      <c r="I69" s="60" t="s">
        <v>3058</v>
      </c>
      <c r="J69" s="60" t="s">
        <v>3071</v>
      </c>
      <c r="K69" s="72" t="n">
        <v>0.627083333333333</v>
      </c>
      <c r="L69" s="71" t="n">
        <v>46000</v>
      </c>
    </row>
    <row r="70" customFormat="false" ht="55.2" hidden="false" customHeight="false" outlineLevel="0" collapsed="false">
      <c r="A70" s="70" t="s">
        <v>2901</v>
      </c>
      <c r="B70" s="71" t="n">
        <v>46000</v>
      </c>
      <c r="C70" s="72" t="n">
        <v>0.548611111111111</v>
      </c>
      <c r="D70" s="72" t="n">
        <v>0.548611111111111</v>
      </c>
      <c r="E70" s="60" t="s">
        <v>230</v>
      </c>
      <c r="F70" s="60" t="s">
        <v>2930</v>
      </c>
      <c r="G70" s="60" t="s">
        <v>2880</v>
      </c>
      <c r="H70" s="60" t="n">
        <v>20251247</v>
      </c>
      <c r="I70" s="60" t="s">
        <v>3072</v>
      </c>
      <c r="J70" s="60" t="s">
        <v>3073</v>
      </c>
      <c r="K70" s="60"/>
      <c r="L70" s="60"/>
    </row>
    <row r="71" customFormat="false" ht="68.65" hidden="false" customHeight="false" outlineLevel="0" collapsed="false">
      <c r="A71" s="70" t="s">
        <v>3074</v>
      </c>
      <c r="B71" s="71" t="n">
        <v>46000</v>
      </c>
      <c r="C71" s="72" t="n">
        <v>0.559027777777778</v>
      </c>
      <c r="D71" s="72" t="n">
        <v>0.559027777777778</v>
      </c>
      <c r="E71" s="60" t="s">
        <v>2959</v>
      </c>
      <c r="F71" s="60" t="s">
        <v>2972</v>
      </c>
      <c r="G71" s="60" t="s">
        <v>2896</v>
      </c>
      <c r="H71" s="60" t="n">
        <v>8350915</v>
      </c>
      <c r="I71" s="60" t="s">
        <v>3061</v>
      </c>
      <c r="J71" s="60" t="s">
        <v>863</v>
      </c>
      <c r="K71" s="72" t="n">
        <v>0.638888888888889</v>
      </c>
      <c r="L71" s="71" t="n">
        <v>46000</v>
      </c>
    </row>
    <row r="72" customFormat="false" ht="68.65" hidden="false" customHeight="false" outlineLevel="0" collapsed="false">
      <c r="A72" s="70" t="s">
        <v>3075</v>
      </c>
      <c r="B72" s="71" t="n">
        <v>46001</v>
      </c>
      <c r="C72" s="72" t="n">
        <v>0.254166666666667</v>
      </c>
      <c r="D72" s="72" t="n">
        <v>0.254166666666667</v>
      </c>
      <c r="E72" s="60" t="s">
        <v>2895</v>
      </c>
      <c r="F72" s="60" t="s">
        <v>3076</v>
      </c>
      <c r="G72" s="60" t="s">
        <v>2896</v>
      </c>
      <c r="H72" s="60" t="n">
        <v>20251248</v>
      </c>
      <c r="I72" s="60" t="s">
        <v>686</v>
      </c>
      <c r="J72" s="60" t="s">
        <v>3077</v>
      </c>
      <c r="K72" s="72" t="n">
        <v>0.304166666666667</v>
      </c>
      <c r="L72" s="71" t="n">
        <v>46001</v>
      </c>
    </row>
    <row r="73" customFormat="false" ht="68.65" hidden="false" customHeight="false" outlineLevel="0" collapsed="false">
      <c r="A73" s="70" t="s">
        <v>3078</v>
      </c>
      <c r="B73" s="71" t="n">
        <v>46001</v>
      </c>
      <c r="C73" s="72" t="n">
        <v>0.341666666666667</v>
      </c>
      <c r="D73" s="72" t="n">
        <v>0.341666666666667</v>
      </c>
      <c r="E73" s="60" t="s">
        <v>2959</v>
      </c>
      <c r="F73" s="60" t="s">
        <v>2972</v>
      </c>
      <c r="G73" s="60" t="s">
        <v>2896</v>
      </c>
      <c r="H73" s="60" t="n">
        <v>8350901</v>
      </c>
      <c r="I73" s="60" t="s">
        <v>3061</v>
      </c>
      <c r="J73" s="60" t="s">
        <v>863</v>
      </c>
      <c r="K73" s="72" t="n">
        <v>0.413194444444444</v>
      </c>
      <c r="L73" s="71" t="n">
        <v>46001</v>
      </c>
    </row>
    <row r="74" customFormat="false" ht="68.65" hidden="false" customHeight="false" outlineLevel="0" collapsed="false">
      <c r="A74" s="70" t="s">
        <v>3060</v>
      </c>
      <c r="B74" s="71" t="n">
        <v>46001</v>
      </c>
      <c r="C74" s="72" t="n">
        <v>0.414583333333333</v>
      </c>
      <c r="D74" s="72" t="n">
        <v>0.414583333333333</v>
      </c>
      <c r="E74" s="60" t="s">
        <v>2959</v>
      </c>
      <c r="F74" s="60" t="s">
        <v>2972</v>
      </c>
      <c r="G74" s="60" t="s">
        <v>2896</v>
      </c>
      <c r="H74" s="60" t="n">
        <v>8350901</v>
      </c>
      <c r="I74" s="60" t="s">
        <v>3061</v>
      </c>
      <c r="J74" s="60" t="s">
        <v>863</v>
      </c>
      <c r="K74" s="72" t="n">
        <v>0.491666666666667</v>
      </c>
      <c r="L74" s="71" t="n">
        <v>46001</v>
      </c>
    </row>
    <row r="75" customFormat="false" ht="41.75" hidden="false" customHeight="false" outlineLevel="0" collapsed="false">
      <c r="A75" s="70" t="s">
        <v>3057</v>
      </c>
      <c r="B75" s="71" t="n">
        <v>46001</v>
      </c>
      <c r="C75" s="72" t="n">
        <v>0.506944444444444</v>
      </c>
      <c r="D75" s="72" t="n">
        <v>0.506944444444444</v>
      </c>
      <c r="E75" s="60" t="s">
        <v>230</v>
      </c>
      <c r="F75" s="60" t="s">
        <v>2930</v>
      </c>
      <c r="G75" s="60" t="s">
        <v>3079</v>
      </c>
      <c r="H75" s="60" t="n">
        <v>8417202</v>
      </c>
      <c r="I75" s="60" t="s">
        <v>3080</v>
      </c>
      <c r="J75" s="60" t="s">
        <v>3081</v>
      </c>
      <c r="K75" s="60"/>
      <c r="L75" s="60"/>
    </row>
    <row r="76" customFormat="false" ht="68.65" hidden="false" customHeight="false" outlineLevel="0" collapsed="false">
      <c r="A76" s="70" t="s">
        <v>3082</v>
      </c>
      <c r="B76" s="71" t="n">
        <v>46001</v>
      </c>
      <c r="C76" s="72" t="n">
        <v>0.569444444444444</v>
      </c>
      <c r="D76" s="72" t="n">
        <v>0.569444444444444</v>
      </c>
      <c r="E76" s="60" t="s">
        <v>2959</v>
      </c>
      <c r="F76" s="60" t="s">
        <v>2972</v>
      </c>
      <c r="G76" s="60" t="s">
        <v>2896</v>
      </c>
      <c r="H76" s="60" t="n">
        <v>8350901</v>
      </c>
      <c r="I76" s="60" t="s">
        <v>3061</v>
      </c>
      <c r="J76" s="60" t="s">
        <v>863</v>
      </c>
      <c r="K76" s="72" t="n">
        <v>0.645833333333333</v>
      </c>
      <c r="L76" s="71" t="n">
        <v>46001</v>
      </c>
    </row>
    <row r="77" customFormat="false" ht="135.8" hidden="false" customHeight="false" outlineLevel="0" collapsed="false">
      <c r="A77" s="70" t="s">
        <v>738</v>
      </c>
      <c r="B77" s="71" t="n">
        <v>46001</v>
      </c>
      <c r="C77" s="72" t="n">
        <v>0.583333333333333</v>
      </c>
      <c r="D77" s="72" t="n">
        <v>0.583333333333333</v>
      </c>
      <c r="E77" s="60" t="s">
        <v>230</v>
      </c>
      <c r="F77" s="60" t="s">
        <v>3083</v>
      </c>
      <c r="G77" s="60" t="s">
        <v>2896</v>
      </c>
      <c r="H77" s="60"/>
      <c r="I77" s="60" t="s">
        <v>3084</v>
      </c>
      <c r="J77" s="60" t="s">
        <v>3085</v>
      </c>
      <c r="K77" s="72" t="n">
        <v>0.75</v>
      </c>
      <c r="L77" s="71" t="n">
        <v>46001</v>
      </c>
    </row>
    <row r="78" customFormat="false" ht="68.65" hidden="false" customHeight="false" outlineLevel="0" collapsed="false">
      <c r="A78" s="70" t="s">
        <v>3086</v>
      </c>
      <c r="B78" s="71" t="n">
        <v>46001</v>
      </c>
      <c r="C78" s="72" t="n">
        <v>0.597222222222222</v>
      </c>
      <c r="D78" s="72" t="n">
        <v>0.597222222222222</v>
      </c>
      <c r="E78" s="60" t="s">
        <v>2959</v>
      </c>
      <c r="F78" s="60" t="s">
        <v>2972</v>
      </c>
      <c r="G78" s="60" t="s">
        <v>2875</v>
      </c>
      <c r="H78" s="60" t="n">
        <v>8417247</v>
      </c>
      <c r="I78" s="60" t="s">
        <v>3087</v>
      </c>
      <c r="J78" s="60" t="s">
        <v>3088</v>
      </c>
      <c r="K78" s="72" t="n">
        <v>0.71875</v>
      </c>
      <c r="L78" s="71" t="n">
        <v>46001</v>
      </c>
    </row>
    <row r="79" customFormat="false" ht="28.35" hidden="false" customHeight="false" outlineLevel="0" collapsed="false">
      <c r="A79" s="70" t="s">
        <v>3089</v>
      </c>
      <c r="B79" s="71" t="n">
        <v>46001</v>
      </c>
      <c r="C79" s="72" t="n">
        <v>0.704861111111111</v>
      </c>
      <c r="D79" s="72" t="n">
        <v>0.704861111111111</v>
      </c>
      <c r="E79" s="60" t="s">
        <v>2873</v>
      </c>
      <c r="F79" s="60" t="s">
        <v>2874</v>
      </c>
      <c r="G79" s="60" t="s">
        <v>3032</v>
      </c>
      <c r="H79" s="60" t="n">
        <v>20251249</v>
      </c>
      <c r="I79" s="60" t="s">
        <v>3033</v>
      </c>
      <c r="J79" s="60" t="s">
        <v>3034</v>
      </c>
      <c r="K79" s="60"/>
      <c r="L79" s="60"/>
    </row>
    <row r="80" customFormat="false" ht="55.2" hidden="false" customHeight="false" outlineLevel="0" collapsed="false">
      <c r="A80" s="70" t="s">
        <v>3090</v>
      </c>
      <c r="B80" s="71" t="n">
        <v>46001</v>
      </c>
      <c r="C80" s="72" t="n">
        <v>0.750694444444444</v>
      </c>
      <c r="D80" s="72" t="n">
        <v>0.750694444444444</v>
      </c>
      <c r="E80" s="60" t="s">
        <v>2895</v>
      </c>
      <c r="F80" s="60" t="s">
        <v>2874</v>
      </c>
      <c r="G80" s="60" t="s">
        <v>2896</v>
      </c>
      <c r="H80" s="60" t="n">
        <v>20251250</v>
      </c>
      <c r="I80" s="60" t="s">
        <v>3091</v>
      </c>
      <c r="J80" s="60" t="s">
        <v>3092</v>
      </c>
      <c r="K80" s="72" t="n">
        <v>0.5</v>
      </c>
      <c r="L80" s="71" t="n">
        <v>45941</v>
      </c>
    </row>
    <row r="81" customFormat="false" ht="55.2" hidden="false" customHeight="false" outlineLevel="0" collapsed="false">
      <c r="A81" s="70" t="s">
        <v>3093</v>
      </c>
      <c r="B81" s="71" t="n">
        <v>46002</v>
      </c>
      <c r="C81" s="72" t="n">
        <v>0.000694444444444445</v>
      </c>
      <c r="D81" s="72" t="n">
        <v>0.000694444444444445</v>
      </c>
      <c r="E81" s="60" t="s">
        <v>2895</v>
      </c>
      <c r="F81" s="60" t="s">
        <v>2874</v>
      </c>
      <c r="G81" s="60" t="s">
        <v>2875</v>
      </c>
      <c r="H81" s="60" t="n">
        <v>20251251</v>
      </c>
      <c r="I81" s="60" t="s">
        <v>3094</v>
      </c>
      <c r="J81" s="60" t="s">
        <v>3095</v>
      </c>
      <c r="K81" s="72" t="n">
        <v>0.3125</v>
      </c>
      <c r="L81" s="71" t="n">
        <v>46002</v>
      </c>
    </row>
    <row r="82" customFormat="false" ht="55.2" hidden="false" customHeight="false" outlineLevel="0" collapsed="false">
      <c r="A82" s="70" t="s">
        <v>3096</v>
      </c>
      <c r="B82" s="71" t="n">
        <v>46002</v>
      </c>
      <c r="C82" s="72" t="n">
        <v>0.256944444444444</v>
      </c>
      <c r="D82" s="72" t="n">
        <v>0.256944444444444</v>
      </c>
      <c r="E82" s="60" t="s">
        <v>230</v>
      </c>
      <c r="F82" s="60" t="s">
        <v>2874</v>
      </c>
      <c r="G82" s="60" t="s">
        <v>2875</v>
      </c>
      <c r="H82" s="60" t="n">
        <v>20251252</v>
      </c>
      <c r="I82" s="60" t="s">
        <v>3043</v>
      </c>
      <c r="J82" s="60" t="s">
        <v>3097</v>
      </c>
      <c r="K82" s="72" t="n">
        <v>0.510416666666667</v>
      </c>
      <c r="L82" s="71" t="n">
        <v>46002</v>
      </c>
    </row>
    <row r="83" customFormat="false" ht="41.75" hidden="false" customHeight="false" outlineLevel="0" collapsed="false">
      <c r="A83" s="70" t="s">
        <v>3098</v>
      </c>
      <c r="B83" s="71" t="n">
        <v>46002</v>
      </c>
      <c r="C83" s="72" t="n">
        <v>0.263888888888889</v>
      </c>
      <c r="D83" s="72" t="n">
        <v>0.263888888888889</v>
      </c>
      <c r="E83" s="60" t="s">
        <v>230</v>
      </c>
      <c r="F83" s="60" t="s">
        <v>2874</v>
      </c>
      <c r="G83" s="60" t="s">
        <v>2875</v>
      </c>
      <c r="H83" s="60" t="n">
        <v>20251253</v>
      </c>
      <c r="I83" s="60" t="s">
        <v>3099</v>
      </c>
      <c r="J83" s="60" t="s">
        <v>3100</v>
      </c>
      <c r="K83" s="72" t="n">
        <v>0.395833333333333</v>
      </c>
      <c r="L83" s="71" t="n">
        <v>46002</v>
      </c>
    </row>
    <row r="84" customFormat="false" ht="68.65" hidden="false" customHeight="false" outlineLevel="0" collapsed="false">
      <c r="A84" s="70" t="s">
        <v>3101</v>
      </c>
      <c r="B84" s="71" t="n">
        <v>46002</v>
      </c>
      <c r="C84" s="72" t="n">
        <v>0.340277777777778</v>
      </c>
      <c r="D84" s="72" t="n">
        <v>0.340277777777778</v>
      </c>
      <c r="E84" s="60" t="s">
        <v>2959</v>
      </c>
      <c r="F84" s="60" t="s">
        <v>2972</v>
      </c>
      <c r="G84" s="60" t="s">
        <v>2875</v>
      </c>
      <c r="H84" s="60" t="n">
        <v>8417247</v>
      </c>
      <c r="I84" s="60" t="s">
        <v>3087</v>
      </c>
      <c r="J84" s="60" t="s">
        <v>3088</v>
      </c>
      <c r="K84" s="72" t="n">
        <v>0.465277777777778</v>
      </c>
      <c r="L84" s="71" t="n">
        <v>46002</v>
      </c>
    </row>
    <row r="85" customFormat="false" ht="28.35" hidden="false" customHeight="false" outlineLevel="0" collapsed="false">
      <c r="A85" s="70" t="s">
        <v>3102</v>
      </c>
      <c r="B85" s="71" t="n">
        <v>46002</v>
      </c>
      <c r="C85" s="72" t="n">
        <v>0.465277777777778</v>
      </c>
      <c r="D85" s="72" t="n">
        <v>0.465277777777778</v>
      </c>
      <c r="E85" s="60" t="s">
        <v>2873</v>
      </c>
      <c r="F85" s="60" t="s">
        <v>2874</v>
      </c>
      <c r="G85" s="60" t="s">
        <v>3032</v>
      </c>
      <c r="H85" s="60" t="n">
        <v>20251252</v>
      </c>
      <c r="I85" s="60" t="s">
        <v>3033</v>
      </c>
      <c r="J85" s="60" t="s">
        <v>3034</v>
      </c>
      <c r="K85" s="60"/>
      <c r="L85" s="60"/>
    </row>
    <row r="86" customFormat="false" ht="68.65" hidden="false" customHeight="false" outlineLevel="0" collapsed="false">
      <c r="A86" s="70" t="s">
        <v>3103</v>
      </c>
      <c r="B86" s="71" t="n">
        <v>46002</v>
      </c>
      <c r="C86" s="72" t="n">
        <v>0.561805555555556</v>
      </c>
      <c r="D86" s="72" t="n">
        <v>0.561805555555556</v>
      </c>
      <c r="E86" s="60" t="s">
        <v>2959</v>
      </c>
      <c r="F86" s="60" t="s">
        <v>2972</v>
      </c>
      <c r="G86" s="60" t="s">
        <v>2875</v>
      </c>
      <c r="H86" s="60" t="n">
        <v>18376</v>
      </c>
      <c r="I86" s="60" t="s">
        <v>3087</v>
      </c>
      <c r="J86" s="60" t="s">
        <v>3088</v>
      </c>
      <c r="K86" s="72" t="n">
        <v>0.784722222222222</v>
      </c>
      <c r="L86" s="71" t="n">
        <v>46002</v>
      </c>
    </row>
    <row r="87" customFormat="false" ht="55.2" hidden="false" customHeight="false" outlineLevel="0" collapsed="false">
      <c r="A87" s="70" t="s">
        <v>3104</v>
      </c>
      <c r="B87" s="71" t="n">
        <v>46002</v>
      </c>
      <c r="C87" s="72" t="n">
        <v>0.763888888888889</v>
      </c>
      <c r="D87" s="72" t="n">
        <v>0.763888888888889</v>
      </c>
      <c r="E87" s="60" t="s">
        <v>2895</v>
      </c>
      <c r="F87" s="60" t="s">
        <v>2874</v>
      </c>
      <c r="G87" s="60" t="s">
        <v>2896</v>
      </c>
      <c r="H87" s="60" t="n">
        <v>20251254</v>
      </c>
      <c r="I87" s="60" t="s">
        <v>3105</v>
      </c>
      <c r="J87" s="60" t="s">
        <v>3106</v>
      </c>
      <c r="K87" s="72" t="n">
        <v>0.368055555555556</v>
      </c>
      <c r="L87" s="71" t="n">
        <v>46003</v>
      </c>
    </row>
    <row r="88" customFormat="false" ht="68.65" hidden="false" customHeight="false" outlineLevel="0" collapsed="false">
      <c r="A88" s="70" t="s">
        <v>3107</v>
      </c>
      <c r="B88" s="71" t="n">
        <v>46002</v>
      </c>
      <c r="C88" s="72" t="n">
        <v>0.907638888888889</v>
      </c>
      <c r="D88" s="72" t="n">
        <v>0.907638888888889</v>
      </c>
      <c r="E88" s="60" t="s">
        <v>2895</v>
      </c>
      <c r="F88" s="60" t="s">
        <v>3108</v>
      </c>
      <c r="G88" s="60" t="s">
        <v>2896</v>
      </c>
      <c r="H88" s="60" t="n">
        <v>20251255</v>
      </c>
      <c r="I88" s="60" t="s">
        <v>3109</v>
      </c>
      <c r="J88" s="60" t="s">
        <v>3110</v>
      </c>
      <c r="K88" s="72" t="n">
        <v>0.941666666666667</v>
      </c>
      <c r="L88" s="71" t="n">
        <v>46002</v>
      </c>
    </row>
    <row r="89" customFormat="false" ht="41.75" hidden="false" customHeight="false" outlineLevel="0" collapsed="false">
      <c r="A89" s="70" t="s">
        <v>3111</v>
      </c>
      <c r="B89" s="71" t="n">
        <v>46003</v>
      </c>
      <c r="C89" s="72" t="n">
        <v>0.170833333333333</v>
      </c>
      <c r="D89" s="72" t="n">
        <v>0.170833333333333</v>
      </c>
      <c r="E89" s="60" t="s">
        <v>230</v>
      </c>
      <c r="F89" s="60" t="s">
        <v>2905</v>
      </c>
      <c r="G89" s="60" t="s">
        <v>2896</v>
      </c>
      <c r="H89" s="60" t="n">
        <v>20251256</v>
      </c>
      <c r="I89" s="60" t="s">
        <v>3112</v>
      </c>
      <c r="J89" s="60" t="s">
        <v>3113</v>
      </c>
      <c r="K89" s="72" t="n">
        <v>0.309722222222222</v>
      </c>
      <c r="L89" s="71" t="n">
        <v>46003</v>
      </c>
    </row>
    <row r="90" customFormat="false" ht="68.65" hidden="false" customHeight="false" outlineLevel="0" collapsed="false">
      <c r="A90" s="70" t="s">
        <v>3114</v>
      </c>
      <c r="B90" s="71" t="n">
        <v>46003</v>
      </c>
      <c r="C90" s="72" t="n">
        <v>0.222222222222222</v>
      </c>
      <c r="D90" s="72" t="n">
        <v>0.222222222222222</v>
      </c>
      <c r="E90" s="60" t="s">
        <v>2895</v>
      </c>
      <c r="F90" s="60" t="s">
        <v>3115</v>
      </c>
      <c r="G90" s="60" t="s">
        <v>2896</v>
      </c>
      <c r="H90" s="60" t="n">
        <v>20251257</v>
      </c>
      <c r="I90" s="60" t="s">
        <v>3116</v>
      </c>
      <c r="J90" s="60" t="s">
        <v>3117</v>
      </c>
      <c r="K90" s="72" t="n">
        <v>0.346527777777778</v>
      </c>
      <c r="L90" s="71" t="n">
        <v>46003</v>
      </c>
    </row>
    <row r="91" customFormat="false" ht="55.2" hidden="false" customHeight="false" outlineLevel="0" collapsed="false">
      <c r="A91" s="70" t="s">
        <v>3118</v>
      </c>
      <c r="B91" s="71" t="n">
        <v>46003</v>
      </c>
      <c r="C91" s="72" t="n">
        <v>0.350694444444444</v>
      </c>
      <c r="D91" s="72" t="n">
        <v>0.350694444444444</v>
      </c>
      <c r="E91" s="60" t="s">
        <v>2895</v>
      </c>
      <c r="F91" s="60" t="s">
        <v>3050</v>
      </c>
      <c r="G91" s="60" t="s">
        <v>2964</v>
      </c>
      <c r="H91" s="60" t="n">
        <v>20251258</v>
      </c>
      <c r="I91" s="60" t="s">
        <v>2050</v>
      </c>
      <c r="J91" s="60" t="s">
        <v>3119</v>
      </c>
      <c r="K91" s="72" t="n">
        <v>0.399305555555556</v>
      </c>
      <c r="L91" s="71" t="n">
        <v>46003</v>
      </c>
    </row>
    <row r="92" customFormat="false" ht="41.75" hidden="false" customHeight="false" outlineLevel="0" collapsed="false">
      <c r="A92" s="70" t="s">
        <v>3120</v>
      </c>
      <c r="B92" s="71" t="n">
        <v>46003</v>
      </c>
      <c r="C92" s="72" t="n">
        <v>0.506944444444444</v>
      </c>
      <c r="D92" s="72" t="n">
        <v>0.506944444444444</v>
      </c>
      <c r="E92" s="60" t="s">
        <v>2895</v>
      </c>
      <c r="F92" s="60" t="s">
        <v>3050</v>
      </c>
      <c r="G92" s="60" t="s">
        <v>2875</v>
      </c>
      <c r="H92" s="60" t="n">
        <v>8428320</v>
      </c>
      <c r="I92" s="60" t="s">
        <v>3121</v>
      </c>
      <c r="J92" s="60" t="s">
        <v>3122</v>
      </c>
      <c r="K92" s="72" t="n">
        <v>0.559027777777778</v>
      </c>
      <c r="L92" s="71" t="n">
        <v>46003</v>
      </c>
    </row>
    <row r="93" customFormat="false" ht="41.75" hidden="false" customHeight="false" outlineLevel="0" collapsed="false">
      <c r="A93" s="70" t="s">
        <v>3101</v>
      </c>
      <c r="B93" s="71" t="n">
        <v>46003</v>
      </c>
      <c r="C93" s="72" t="n">
        <v>0.506944444444444</v>
      </c>
      <c r="D93" s="72" t="n">
        <v>0.506944444444444</v>
      </c>
      <c r="E93" s="60" t="s">
        <v>230</v>
      </c>
      <c r="F93" s="60" t="s">
        <v>3050</v>
      </c>
      <c r="G93" s="60" t="s">
        <v>2875</v>
      </c>
      <c r="H93" s="60" t="n">
        <v>8428321</v>
      </c>
      <c r="I93" s="60" t="s">
        <v>3043</v>
      </c>
      <c r="J93" s="60" t="s">
        <v>3123</v>
      </c>
      <c r="K93" s="72" t="n">
        <v>0.604166666666667</v>
      </c>
      <c r="L93" s="71" t="n">
        <v>46003</v>
      </c>
    </row>
    <row r="94" customFormat="false" ht="55.2" hidden="false" customHeight="false" outlineLevel="0" collapsed="false">
      <c r="A94" s="70" t="s">
        <v>3124</v>
      </c>
      <c r="B94" s="71" t="n">
        <v>46003</v>
      </c>
      <c r="C94" s="72" t="n">
        <v>0.536805555555556</v>
      </c>
      <c r="D94" s="72" t="n">
        <v>0.536805555555556</v>
      </c>
      <c r="E94" s="60" t="s">
        <v>2996</v>
      </c>
      <c r="F94" s="60" t="s">
        <v>3050</v>
      </c>
      <c r="G94" s="60" t="s">
        <v>2875</v>
      </c>
      <c r="H94" s="60" t="n">
        <v>20251259</v>
      </c>
      <c r="I94" s="60" t="s">
        <v>3125</v>
      </c>
      <c r="J94" s="60" t="s">
        <v>2877</v>
      </c>
      <c r="K94" s="72" t="n">
        <v>0.554861111111111</v>
      </c>
      <c r="L94" s="71" t="n">
        <v>46003</v>
      </c>
    </row>
    <row r="95" customFormat="false" ht="68.65" hidden="false" customHeight="false" outlineLevel="0" collapsed="false">
      <c r="A95" s="70" t="s">
        <v>3114</v>
      </c>
      <c r="B95" s="71" t="n">
        <v>46003</v>
      </c>
      <c r="C95" s="72" t="n">
        <v>0.563194444444444</v>
      </c>
      <c r="D95" s="72" t="n">
        <v>0.563194444444444</v>
      </c>
      <c r="E95" s="60" t="s">
        <v>2895</v>
      </c>
      <c r="F95" s="60" t="s">
        <v>3115</v>
      </c>
      <c r="G95" s="60" t="s">
        <v>2896</v>
      </c>
      <c r="H95" s="60" t="n">
        <v>8428521</v>
      </c>
      <c r="I95" s="60" t="s">
        <v>3126</v>
      </c>
      <c r="J95" s="60" t="s">
        <v>3021</v>
      </c>
      <c r="K95" s="72" t="n">
        <v>0.607638888888889</v>
      </c>
      <c r="L95" s="71" t="n">
        <v>46003</v>
      </c>
    </row>
    <row r="96" customFormat="false" ht="41.75" hidden="false" customHeight="false" outlineLevel="0" collapsed="false">
      <c r="A96" s="70" t="s">
        <v>3127</v>
      </c>
      <c r="B96" s="71" t="n">
        <v>46003</v>
      </c>
      <c r="C96" s="72" t="n">
        <v>0.604861111111111</v>
      </c>
      <c r="D96" s="72" t="n">
        <v>0.604861111111111</v>
      </c>
      <c r="E96" s="60" t="s">
        <v>230</v>
      </c>
      <c r="F96" s="60" t="s">
        <v>313</v>
      </c>
      <c r="G96" s="60" t="s">
        <v>3032</v>
      </c>
      <c r="H96" s="60"/>
      <c r="I96" s="60" t="s">
        <v>3128</v>
      </c>
      <c r="J96" s="60" t="s">
        <v>3128</v>
      </c>
      <c r="K96" s="60"/>
      <c r="L96" s="60"/>
    </row>
    <row r="97" customFormat="false" ht="68.65" hidden="false" customHeight="false" outlineLevel="0" collapsed="false">
      <c r="A97" s="70" t="s">
        <v>3129</v>
      </c>
      <c r="B97" s="71" t="n">
        <v>46003</v>
      </c>
      <c r="C97" s="72" t="n">
        <v>0.616666666666667</v>
      </c>
      <c r="D97" s="72" t="n">
        <v>0.616666666666667</v>
      </c>
      <c r="E97" s="60" t="s">
        <v>230</v>
      </c>
      <c r="F97" s="60" t="s">
        <v>3050</v>
      </c>
      <c r="G97" s="60" t="s">
        <v>2896</v>
      </c>
      <c r="H97" s="60" t="n">
        <v>20251260</v>
      </c>
      <c r="I97" s="60" t="s">
        <v>3130</v>
      </c>
      <c r="J97" s="60" t="s">
        <v>3131</v>
      </c>
      <c r="K97" s="72" t="n">
        <v>0.631944444444444</v>
      </c>
      <c r="L97" s="71" t="n">
        <v>46003</v>
      </c>
    </row>
    <row r="98" customFormat="false" ht="68.65" hidden="false" customHeight="false" outlineLevel="0" collapsed="false">
      <c r="A98" s="70" t="s">
        <v>3132</v>
      </c>
      <c r="B98" s="71" t="n">
        <v>46003</v>
      </c>
      <c r="C98" s="72" t="n">
        <v>0.75</v>
      </c>
      <c r="D98" s="72" t="n">
        <v>0.75</v>
      </c>
      <c r="E98" s="60" t="s">
        <v>230</v>
      </c>
      <c r="F98" s="60" t="s">
        <v>3050</v>
      </c>
      <c r="G98" s="60" t="s">
        <v>2896</v>
      </c>
      <c r="H98" s="60" t="n">
        <v>20251261</v>
      </c>
      <c r="I98" s="60" t="s">
        <v>3133</v>
      </c>
      <c r="J98" s="60" t="s">
        <v>3134</v>
      </c>
      <c r="K98" s="72" t="n">
        <v>0.888888888888889</v>
      </c>
      <c r="L98" s="71" t="n">
        <v>46003</v>
      </c>
    </row>
    <row r="99" customFormat="false" ht="68.65" hidden="false" customHeight="false" outlineLevel="0" collapsed="false">
      <c r="A99" s="70" t="s">
        <v>3135</v>
      </c>
      <c r="B99" s="71" t="n">
        <v>46003</v>
      </c>
      <c r="C99" s="72" t="n">
        <v>0.944444444444444</v>
      </c>
      <c r="D99" s="72" t="n">
        <v>0.944444444444444</v>
      </c>
      <c r="E99" s="60" t="s">
        <v>2873</v>
      </c>
      <c r="F99" s="60" t="s">
        <v>2874</v>
      </c>
      <c r="G99" s="60" t="s">
        <v>2896</v>
      </c>
      <c r="H99" s="60" t="n">
        <v>20251262</v>
      </c>
      <c r="I99" s="60" t="s">
        <v>2776</v>
      </c>
      <c r="J99" s="60" t="s">
        <v>3136</v>
      </c>
      <c r="K99" s="72" t="n">
        <v>0.977083333333333</v>
      </c>
      <c r="L99" s="71" t="n">
        <v>45638</v>
      </c>
    </row>
    <row r="100" customFormat="false" ht="68.65" hidden="false" customHeight="false" outlineLevel="0" collapsed="false">
      <c r="A100" s="70" t="s">
        <v>3135</v>
      </c>
      <c r="B100" s="71" t="n">
        <v>46003</v>
      </c>
      <c r="C100" s="72" t="n">
        <v>0.982638888888889</v>
      </c>
      <c r="D100" s="72" t="n">
        <v>0.982638888888889</v>
      </c>
      <c r="E100" s="60" t="s">
        <v>230</v>
      </c>
      <c r="F100" s="60" t="s">
        <v>3137</v>
      </c>
      <c r="G100" s="60" t="s">
        <v>2896</v>
      </c>
      <c r="H100" s="60" t="n">
        <v>8429385</v>
      </c>
      <c r="I100" s="60" t="s">
        <v>3138</v>
      </c>
      <c r="J100" s="60" t="s">
        <v>3139</v>
      </c>
      <c r="K100" s="72" t="n">
        <v>0.00347222222222222</v>
      </c>
      <c r="L100" s="71" t="n">
        <v>46004</v>
      </c>
    </row>
    <row r="101" customFormat="false" ht="68.65" hidden="false" customHeight="false" outlineLevel="0" collapsed="false">
      <c r="A101" s="70" t="s">
        <v>3135</v>
      </c>
      <c r="B101" s="71" t="n">
        <v>46004</v>
      </c>
      <c r="C101" s="72" t="n">
        <v>0.118055555555556</v>
      </c>
      <c r="D101" s="72" t="n">
        <v>0.118055555555556</v>
      </c>
      <c r="E101" s="60" t="s">
        <v>2873</v>
      </c>
      <c r="F101" s="60" t="s">
        <v>2874</v>
      </c>
      <c r="G101" s="60" t="s">
        <v>2880</v>
      </c>
      <c r="H101" s="60" t="n">
        <v>20251263</v>
      </c>
      <c r="I101" s="60" t="s">
        <v>2776</v>
      </c>
      <c r="J101" s="60" t="s">
        <v>3140</v>
      </c>
      <c r="K101" s="60"/>
      <c r="L101" s="60"/>
    </row>
    <row r="102" customFormat="false" ht="41.75" hidden="false" customHeight="false" outlineLevel="0" collapsed="false">
      <c r="A102" s="70" t="s">
        <v>3141</v>
      </c>
      <c r="B102" s="71" t="n">
        <v>46004</v>
      </c>
      <c r="C102" s="72" t="n">
        <v>0.267361111111111</v>
      </c>
      <c r="D102" s="72" t="n">
        <v>0.267361111111111</v>
      </c>
      <c r="E102" s="60" t="s">
        <v>230</v>
      </c>
      <c r="F102" s="60" t="s">
        <v>2874</v>
      </c>
      <c r="G102" s="60" t="s">
        <v>2875</v>
      </c>
      <c r="H102" s="60" t="n">
        <v>20251264</v>
      </c>
      <c r="I102" s="60" t="s">
        <v>3058</v>
      </c>
      <c r="J102" s="60" t="s">
        <v>3142</v>
      </c>
      <c r="K102" s="72" t="n">
        <v>0.330555555555556</v>
      </c>
      <c r="L102" s="71" t="n">
        <v>46004</v>
      </c>
    </row>
    <row r="103" customFormat="false" ht="55.2" hidden="false" customHeight="false" outlineLevel="0" collapsed="false">
      <c r="A103" s="70" t="s">
        <v>3143</v>
      </c>
      <c r="B103" s="71" t="n">
        <v>46004</v>
      </c>
      <c r="C103" s="72" t="n">
        <v>0.298611111111111</v>
      </c>
      <c r="D103" s="72" t="n">
        <v>0.298611111111111</v>
      </c>
      <c r="E103" s="60" t="s">
        <v>2895</v>
      </c>
      <c r="F103" s="60" t="s">
        <v>2874</v>
      </c>
      <c r="G103" s="60" t="s">
        <v>2896</v>
      </c>
      <c r="H103" s="60" t="n">
        <v>20251265</v>
      </c>
      <c r="I103" s="60" t="s">
        <v>3144</v>
      </c>
      <c r="J103" s="60" t="s">
        <v>3145</v>
      </c>
      <c r="K103" s="72" t="n">
        <v>0.711805555555556</v>
      </c>
      <c r="L103" s="71" t="n">
        <v>46006</v>
      </c>
    </row>
    <row r="104" customFormat="false" ht="41.75" hidden="false" customHeight="false" outlineLevel="0" collapsed="false">
      <c r="A104" s="70" t="s">
        <v>3146</v>
      </c>
      <c r="B104" s="71" t="n">
        <v>46004</v>
      </c>
      <c r="C104" s="72" t="n">
        <v>0.347916666666667</v>
      </c>
      <c r="D104" s="72" t="n">
        <v>0.347916666666667</v>
      </c>
      <c r="E104" s="60" t="s">
        <v>230</v>
      </c>
      <c r="F104" s="60" t="s">
        <v>3147</v>
      </c>
      <c r="G104" s="60" t="s">
        <v>2896</v>
      </c>
      <c r="H104" s="60" t="n">
        <v>20251266</v>
      </c>
      <c r="I104" s="60" t="s">
        <v>3148</v>
      </c>
      <c r="J104" s="60" t="s">
        <v>3149</v>
      </c>
      <c r="K104" s="72" t="n">
        <v>0.667361111111111</v>
      </c>
      <c r="L104" s="71" t="n">
        <v>46006</v>
      </c>
    </row>
    <row r="105" customFormat="false" ht="41.75" hidden="false" customHeight="false" outlineLevel="0" collapsed="false">
      <c r="A105" s="70" t="s">
        <v>3141</v>
      </c>
      <c r="B105" s="71" t="n">
        <v>46004</v>
      </c>
      <c r="C105" s="72" t="n">
        <v>0.679861111111111</v>
      </c>
      <c r="D105" s="72" t="n">
        <v>0.679861111111111</v>
      </c>
      <c r="E105" s="60" t="s">
        <v>230</v>
      </c>
      <c r="F105" s="60" t="s">
        <v>2874</v>
      </c>
      <c r="G105" s="60" t="s">
        <v>2875</v>
      </c>
      <c r="H105" s="60" t="n">
        <v>20251267</v>
      </c>
      <c r="I105" s="60" t="s">
        <v>3043</v>
      </c>
      <c r="J105" s="60" t="s">
        <v>3150</v>
      </c>
      <c r="K105" s="72" t="n">
        <v>0.444444444444444</v>
      </c>
      <c r="L105" s="71" t="n">
        <v>46005</v>
      </c>
    </row>
    <row r="106" customFormat="false" ht="55.2" hidden="false" customHeight="false" outlineLevel="0" collapsed="false">
      <c r="A106" s="70" t="s">
        <v>3151</v>
      </c>
      <c r="B106" s="71" t="n">
        <v>46005</v>
      </c>
      <c r="C106" s="72" t="n">
        <v>0.235416666666667</v>
      </c>
      <c r="D106" s="72" t="n">
        <v>0.235416666666667</v>
      </c>
      <c r="E106" s="60" t="s">
        <v>230</v>
      </c>
      <c r="F106" s="60" t="s">
        <v>2905</v>
      </c>
      <c r="G106" s="60" t="s">
        <v>2896</v>
      </c>
      <c r="H106" s="60" t="n">
        <v>20251268</v>
      </c>
      <c r="I106" s="60" t="s">
        <v>3112</v>
      </c>
      <c r="J106" s="60" t="s">
        <v>3152</v>
      </c>
      <c r="K106" s="72" t="n">
        <v>0.430555555555556</v>
      </c>
      <c r="L106" s="71" t="n">
        <v>46005</v>
      </c>
    </row>
    <row r="107" customFormat="false" ht="55.2" hidden="false" customHeight="false" outlineLevel="0" collapsed="false">
      <c r="A107" s="70" t="s">
        <v>2995</v>
      </c>
      <c r="B107" s="71" t="n">
        <v>46005</v>
      </c>
      <c r="C107" s="72" t="n">
        <v>0.453472222222222</v>
      </c>
      <c r="D107" s="72" t="n">
        <v>0.453472222222222</v>
      </c>
      <c r="E107" s="60" t="s">
        <v>2996</v>
      </c>
      <c r="F107" s="60" t="s">
        <v>3050</v>
      </c>
      <c r="G107" s="60" t="s">
        <v>2875</v>
      </c>
      <c r="H107" s="60" t="n">
        <v>20251269</v>
      </c>
      <c r="I107" s="60" t="s">
        <v>3125</v>
      </c>
      <c r="J107" s="60" t="s">
        <v>2877</v>
      </c>
      <c r="K107" s="72" t="n">
        <v>0.6125</v>
      </c>
      <c r="L107" s="71" t="n">
        <v>46005</v>
      </c>
    </row>
    <row r="108" customFormat="false" ht="28.35" hidden="false" customHeight="false" outlineLevel="0" collapsed="false">
      <c r="A108" s="70" t="s">
        <v>3153</v>
      </c>
      <c r="B108" s="71" t="n">
        <v>46005</v>
      </c>
      <c r="C108" s="72" t="n">
        <v>0.559027777777778</v>
      </c>
      <c r="D108" s="72" t="n">
        <v>0.559027777777778</v>
      </c>
      <c r="E108" s="60" t="s">
        <v>2884</v>
      </c>
      <c r="F108" s="60" t="s">
        <v>3050</v>
      </c>
      <c r="G108" s="60" t="s">
        <v>2992</v>
      </c>
      <c r="H108" s="60" t="n">
        <v>20251270</v>
      </c>
      <c r="I108" s="60" t="s">
        <v>436</v>
      </c>
      <c r="J108" s="60" t="s">
        <v>3154</v>
      </c>
      <c r="K108" s="72" t="n">
        <v>0.604166666666667</v>
      </c>
      <c r="L108" s="71" t="n">
        <v>46005</v>
      </c>
    </row>
    <row r="109" customFormat="false" ht="41.75" hidden="false" customHeight="false" outlineLevel="0" collapsed="false">
      <c r="A109" s="70" t="s">
        <v>3155</v>
      </c>
      <c r="B109" s="71" t="n">
        <v>46005</v>
      </c>
      <c r="C109" s="72" t="n">
        <v>0.626388888888889</v>
      </c>
      <c r="D109" s="72" t="n">
        <v>0.626388888888889</v>
      </c>
      <c r="E109" s="60" t="s">
        <v>2884</v>
      </c>
      <c r="F109" s="60" t="s">
        <v>3050</v>
      </c>
      <c r="G109" s="60" t="s">
        <v>2875</v>
      </c>
      <c r="H109" s="60" t="n">
        <v>8434306</v>
      </c>
      <c r="I109" s="60" t="s">
        <v>3156</v>
      </c>
      <c r="J109" s="60" t="s">
        <v>3157</v>
      </c>
      <c r="K109" s="72" t="n">
        <v>0.625</v>
      </c>
      <c r="L109" s="71" t="n">
        <v>46007</v>
      </c>
    </row>
    <row r="110" customFormat="false" ht="41.75" hidden="false" customHeight="false" outlineLevel="0" collapsed="false">
      <c r="A110" s="70" t="s">
        <v>3103</v>
      </c>
      <c r="B110" s="71" t="n">
        <v>46005</v>
      </c>
      <c r="C110" s="72" t="n">
        <v>0.958333333333333</v>
      </c>
      <c r="D110" s="72" t="n">
        <v>0.916666666666667</v>
      </c>
      <c r="E110" s="60" t="s">
        <v>2873</v>
      </c>
      <c r="F110" s="60" t="s">
        <v>2874</v>
      </c>
      <c r="G110" s="60" t="s">
        <v>3046</v>
      </c>
      <c r="H110" s="60" t="n">
        <v>20251272</v>
      </c>
      <c r="I110" s="60" t="s">
        <v>2886</v>
      </c>
      <c r="J110" s="60" t="s">
        <v>3158</v>
      </c>
      <c r="K110" s="60"/>
      <c r="L110" s="60"/>
    </row>
    <row r="111" customFormat="false" ht="55.2" hidden="false" customHeight="false" outlineLevel="0" collapsed="false">
      <c r="A111" s="70" t="s">
        <v>3159</v>
      </c>
      <c r="B111" s="71" t="n">
        <v>46006</v>
      </c>
      <c r="C111" s="72" t="n">
        <v>0.125</v>
      </c>
      <c r="D111" s="72" t="n">
        <v>0.125</v>
      </c>
      <c r="E111" s="60" t="s">
        <v>230</v>
      </c>
      <c r="F111" s="60" t="s">
        <v>2874</v>
      </c>
      <c r="G111" s="60" t="s">
        <v>2896</v>
      </c>
      <c r="H111" s="60" t="n">
        <v>20251273</v>
      </c>
      <c r="I111" s="60" t="s">
        <v>3160</v>
      </c>
      <c r="J111" s="60" t="s">
        <v>3161</v>
      </c>
      <c r="K111" s="72" t="n">
        <v>0.322916666666667</v>
      </c>
      <c r="L111" s="71" t="n">
        <v>46006</v>
      </c>
    </row>
    <row r="112" customFormat="false" ht="41.75" hidden="false" customHeight="false" outlineLevel="0" collapsed="false">
      <c r="A112" s="70" t="s">
        <v>3162</v>
      </c>
      <c r="B112" s="71" t="n">
        <v>46006</v>
      </c>
      <c r="C112" s="72" t="n">
        <v>0.354166666666667</v>
      </c>
      <c r="D112" s="72" t="n">
        <v>0.354166666666667</v>
      </c>
      <c r="E112" s="60" t="s">
        <v>230</v>
      </c>
      <c r="F112" s="60" t="s">
        <v>2874</v>
      </c>
      <c r="G112" s="60" t="s">
        <v>2896</v>
      </c>
      <c r="H112" s="60" t="n">
        <v>20251274</v>
      </c>
      <c r="I112" s="60" t="s">
        <v>3163</v>
      </c>
      <c r="J112" s="60" t="s">
        <v>3164</v>
      </c>
      <c r="K112" s="72" t="n">
        <v>0.359722222222222</v>
      </c>
      <c r="L112" s="71" t="n">
        <v>46006</v>
      </c>
    </row>
    <row r="113" customFormat="false" ht="149.25" hidden="false" customHeight="false" outlineLevel="0" collapsed="false">
      <c r="A113" s="70" t="s">
        <v>3165</v>
      </c>
      <c r="B113" s="71" t="n">
        <v>46007</v>
      </c>
      <c r="C113" s="72" t="n">
        <v>0.246527777777778</v>
      </c>
      <c r="D113" s="72" t="n">
        <v>0.246527777777778</v>
      </c>
      <c r="E113" s="60" t="s">
        <v>3166</v>
      </c>
      <c r="F113" s="60" t="s">
        <v>3167</v>
      </c>
      <c r="G113" s="60" t="s">
        <v>2875</v>
      </c>
      <c r="H113" s="60" t="n">
        <v>20251275</v>
      </c>
      <c r="I113" s="60" t="s">
        <v>3168</v>
      </c>
      <c r="J113" s="60" t="s">
        <v>3003</v>
      </c>
      <c r="K113" s="72" t="n">
        <v>0.583333333333333</v>
      </c>
      <c r="L113" s="71" t="n">
        <v>46007</v>
      </c>
    </row>
    <row r="114" customFormat="false" ht="41.75" hidden="false" customHeight="false" outlineLevel="0" collapsed="false">
      <c r="A114" s="70" t="s">
        <v>3169</v>
      </c>
      <c r="B114" s="71" t="n">
        <v>46007</v>
      </c>
      <c r="C114" s="72" t="n">
        <v>0.328472222222222</v>
      </c>
      <c r="D114" s="72" t="n">
        <v>0.328472222222222</v>
      </c>
      <c r="E114" s="60" t="s">
        <v>230</v>
      </c>
      <c r="F114" s="60" t="s">
        <v>2905</v>
      </c>
      <c r="G114" s="60" t="s">
        <v>3032</v>
      </c>
      <c r="H114" s="60" t="n">
        <v>20251276</v>
      </c>
      <c r="I114" s="60" t="s">
        <v>3033</v>
      </c>
      <c r="J114" s="60" t="s">
        <v>3034</v>
      </c>
      <c r="K114" s="60"/>
      <c r="L114" s="60"/>
    </row>
    <row r="115" customFormat="false" ht="41.75" hidden="false" customHeight="false" outlineLevel="0" collapsed="false">
      <c r="A115" s="70" t="s">
        <v>3170</v>
      </c>
      <c r="B115" s="71" t="n">
        <v>46007</v>
      </c>
      <c r="C115" s="72" t="n">
        <v>0.6875</v>
      </c>
      <c r="D115" s="72" t="n">
        <v>0.6875</v>
      </c>
      <c r="E115" s="60" t="s">
        <v>230</v>
      </c>
      <c r="F115" s="60" t="s">
        <v>3147</v>
      </c>
      <c r="G115" s="60" t="s">
        <v>2896</v>
      </c>
      <c r="H115" s="60" t="n">
        <v>8446891</v>
      </c>
      <c r="I115" s="60" t="s">
        <v>3171</v>
      </c>
      <c r="J115" s="60" t="s">
        <v>3172</v>
      </c>
      <c r="K115" s="72" t="n">
        <v>0.71875</v>
      </c>
      <c r="L115" s="71" t="n">
        <v>46007</v>
      </c>
    </row>
    <row r="116" customFormat="false" ht="28.35" hidden="false" customHeight="false" outlineLevel="0" collapsed="false">
      <c r="A116" s="70" t="s">
        <v>3173</v>
      </c>
      <c r="B116" s="71" t="n">
        <v>46008</v>
      </c>
      <c r="C116" s="72" t="n">
        <v>0.288888888888889</v>
      </c>
      <c r="D116" s="72" t="n">
        <v>0.288888888888889</v>
      </c>
      <c r="E116" s="60" t="s">
        <v>230</v>
      </c>
      <c r="F116" s="60" t="s">
        <v>2898</v>
      </c>
      <c r="G116" s="60" t="s">
        <v>2896</v>
      </c>
      <c r="H116" s="60" t="n">
        <v>20251277</v>
      </c>
      <c r="I116" s="60" t="s">
        <v>275</v>
      </c>
      <c r="J116" s="60" t="s">
        <v>3174</v>
      </c>
      <c r="K116" s="72" t="n">
        <v>0.309027777777778</v>
      </c>
      <c r="L116" s="71" t="n">
        <v>46008</v>
      </c>
    </row>
    <row r="117" customFormat="false" ht="55.2" hidden="false" customHeight="false" outlineLevel="0" collapsed="false">
      <c r="A117" s="70" t="s">
        <v>3175</v>
      </c>
      <c r="B117" s="71" t="n">
        <v>46007</v>
      </c>
      <c r="C117" s="72" t="n">
        <v>0.833333333333333</v>
      </c>
      <c r="D117" s="72" t="n">
        <v>0.833333333333333</v>
      </c>
      <c r="E117" s="60" t="s">
        <v>230</v>
      </c>
      <c r="F117" s="60" t="s">
        <v>3147</v>
      </c>
      <c r="G117" s="60" t="s">
        <v>2896</v>
      </c>
      <c r="H117" s="60" t="n">
        <v>8451617</v>
      </c>
      <c r="I117" s="60" t="s">
        <v>3176</v>
      </c>
      <c r="J117" s="60" t="s">
        <v>3177</v>
      </c>
      <c r="K117" s="72" t="n">
        <v>0.325694444444444</v>
      </c>
      <c r="L117" s="71" t="n">
        <v>46008</v>
      </c>
    </row>
    <row r="118" customFormat="false" ht="41.75" hidden="false" customHeight="false" outlineLevel="0" collapsed="false">
      <c r="A118" s="70" t="s">
        <v>3178</v>
      </c>
      <c r="B118" s="71" t="n">
        <v>46008</v>
      </c>
      <c r="C118" s="72" t="n">
        <v>0.486111111111111</v>
      </c>
      <c r="D118" s="72" t="n">
        <v>0.486111111111111</v>
      </c>
      <c r="E118" s="60" t="s">
        <v>2873</v>
      </c>
      <c r="F118" s="60" t="s">
        <v>3054</v>
      </c>
      <c r="G118" s="60" t="s">
        <v>2875</v>
      </c>
      <c r="H118" s="60" t="n">
        <v>20251278</v>
      </c>
      <c r="I118" s="60" t="s">
        <v>3125</v>
      </c>
      <c r="J118" s="60" t="s">
        <v>2877</v>
      </c>
      <c r="K118" s="72" t="n">
        <v>0.503472222222222</v>
      </c>
      <c r="L118" s="71" t="n">
        <v>46008</v>
      </c>
    </row>
    <row r="119" customFormat="false" ht="41.75" hidden="false" customHeight="false" outlineLevel="0" collapsed="false">
      <c r="A119" s="70" t="s">
        <v>3179</v>
      </c>
      <c r="B119" s="71" t="n">
        <v>46008</v>
      </c>
      <c r="C119" s="72" t="n">
        <v>0.5875</v>
      </c>
      <c r="D119" s="72" t="n">
        <v>0.5875</v>
      </c>
      <c r="E119" s="60" t="s">
        <v>230</v>
      </c>
      <c r="F119" s="60" t="s">
        <v>3180</v>
      </c>
      <c r="G119" s="60" t="s">
        <v>2896</v>
      </c>
      <c r="H119" s="60" t="s">
        <v>3181</v>
      </c>
      <c r="I119" s="60" t="s">
        <v>3182</v>
      </c>
      <c r="J119" s="60" t="s">
        <v>3183</v>
      </c>
      <c r="K119" s="72" t="n">
        <v>0.666666666666667</v>
      </c>
      <c r="L119" s="71" t="n">
        <v>46008</v>
      </c>
    </row>
    <row r="120" customFormat="false" ht="41.75" hidden="false" customHeight="false" outlineLevel="0" collapsed="false">
      <c r="A120" s="70" t="s">
        <v>3178</v>
      </c>
      <c r="B120" s="71" t="n">
        <v>46008</v>
      </c>
      <c r="C120" s="72" t="n">
        <v>0.736111111111111</v>
      </c>
      <c r="D120" s="72" t="n">
        <v>0.736111111111111</v>
      </c>
      <c r="E120" s="60" t="s">
        <v>2873</v>
      </c>
      <c r="F120" s="60" t="s">
        <v>3054</v>
      </c>
      <c r="G120" s="60" t="s">
        <v>2875</v>
      </c>
      <c r="H120" s="60" t="n">
        <v>20251279</v>
      </c>
      <c r="I120" s="60" t="s">
        <v>3184</v>
      </c>
      <c r="J120" s="60" t="s">
        <v>3185</v>
      </c>
      <c r="K120" s="72" t="n">
        <v>0.763888888888889</v>
      </c>
      <c r="L120" s="71" t="n">
        <v>46008</v>
      </c>
    </row>
    <row r="121" customFormat="false" ht="41.75" hidden="false" customHeight="false" outlineLevel="0" collapsed="false">
      <c r="A121" s="70" t="s">
        <v>512</v>
      </c>
      <c r="B121" s="71" t="n">
        <v>46008</v>
      </c>
      <c r="C121" s="72" t="n">
        <v>0.729166666666667</v>
      </c>
      <c r="D121" s="72" t="n">
        <v>0.729166666666667</v>
      </c>
      <c r="E121" s="60" t="s">
        <v>230</v>
      </c>
      <c r="F121" s="60" t="s">
        <v>2898</v>
      </c>
      <c r="G121" s="60" t="s">
        <v>2875</v>
      </c>
      <c r="H121" s="60"/>
      <c r="I121" s="60" t="s">
        <v>3184</v>
      </c>
      <c r="J121" s="60" t="s">
        <v>3186</v>
      </c>
      <c r="K121" s="72" t="n">
        <v>0.763888888888889</v>
      </c>
      <c r="L121" s="71" t="n">
        <v>46008</v>
      </c>
    </row>
    <row r="122" customFormat="false" ht="41.75" hidden="false" customHeight="false" outlineLevel="0" collapsed="false">
      <c r="A122" s="70" t="s">
        <v>3187</v>
      </c>
      <c r="B122" s="71" t="n">
        <v>46008</v>
      </c>
      <c r="C122" s="72" t="n">
        <v>0.746527777777778</v>
      </c>
      <c r="D122" s="72" t="n">
        <v>0.746527777777778</v>
      </c>
      <c r="E122" s="60" t="s">
        <v>2873</v>
      </c>
      <c r="F122" s="60" t="s">
        <v>3054</v>
      </c>
      <c r="G122" s="60" t="s">
        <v>2875</v>
      </c>
      <c r="H122" s="60" t="n">
        <v>20251280</v>
      </c>
      <c r="I122" s="60" t="s">
        <v>3184</v>
      </c>
      <c r="J122" s="60" t="s">
        <v>3188</v>
      </c>
      <c r="K122" s="72" t="n">
        <v>0.763888888888889</v>
      </c>
      <c r="L122" s="71" t="n">
        <v>46008</v>
      </c>
    </row>
    <row r="123" customFormat="false" ht="55.2" hidden="false" customHeight="false" outlineLevel="0" collapsed="false">
      <c r="A123" s="70" t="s">
        <v>3189</v>
      </c>
      <c r="B123" s="71" t="n">
        <v>46009</v>
      </c>
      <c r="C123" s="72" t="n">
        <v>0.0243055555555556</v>
      </c>
      <c r="D123" s="72" t="n">
        <v>0.0243055555555556</v>
      </c>
      <c r="E123" s="60" t="s">
        <v>230</v>
      </c>
      <c r="F123" s="60" t="s">
        <v>2898</v>
      </c>
      <c r="G123" s="60" t="s">
        <v>2896</v>
      </c>
      <c r="H123" s="60" t="n">
        <v>20251281</v>
      </c>
      <c r="I123" s="60" t="s">
        <v>3190</v>
      </c>
      <c r="J123" s="60" t="s">
        <v>3191</v>
      </c>
      <c r="K123" s="72" t="n">
        <v>0.458333333333333</v>
      </c>
      <c r="L123" s="71" t="n">
        <v>46009</v>
      </c>
    </row>
    <row r="124" customFormat="false" ht="55.2" hidden="false" customHeight="false" outlineLevel="0" collapsed="false">
      <c r="A124" s="70" t="s">
        <v>3192</v>
      </c>
      <c r="B124" s="71" t="n">
        <v>46009</v>
      </c>
      <c r="C124" s="72" t="n">
        <v>0.364583333333333</v>
      </c>
      <c r="D124" s="72" t="n">
        <v>0.364583333333333</v>
      </c>
      <c r="E124" s="60" t="s">
        <v>230</v>
      </c>
      <c r="F124" s="60" t="s">
        <v>2905</v>
      </c>
      <c r="G124" s="60" t="s">
        <v>2964</v>
      </c>
      <c r="H124" s="60" t="n">
        <v>20251282</v>
      </c>
      <c r="I124" s="60" t="s">
        <v>893</v>
      </c>
      <c r="J124" s="60" t="s">
        <v>3193</v>
      </c>
      <c r="K124" s="72" t="n">
        <v>0.389583333333333</v>
      </c>
      <c r="L124" s="71" t="n">
        <v>46009</v>
      </c>
    </row>
    <row r="125" customFormat="false" ht="55.2" hidden="false" customHeight="false" outlineLevel="0" collapsed="false">
      <c r="A125" s="70" t="s">
        <v>3194</v>
      </c>
      <c r="B125" s="71" t="n">
        <v>46009</v>
      </c>
      <c r="C125" s="72" t="n">
        <v>0.861111111111111</v>
      </c>
      <c r="D125" s="72" t="n">
        <v>0.861111111111111</v>
      </c>
      <c r="E125" s="60" t="s">
        <v>230</v>
      </c>
      <c r="F125" s="60" t="s">
        <v>2898</v>
      </c>
      <c r="G125" s="60" t="s">
        <v>2896</v>
      </c>
      <c r="H125" s="60" t="n">
        <v>20251283</v>
      </c>
      <c r="I125" s="60" t="s">
        <v>3195</v>
      </c>
      <c r="J125" s="60" t="s">
        <v>3196</v>
      </c>
      <c r="K125" s="72" t="n">
        <v>0.569444444444444</v>
      </c>
      <c r="L125" s="71" t="n">
        <v>46010</v>
      </c>
    </row>
    <row r="126" customFormat="false" ht="55.2" hidden="false" customHeight="false" outlineLevel="0" collapsed="false">
      <c r="A126" s="70" t="s">
        <v>3197</v>
      </c>
      <c r="B126" s="71" t="n">
        <v>46009</v>
      </c>
      <c r="C126" s="72" t="n">
        <v>0.875</v>
      </c>
      <c r="D126" s="72" t="n">
        <v>0.875</v>
      </c>
      <c r="E126" s="60" t="s">
        <v>230</v>
      </c>
      <c r="F126" s="60" t="s">
        <v>2930</v>
      </c>
      <c r="G126" s="60" t="s">
        <v>2896</v>
      </c>
      <c r="H126" s="60" t="n">
        <v>20251284</v>
      </c>
      <c r="I126" s="60" t="s">
        <v>3198</v>
      </c>
      <c r="J126" s="60" t="s">
        <v>3199</v>
      </c>
      <c r="K126" s="72" t="n">
        <v>0.305555555555556</v>
      </c>
      <c r="L126" s="71" t="n">
        <v>46010</v>
      </c>
    </row>
    <row r="127" customFormat="false" ht="41.75" hidden="false" customHeight="false" outlineLevel="0" collapsed="false">
      <c r="A127" s="70" t="s">
        <v>3200</v>
      </c>
      <c r="B127" s="71" t="n">
        <v>46010</v>
      </c>
      <c r="C127" s="72" t="n">
        <v>0.416666666666667</v>
      </c>
      <c r="D127" s="72" t="n">
        <v>0.416666666666667</v>
      </c>
      <c r="E127" s="60" t="s">
        <v>230</v>
      </c>
      <c r="F127" s="60" t="s">
        <v>3201</v>
      </c>
      <c r="G127" s="60" t="s">
        <v>2964</v>
      </c>
      <c r="H127" s="60" t="s">
        <v>3181</v>
      </c>
      <c r="I127" s="60" t="s">
        <v>3202</v>
      </c>
      <c r="J127" s="60" t="s">
        <v>3203</v>
      </c>
      <c r="K127" s="72" t="n">
        <v>0.440972222222222</v>
      </c>
      <c r="L127" s="71" t="n">
        <v>46010</v>
      </c>
    </row>
    <row r="128" customFormat="false" ht="41.75" hidden="false" customHeight="false" outlineLevel="0" collapsed="false">
      <c r="A128" s="70" t="s">
        <v>3179</v>
      </c>
      <c r="B128" s="71" t="n">
        <v>46010</v>
      </c>
      <c r="C128" s="72" t="n">
        <v>0.45</v>
      </c>
      <c r="D128" s="72" t="n">
        <v>0.45</v>
      </c>
      <c r="E128" s="60" t="s">
        <v>230</v>
      </c>
      <c r="F128" s="60" t="s">
        <v>3201</v>
      </c>
      <c r="G128" s="60" t="s">
        <v>2964</v>
      </c>
      <c r="H128" s="60" t="s">
        <v>3181</v>
      </c>
      <c r="I128" s="60" t="s">
        <v>3202</v>
      </c>
      <c r="J128" s="60" t="s">
        <v>3203</v>
      </c>
      <c r="K128" s="72" t="n">
        <v>0.473611111111111</v>
      </c>
      <c r="L128" s="71" t="n">
        <v>46010</v>
      </c>
    </row>
    <row r="129" customFormat="false" ht="41.75" hidden="false" customHeight="false" outlineLevel="0" collapsed="false">
      <c r="A129" s="70" t="s">
        <v>3146</v>
      </c>
      <c r="B129" s="71" t="n">
        <v>46010</v>
      </c>
      <c r="C129" s="72" t="n">
        <v>0.465277777777778</v>
      </c>
      <c r="D129" s="72" t="n">
        <v>0.465277777777778</v>
      </c>
      <c r="E129" s="60" t="s">
        <v>230</v>
      </c>
      <c r="F129" s="60" t="s">
        <v>3147</v>
      </c>
      <c r="G129" s="60" t="s">
        <v>2896</v>
      </c>
      <c r="H129" s="60" t="n">
        <v>8462940</v>
      </c>
      <c r="I129" s="60" t="s">
        <v>3204</v>
      </c>
      <c r="J129" s="60" t="s">
        <v>3205</v>
      </c>
      <c r="K129" s="72" t="n">
        <v>0.475694444444444</v>
      </c>
      <c r="L129" s="71" t="n">
        <v>46010</v>
      </c>
    </row>
    <row r="130" customFormat="false" ht="41.75" hidden="false" customHeight="false" outlineLevel="0" collapsed="false">
      <c r="A130" s="70" t="s">
        <v>3206</v>
      </c>
      <c r="B130" s="71" t="n">
        <v>46010</v>
      </c>
      <c r="C130" s="72" t="n">
        <v>0.475</v>
      </c>
      <c r="D130" s="72" t="n">
        <v>0.475</v>
      </c>
      <c r="E130" s="60" t="s">
        <v>230</v>
      </c>
      <c r="F130" s="60" t="s">
        <v>3201</v>
      </c>
      <c r="G130" s="60" t="s">
        <v>2964</v>
      </c>
      <c r="H130" s="60" t="s">
        <v>3181</v>
      </c>
      <c r="I130" s="60" t="s">
        <v>3202</v>
      </c>
      <c r="J130" s="60" t="s">
        <v>3203</v>
      </c>
      <c r="K130" s="72" t="n">
        <v>0.499305555555556</v>
      </c>
      <c r="L130" s="71" t="n">
        <v>46010</v>
      </c>
    </row>
    <row r="131" customFormat="false" ht="41.75" hidden="false" customHeight="false" outlineLevel="0" collapsed="false">
      <c r="A131" s="70" t="s">
        <v>3207</v>
      </c>
      <c r="B131" s="71" t="n">
        <v>46010</v>
      </c>
      <c r="C131" s="72" t="n">
        <v>0.563194444444444</v>
      </c>
      <c r="D131" s="72" t="n">
        <v>0.563194444444444</v>
      </c>
      <c r="E131" s="60" t="s">
        <v>230</v>
      </c>
      <c r="F131" s="60" t="s">
        <v>3208</v>
      </c>
      <c r="G131" s="60" t="s">
        <v>2875</v>
      </c>
      <c r="H131" s="60" t="n">
        <v>8434306</v>
      </c>
      <c r="I131" s="60" t="s">
        <v>3209</v>
      </c>
      <c r="J131" s="60" t="s">
        <v>3210</v>
      </c>
      <c r="K131" s="72" t="n">
        <v>0.645833333333333</v>
      </c>
      <c r="L131" s="71" t="n">
        <v>46010</v>
      </c>
    </row>
    <row r="132" customFormat="false" ht="82.05" hidden="false" customHeight="false" outlineLevel="0" collapsed="false">
      <c r="A132" s="70" t="s">
        <v>3211</v>
      </c>
      <c r="B132" s="71" t="n">
        <v>46010</v>
      </c>
      <c r="C132" s="72" t="n">
        <v>0.655555555555556</v>
      </c>
      <c r="D132" s="72" t="n">
        <v>0.655555555555556</v>
      </c>
      <c r="E132" s="60" t="s">
        <v>230</v>
      </c>
      <c r="F132" s="60" t="s">
        <v>3147</v>
      </c>
      <c r="G132" s="60" t="s">
        <v>2896</v>
      </c>
      <c r="H132" s="60" t="n">
        <v>20251287</v>
      </c>
      <c r="I132" s="60" t="s">
        <v>3212</v>
      </c>
      <c r="J132" s="60" t="s">
        <v>3213</v>
      </c>
      <c r="K132" s="72" t="n">
        <v>0.686805555555556</v>
      </c>
      <c r="L132" s="71" t="n">
        <v>46010</v>
      </c>
    </row>
    <row r="133" customFormat="false" ht="82.05" hidden="false" customHeight="false" outlineLevel="0" collapsed="false">
      <c r="A133" s="70" t="s">
        <v>3214</v>
      </c>
      <c r="B133" s="71" t="n">
        <v>46010</v>
      </c>
      <c r="C133" s="72" t="n">
        <v>0.976388888888889</v>
      </c>
      <c r="D133" s="72" t="n">
        <v>0.976388888888889</v>
      </c>
      <c r="E133" s="60" t="s">
        <v>2873</v>
      </c>
      <c r="F133" s="60" t="s">
        <v>3215</v>
      </c>
      <c r="G133" s="60" t="s">
        <v>3032</v>
      </c>
      <c r="H133" s="60" t="n">
        <v>20251288</v>
      </c>
      <c r="I133" s="60" t="s">
        <v>3033</v>
      </c>
      <c r="J133" s="60" t="s">
        <v>3034</v>
      </c>
      <c r="K133" s="60"/>
      <c r="L133" s="60"/>
    </row>
    <row r="134" customFormat="false" ht="41.75" hidden="false" customHeight="false" outlineLevel="0" collapsed="false">
      <c r="A134" s="70" t="s">
        <v>3216</v>
      </c>
      <c r="B134" s="71" t="n">
        <v>46011</v>
      </c>
      <c r="C134" s="72" t="n">
        <v>0.0840277777777778</v>
      </c>
      <c r="D134" s="72" t="n">
        <v>0.0840277777777778</v>
      </c>
      <c r="E134" s="60" t="s">
        <v>230</v>
      </c>
      <c r="F134" s="60" t="s">
        <v>2905</v>
      </c>
      <c r="G134" s="60" t="s">
        <v>2896</v>
      </c>
      <c r="H134" s="60" t="n">
        <v>20251289</v>
      </c>
      <c r="I134" s="60" t="s">
        <v>3217</v>
      </c>
      <c r="J134" s="60" t="s">
        <v>3218</v>
      </c>
      <c r="K134" s="72" t="n">
        <v>0.34375</v>
      </c>
      <c r="L134" s="71" t="n">
        <v>46011</v>
      </c>
    </row>
    <row r="135" customFormat="false" ht="41.75" hidden="false" customHeight="false" outlineLevel="0" collapsed="false">
      <c r="A135" s="82" t="s">
        <v>3219</v>
      </c>
      <c r="B135" s="83" t="n">
        <v>46011</v>
      </c>
      <c r="C135" s="84" t="n">
        <v>0.166666666666667</v>
      </c>
      <c r="D135" s="84" t="n">
        <v>0.166666666666667</v>
      </c>
      <c r="E135" s="85" t="s">
        <v>230</v>
      </c>
      <c r="F135" s="85" t="s">
        <v>2905</v>
      </c>
      <c r="G135" s="85" t="s">
        <v>2896</v>
      </c>
      <c r="H135" s="85" t="n">
        <v>20251290</v>
      </c>
      <c r="I135" s="85" t="s">
        <v>3220</v>
      </c>
      <c r="J135" s="85" t="s">
        <v>3221</v>
      </c>
      <c r="K135" s="84" t="n">
        <v>0.350694444444444</v>
      </c>
      <c r="L135" s="83" t="n">
        <v>46011</v>
      </c>
    </row>
    <row r="136" customFormat="false" ht="68.65" hidden="false" customHeight="false" outlineLevel="0" collapsed="false">
      <c r="A136" s="70" t="s">
        <v>3222</v>
      </c>
      <c r="B136" s="71" t="n">
        <v>46011</v>
      </c>
      <c r="C136" s="72" t="n">
        <v>0.236111111111111</v>
      </c>
      <c r="D136" s="72" t="n">
        <v>0.236111111111111</v>
      </c>
      <c r="E136" s="60" t="s">
        <v>2873</v>
      </c>
      <c r="F136" s="60" t="s">
        <v>3223</v>
      </c>
      <c r="G136" s="60" t="s">
        <v>2875</v>
      </c>
      <c r="H136" s="60" t="n">
        <v>20251291</v>
      </c>
      <c r="I136" s="60" t="s">
        <v>3224</v>
      </c>
      <c r="J136" s="60" t="s">
        <v>3225</v>
      </c>
      <c r="K136" s="72" t="n">
        <v>0.319444444444444</v>
      </c>
      <c r="L136" s="71" t="n">
        <v>46011</v>
      </c>
    </row>
    <row r="137" customFormat="false" ht="28.35" hidden="false" customHeight="false" outlineLevel="0" collapsed="false">
      <c r="A137" s="70" t="s">
        <v>3226</v>
      </c>
      <c r="B137" s="71" t="n">
        <v>46011</v>
      </c>
      <c r="C137" s="72" t="n">
        <v>0.450694444444444</v>
      </c>
      <c r="D137" s="72" t="n">
        <v>0.450694444444444</v>
      </c>
      <c r="E137" s="60" t="s">
        <v>230</v>
      </c>
      <c r="F137" s="60" t="s">
        <v>2874</v>
      </c>
      <c r="G137" s="60" t="s">
        <v>3032</v>
      </c>
      <c r="H137" s="60" t="n">
        <v>20251292</v>
      </c>
      <c r="I137" s="60" t="s">
        <v>3033</v>
      </c>
      <c r="J137" s="60" t="s">
        <v>3034</v>
      </c>
      <c r="K137" s="60"/>
      <c r="L137" s="60"/>
    </row>
    <row r="138" customFormat="false" ht="28.35" hidden="false" customHeight="false" outlineLevel="0" collapsed="false">
      <c r="A138" s="70" t="s">
        <v>3227</v>
      </c>
      <c r="B138" s="71" t="n">
        <v>46012</v>
      </c>
      <c r="C138" s="72" t="n">
        <v>0.284722222222222</v>
      </c>
      <c r="D138" s="72" t="n">
        <v>0.284722222222222</v>
      </c>
      <c r="E138" s="60" t="s">
        <v>230</v>
      </c>
      <c r="F138" s="60" t="s">
        <v>2874</v>
      </c>
      <c r="G138" s="60" t="s">
        <v>2880</v>
      </c>
      <c r="H138" s="60" t="n">
        <v>20251293</v>
      </c>
      <c r="I138" s="60" t="s">
        <v>3029</v>
      </c>
      <c r="J138" s="60" t="s">
        <v>3034</v>
      </c>
      <c r="K138" s="60"/>
      <c r="L138" s="60"/>
    </row>
    <row r="139" customFormat="false" ht="28.35" hidden="false" customHeight="false" outlineLevel="0" collapsed="false">
      <c r="A139" s="70" t="s">
        <v>3228</v>
      </c>
      <c r="B139" s="71" t="n">
        <v>46012</v>
      </c>
      <c r="C139" s="72" t="n">
        <v>0.458333333333333</v>
      </c>
      <c r="D139" s="72" t="n">
        <v>0.458333333333333</v>
      </c>
      <c r="E139" s="60" t="s">
        <v>230</v>
      </c>
      <c r="F139" s="60" t="s">
        <v>2898</v>
      </c>
      <c r="G139" s="60" t="s">
        <v>3032</v>
      </c>
      <c r="H139" s="60" t="n">
        <v>20251294</v>
      </c>
      <c r="I139" s="60" t="s">
        <v>3033</v>
      </c>
      <c r="J139" s="60" t="s">
        <v>3034</v>
      </c>
      <c r="K139" s="60"/>
      <c r="L139" s="60"/>
    </row>
    <row r="140" customFormat="false" ht="41.75" hidden="false" customHeight="false" outlineLevel="0" collapsed="false">
      <c r="A140" s="82" t="s">
        <v>3229</v>
      </c>
      <c r="B140" s="83" t="n">
        <v>46012</v>
      </c>
      <c r="C140" s="84" t="n">
        <v>0.520833333333333</v>
      </c>
      <c r="D140" s="84" t="n">
        <v>0.520833333333333</v>
      </c>
      <c r="E140" s="85" t="s">
        <v>230</v>
      </c>
      <c r="F140" s="85" t="s">
        <v>2898</v>
      </c>
      <c r="G140" s="85" t="s">
        <v>2875</v>
      </c>
      <c r="H140" s="85" t="n">
        <v>20251295</v>
      </c>
      <c r="I140" s="85" t="s">
        <v>3121</v>
      </c>
      <c r="J140" s="85" t="s">
        <v>3230</v>
      </c>
      <c r="K140" s="84" t="n">
        <v>0.584027777777778</v>
      </c>
      <c r="L140" s="83" t="n">
        <v>46012</v>
      </c>
    </row>
    <row r="141" customFormat="false" ht="28.35" hidden="false" customHeight="false" outlineLevel="0" collapsed="false">
      <c r="A141" s="82" t="s">
        <v>3227</v>
      </c>
      <c r="B141" s="83" t="n">
        <v>46012</v>
      </c>
      <c r="C141" s="84" t="n">
        <v>0.583333333333333</v>
      </c>
      <c r="D141" s="84" t="n">
        <v>0.583333333333333</v>
      </c>
      <c r="E141" s="85" t="s">
        <v>230</v>
      </c>
      <c r="F141" s="85" t="s">
        <v>2898</v>
      </c>
      <c r="G141" s="85" t="s">
        <v>2896</v>
      </c>
      <c r="H141" s="85" t="n">
        <v>20251296</v>
      </c>
      <c r="I141" s="85" t="s">
        <v>3231</v>
      </c>
      <c r="J141" s="85" t="s">
        <v>3232</v>
      </c>
      <c r="K141" s="84" t="n">
        <v>0.659722222222222</v>
      </c>
      <c r="L141" s="83" t="n">
        <v>46012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.57"/>
    <col collapsed="false" customWidth="true" hidden="false" outlineLevel="0" max="2" min="2" style="0" width="14.29"/>
    <col collapsed="false" customWidth="true" hidden="false" outlineLevel="0" max="3" min="3" style="0" width="16.57"/>
    <col collapsed="false" customWidth="true" hidden="false" outlineLevel="0" max="5" min="5" style="0" width="18.71"/>
    <col collapsed="false" customWidth="true" hidden="false" outlineLevel="0" max="6" min="6" style="0" width="22"/>
  </cols>
  <sheetData>
    <row r="1" customFormat="false" ht="23.85" hidden="false" customHeight="false" outlineLevel="0" collapsed="false">
      <c r="A1" s="86" t="s">
        <v>242</v>
      </c>
      <c r="B1" s="86" t="s">
        <v>3233</v>
      </c>
      <c r="C1" s="86" t="s">
        <v>3234</v>
      </c>
      <c r="D1" s="86" t="s">
        <v>3235</v>
      </c>
      <c r="E1" s="86" t="s">
        <v>3236</v>
      </c>
      <c r="F1" s="86" t="s">
        <v>3237</v>
      </c>
    </row>
    <row r="2" customFormat="false" ht="15" hidden="false" customHeight="false" outlineLevel="0" collapsed="false">
      <c r="A2" s="0" t="s">
        <v>252</v>
      </c>
      <c r="B2" s="0" t="s">
        <v>445</v>
      </c>
      <c r="C2" s="0" t="s">
        <v>3238</v>
      </c>
      <c r="D2" s="0" t="s">
        <v>249</v>
      </c>
      <c r="E2" s="0" t="s">
        <v>439</v>
      </c>
      <c r="F2" s="0" t="s">
        <v>3239</v>
      </c>
    </row>
    <row r="3" customFormat="false" ht="15" hidden="false" customHeight="false" outlineLevel="0" collapsed="false">
      <c r="A3" s="0" t="s">
        <v>858</v>
      </c>
      <c r="B3" s="0" t="s">
        <v>286</v>
      </c>
      <c r="C3" s="0" t="s">
        <v>3240</v>
      </c>
      <c r="D3" s="0" t="s">
        <v>256</v>
      </c>
      <c r="E3" s="0" t="s">
        <v>430</v>
      </c>
      <c r="F3" s="0" t="s">
        <v>3241</v>
      </c>
    </row>
    <row r="4" customFormat="false" ht="15" hidden="false" customHeight="false" outlineLevel="0" collapsed="false">
      <c r="A4" s="0" t="s">
        <v>450</v>
      </c>
      <c r="B4" s="0" t="s">
        <v>3242</v>
      </c>
      <c r="C4" s="0" t="s">
        <v>263</v>
      </c>
      <c r="D4" s="0" t="s">
        <v>264</v>
      </c>
      <c r="E4" s="0" t="s">
        <v>456</v>
      </c>
      <c r="F4" s="0" t="s">
        <v>3243</v>
      </c>
    </row>
    <row r="5" customFormat="false" ht="15" hidden="false" customHeight="false" outlineLevel="0" collapsed="false">
      <c r="A5" s="0" t="s">
        <v>259</v>
      </c>
      <c r="B5" s="0" t="s">
        <v>248</v>
      </c>
      <c r="C5" s="0" t="s">
        <v>3244</v>
      </c>
      <c r="D5" s="0" t="s">
        <v>3245</v>
      </c>
      <c r="E5" s="0" t="s">
        <v>3246</v>
      </c>
      <c r="F5" s="0" t="s">
        <v>3247</v>
      </c>
    </row>
    <row r="6" customFormat="false" ht="15" hidden="false" customHeight="false" outlineLevel="0" collapsed="false">
      <c r="A6" s="0" t="s">
        <v>1876</v>
      </c>
      <c r="B6" s="0" t="s">
        <v>313</v>
      </c>
      <c r="D6" s="0" t="s">
        <v>3248</v>
      </c>
      <c r="E6" s="0" t="s">
        <v>3249</v>
      </c>
      <c r="F6" s="0" t="s">
        <v>418</v>
      </c>
    </row>
    <row r="7" customFormat="false" ht="15" hidden="false" customHeight="false" outlineLevel="0" collapsed="false">
      <c r="A7" s="0" t="s">
        <v>3250</v>
      </c>
      <c r="D7" s="0" t="s">
        <v>417</v>
      </c>
      <c r="E7" s="0" t="s">
        <v>1405</v>
      </c>
      <c r="F7" s="0" t="s">
        <v>266</v>
      </c>
    </row>
    <row r="8" customFormat="false" ht="15" hidden="false" customHeight="false" outlineLevel="0" collapsed="false">
      <c r="A8" s="0" t="s">
        <v>267</v>
      </c>
      <c r="D8" s="0" t="s">
        <v>411</v>
      </c>
      <c r="E8" s="0" t="s">
        <v>3251</v>
      </c>
      <c r="F8" s="0" t="s">
        <v>251</v>
      </c>
    </row>
    <row r="9" customFormat="false" ht="15" hidden="false" customHeight="false" outlineLevel="0" collapsed="false">
      <c r="A9" s="0" t="s">
        <v>3252</v>
      </c>
      <c r="D9" s="0" t="s">
        <v>703</v>
      </c>
      <c r="E9" s="0" t="s">
        <v>2655</v>
      </c>
      <c r="F9" s="0" t="s">
        <v>258</v>
      </c>
    </row>
    <row r="10" customFormat="false" ht="15" hidden="false" customHeight="false" outlineLevel="0" collapsed="false">
      <c r="A10" s="0" t="s">
        <v>284</v>
      </c>
      <c r="D10" s="0" t="s">
        <v>230</v>
      </c>
      <c r="E10" s="0" t="s">
        <v>230</v>
      </c>
      <c r="F10" s="0" t="s">
        <v>3253</v>
      </c>
    </row>
    <row r="11" customFormat="false" ht="15" hidden="false" customHeight="false" outlineLevel="0" collapsed="false">
      <c r="A11" s="0" t="s">
        <v>289</v>
      </c>
      <c r="D11" s="0" t="s">
        <v>3254</v>
      </c>
      <c r="E11" s="0" t="s">
        <v>3255</v>
      </c>
      <c r="F11" s="0" t="s">
        <v>3256</v>
      </c>
    </row>
    <row r="12" customFormat="false" ht="15" hidden="false" customHeight="false" outlineLevel="0" collapsed="false">
      <c r="A12" s="0" t="s">
        <v>462</v>
      </c>
      <c r="D12" s="0" t="s">
        <v>3257</v>
      </c>
      <c r="E12" s="0" t="s">
        <v>3258</v>
      </c>
      <c r="F12" s="0" t="s">
        <v>443</v>
      </c>
    </row>
    <row r="13" customFormat="false" ht="15" hidden="false" customHeight="false" outlineLevel="0" collapsed="false">
      <c r="A13" s="0" t="s">
        <v>315</v>
      </c>
      <c r="D13" s="0" t="s">
        <v>3259</v>
      </c>
      <c r="E13" s="0" t="s">
        <v>3260</v>
      </c>
      <c r="F13" s="0" t="s">
        <v>783</v>
      </c>
    </row>
    <row r="14" customFormat="false" ht="15" hidden="false" customHeight="false" outlineLevel="0" collapsed="false">
      <c r="F14" s="0" t="s">
        <v>3261</v>
      </c>
    </row>
    <row r="15" customFormat="false" ht="15" hidden="false" customHeight="false" outlineLevel="0" collapsed="false">
      <c r="F15" s="0" t="s">
        <v>288</v>
      </c>
    </row>
    <row r="16" customFormat="false" ht="15" hidden="false" customHeight="false" outlineLevel="0" collapsed="false">
      <c r="F16" s="0" t="s">
        <v>3262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6.71"/>
    <col collapsed="false" customWidth="true" hidden="false" outlineLevel="0" max="2" min="2" style="0" width="38.86"/>
  </cols>
  <sheetData>
    <row r="1" customFormat="false" ht="14.25" hidden="false" customHeight="false" outlineLevel="0" collapsed="false">
      <c r="A1" s="66" t="s">
        <v>3263</v>
      </c>
      <c r="B1" s="66" t="s">
        <v>3264</v>
      </c>
    </row>
    <row r="2" customFormat="false" ht="14.25" hidden="false" customHeight="false" outlineLevel="0" collapsed="false">
      <c r="A2" s="0" t="s">
        <v>878</v>
      </c>
      <c r="B2" s="87" t="s">
        <v>10</v>
      </c>
    </row>
    <row r="3" customFormat="false" ht="14.25" hidden="false" customHeight="false" outlineLevel="0" collapsed="false">
      <c r="A3" s="0" t="s">
        <v>838</v>
      </c>
      <c r="B3" s="87" t="s">
        <v>13</v>
      </c>
    </row>
    <row r="4" customFormat="false" ht="14.25" hidden="false" customHeight="false" outlineLevel="0" collapsed="false">
      <c r="A4" s="0" t="s">
        <v>879</v>
      </c>
      <c r="B4" s="87" t="s">
        <v>16</v>
      </c>
    </row>
    <row r="5" customFormat="false" ht="14.25" hidden="false" customHeight="false" outlineLevel="0" collapsed="false">
      <c r="A5" s="0" t="s">
        <v>792</v>
      </c>
      <c r="B5" s="87" t="s">
        <v>18</v>
      </c>
    </row>
    <row r="6" customFormat="false" ht="14.25" hidden="false" customHeight="false" outlineLevel="0" collapsed="false">
      <c r="A6" s="0" t="s">
        <v>3265</v>
      </c>
      <c r="B6" s="87" t="s">
        <v>20</v>
      </c>
    </row>
    <row r="7" customFormat="false" ht="14.25" hidden="false" customHeight="false" outlineLevel="0" collapsed="false">
      <c r="A7" s="0" t="s">
        <v>1899</v>
      </c>
      <c r="B7" s="87" t="s">
        <v>22</v>
      </c>
    </row>
    <row r="8" customFormat="false" ht="14.25" hidden="false" customHeight="false" outlineLevel="0" collapsed="false">
      <c r="A8" s="0" t="s">
        <v>1895</v>
      </c>
      <c r="B8" s="87" t="s">
        <v>25</v>
      </c>
    </row>
    <row r="9" customFormat="false" ht="14.25" hidden="false" customHeight="false" outlineLevel="0" collapsed="false">
      <c r="A9" s="0" t="s">
        <v>917</v>
      </c>
      <c r="B9" s="87" t="s">
        <v>27</v>
      </c>
    </row>
    <row r="10" customFormat="false" ht="14.25" hidden="false" customHeight="false" outlineLevel="0" collapsed="false">
      <c r="A10" s="0" t="s">
        <v>897</v>
      </c>
      <c r="B10" s="87" t="s">
        <v>31</v>
      </c>
    </row>
    <row r="11" customFormat="false" ht="14.25" hidden="false" customHeight="false" outlineLevel="0" collapsed="false">
      <c r="A11" s="0" t="s">
        <v>900</v>
      </c>
      <c r="B11" s="87" t="s">
        <v>35</v>
      </c>
    </row>
    <row r="12" customFormat="false" ht="14.25" hidden="false" customHeight="false" outlineLevel="0" collapsed="false">
      <c r="A12" s="0" t="s">
        <v>905</v>
      </c>
      <c r="B12" s="87" t="s">
        <v>38</v>
      </c>
    </row>
    <row r="13" customFormat="false" ht="14.25" hidden="false" customHeight="false" outlineLevel="0" collapsed="false">
      <c r="A13" s="0" t="s">
        <v>254</v>
      </c>
      <c r="B13" s="87" t="s">
        <v>174</v>
      </c>
    </row>
    <row r="14" customFormat="false" ht="14.25" hidden="false" customHeight="false" outlineLevel="0" collapsed="false">
      <c r="A14" s="0" t="s">
        <v>307</v>
      </c>
      <c r="B14" s="87" t="s">
        <v>177</v>
      </c>
    </row>
    <row r="15" customFormat="false" ht="14.25" hidden="false" customHeight="false" outlineLevel="0" collapsed="false">
      <c r="A15" s="0" t="s">
        <v>308</v>
      </c>
      <c r="B15" s="87" t="s">
        <v>179</v>
      </c>
    </row>
    <row r="16" customFormat="false" ht="14.25" hidden="false" customHeight="false" outlineLevel="0" collapsed="false">
      <c r="A16" s="0" t="s">
        <v>309</v>
      </c>
      <c r="B16" s="87" t="s">
        <v>181</v>
      </c>
    </row>
    <row r="17" customFormat="false" ht="14.25" hidden="false" customHeight="false" outlineLevel="0" collapsed="false">
      <c r="A17" s="0" t="s">
        <v>310</v>
      </c>
      <c r="B17" s="87" t="s">
        <v>183</v>
      </c>
    </row>
    <row r="18" customFormat="false" ht="14.25" hidden="false" customHeight="false" outlineLevel="0" collapsed="false">
      <c r="A18" s="0" t="s">
        <v>672</v>
      </c>
      <c r="B18" s="87" t="s">
        <v>40</v>
      </c>
    </row>
    <row r="19" customFormat="false" ht="14.25" hidden="false" customHeight="false" outlineLevel="0" collapsed="false">
      <c r="A19" s="0" t="s">
        <v>578</v>
      </c>
      <c r="B19" s="87" t="s">
        <v>54</v>
      </c>
    </row>
    <row r="20" customFormat="false" ht="14.25" hidden="false" customHeight="false" outlineLevel="0" collapsed="false">
      <c r="A20" s="0" t="s">
        <v>579</v>
      </c>
      <c r="B20" s="87" t="s">
        <v>57</v>
      </c>
    </row>
    <row r="21" customFormat="false" ht="14.25" hidden="false" customHeight="false" outlineLevel="0" collapsed="false">
      <c r="A21" s="0" t="s">
        <v>580</v>
      </c>
      <c r="B21" s="87" t="s">
        <v>59</v>
      </c>
    </row>
    <row r="22" customFormat="false" ht="14.25" hidden="false" customHeight="false" outlineLevel="0" collapsed="false">
      <c r="A22" s="0" t="s">
        <v>685</v>
      </c>
      <c r="B22" s="87" t="s">
        <v>61</v>
      </c>
      <c r="D22" s="87"/>
    </row>
    <row r="23" customFormat="false" ht="14.25" hidden="false" customHeight="false" outlineLevel="0" collapsed="false">
      <c r="A23" s="0" t="s">
        <v>688</v>
      </c>
      <c r="B23" s="87" t="s">
        <v>64</v>
      </c>
      <c r="D23" s="87"/>
    </row>
    <row r="24" customFormat="false" ht="14.25" hidden="false" customHeight="false" outlineLevel="0" collapsed="false">
      <c r="A24" s="0" t="s">
        <v>390</v>
      </c>
      <c r="B24" s="87" t="s">
        <v>66</v>
      </c>
      <c r="D24" s="87"/>
    </row>
    <row r="25" customFormat="false" ht="14.25" hidden="false" customHeight="false" outlineLevel="0" collapsed="false">
      <c r="A25" s="0" t="s">
        <v>692</v>
      </c>
      <c r="B25" s="87" t="s">
        <v>68</v>
      </c>
      <c r="D25" s="87"/>
    </row>
    <row r="26" customFormat="false" ht="14.25" hidden="false" customHeight="false" outlineLevel="0" collapsed="false">
      <c r="A26" s="0" t="s">
        <v>694</v>
      </c>
      <c r="B26" s="87" t="s">
        <v>70</v>
      </c>
      <c r="D26" s="87"/>
    </row>
    <row r="27" customFormat="false" ht="14.25" hidden="false" customHeight="false" outlineLevel="0" collapsed="false">
      <c r="A27" s="0" t="s">
        <v>726</v>
      </c>
      <c r="B27" s="87" t="s">
        <v>72</v>
      </c>
    </row>
    <row r="28" customFormat="false" ht="14.25" hidden="false" customHeight="false" outlineLevel="0" collapsed="false">
      <c r="A28" s="0" t="s">
        <v>731</v>
      </c>
      <c r="B28" s="87" t="s">
        <v>75</v>
      </c>
    </row>
    <row r="29" customFormat="false" ht="14.25" hidden="false" customHeight="false" outlineLevel="0" collapsed="false">
      <c r="A29" s="0" t="s">
        <v>758</v>
      </c>
      <c r="B29" s="87" t="s">
        <v>77</v>
      </c>
    </row>
    <row r="30" customFormat="false" ht="14.25" hidden="false" customHeight="false" outlineLevel="0" collapsed="false">
      <c r="A30" s="0" t="s">
        <v>764</v>
      </c>
      <c r="B30" s="87" t="s">
        <v>80</v>
      </c>
    </row>
    <row r="31" customFormat="false" ht="14.25" hidden="false" customHeight="false" outlineLevel="0" collapsed="false">
      <c r="A31" s="0" t="s">
        <v>765</v>
      </c>
      <c r="B31" s="87" t="s">
        <v>82</v>
      </c>
    </row>
    <row r="32" customFormat="false" ht="14.25" hidden="false" customHeight="false" outlineLevel="0" collapsed="false">
      <c r="A32" s="0" t="s">
        <v>766</v>
      </c>
      <c r="B32" s="87" t="s">
        <v>84</v>
      </c>
    </row>
    <row r="33" customFormat="false" ht="14.25" hidden="false" customHeight="false" outlineLevel="0" collapsed="false">
      <c r="A33" s="0" t="s">
        <v>261</v>
      </c>
      <c r="B33" s="87" t="s">
        <v>87</v>
      </c>
    </row>
    <row r="34" customFormat="false" ht="14.25" hidden="false" customHeight="false" outlineLevel="0" collapsed="false">
      <c r="A34" s="0" t="s">
        <v>498</v>
      </c>
      <c r="B34" s="87" t="s">
        <v>89</v>
      </c>
    </row>
    <row r="35" customFormat="false" ht="14.25" hidden="false" customHeight="false" outlineLevel="0" collapsed="false">
      <c r="A35" s="0" t="s">
        <v>697</v>
      </c>
      <c r="B35" s="87" t="s">
        <v>196</v>
      </c>
    </row>
    <row r="36" customFormat="false" ht="14.25" hidden="false" customHeight="false" outlineLevel="0" collapsed="false">
      <c r="A36" s="0" t="s">
        <v>698</v>
      </c>
      <c r="B36" s="87" t="s">
        <v>199</v>
      </c>
    </row>
    <row r="37" customFormat="false" ht="14.25" hidden="false" customHeight="false" outlineLevel="0" collapsed="false">
      <c r="A37" s="0" t="s">
        <v>699</v>
      </c>
      <c r="B37" s="87" t="s">
        <v>201</v>
      </c>
    </row>
    <row r="38" customFormat="false" ht="14.25" hidden="false" customHeight="false" outlineLevel="0" collapsed="false">
      <c r="A38" s="0" t="s">
        <v>330</v>
      </c>
      <c r="B38" s="87" t="s">
        <v>203</v>
      </c>
    </row>
    <row r="39" customFormat="false" ht="14.25" hidden="false" customHeight="false" outlineLevel="0" collapsed="false">
      <c r="A39" s="0" t="s">
        <v>622</v>
      </c>
      <c r="B39" s="87" t="s">
        <v>206</v>
      </c>
    </row>
    <row r="40" customFormat="false" ht="14.25" hidden="false" customHeight="false" outlineLevel="0" collapsed="false">
      <c r="A40" s="0" t="s">
        <v>332</v>
      </c>
      <c r="B40" s="87" t="s">
        <v>208</v>
      </c>
    </row>
    <row r="41" customFormat="false" ht="14.25" hidden="false" customHeight="false" outlineLevel="0" collapsed="false">
      <c r="A41" s="0" t="s">
        <v>738</v>
      </c>
      <c r="B41" s="87" t="s">
        <v>172</v>
      </c>
    </row>
    <row r="42" customFormat="false" ht="14.25" hidden="false" customHeight="false" outlineLevel="0" collapsed="false">
      <c r="A42" s="0" t="s">
        <v>797</v>
      </c>
      <c r="B42" s="87" t="s">
        <v>185</v>
      </c>
    </row>
    <row r="43" customFormat="false" ht="14.25" hidden="false" customHeight="false" outlineLevel="0" collapsed="false">
      <c r="A43" s="0" t="s">
        <v>883</v>
      </c>
      <c r="B43" s="87" t="s">
        <v>188</v>
      </c>
    </row>
    <row r="44" customFormat="false" ht="14.25" hidden="false" customHeight="false" outlineLevel="0" collapsed="false">
      <c r="A44" s="0" t="s">
        <v>246</v>
      </c>
      <c r="B44" s="87" t="s">
        <v>190</v>
      </c>
    </row>
    <row r="45" customFormat="false" ht="14.25" hidden="false" customHeight="false" outlineLevel="0" collapsed="false">
      <c r="A45" s="0" t="s">
        <v>884</v>
      </c>
      <c r="B45" s="87" t="s">
        <v>192</v>
      </c>
    </row>
    <row r="46" customFormat="false" ht="14.25" hidden="false" customHeight="false" outlineLevel="0" collapsed="false">
      <c r="A46" s="0" t="s">
        <v>885</v>
      </c>
      <c r="B46" s="87" t="s">
        <v>194</v>
      </c>
    </row>
    <row r="47" customFormat="false" ht="14.25" hidden="false" customHeight="false" outlineLevel="0" collapsed="false">
      <c r="A47" s="0" t="s">
        <v>769</v>
      </c>
      <c r="B47" s="87" t="s">
        <v>144</v>
      </c>
    </row>
    <row r="48" customFormat="false" ht="14.25" hidden="false" customHeight="false" outlineLevel="0" collapsed="false">
      <c r="A48" s="0" t="s">
        <v>778</v>
      </c>
      <c r="B48" s="87" t="s">
        <v>147</v>
      </c>
    </row>
    <row r="49" customFormat="false" ht="14.25" hidden="false" customHeight="false" outlineLevel="0" collapsed="false">
      <c r="A49" s="0" t="s">
        <v>281</v>
      </c>
      <c r="B49" s="87" t="s">
        <v>149</v>
      </c>
    </row>
    <row r="50" customFormat="false" ht="14.25" hidden="false" customHeight="false" outlineLevel="0" collapsed="false">
      <c r="A50" s="0" t="s">
        <v>626</v>
      </c>
      <c r="B50" s="87" t="s">
        <v>151</v>
      </c>
    </row>
    <row r="51" customFormat="false" ht="14.25" hidden="false" customHeight="false" outlineLevel="0" collapsed="false">
      <c r="A51" s="0" t="s">
        <v>632</v>
      </c>
      <c r="B51" s="87" t="s">
        <v>154</v>
      </c>
    </row>
    <row r="52" customFormat="false" ht="14.25" hidden="false" customHeight="false" outlineLevel="0" collapsed="false">
      <c r="A52" s="0" t="s">
        <v>633</v>
      </c>
      <c r="B52" s="87" t="s">
        <v>156</v>
      </c>
    </row>
    <row r="53" customFormat="false" ht="14.25" hidden="false" customHeight="false" outlineLevel="0" collapsed="false">
      <c r="A53" s="0" t="s">
        <v>740</v>
      </c>
      <c r="B53" s="87" t="s">
        <v>163</v>
      </c>
    </row>
    <row r="54" customFormat="false" ht="14.25" hidden="false" customHeight="false" outlineLevel="0" collapsed="false">
      <c r="A54" s="0" t="s">
        <v>614</v>
      </c>
      <c r="B54" s="87" t="s">
        <v>168</v>
      </c>
    </row>
    <row r="55" customFormat="false" ht="14.25" hidden="false" customHeight="false" outlineLevel="0" collapsed="false">
      <c r="A55" s="0" t="s">
        <v>536</v>
      </c>
      <c r="B55" s="87" t="s">
        <v>170</v>
      </c>
    </row>
    <row r="56" customFormat="false" ht="14.25" hidden="false" customHeight="false" outlineLevel="0" collapsed="false">
      <c r="A56" s="0" t="s">
        <v>814</v>
      </c>
      <c r="B56" s="87" t="s">
        <v>43</v>
      </c>
    </row>
    <row r="57" customFormat="false" ht="14.25" hidden="false" customHeight="false" outlineLevel="0" collapsed="false">
      <c r="A57" s="0" t="s">
        <v>815</v>
      </c>
      <c r="B57" s="87" t="s">
        <v>46</v>
      </c>
    </row>
    <row r="58" customFormat="false" ht="14.25" hidden="false" customHeight="false" outlineLevel="0" collapsed="false">
      <c r="A58" s="0" t="s">
        <v>828</v>
      </c>
      <c r="B58" s="87" t="s">
        <v>48</v>
      </c>
    </row>
    <row r="59" customFormat="false" ht="14.25" hidden="false" customHeight="false" outlineLevel="0" collapsed="false">
      <c r="A59" s="0" t="s">
        <v>829</v>
      </c>
      <c r="B59" s="87" t="s">
        <v>50</v>
      </c>
    </row>
    <row r="60" customFormat="false" ht="14.25" hidden="false" customHeight="false" outlineLevel="0" collapsed="false">
      <c r="A60" s="0" t="s">
        <v>830</v>
      </c>
      <c r="B60" s="87" t="s">
        <v>52</v>
      </c>
    </row>
    <row r="61" customFormat="false" ht="14.25" hidden="false" customHeight="false" outlineLevel="0" collapsed="false">
      <c r="A61" s="0" t="s">
        <v>857</v>
      </c>
      <c r="B61" s="87" t="s">
        <v>91</v>
      </c>
    </row>
    <row r="62" customFormat="false" ht="14.25" hidden="false" customHeight="false" outlineLevel="0" collapsed="false">
      <c r="A62" s="0" t="s">
        <v>1142</v>
      </c>
      <c r="B62" s="87" t="s">
        <v>94</v>
      </c>
    </row>
    <row r="63" customFormat="false" ht="14.25" hidden="false" customHeight="false" outlineLevel="0" collapsed="false">
      <c r="A63" s="0" t="s">
        <v>1145</v>
      </c>
      <c r="B63" s="87" t="s">
        <v>96</v>
      </c>
    </row>
    <row r="64" customFormat="false" ht="14.25" hidden="false" customHeight="false" outlineLevel="0" collapsed="false">
      <c r="A64" s="0" t="s">
        <v>1151</v>
      </c>
      <c r="B64" s="87" t="s">
        <v>98</v>
      </c>
    </row>
    <row r="65" customFormat="false" ht="14.25" hidden="false" customHeight="false" outlineLevel="0" collapsed="false">
      <c r="A65" s="0" t="s">
        <v>1147</v>
      </c>
      <c r="B65" s="87" t="s">
        <v>100</v>
      </c>
    </row>
    <row r="66" customFormat="false" ht="14.25" hidden="false" customHeight="false" outlineLevel="0" collapsed="false">
      <c r="A66" s="0" t="s">
        <v>1149</v>
      </c>
      <c r="B66" s="87" t="s">
        <v>102</v>
      </c>
    </row>
    <row r="67" customFormat="false" ht="14.25" hidden="false" customHeight="false" outlineLevel="0" collapsed="false">
      <c r="A67" s="0" t="s">
        <v>1153</v>
      </c>
      <c r="B67" s="87" t="s">
        <v>104</v>
      </c>
    </row>
    <row r="68" customFormat="false" ht="14.25" hidden="false" customHeight="false" outlineLevel="0" collapsed="false">
      <c r="A68" s="0" t="s">
        <v>1475</v>
      </c>
      <c r="B68" s="87" t="s">
        <v>107</v>
      </c>
    </row>
    <row r="69" customFormat="false" ht="14.25" hidden="false" customHeight="false" outlineLevel="0" collapsed="false">
      <c r="A69" s="0" t="s">
        <v>1486</v>
      </c>
      <c r="B69" s="87" t="s">
        <v>111</v>
      </c>
    </row>
    <row r="70" customFormat="false" ht="14.25" hidden="false" customHeight="false" outlineLevel="0" collapsed="false">
      <c r="A70" s="0" t="s">
        <v>1492</v>
      </c>
      <c r="B70" s="87" t="s">
        <v>114</v>
      </c>
    </row>
    <row r="71" customFormat="false" ht="14.25" hidden="false" customHeight="false" outlineLevel="0" collapsed="false">
      <c r="A71" s="0" t="s">
        <v>1499</v>
      </c>
      <c r="B71" s="87" t="s">
        <v>117</v>
      </c>
    </row>
    <row r="72" customFormat="false" ht="14.25" hidden="false" customHeight="false" outlineLevel="0" collapsed="false">
      <c r="A72" s="0" t="s">
        <v>1506</v>
      </c>
      <c r="B72" s="87" t="s">
        <v>120</v>
      </c>
    </row>
    <row r="73" customFormat="false" ht="14.25" hidden="false" customHeight="false" outlineLevel="0" collapsed="false">
      <c r="A73" s="0" t="s">
        <v>1510</v>
      </c>
      <c r="B73" s="87" t="s">
        <v>123</v>
      </c>
    </row>
    <row r="74" customFormat="false" ht="14.25" hidden="false" customHeight="false" outlineLevel="0" collapsed="false">
      <c r="A74" s="0" t="s">
        <v>1514</v>
      </c>
      <c r="B74" s="87" t="s">
        <v>126</v>
      </c>
    </row>
    <row r="75" customFormat="false" ht="14.25" hidden="false" customHeight="false" outlineLevel="0" collapsed="false">
      <c r="A75" s="0" t="s">
        <v>1521</v>
      </c>
      <c r="B75" s="87" t="s">
        <v>129</v>
      </c>
    </row>
    <row r="76" customFormat="false" ht="14.25" hidden="false" customHeight="false" outlineLevel="0" collapsed="false">
      <c r="A76" s="0" t="s">
        <v>896</v>
      </c>
      <c r="B76" s="87" t="s">
        <v>131</v>
      </c>
    </row>
    <row r="77" customFormat="false" ht="14.25" hidden="false" customHeight="false" outlineLevel="0" collapsed="false">
      <c r="A77" s="0" t="s">
        <v>1155</v>
      </c>
      <c r="B77" s="87" t="s">
        <v>134</v>
      </c>
    </row>
    <row r="78" customFormat="false" ht="14.25" hidden="false" customHeight="false" outlineLevel="0" collapsed="false">
      <c r="A78" s="0" t="s">
        <v>805</v>
      </c>
      <c r="B78" s="87" t="s">
        <v>137</v>
      </c>
    </row>
    <row r="79" customFormat="false" ht="14.25" hidden="false" customHeight="false" outlineLevel="0" collapsed="false">
      <c r="A79" s="0" t="s">
        <v>807</v>
      </c>
      <c r="B79" s="87" t="s">
        <v>140</v>
      </c>
    </row>
    <row r="80" customFormat="false" ht="14.25" hidden="false" customHeight="false" outlineLevel="0" collapsed="false">
      <c r="A80" s="0" t="s">
        <v>816</v>
      </c>
      <c r="B80" s="87" t="s">
        <v>142</v>
      </c>
    </row>
    <row r="81" customFormat="false" ht="14.25" hidden="false" customHeight="false" outlineLevel="0" collapsed="false">
      <c r="A81" s="0" t="s">
        <v>380</v>
      </c>
      <c r="B81" s="87" t="s">
        <v>210</v>
      </c>
    </row>
    <row r="82" customFormat="false" ht="14.25" hidden="false" customHeight="false" outlineLevel="0" collapsed="false">
      <c r="A82" s="0" t="s">
        <v>381</v>
      </c>
      <c r="B82" s="87" t="s">
        <v>213</v>
      </c>
    </row>
    <row r="83" customFormat="false" ht="14.25" hidden="false" customHeight="false" outlineLevel="0" collapsed="false">
      <c r="A83" s="0" t="s">
        <v>382</v>
      </c>
      <c r="B83" s="87" t="s">
        <v>215</v>
      </c>
    </row>
    <row r="84" customFormat="false" ht="14.25" hidden="false" customHeight="false" outlineLevel="0" collapsed="false">
      <c r="A84" s="0" t="s">
        <v>276</v>
      </c>
      <c r="B84" s="87" t="s">
        <v>217</v>
      </c>
    </row>
    <row r="85" customFormat="false" ht="14.25" hidden="false" customHeight="false" outlineLevel="0" collapsed="false">
      <c r="A85" s="0" t="s">
        <v>386</v>
      </c>
      <c r="B85" s="87" t="s">
        <v>220</v>
      </c>
    </row>
    <row r="86" customFormat="false" ht="14.25" hidden="false" customHeight="false" outlineLevel="0" collapsed="false">
      <c r="A86" s="0" t="s">
        <v>388</v>
      </c>
      <c r="B86" s="87" t="s">
        <v>222</v>
      </c>
    </row>
  </sheetData>
  <autoFilter ref="A1:B80">
    <sortState ref="A2:B80">
      <sortCondition ref="A2:A80" customList=""/>
    </sortState>
  </autoFilter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E3906AF5772244692FE229650D5062F" ma:contentTypeVersion="12" ma:contentTypeDescription="Crie um novo documento." ma:contentTypeScope="" ma:versionID="7c57761251376a69a76e2567a972edd6">
  <xsd:schema xmlns:xsd="http://www.w3.org/2001/XMLSchema" xmlns:xs="http://www.w3.org/2001/XMLSchema" xmlns:p="http://schemas.microsoft.com/office/2006/metadata/properties" xmlns:ns2="8e7e3203-3efa-47a6-abc8-0ccec7eee051" xmlns:ns3="c1724d12-5a26-41a3-848a-c8ca2d384104" targetNamespace="http://schemas.microsoft.com/office/2006/metadata/properties" ma:root="true" ma:fieldsID="cb83cd2672f9d45b31a8b27ba66d27f8" ns2:_="" ns3:_="">
    <xsd:import namespace="8e7e3203-3efa-47a6-abc8-0ccec7eee051"/>
    <xsd:import namespace="c1724d12-5a26-41a3-848a-c8ca2d38410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7e3203-3efa-47a6-abc8-0ccec7eee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8f2713c-041b-42da-bb5a-d1146dd826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724d12-5a26-41a3-848a-c8ca2d384104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b5bc9c8f-7206-4272-b8e7-37c9f9d3b777}" ma:internalName="TaxCatchAll" ma:showField="CatchAllData" ma:web="c1724d12-5a26-41a3-848a-c8ca2d38410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7e3203-3efa-47a6-abc8-0ccec7eee051">
      <Terms xmlns="http://schemas.microsoft.com/office/infopath/2007/PartnerControls"/>
    </lcf76f155ced4ddcb4097134ff3c332f>
    <TaxCatchAll xmlns="c1724d12-5a26-41a3-848a-c8ca2d384104" xsi:nil="true"/>
  </documentManagement>
</p:properties>
</file>

<file path=customXml/itemProps1.xml><?xml version="1.0" encoding="utf-8"?>
<ds:datastoreItem xmlns:ds="http://schemas.openxmlformats.org/officeDocument/2006/customXml" ds:itemID="{BB8B7179-627A-475A-AF6B-ADB7BE839939}"/>
</file>

<file path=customXml/itemProps2.xml><?xml version="1.0" encoding="utf-8"?>
<ds:datastoreItem xmlns:ds="http://schemas.openxmlformats.org/officeDocument/2006/customXml" ds:itemID="{0638CDCA-0492-4DA1-8A00-DC163DF7A274}"/>
</file>

<file path=customXml/itemProps3.xml><?xml version="1.0" encoding="utf-8"?>
<ds:datastoreItem xmlns:ds="http://schemas.openxmlformats.org/officeDocument/2006/customXml" ds:itemID="{C8C3770B-87DC-4EE1-B26B-319DDE8B516F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Nadia Gabrielle Silva Sales</dc:creator>
  <dc:description/>
  <dc:language>en-US</dc:language>
  <cp:lastModifiedBy/>
  <dcterms:modified xsi:type="dcterms:W3CDTF">2026-03-16T15:36:55Z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0x010100AE3906AF5772244692FE229650D5062F</vt:lpwstr>
  </property>
  <property fmtid="{D5CDD505-2E9C-101B-9397-08002B2CF9AE}" pid="3" name="MediaServiceImageTags">
    <vt:lpwstr/>
  </property>
</Properties>
</file>